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5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6.xml" ContentType="application/vnd.openxmlformats-officedocument.spreadsheetml.comments+xml"/>
  <Override PartName="/xl/worksheets/sheet19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План оплат" sheetId="1" state="visible" r:id="rId1"/>
    <sheet xmlns:r="http://schemas.openxmlformats.org/officeDocument/2006/relationships" name="Банки всех ТОО и ИП" sheetId="2" state="visible" r:id="rId2"/>
    <sheet xmlns:r="http://schemas.openxmlformats.org/officeDocument/2006/relationships" name="ДЕНЬ ОПЛАТ" sheetId="3" state="visible" r:id="rId3"/>
    <sheet xmlns:r="http://schemas.openxmlformats.org/officeDocument/2006/relationships" name="Неделя ОПЛАТ " sheetId="4" state="visible" r:id="rId4"/>
    <sheet xmlns:r="http://schemas.openxmlformats.org/officeDocument/2006/relationships" name="ДДС НЕДЕЛЬН." sheetId="5" state="visible" r:id="rId5"/>
    <sheet xmlns:r="http://schemas.openxmlformats.org/officeDocument/2006/relationships" name="ВОЗВРАТ маймарт" sheetId="6" state="hidden" r:id="rId6"/>
    <sheet xmlns:r="http://schemas.openxmlformats.org/officeDocument/2006/relationships" name="3.3.5" sheetId="7" state="visible" r:id="rId7"/>
    <sheet xmlns:r="http://schemas.openxmlformats.org/officeDocument/2006/relationships" name="Заявка ТМЦ" sheetId="8" state="visible" r:id="rId8"/>
    <sheet xmlns:r="http://schemas.openxmlformats.org/officeDocument/2006/relationships" name="оборудование" sheetId="9" state="visible" r:id="rId9"/>
    <sheet xmlns:r="http://schemas.openxmlformats.org/officeDocument/2006/relationships" name="ДДС МЕСЯЦ ИЮНЬ" sheetId="10" state="visible" r:id="rId10"/>
    <sheet xmlns:r="http://schemas.openxmlformats.org/officeDocument/2006/relationships" name="ОБУ ИЮНЬ" sheetId="11" state="visible" r:id="rId11"/>
    <sheet xmlns:r="http://schemas.openxmlformats.org/officeDocument/2006/relationships" name="ДДС МЕСЯЦ МАЙ" sheetId="12" state="hidden" r:id="rId12"/>
    <sheet xmlns:r="http://schemas.openxmlformats.org/officeDocument/2006/relationships" name="ОБУ МАЙ" sheetId="13" state="hidden" r:id="rId13"/>
    <sheet xmlns:r="http://schemas.openxmlformats.org/officeDocument/2006/relationships" name="КРЕДИТ!" sheetId="14" state="hidden" r:id="rId14"/>
    <sheet xmlns:r="http://schemas.openxmlformats.org/officeDocument/2006/relationships" name="Каспи, CRAVE" sheetId="15" state="hidden" r:id="rId15"/>
    <sheet xmlns:r="http://schemas.openxmlformats.org/officeDocument/2006/relationships" name="ДДС ФАКТ Апрель" sheetId="16" state="hidden" r:id="rId16"/>
    <sheet xmlns:r="http://schemas.openxmlformats.org/officeDocument/2006/relationships" name="Лист13" sheetId="17" state="hidden" r:id="rId17"/>
    <sheet xmlns:r="http://schemas.openxmlformats.org/officeDocument/2006/relationships" name="Проект ДДС" sheetId="18" state="hidden" r:id="rId18"/>
    <sheet xmlns:r="http://schemas.openxmlformats.org/officeDocument/2006/relationships" name="ДДС МЕСЯЦ" sheetId="19" state="hidden" r:id="rId19"/>
  </sheets>
  <definedNames>
    <definedName name="_xlnm._FilterDatabase" localSheetId="3" hidden="1">'Неделя ОПЛАТ '!$A$125:$Z$444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/mm"/>
    <numFmt numFmtId="165" formatCode="dd\.mm\.yyyy"/>
    <numFmt numFmtId="166" formatCode="dd\.mmm"/>
    <numFmt numFmtId="167" formatCode="d\.mmm"/>
  </numFmts>
  <fonts count="184">
    <font>
      <name val="Arial"/>
      <color rgb="FF000000"/>
      <sz val="10"/>
      <scheme val="minor"/>
    </font>
    <font>
      <name val="Arial"/>
      <color theme="1"/>
      <sz val="11"/>
      <scheme val="minor"/>
    </font>
    <font>
      <name val="Arial"/>
      <b val="1"/>
      <color theme="1"/>
      <sz val="11"/>
      <scheme val="minor"/>
    </font>
    <font>
      <name val="Arial"/>
      <b val="1"/>
      <color theme="1"/>
      <sz val="10"/>
      <scheme val="minor"/>
    </font>
    <font>
      <name val="Arial"/>
      <b val="1"/>
      <color rgb="FF000000"/>
      <sz val="11"/>
      <scheme val="minor"/>
    </font>
    <font>
      <name val="Arial"/>
      <color rgb="FFFF0000"/>
      <sz val="11"/>
      <scheme val="minor"/>
    </font>
    <font>
      <name val="Arial"/>
      <b val="1"/>
      <color rgb="FFFF0000"/>
      <sz val="11"/>
      <scheme val="minor"/>
    </font>
    <font>
      <name val="Arial"/>
      <color theme="1"/>
      <sz val="10"/>
      <scheme val="minor"/>
    </font>
    <font>
      <name val="Arial"/>
      <color rgb="FF999999"/>
      <sz val="11"/>
      <scheme val="minor"/>
    </font>
    <font>
      <name val="Arial"/>
      <color rgb="FF000000"/>
      <sz val="11"/>
      <scheme val="minor"/>
    </font>
    <font>
      <name val="Arial"/>
      <color rgb="FF2C2D2E"/>
      <sz val="11"/>
    </font>
    <font>
      <name val="MicrosoftSansSerif"/>
      <color rgb="FF000000"/>
      <sz val="11"/>
    </font>
    <font>
      <name val="&quot;Aptos&quot;"/>
      <color theme="1"/>
      <sz val="11"/>
    </font>
    <font>
      <name val="Roboto"/>
      <color rgb="FF4A4A4A"/>
      <sz val="11"/>
    </font>
    <font>
      <name val="&quot;Calibri&quot;"/>
      <color theme="1"/>
      <sz val="26"/>
    </font>
    <font>
      <name val="Calibri"/>
      <color rgb="FF000000"/>
      <sz val="11"/>
    </font>
    <font>
      <name val="Calibri"/>
      <color rgb="FFFF0000"/>
      <sz val="11"/>
    </font>
    <font>
      <name val="Arial"/>
      <color rgb="FF999999"/>
      <sz val="10"/>
      <scheme val="minor"/>
    </font>
    <font>
      <name val="Calibri"/>
      <color rgb="FFFF0000"/>
      <sz val="12"/>
    </font>
    <font>
      <name val="Arial"/>
      <color rgb="FF000000"/>
      <sz val="9"/>
    </font>
    <font>
      <name val="Arial-BoldMTBold"/>
      <color rgb="FF000000"/>
      <sz val="9"/>
    </font>
    <font>
      <name val="&quot;Calibri&quot;"/>
      <color theme="1"/>
      <sz val="11"/>
    </font>
    <font>
      <name val="&quot;Calibri&quot;"/>
      <color rgb="FF000000"/>
      <sz val="11"/>
    </font>
    <font>
      <name val="&quot;Calibri&quot;"/>
      <color theme="1"/>
      <sz val="14"/>
    </font>
    <font>
      <name val="&quot;Times New Roman&quot;"/>
      <color theme="1"/>
      <sz val="13"/>
    </font>
    <font>
      <name val="&quot;Times New Roman&quot;"/>
      <color theme="1"/>
      <sz val="12"/>
    </font>
    <font>
      <name val="Arial-BoldMTBold"/>
      <color rgb="FF000000"/>
      <sz val="11"/>
    </font>
    <font>
      <name val="Calibri"/>
      <color rgb="FF000000"/>
      <sz val="12"/>
    </font>
    <font>
      <name val="Arial"/>
      <color rgb="FF000000"/>
      <sz val="11"/>
    </font>
    <font>
      <name val="Arial-BoldMTBold"/>
      <color rgb="FF000000"/>
      <sz val="10"/>
    </font>
    <font>
      <name val="System-ui"/>
      <color rgb="FF333333"/>
      <sz val="11"/>
    </font>
    <font>
      <name val="LiberationSans"/>
      <color rgb="FF00000A"/>
      <sz val="11"/>
    </font>
    <font>
      <name val="Arial-BoldMT"/>
      <color rgb="FF000000"/>
      <sz val="10"/>
    </font>
    <font>
      <name val="Arial"/>
      <color rgb="FF00000A"/>
      <sz val="11"/>
    </font>
    <font>
      <name val="LiberationSans"/>
      <color rgb="FF000000"/>
      <sz val="11"/>
    </font>
    <font>
      <name val="Arial-BoldMT"/>
      <color rgb="FF000000"/>
      <sz val="11"/>
    </font>
    <font>
      <name val="ArialMT"/>
      <color rgb="FF000000"/>
      <sz val="10"/>
    </font>
    <font>
      <name val="08zxr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B7B7B7"/>
      <sz val="11"/>
      <scheme val="minor"/>
    </font>
    <font>
      <name val="Arial"/>
      <color rgb="FF0000FF"/>
      <sz val="11"/>
      <scheme val="minor"/>
    </font>
    <font>
      <name val="&quot;Times New Roman&quot;"/>
      <color rgb="FF999999"/>
      <sz val="12"/>
    </font>
    <font>
      <name val="Arial"/>
      <color rgb="FF999999"/>
      <sz val="11"/>
    </font>
    <font>
      <name val="Arial"/>
      <color rgb="FF666666"/>
      <sz val="11"/>
      <scheme val="minor"/>
    </font>
    <font>
      <name val="Arial"/>
      <color rgb="FF666666"/>
      <sz val="10"/>
      <scheme val="minor"/>
    </font>
    <font>
      <name val="System-ui"/>
      <color rgb="FF666666"/>
      <sz val="11"/>
    </font>
    <font>
      <name val="&quot;Times New Roman&quot;"/>
      <color theme="1"/>
      <sz val="14"/>
    </font>
    <font>
      <name val="Arial"/>
      <color theme="1"/>
      <sz val="11"/>
    </font>
    <font>
      <name val="Arial"/>
      <color rgb="FFFF0000"/>
      <sz val="11"/>
    </font>
    <font>
      <name val="Arial"/>
      <color theme="1"/>
      <sz val="10"/>
    </font>
    <font>
      <name val="Arial"/>
      <color rgb="FF980000"/>
      <sz val="30"/>
      <scheme val="minor"/>
    </font>
    <font>
      <name val="Arial"/>
      <color rgb="FF000000"/>
      <sz val="10"/>
      <scheme val="minor"/>
    </font>
    <font>
      <name val="Arial"/>
      <color rgb="FFFF0000"/>
      <sz val="10"/>
      <scheme val="minor"/>
    </font>
    <font>
      <name val="Arial"/>
      <b val="1"/>
      <color rgb="FFFF0000"/>
      <sz val="10"/>
      <scheme val="minor"/>
    </font>
    <font>
      <name val="Arial"/>
      <b val="1"/>
      <i val="1"/>
      <color rgb="FFFF0000"/>
      <sz val="10"/>
      <scheme val="minor"/>
    </font>
    <font>
      <name val="Arial"/>
      <b val="1"/>
      <color rgb="FF980000"/>
      <sz val="14"/>
      <scheme val="minor"/>
    </font>
    <font>
      <name val="Arial"/>
      <color theme="1"/>
      <sz val="14"/>
      <scheme val="minor"/>
    </font>
    <font>
      <name val="Arial"/>
      <color rgb="FF000000"/>
      <sz val="14"/>
      <scheme val="minor"/>
    </font>
    <font>
      <name val="Arial"/>
      <sz val="10"/>
    </font>
    <font>
      <name val="Arial"/>
      <color rgb="FF000000"/>
      <sz val="12"/>
      <scheme val="minor"/>
    </font>
    <font>
      <name val="Arial"/>
      <b val="1"/>
      <color rgb="FF000000"/>
      <sz val="12"/>
      <scheme val="minor"/>
    </font>
    <font>
      <name val="Arial"/>
      <b val="1"/>
      <color theme="1"/>
      <sz val="7"/>
      <scheme val="minor"/>
    </font>
    <font>
      <name val="Arial"/>
      <b val="1"/>
      <color rgb="FFFFFFFF"/>
      <sz val="12"/>
      <scheme val="minor"/>
    </font>
    <font>
      <name val="Arial"/>
      <color theme="1"/>
      <sz val="7"/>
      <scheme val="minor"/>
    </font>
    <font>
      <name val="Arial"/>
      <b val="1"/>
      <color theme="1"/>
      <sz val="14"/>
      <scheme val="minor"/>
    </font>
    <font>
      <name val="Arial"/>
      <i val="1"/>
      <color rgb="FF666666"/>
      <sz val="11"/>
    </font>
    <font>
      <name val="Times New Roman"/>
      <i val="1"/>
      <color rgb="FF666666"/>
      <sz val="11"/>
    </font>
    <font>
      <name val="Arial"/>
      <color rgb="FF999999"/>
      <sz val="10"/>
    </font>
    <font>
      <name val="Lexend"/>
      <i val="1"/>
      <color rgb="FF666666"/>
      <sz val="9"/>
    </font>
    <font>
      <name val="Arial"/>
      <color rgb="FF666666"/>
      <sz val="10"/>
    </font>
    <font>
      <name val="Arial"/>
      <i val="1"/>
      <color rgb="FF666666"/>
      <sz val="10"/>
    </font>
    <font>
      <name val="Arial"/>
      <color rgb="FF666666"/>
      <sz val="11"/>
    </font>
    <font>
      <name val="Arial"/>
      <i val="1"/>
      <color rgb="FF434343"/>
      <sz val="11"/>
    </font>
    <font>
      <name val="Arial"/>
      <i val="1"/>
      <color rgb="FF434343"/>
      <sz val="10"/>
    </font>
    <font>
      <name val="Arial"/>
      <color rgb="FF434343"/>
      <sz val="11"/>
    </font>
    <font>
      <name val="Times New Roman"/>
      <color rgb="FF666666"/>
      <sz val="11"/>
    </font>
    <font>
      <name val="Arial"/>
      <b val="1"/>
      <i val="1"/>
      <color rgb="FF666666"/>
      <sz val="10"/>
    </font>
    <font>
      <name val="Arial"/>
      <i val="1"/>
      <color rgb="FF666666"/>
      <sz val="10"/>
    </font>
    <font>
      <name val="Arial"/>
      <color rgb="FF666666"/>
      <sz val="10"/>
    </font>
    <font>
      <name val="Times New Roman"/>
      <color rgb="FFFF0000"/>
      <sz val="11"/>
    </font>
    <font>
      <name val="Arial"/>
      <i val="1"/>
      <color rgb="FFFF0000"/>
      <sz val="10"/>
    </font>
    <font>
      <name val="Arial"/>
      <b val="1"/>
      <i val="1"/>
      <color rgb="FF666666"/>
      <sz val="10"/>
    </font>
    <font>
      <name val="Arial"/>
      <i val="1"/>
      <color rgb="FF999999"/>
      <sz val="10"/>
    </font>
    <font>
      <name val="Arial"/>
      <i val="1"/>
      <color rgb="FF999999"/>
      <sz val="10"/>
    </font>
    <font>
      <name val="Arial"/>
      <color rgb="FF999999"/>
      <sz val="10"/>
    </font>
    <font>
      <name val="Times New Roman"/>
      <i val="1"/>
      <color rgb="FF999999"/>
      <sz val="11"/>
    </font>
    <font>
      <name val="Tahoma"/>
      <color rgb="FF666666"/>
      <sz val="8"/>
    </font>
    <font>
      <name val="Lexend"/>
      <color rgb="FF666666"/>
      <sz val="8"/>
    </font>
    <font>
      <name val="Tahoma"/>
      <color rgb="FF000000"/>
      <sz val="8"/>
    </font>
    <font>
      <name val="Arial"/>
      <color rgb="FF999999"/>
      <sz val="7"/>
    </font>
    <font>
      <name val="Tahoma"/>
      <color rgb="FF999999"/>
      <sz val="7"/>
    </font>
    <font>
      <name val="Arial"/>
      <color rgb="FF666666"/>
      <sz val="7"/>
    </font>
    <font>
      <name val="Tahoma"/>
      <color rgb="FF666666"/>
      <sz val="7"/>
    </font>
    <font>
      <name val="Arial"/>
      <color rgb="FF666666"/>
      <sz val="7"/>
      <scheme val="minor"/>
    </font>
    <font>
      <name val="Arial"/>
      <color rgb="FF000000"/>
      <sz val="7"/>
    </font>
    <font>
      <name val="Arial"/>
      <color rgb="FF000000"/>
      <sz val="7"/>
      <scheme val="minor"/>
    </font>
    <font>
      <name val="Arial"/>
      <color theme="1"/>
      <sz val="8"/>
      <scheme val="minor"/>
    </font>
    <font>
      <name val="Calibri"/>
      <color rgb="FF999999"/>
      <sz val="11"/>
    </font>
    <font>
      <name val="System-ui"/>
      <color rgb="FF999999"/>
      <sz val="11"/>
    </font>
    <font>
      <name val="Times New Roman"/>
      <color rgb="FF999999"/>
      <sz val="12"/>
    </font>
    <font>
      <name val="Arial"/>
      <color rgb="FFB7B7B7"/>
      <sz val="11"/>
    </font>
    <font>
      <name val="&quot;Calibri&quot;"/>
      <color rgb="FFB7B7B7"/>
      <sz val="11"/>
    </font>
    <font>
      <name val="&quot;Calibri&quot;"/>
      <color rgb="FFB7B7B7"/>
      <sz val="12"/>
    </font>
    <font>
      <name val="Arial"/>
      <i val="1"/>
      <color theme="1"/>
      <sz val="10"/>
      <scheme val="minor"/>
    </font>
    <font>
      <name val="Arial"/>
      <i val="1"/>
      <color rgb="FF999999"/>
      <sz val="11"/>
    </font>
    <font>
      <name val="&quot;Calibri&quot;"/>
      <color rgb="FF666666"/>
      <sz val="11"/>
    </font>
    <font>
      <name val="&quot;Times New Roman&quot;"/>
      <color rgb="FF666666"/>
      <sz val="11"/>
    </font>
    <font>
      <name val="&quot;Times New Roman&quot;"/>
      <color theme="1"/>
      <sz val="12"/>
      <u val="single"/>
    </font>
    <font>
      <name val="Arial"/>
      <color rgb="FF333333"/>
      <sz val="11"/>
    </font>
    <font>
      <name val="Arial"/>
      <b val="1"/>
      <color rgb="FF666666"/>
      <sz val="11"/>
    </font>
    <font>
      <name val="Arial"/>
      <b val="1"/>
      <color rgb="FF666666"/>
      <sz val="10"/>
      <scheme val="minor"/>
    </font>
    <font>
      <name val="Calibri"/>
      <b val="1"/>
      <color theme="1"/>
      <sz val="11"/>
    </font>
    <font>
      <name val="Arial"/>
      <color theme="1"/>
      <sz val="9"/>
    </font>
    <font>
      <name val="Arial"/>
      <color rgb="FF980000"/>
      <sz val="11"/>
    </font>
    <font>
      <name val="Calibri"/>
      <b val="1"/>
      <color rgb="FF000000"/>
      <sz val="11"/>
    </font>
    <font>
      <name val="Calibri"/>
      <b val="1"/>
      <color rgb="FF000000"/>
      <sz val="11"/>
      <u val="single"/>
    </font>
    <font>
      <name val="Calibri"/>
      <b val="1"/>
      <color rgb="FF0000FF"/>
      <sz val="11"/>
      <u val="single"/>
    </font>
    <font>
      <name val="Calibri"/>
      <b val="1"/>
      <color rgb="FFFF0000"/>
      <sz val="11"/>
    </font>
    <font>
      <name val="Arial"/>
      <color rgb="FFFF0000"/>
      <sz val="10"/>
    </font>
    <font>
      <name val="Tahoma"/>
      <color rgb="FF000000"/>
      <sz val="10"/>
    </font>
    <font>
      <name val="Arial"/>
      <color theme="1"/>
      <sz val="10"/>
      <scheme val="minor"/>
    </font>
    <font>
      <name val="Lexend"/>
      <b val="1"/>
      <color rgb="FF000000"/>
      <sz val="8"/>
    </font>
    <font>
      <name val="Arial"/>
      <i val="1"/>
      <color rgb="FF0000FF"/>
      <sz val="9"/>
    </font>
    <font>
      <name val="Arial"/>
      <b val="1"/>
      <color rgb="FFFF0000"/>
      <sz val="10"/>
    </font>
    <font>
      <name val="Lexend"/>
      <color rgb="FF000000"/>
      <sz val="8"/>
    </font>
    <font>
      <name val="Tahoma"/>
      <b val="1"/>
      <color rgb="FF000000"/>
      <sz val="9"/>
    </font>
    <font>
      <name val="Tahoma"/>
      <color rgb="FF000000"/>
      <sz val="9"/>
    </font>
    <font>
      <name val="Tahoma"/>
      <b val="1"/>
      <color rgb="FF000000"/>
      <sz val="8"/>
    </font>
    <font>
      <name val="Tahoma"/>
      <b val="1"/>
      <color rgb="FF444444"/>
      <sz val="8"/>
    </font>
    <font>
      <name val="Lexend"/>
      <b val="1"/>
      <color rgb="FF444444"/>
      <sz val="9"/>
    </font>
    <font>
      <name val="Lexend"/>
      <color rgb="FF444444"/>
      <sz val="9"/>
    </font>
    <font>
      <name val="Tahoma"/>
      <color rgb="FF38761D"/>
      <sz val="8"/>
    </font>
    <font>
      <name val="Tahoma"/>
      <color theme="1"/>
      <sz val="8"/>
    </font>
    <font>
      <name val="Lexend"/>
      <color rgb="FF38761D"/>
      <sz val="9"/>
    </font>
    <font>
      <name val="Tahoma"/>
      <color rgb="FF980000"/>
      <sz val="8"/>
    </font>
    <font>
      <name val="Tahoma"/>
      <color rgb="FFCC0000"/>
      <sz val="8"/>
    </font>
    <font>
      <name val="Tahoma"/>
      <color rgb="FF990000"/>
      <sz val="8"/>
    </font>
    <font>
      <name val="Lexend"/>
      <color rgb="FF980000"/>
      <sz val="8"/>
    </font>
    <font>
      <name val="Lexend"/>
      <color rgb="FF990000"/>
      <sz val="8"/>
    </font>
    <font>
      <name val="Tahoma"/>
      <b val="1"/>
      <color rgb="FF444444"/>
      <sz val="9"/>
    </font>
    <font>
      <name val="Lexend"/>
      <b val="1"/>
      <color rgb="FF000000"/>
      <sz val="9"/>
    </font>
    <font>
      <name val="Tahoma"/>
      <i val="1"/>
      <color rgb="FF000000"/>
      <sz val="11"/>
    </font>
    <font>
      <name val="Tahoma"/>
      <b val="1"/>
      <color rgb="FF000000"/>
      <sz val="12"/>
    </font>
    <font>
      <name val="Tahoma"/>
      <i val="1"/>
      <color rgb="FF000000"/>
      <sz val="9"/>
    </font>
    <font>
      <name val="Arial"/>
      <color rgb="FFFF0000"/>
      <sz val="9"/>
    </font>
    <font>
      <name val="Arial"/>
      <b val="1"/>
      <color rgb="FFFFFFFF"/>
      <sz val="9"/>
    </font>
    <font>
      <name val="Arial"/>
      <color theme="1"/>
      <sz val="9"/>
      <scheme val="minor"/>
    </font>
    <font>
      <name val="Arial"/>
      <color rgb="FFFF9900"/>
      <sz val="14"/>
      <scheme val="minor"/>
    </font>
    <font>
      <name val="Roboto"/>
      <b val="1"/>
      <color rgb="FF1F1F1F"/>
      <sz val="10"/>
    </font>
    <font>
      <name val="Arial"/>
      <b val="1"/>
      <color rgb="FF000000"/>
      <sz val="10"/>
      <scheme val="minor"/>
    </font>
    <font>
      <name val="Arial"/>
      <b val="1"/>
      <i val="1"/>
      <color theme="1"/>
      <sz val="10"/>
      <scheme val="minor"/>
    </font>
    <font>
      <name val="Arial"/>
      <i val="1"/>
      <color theme="1"/>
      <sz val="10"/>
    </font>
    <font>
      <name val="Arial"/>
      <b val="1"/>
      <color theme="1"/>
      <sz val="14"/>
    </font>
    <font>
      <name val="Arial"/>
      <i val="1"/>
      <color theme="1"/>
      <sz val="10"/>
    </font>
    <font>
      <name val="Arial"/>
      <color theme="1"/>
      <sz val="8"/>
    </font>
    <font>
      <name val="Tahoma"/>
      <color rgb="FFFF0000"/>
      <sz val="8"/>
    </font>
    <font>
      <name val="Tahoma"/>
      <color rgb="FF444444"/>
      <sz val="8"/>
    </font>
    <font>
      <name val="Lexend"/>
      <b val="1"/>
      <color rgb="FF000000"/>
      <sz val="12"/>
    </font>
    <font>
      <name val="Arial"/>
      <color rgb="FF000000"/>
      <sz val="12"/>
    </font>
    <font>
      <name val="Lexend"/>
      <color rgb="FF000000"/>
      <sz val="12"/>
    </font>
    <font>
      <name val="Calibri"/>
      <color theme="1"/>
      <sz val="11"/>
    </font>
    <font>
      <name val="Calibri"/>
      <color rgb="FF000000"/>
      <sz val="10"/>
    </font>
    <font>
      <name val="Tahoma"/>
      <color rgb="FF000000"/>
      <sz val="16"/>
    </font>
    <font>
      <name val="Tahoma"/>
      <color rgb="FF000000"/>
      <sz val="10"/>
    </font>
    <font>
      <name val="Lexend"/>
      <b val="1"/>
      <color rgb="FF000000"/>
      <sz val="10"/>
    </font>
    <font>
      <name val="Lexend"/>
      <color rgb="FF000000"/>
      <sz val="10"/>
    </font>
    <font>
      <name val="Tahoma"/>
      <b val="1"/>
      <color rgb="FF000000"/>
      <sz val="10"/>
    </font>
    <font>
      <name val="Arial"/>
      <color theme="1"/>
      <sz val="10"/>
    </font>
    <font>
      <name val="Lexend"/>
      <b val="1"/>
      <color rgb="FF444444"/>
      <sz val="8"/>
    </font>
    <font>
      <name val="Lexend"/>
      <b val="1"/>
      <color rgb="FF444444"/>
      <sz val="11"/>
    </font>
    <font>
      <name val="Lexend"/>
      <color rgb="FF38761D"/>
      <sz val="8"/>
    </font>
    <font>
      <name val="Lexend"/>
      <color rgb="FF444444"/>
      <sz val="8"/>
    </font>
    <font>
      <name val="Lexend"/>
      <color rgb="FF38761D"/>
      <sz val="11"/>
    </font>
    <font>
      <name val="Lexend"/>
      <b val="1"/>
      <color rgb="FF000000"/>
      <sz val="11"/>
    </font>
    <font>
      <name val="Lexend"/>
      <b val="1"/>
      <color rgb="FFA61C00"/>
      <sz val="8"/>
    </font>
    <font>
      <name val="Lexend"/>
      <b val="1"/>
      <color rgb="FF980000"/>
      <sz val="8"/>
    </font>
    <font>
      <name val="Tahoma"/>
      <b val="1"/>
      <color rgb="FF980000"/>
      <sz val="8"/>
    </font>
    <font>
      <name val="Lexend"/>
      <color rgb="FF990000"/>
      <sz val="11"/>
    </font>
    <font>
      <name val="Lexend"/>
      <color rgb="FF444444"/>
      <sz val="11"/>
    </font>
    <font>
      <name val="Arial"/>
      <b val="1"/>
      <color theme="1"/>
      <sz val="11"/>
    </font>
    <font>
      <name val="Arial"/>
      <i val="1"/>
      <color rgb="FFFF0000"/>
      <sz val="7"/>
    </font>
    <font>
      <name val="Tahoma"/>
      <color rgb="FF000000"/>
      <sz val="7"/>
    </font>
    <font>
      <name val="Arial"/>
      <b val="1"/>
      <color theme="1"/>
      <sz val="10"/>
    </font>
  </fonts>
  <fills count="9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3E3FD"/>
        <bgColor rgb="FFD3E3FD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F9F9F9"/>
        <bgColor rgb="FFF9F9F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C27BA0"/>
        <bgColor rgb="FFC27BA0"/>
      </patternFill>
    </fill>
    <fill>
      <patternFill patternType="solid">
        <fgColor rgb="FFFBF1F3"/>
        <bgColor rgb="FFFBF1F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0F0F0"/>
        <bgColor rgb="FFF0F0F0"/>
      </patternFill>
    </fill>
    <fill>
      <patternFill patternType="solid">
        <fgColor rgb="FFE9FECB"/>
        <bgColor rgb="FFE9FECB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6FAFB"/>
        <bgColor rgb="FFF6FAFB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CFDDE4"/>
        <bgColor rgb="FFCFDDE4"/>
      </patternFill>
    </fill>
    <fill>
      <patternFill patternType="solid">
        <fgColor rgb="FFF2F2F2"/>
        <bgColor rgb="FFF2F2F2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88CD9B"/>
        <bgColor rgb="FF88CD9B"/>
      </patternFill>
    </fill>
    <fill>
      <patternFill patternType="solid">
        <fgColor rgb="FFCDE9D7"/>
        <bgColor rgb="FFCDE9D7"/>
      </patternFill>
    </fill>
    <fill>
      <patternFill patternType="solid">
        <fgColor rgb="FF71C487"/>
        <bgColor rgb="FF71C487"/>
      </patternFill>
    </fill>
    <fill>
      <patternFill patternType="solid">
        <fgColor rgb="FFA6D9B5"/>
        <bgColor rgb="FFA6D9B5"/>
      </patternFill>
    </fill>
    <fill>
      <patternFill patternType="solid">
        <fgColor rgb="FF6FC386"/>
        <bgColor rgb="FF6FC386"/>
      </patternFill>
    </fill>
    <fill>
      <patternFill patternType="solid">
        <fgColor rgb="FF64BF7C"/>
        <bgColor rgb="FF64BF7C"/>
      </patternFill>
    </fill>
    <fill>
      <patternFill patternType="solid">
        <fgColor rgb="FF86CC99"/>
        <bgColor rgb="FF86CC99"/>
      </patternFill>
    </fill>
    <fill>
      <patternFill patternType="solid">
        <fgColor rgb="FF63BE7B"/>
        <bgColor rgb="FF63BE7B"/>
      </patternFill>
    </fill>
    <fill>
      <patternFill patternType="solid">
        <fgColor rgb="FF7CC991"/>
        <bgColor rgb="FF7CC991"/>
      </patternFill>
    </fill>
    <fill>
      <patternFill patternType="solid">
        <fgColor rgb="FFBDE3C9"/>
        <bgColor rgb="FFBDE3C9"/>
      </patternFill>
    </fill>
    <fill>
      <patternFill patternType="solid">
        <fgColor rgb="FFF4F9F8"/>
        <bgColor rgb="FFF4F9F8"/>
      </patternFill>
    </fill>
    <fill>
      <patternFill patternType="solid">
        <fgColor rgb="FFC4E6CF"/>
        <bgColor rgb="FFC4E6CF"/>
      </patternFill>
    </fill>
    <fill>
      <patternFill patternType="solid">
        <fgColor rgb="FFF8696B"/>
        <bgColor rgb="FFF8696B"/>
      </patternFill>
    </fill>
    <fill>
      <patternFill patternType="solid">
        <fgColor rgb="FFDDF0E4"/>
        <bgColor rgb="FFDDF0E4"/>
      </patternFill>
    </fill>
    <fill>
      <patternFill patternType="solid">
        <fgColor rgb="FFFBF3F6"/>
        <bgColor rgb="FFFBF3F6"/>
      </patternFill>
    </fill>
    <fill>
      <patternFill patternType="solid">
        <fgColor rgb="FFFBEFF2"/>
        <bgColor rgb="FFFBEFF2"/>
      </patternFill>
    </fill>
    <fill>
      <patternFill patternType="solid">
        <fgColor rgb="FFFBEBEE"/>
        <bgColor rgb="FFFBEBEE"/>
      </patternFill>
    </fill>
    <fill>
      <patternFill patternType="solid">
        <fgColor rgb="FFFBE7EA"/>
        <bgColor rgb="FFFBE7EA"/>
      </patternFill>
    </fill>
    <fill>
      <patternFill patternType="solid">
        <fgColor rgb="FFFBE6E9"/>
        <bgColor rgb="FFFBE6E9"/>
      </patternFill>
    </fill>
    <fill>
      <patternFill patternType="solid">
        <fgColor rgb="FFFAC7CA"/>
        <bgColor rgb="FFFAC7CA"/>
      </patternFill>
    </fill>
    <fill>
      <patternFill patternType="solid">
        <fgColor rgb="FFFAB4B7"/>
        <bgColor rgb="FFFAB4B7"/>
      </patternFill>
    </fill>
    <fill>
      <patternFill patternType="solid">
        <fgColor rgb="FFF9A2A5"/>
        <bgColor rgb="FFF9A2A5"/>
      </patternFill>
    </fill>
    <fill>
      <patternFill patternType="solid">
        <fgColor rgb="FFF9A1A4"/>
        <bgColor rgb="FFF9A1A4"/>
      </patternFill>
    </fill>
    <fill>
      <patternFill patternType="solid">
        <fgColor rgb="FFF9A0A2"/>
        <bgColor rgb="FFF9A0A2"/>
      </patternFill>
    </fill>
    <fill>
      <patternFill patternType="solid">
        <fgColor rgb="FFF98E91"/>
        <bgColor rgb="FFF98E91"/>
      </patternFill>
    </fill>
    <fill>
      <patternFill patternType="solid">
        <fgColor rgb="FFF87E80"/>
        <bgColor rgb="FFF87E80"/>
      </patternFill>
    </fill>
    <fill>
      <patternFill patternType="solid">
        <fgColor rgb="FFF87173"/>
        <bgColor rgb="FFF87173"/>
      </patternFill>
    </fill>
    <fill>
      <patternFill patternType="solid">
        <fgColor rgb="FFF86E70"/>
        <bgColor rgb="FFF86E70"/>
      </patternFill>
    </fill>
    <fill>
      <patternFill patternType="solid">
        <fgColor rgb="FFF86D6F"/>
        <bgColor rgb="FFF86D6F"/>
      </patternFill>
    </fill>
    <fill>
      <patternFill patternType="solid">
        <fgColor rgb="FFFBF5F8"/>
        <bgColor rgb="FFFBF5F8"/>
      </patternFill>
    </fill>
    <fill>
      <patternFill patternType="solid">
        <fgColor rgb="FFF3F3F3"/>
        <bgColor rgb="FFF3F3F3"/>
      </patternFill>
    </fill>
    <fill>
      <patternFill patternType="solid">
        <fgColor rgb="FF0000FF"/>
        <bgColor rgb="FF0000FF"/>
      </patternFill>
    </fill>
    <fill>
      <patternFill patternType="solid">
        <fgColor rgb="FFDDEBF7"/>
        <bgColor rgb="FFDDEBF7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BF7FA"/>
        <bgColor rgb="FFFBF7FA"/>
      </patternFill>
    </fill>
    <fill>
      <patternFill patternType="solid">
        <fgColor rgb="FFFBF2F5"/>
        <bgColor rgb="FFFBF2F5"/>
      </patternFill>
    </fill>
    <fill>
      <patternFill patternType="solid">
        <fgColor rgb="FFFBFBFE"/>
        <bgColor rgb="FFFBFBFE"/>
      </patternFill>
    </fill>
    <fill>
      <patternFill patternType="solid">
        <fgColor rgb="FFEDF6F2"/>
        <bgColor rgb="FFEDF6F2"/>
      </patternFill>
    </fill>
    <fill>
      <patternFill patternType="solid">
        <fgColor rgb="FFB2DEBF"/>
        <bgColor rgb="FFB2DEBF"/>
      </patternFill>
    </fill>
    <fill>
      <patternFill patternType="solid">
        <fgColor rgb="FF96D3A7"/>
        <bgColor rgb="FF96D3A7"/>
      </patternFill>
    </fill>
    <fill>
      <patternFill patternType="solid">
        <fgColor rgb="FFE2F2E9"/>
        <bgColor rgb="FFE2F2E9"/>
      </patternFill>
    </fill>
    <fill>
      <patternFill patternType="solid">
        <fgColor rgb="FFA7DAB6"/>
        <bgColor rgb="FFA7DAB6"/>
      </patternFill>
    </fill>
    <fill>
      <patternFill patternType="solid">
        <fgColor rgb="FFF5F9F9"/>
        <bgColor rgb="FFF5F9F9"/>
      </patternFill>
    </fill>
    <fill>
      <patternFill patternType="solid">
        <fgColor rgb="FFFBF6F9"/>
        <bgColor rgb="FFFBF6F9"/>
      </patternFill>
    </fill>
    <fill>
      <patternFill patternType="solid">
        <fgColor rgb="FFF2F8F7"/>
        <bgColor rgb="FFF2F8F7"/>
      </patternFill>
    </fill>
    <fill>
      <patternFill patternType="solid">
        <fgColor rgb="FFE9F5EF"/>
        <bgColor rgb="FFE9F5EF"/>
      </patternFill>
    </fill>
    <fill>
      <patternFill patternType="solid">
        <fgColor rgb="FFFBF4F7"/>
        <bgColor rgb="FFFBF4F7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9FBFD"/>
        <bgColor rgb="FFF9FBFD"/>
      </patternFill>
    </fill>
    <fill>
      <patternFill patternType="solid">
        <fgColor rgb="FFDCEFE4"/>
        <bgColor rgb="FFDCEFE4"/>
      </patternFill>
    </fill>
    <fill>
      <patternFill patternType="solid">
        <fgColor rgb="FFEFF7F4"/>
        <bgColor rgb="FFEFF7F4"/>
      </patternFill>
    </fill>
    <fill>
      <patternFill patternType="solid">
        <fgColor rgb="FFFCFCFF"/>
        <bgColor rgb="FFFCFCFF"/>
      </patternFill>
    </fill>
    <fill>
      <patternFill patternType="solid">
        <fgColor rgb="FF00B050"/>
        <bgColor rgb="FF00B050"/>
      </patternFill>
    </fill>
    <fill>
      <patternFill patternType="solid">
        <fgColor rgb="FFFAFAFA"/>
        <bgColor rgb="FFFAFAFA"/>
      </patternFill>
    </fill>
    <fill>
      <patternFill patternType="solid">
        <fgColor rgb="FFFAFAD2"/>
        <bgColor rgb="FFFAFAD2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BEAED"/>
        <bgColor rgb="FFFBEAED"/>
      </patternFill>
    </fill>
    <fill>
      <patternFill patternType="solid">
        <fgColor rgb="FFFBECEF"/>
        <bgColor rgb="FFFBECEF"/>
      </patternFill>
    </fill>
    <fill>
      <patternFill patternType="solid">
        <fgColor rgb="FFE1F1E8"/>
        <bgColor rgb="FFE1F1E8"/>
      </patternFill>
    </fill>
  </fills>
  <borders count="7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</borders>
  <cellStyleXfs count="1">
    <xf numFmtId="0" fontId="52" fillId="0" borderId="59"/>
  </cellStyleXfs>
  <cellXfs count="1278">
    <xf numFmtId="0" fontId="0" fillId="0" borderId="0" pivotButton="0" quotePrefix="0" xfId="0"/>
    <xf numFmtId="0" fontId="1" fillId="0" borderId="0" pivotButton="0" quotePrefix="0" xfId="0"/>
    <xf numFmtId="4" fontId="2" fillId="2" borderId="0" applyAlignment="1" pivotButton="0" quotePrefix="0" xfId="0">
      <alignment horizontal="center" vertical="center"/>
    </xf>
    <xf numFmtId="4" fontId="1" fillId="0" borderId="0" pivotButton="0" quotePrefix="0" xfId="0"/>
    <xf numFmtId="4" fontId="1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3" fontId="3" fillId="0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5" fontId="2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3" fontId="1" fillId="0" borderId="0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3" fontId="1" fillId="0" borderId="0" pivotButton="0" quotePrefix="0" xfId="0"/>
    <xf numFmtId="165" fontId="1" fillId="0" borderId="0" pivotButton="0" quotePrefix="0" xfId="0"/>
    <xf numFmtId="4" fontId="7" fillId="0" borderId="0" pivotButton="0" quotePrefix="0" xfId="0"/>
    <xf numFmtId="4" fontId="1" fillId="0" borderId="0" pivotButton="0" quotePrefix="0" xfId="0"/>
    <xf numFmtId="165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 wrapText="1"/>
    </xf>
    <xf numFmtId="165" fontId="8" fillId="2" borderId="1" pivotButton="0" quotePrefix="0" xfId="0"/>
    <xf numFmtId="4" fontId="1" fillId="2" borderId="1" pivotButton="0" quotePrefix="0" xfId="0"/>
    <xf numFmtId="4" fontId="1" fillId="0" borderId="1" pivotButton="0" quotePrefix="0" xfId="0"/>
    <xf numFmtId="0" fontId="1" fillId="3" borderId="0" pivotButton="0" quotePrefix="0" xfId="0"/>
    <xf numFmtId="4" fontId="9" fillId="2" borderId="1" pivotButton="0" quotePrefix="0" xfId="0"/>
    <xf numFmtId="165" fontId="1" fillId="2" borderId="1" pivotButton="0" quotePrefix="0" xfId="0"/>
    <xf numFmtId="0" fontId="1" fillId="2" borderId="0" pivotButton="0" quotePrefix="0" xfId="0"/>
    <xf numFmtId="165" fontId="8" fillId="0" borderId="1" pivotButton="0" quotePrefix="0" xfId="0"/>
    <xf numFmtId="4" fontId="9" fillId="0" borderId="1" pivotButton="0" quotePrefix="0" xfId="0"/>
    <xf numFmtId="165" fontId="8" fillId="0" borderId="1" pivotButton="0" quotePrefix="0" xfId="0"/>
    <xf numFmtId="0" fontId="1" fillId="2" borderId="0" applyAlignment="1" pivotButton="0" quotePrefix="0" xfId="0">
      <alignment horizontal="center"/>
    </xf>
    <xf numFmtId="165" fontId="8" fillId="2" borderId="1" pivotButton="0" quotePrefix="0" xfId="0"/>
    <xf numFmtId="4" fontId="10" fillId="2" borderId="0" pivotButton="0" quotePrefix="0" xfId="0"/>
    <xf numFmtId="165" fontId="8" fillId="6" borderId="1" pivotButton="0" quotePrefix="0" xfId="0"/>
    <xf numFmtId="4" fontId="1" fillId="6" borderId="1" pivotButton="0" quotePrefix="0" xfId="0"/>
    <xf numFmtId="4" fontId="9" fillId="6" borderId="1" pivotButton="0" quotePrefix="0" xfId="0"/>
    <xf numFmtId="4" fontId="1" fillId="7" borderId="1" pivotButton="0" quotePrefix="0" xfId="0"/>
    <xf numFmtId="0" fontId="10" fillId="2" borderId="1" pivotButton="0" quotePrefix="0" xfId="0"/>
    <xf numFmtId="0" fontId="7" fillId="2" borderId="1" pivotButton="0" quotePrefix="0" xfId="0"/>
    <xf numFmtId="0" fontId="10" fillId="2" borderId="0" pivotButton="0" quotePrefix="0" xfId="0"/>
    <xf numFmtId="0" fontId="7" fillId="2" borderId="1" pivotButton="0" quotePrefix="0" xfId="0"/>
    <xf numFmtId="165" fontId="8" fillId="7" borderId="1" pivotButton="0" quotePrefix="0" xfId="0"/>
    <xf numFmtId="4" fontId="9" fillId="7" borderId="1" pivotButton="0" quotePrefix="0" xfId="0"/>
    <xf numFmtId="4" fontId="10" fillId="2" borderId="0" pivotButton="0" quotePrefix="0" xfId="0"/>
    <xf numFmtId="0" fontId="7" fillId="6" borderId="0" pivotButton="0" quotePrefix="0" xfId="0"/>
    <xf numFmtId="4" fontId="5" fillId="0" borderId="1" pivotButton="0" quotePrefix="0" xfId="0"/>
    <xf numFmtId="4" fontId="10" fillId="2" borderId="0" pivotButton="0" quotePrefix="0" xfId="0"/>
    <xf numFmtId="0" fontId="7" fillId="0" borderId="0" pivotButton="0" quotePrefix="0" xfId="0"/>
    <xf numFmtId="4" fontId="7" fillId="0" borderId="0" pivotButton="0" quotePrefix="0" xfId="0"/>
    <xf numFmtId="165" fontId="8" fillId="8" borderId="1" pivotButton="0" quotePrefix="0" xfId="0"/>
    <xf numFmtId="0" fontId="7" fillId="8" borderId="0" pivotButton="0" quotePrefix="0" xfId="0"/>
    <xf numFmtId="4" fontId="1" fillId="8" borderId="1" pivotButton="0" quotePrefix="0" xfId="0"/>
    <xf numFmtId="4" fontId="5" fillId="8" borderId="1" pivotButton="0" quotePrefix="0" xfId="0"/>
    <xf numFmtId="4" fontId="1" fillId="9" borderId="1" pivotButton="0" quotePrefix="0" xfId="0"/>
    <xf numFmtId="4" fontId="5" fillId="2" borderId="1" pivotButton="0" quotePrefix="0" xfId="0"/>
    <xf numFmtId="4" fontId="11" fillId="2" borderId="0" pivotButton="0" quotePrefix="0" xfId="0"/>
    <xf numFmtId="4" fontId="12" fillId="2" borderId="0" pivotButton="0" quotePrefix="0" xfId="0"/>
    <xf numFmtId="4" fontId="1" fillId="0" borderId="1" pivotButton="0" quotePrefix="0" xfId="0"/>
    <xf numFmtId="0" fontId="7" fillId="0" borderId="1" pivotButton="0" quotePrefix="0" xfId="0"/>
    <xf numFmtId="0" fontId="7" fillId="0" borderId="1" pivotButton="0" quotePrefix="0" xfId="0"/>
    <xf numFmtId="4" fontId="1" fillId="3" borderId="1" pivotButton="0" quotePrefix="0" xfId="0"/>
    <xf numFmtId="0" fontId="3" fillId="0" borderId="0" pivotButton="0" quotePrefix="0" xfId="0"/>
    <xf numFmtId="4" fontId="13" fillId="10" borderId="0" pivotButton="0" quotePrefix="0" xfId="0"/>
    <xf numFmtId="4" fontId="14" fillId="0" borderId="0" pivotButton="0" quotePrefix="0" xfId="0"/>
    <xf numFmtId="4" fontId="1" fillId="2" borderId="1" pivotButton="0" quotePrefix="0" xfId="0"/>
    <xf numFmtId="4" fontId="15" fillId="2" borderId="1" applyAlignment="1" pivotButton="0" quotePrefix="0" xfId="0">
      <alignment horizontal="left"/>
    </xf>
    <xf numFmtId="4" fontId="16" fillId="2" borderId="1" applyAlignment="1" pivotButton="0" quotePrefix="0" xfId="0">
      <alignment horizontal="right"/>
    </xf>
    <xf numFmtId="0" fontId="7" fillId="2" borderId="0" pivotButton="0" quotePrefix="0" xfId="0"/>
    <xf numFmtId="165" fontId="8" fillId="11" borderId="1" pivotButton="0" quotePrefix="0" xfId="0"/>
    <xf numFmtId="4" fontId="1" fillId="11" borderId="1" pivotButton="0" quotePrefix="0" xfId="0"/>
    <xf numFmtId="4" fontId="5" fillId="11" borderId="1" pivotButton="0" quotePrefix="0" xfId="0"/>
    <xf numFmtId="4" fontId="1" fillId="11" borderId="1" pivotButton="0" quotePrefix="0" xfId="0"/>
    <xf numFmtId="0" fontId="17" fillId="0" borderId="0" pivotButton="0" quotePrefix="0" xfId="0"/>
    <xf numFmtId="4" fontId="15" fillId="0" borderId="2" pivotButton="0" quotePrefix="0" xfId="0"/>
    <xf numFmtId="4" fontId="15" fillId="0" borderId="1" pivotButton="0" quotePrefix="0" xfId="0"/>
    <xf numFmtId="4" fontId="18" fillId="2" borderId="1" applyAlignment="1" pivotButton="0" quotePrefix="0" xfId="0">
      <alignment horizontal="right"/>
    </xf>
    <xf numFmtId="4" fontId="15" fillId="0" borderId="3" pivotButton="0" quotePrefix="0" xfId="0"/>
    <xf numFmtId="4" fontId="15" fillId="0" borderId="0" pivotButton="0" quotePrefix="0" xfId="0"/>
    <xf numFmtId="4" fontId="5" fillId="7" borderId="1" pivotButton="0" quotePrefix="0" xfId="0"/>
    <xf numFmtId="4" fontId="1" fillId="7" borderId="1" pivotButton="0" quotePrefix="0" xfId="0"/>
    <xf numFmtId="4" fontId="19" fillId="0" borderId="0" pivotButton="0" quotePrefix="0" xfId="0"/>
    <xf numFmtId="4" fontId="20" fillId="0" borderId="0" pivotButton="0" quotePrefix="0" xfId="0"/>
    <xf numFmtId="4" fontId="21" fillId="0" borderId="0" pivotButton="0" quotePrefix="0" xfId="0"/>
    <xf numFmtId="4" fontId="13" fillId="2" borderId="0" pivotButton="0" quotePrefix="0" xfId="0"/>
    <xf numFmtId="165" fontId="8" fillId="3" borderId="1" pivotButton="0" quotePrefix="0" xfId="0"/>
    <xf numFmtId="4" fontId="5" fillId="3" borderId="1" pivotButton="0" quotePrefix="0" xfId="0"/>
    <xf numFmtId="4" fontId="1" fillId="3" borderId="1" pivotButton="0" quotePrefix="0" xfId="0"/>
    <xf numFmtId="4" fontId="22" fillId="3" borderId="0" pivotButton="0" quotePrefix="0" xfId="0"/>
    <xf numFmtId="4" fontId="23" fillId="3" borderId="0" pivotButton="0" quotePrefix="0" xfId="0"/>
    <xf numFmtId="165" fontId="8" fillId="0" borderId="1" pivotButton="0" quotePrefix="0" xfId="0"/>
    <xf numFmtId="4" fontId="24" fillId="0" borderId="0" pivotButton="0" quotePrefix="0" xfId="0"/>
    <xf numFmtId="4" fontId="5" fillId="0" borderId="1" pivotButton="0" quotePrefix="0" xfId="0"/>
    <xf numFmtId="4" fontId="7" fillId="3" borderId="0" pivotButton="0" quotePrefix="0" xfId="0"/>
    <xf numFmtId="4" fontId="5" fillId="11" borderId="1" pivotButton="0" quotePrefix="0" xfId="0"/>
    <xf numFmtId="4" fontId="13" fillId="2" borderId="0" applyAlignment="1" pivotButton="0" quotePrefix="0" xfId="0">
      <alignment vertical="top"/>
    </xf>
    <xf numFmtId="165" fontId="8" fillId="12" borderId="1" pivotButton="0" quotePrefix="0" xfId="0"/>
    <xf numFmtId="4" fontId="9" fillId="12" borderId="1" pivotButton="0" quotePrefix="0" xfId="0"/>
    <xf numFmtId="4" fontId="9" fillId="12" borderId="1" pivotButton="0" quotePrefix="0" xfId="0"/>
    <xf numFmtId="4" fontId="9" fillId="8" borderId="1" pivotButton="0" quotePrefix="0" xfId="0"/>
    <xf numFmtId="4" fontId="7" fillId="8" borderId="0" pivotButton="0" quotePrefix="0" xfId="0"/>
    <xf numFmtId="4" fontId="9" fillId="8" borderId="1" pivotButton="0" quotePrefix="0" xfId="0"/>
    <xf numFmtId="4" fontId="25" fillId="8" borderId="0" pivotButton="0" quotePrefix="0" xfId="0"/>
    <xf numFmtId="4" fontId="9" fillId="2" borderId="1" pivotButton="0" quotePrefix="0" xfId="0"/>
    <xf numFmtId="4" fontId="5" fillId="2" borderId="1" pivotButton="0" quotePrefix="0" xfId="0"/>
    <xf numFmtId="4" fontId="26" fillId="0" borderId="0" pivotButton="0" quotePrefix="0" xfId="0"/>
    <xf numFmtId="4" fontId="27" fillId="0" borderId="1" applyAlignment="1" pivotButton="0" quotePrefix="0" xfId="0">
      <alignment horizontal="left"/>
    </xf>
    <xf numFmtId="4" fontId="27" fillId="2" borderId="1" applyAlignment="1" pivotButton="0" quotePrefix="0" xfId="0">
      <alignment horizontal="left"/>
    </xf>
    <xf numFmtId="4" fontId="9" fillId="3" borderId="1" pivotButton="0" quotePrefix="0" xfId="0"/>
    <xf numFmtId="14" fontId="8" fillId="2" borderId="1" pivotButton="0" quotePrefix="0" xfId="0"/>
    <xf numFmtId="4" fontId="28" fillId="0" borderId="0" pivotButton="0" quotePrefix="0" xfId="0"/>
    <xf numFmtId="4" fontId="29" fillId="0" borderId="0" pivotButton="0" quotePrefix="0" xfId="0"/>
    <xf numFmtId="4" fontId="28" fillId="0" borderId="0" pivotButton="0" quotePrefix="0" xfId="0"/>
    <xf numFmtId="4" fontId="25" fillId="0" borderId="0" pivotButton="0" quotePrefix="0" xfId="0"/>
    <xf numFmtId="4" fontId="30" fillId="2" borderId="0" pivotButton="0" quotePrefix="0" xfId="0"/>
    <xf numFmtId="4" fontId="31" fillId="0" borderId="0" pivotButton="0" quotePrefix="0" xfId="0"/>
    <xf numFmtId="4" fontId="32" fillId="0" borderId="0" pivotButton="0" quotePrefix="0" xfId="0"/>
    <xf numFmtId="4" fontId="33" fillId="0" borderId="0" pivotButton="0" quotePrefix="0" xfId="0"/>
    <xf numFmtId="4" fontId="34" fillId="0" borderId="0" pivotButton="0" quotePrefix="0" xfId="0"/>
    <xf numFmtId="4" fontId="35" fillId="0" borderId="0" pivotButton="0" quotePrefix="0" xfId="0"/>
    <xf numFmtId="4" fontId="36" fillId="0" borderId="0" pivotButton="0" quotePrefix="0" xfId="0"/>
    <xf numFmtId="4" fontId="37" fillId="0" borderId="1" pivotButton="0" quotePrefix="0" xfId="0"/>
    <xf numFmtId="4" fontId="38" fillId="0" borderId="1" pivotButton="0" quotePrefix="0" xfId="0"/>
    <xf numFmtId="4" fontId="32" fillId="0" borderId="1" pivotButton="0" quotePrefix="0" xfId="0"/>
    <xf numFmtId="4" fontId="7" fillId="0" borderId="1" pivotButton="0" quotePrefix="0" xfId="0"/>
    <xf numFmtId="4" fontId="39" fillId="0" borderId="0" pivotButton="0" quotePrefix="0" xfId="0"/>
    <xf numFmtId="4" fontId="20" fillId="0" borderId="1" pivotButton="0" quotePrefix="0" xfId="0"/>
    <xf numFmtId="4" fontId="25" fillId="0" borderId="1" pivotButton="0" quotePrefix="0" xfId="0"/>
    <xf numFmtId="4" fontId="28" fillId="0" borderId="1" pivotButton="0" quotePrefix="0" xfId="0"/>
    <xf numFmtId="4" fontId="29" fillId="0" borderId="1" pivotButton="0" quotePrefix="0" xfId="0"/>
    <xf numFmtId="4" fontId="5" fillId="6" borderId="1" pivotButton="0" quotePrefix="0" xfId="0"/>
    <xf numFmtId="3" fontId="5" fillId="2" borderId="1" pivotButton="0" quotePrefix="0" xfId="0"/>
    <xf numFmtId="3" fontId="1" fillId="2" borderId="1" pivotButton="0" quotePrefix="0" xfId="0"/>
    <xf numFmtId="3" fontId="9" fillId="2" borderId="1" pivotButton="0" quotePrefix="0" xfId="0"/>
    <xf numFmtId="3" fontId="5" fillId="2" borderId="1" pivotButton="0" quotePrefix="0" xfId="0"/>
    <xf numFmtId="3" fontId="1" fillId="2" borderId="1" pivotButton="0" quotePrefix="0" xfId="0"/>
    <xf numFmtId="3" fontId="9" fillId="2" borderId="1" pivotButton="0" quotePrefix="0" xfId="0"/>
    <xf numFmtId="165" fontId="40" fillId="2" borderId="1" pivotButton="0" quotePrefix="0" xfId="0"/>
    <xf numFmtId="4" fontId="41" fillId="2" borderId="1" pivotButton="0" quotePrefix="0" xfId="0"/>
    <xf numFmtId="4" fontId="8" fillId="2" borderId="1" pivotButton="0" quotePrefix="0" xfId="0"/>
    <xf numFmtId="4" fontId="8" fillId="2" borderId="1" pivotButton="0" quotePrefix="0" xfId="0"/>
    <xf numFmtId="4" fontId="42" fillId="0" borderId="0" pivotButton="0" quotePrefix="0" xfId="0"/>
    <xf numFmtId="4" fontId="43" fillId="2" borderId="0" pivotButton="0" quotePrefix="0" xfId="0"/>
    <xf numFmtId="4" fontId="17" fillId="0" borderId="0" pivotButton="0" quotePrefix="0" xfId="0"/>
    <xf numFmtId="165" fontId="44" fillId="2" borderId="1" pivotButton="0" quotePrefix="0" xfId="0"/>
    <xf numFmtId="4" fontId="44" fillId="2" borderId="1" pivotButton="0" quotePrefix="0" xfId="0"/>
    <xf numFmtId="4" fontId="44" fillId="2" borderId="1" pivotButton="0" quotePrefix="0" xfId="0"/>
    <xf numFmtId="4" fontId="45" fillId="0" borderId="0" pivotButton="0" quotePrefix="0" xfId="0"/>
    <xf numFmtId="4" fontId="46" fillId="2" borderId="0" pivotButton="0" quotePrefix="0" xfId="0"/>
    <xf numFmtId="165" fontId="9" fillId="2" borderId="1" pivotButton="0" quotePrefix="0" xfId="0"/>
    <xf numFmtId="0" fontId="9" fillId="2" borderId="1" pivotButton="0" quotePrefix="0" xfId="0"/>
    <xf numFmtId="4" fontId="47" fillId="0" borderId="0" pivotButton="0" quotePrefix="0" xfId="0"/>
    <xf numFmtId="4" fontId="48" fillId="2" borderId="1" pivotButton="0" quotePrefix="0" xfId="0"/>
    <xf numFmtId="4" fontId="49" fillId="2" borderId="1" applyAlignment="1" pivotButton="0" quotePrefix="0" xfId="0">
      <alignment horizontal="right"/>
    </xf>
    <xf numFmtId="4" fontId="50" fillId="2" borderId="1" pivotButton="0" quotePrefix="0" xfId="0"/>
    <xf numFmtId="4" fontId="1" fillId="10" borderId="1" pivotButton="0" quotePrefix="0" xfId="0"/>
    <xf numFmtId="0" fontId="5" fillId="0" borderId="0" pivotButton="0" quotePrefix="0" xfId="0"/>
    <xf numFmtId="0" fontId="51" fillId="2" borderId="1" pivotButton="0" quotePrefix="0" xfId="0"/>
    <xf numFmtId="0" fontId="3" fillId="13" borderId="4" applyAlignment="1" pivotButton="0" quotePrefix="0" xfId="0">
      <alignment horizontal="center" wrapText="1"/>
    </xf>
    <xf numFmtId="0" fontId="3" fillId="13" borderId="5" applyAlignment="1" pivotButton="0" quotePrefix="0" xfId="0">
      <alignment horizontal="center" wrapText="1"/>
    </xf>
    <xf numFmtId="0" fontId="3" fillId="13" borderId="6" applyAlignment="1" pivotButton="0" quotePrefix="0" xfId="0">
      <alignment horizontal="center" wrapText="1"/>
    </xf>
    <xf numFmtId="0" fontId="7" fillId="0" borderId="7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52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8" applyAlignment="1" pivotButton="0" quotePrefix="0" xfId="0">
      <alignment wrapText="1"/>
    </xf>
    <xf numFmtId="0" fontId="7" fillId="0" borderId="9" applyAlignment="1" pivotButton="0" quotePrefix="0" xfId="0">
      <alignment wrapText="1"/>
    </xf>
    <xf numFmtId="0" fontId="53" fillId="0" borderId="10" applyAlignment="1" pivotButton="0" quotePrefix="0" xfId="0">
      <alignment wrapText="1"/>
    </xf>
    <xf numFmtId="0" fontId="7" fillId="0" borderId="10" pivotButton="0" quotePrefix="0" xfId="0"/>
    <xf numFmtId="0" fontId="52" fillId="0" borderId="10" pivotButton="0" quotePrefix="0" xfId="0"/>
    <xf numFmtId="0" fontId="7" fillId="0" borderId="10" applyAlignment="1" pivotButton="0" quotePrefix="0" xfId="0">
      <alignment wrapText="1"/>
    </xf>
    <xf numFmtId="0" fontId="7" fillId="0" borderId="11" applyAlignment="1" pivotButton="0" quotePrefix="0" xfId="0">
      <alignment wrapText="1"/>
    </xf>
    <xf numFmtId="0" fontId="53" fillId="0" borderId="12" applyAlignment="1" pivotButton="0" quotePrefix="0" xfId="0">
      <alignment wrapText="1"/>
    </xf>
    <xf numFmtId="0" fontId="7" fillId="0" borderId="12" pivotButton="0" quotePrefix="0" xfId="0"/>
    <xf numFmtId="0" fontId="7" fillId="0" borderId="12" applyAlignment="1" pivotButton="0" quotePrefix="0" xfId="0">
      <alignment wrapText="1"/>
    </xf>
    <xf numFmtId="0" fontId="53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54" fillId="0" borderId="0" applyAlignment="1" pivotButton="0" quotePrefix="0" xfId="0">
      <alignment horizontal="center"/>
    </xf>
    <xf numFmtId="0" fontId="55" fillId="0" borderId="0" pivotButton="0" quotePrefix="0" xfId="0"/>
    <xf numFmtId="3" fontId="7" fillId="0" borderId="0" pivotButton="0" quotePrefix="0" xfId="0"/>
    <xf numFmtId="165" fontId="56" fillId="14" borderId="1" applyAlignment="1" pivotButton="0" quotePrefix="0" xfId="0">
      <alignment horizontal="center" vertical="center"/>
    </xf>
    <xf numFmtId="3" fontId="57" fillId="14" borderId="1" applyAlignment="1" pivotButton="0" quotePrefix="0" xfId="0">
      <alignment horizontal="center" vertical="center"/>
    </xf>
    <xf numFmtId="4" fontId="58" fillId="14" borderId="1" applyAlignment="1" pivotButton="0" quotePrefix="0" xfId="0">
      <alignment horizontal="center" vertical="center"/>
    </xf>
    <xf numFmtId="4" fontId="57" fillId="14" borderId="1" applyAlignment="1" pivotButton="0" quotePrefix="0" xfId="0">
      <alignment horizontal="center" vertical="center"/>
    </xf>
    <xf numFmtId="4" fontId="2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wrapText="1"/>
    </xf>
    <xf numFmtId="0" fontId="57" fillId="15" borderId="1" applyAlignment="1" pivotButton="0" quotePrefix="0" xfId="0">
      <alignment vertical="center" wrapText="1"/>
    </xf>
    <xf numFmtId="3" fontId="60" fillId="2" borderId="1" applyAlignment="1" pivotButton="0" quotePrefix="0" xfId="0">
      <alignment horizontal="center" vertical="center"/>
    </xf>
    <xf numFmtId="3" fontId="61" fillId="15" borderId="1" applyAlignment="1" pivotButton="0" quotePrefix="0" xfId="0">
      <alignment horizontal="center" vertical="center"/>
    </xf>
    <xf numFmtId="3" fontId="60" fillId="15" borderId="1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wrapText="1"/>
    </xf>
    <xf numFmtId="0" fontId="57" fillId="15" borderId="1" applyAlignment="1" pivotButton="0" quotePrefix="0" xfId="0">
      <alignment vertical="center"/>
    </xf>
    <xf numFmtId="3" fontId="60" fillId="15" borderId="1" applyAlignment="1" pivotButton="0" quotePrefix="0" xfId="0">
      <alignment horizontal="center" vertical="center"/>
    </xf>
    <xf numFmtId="3" fontId="62" fillId="2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60" fillId="15" borderId="1" applyAlignment="1" pivotButton="0" quotePrefix="0" xfId="0">
      <alignment horizontal="center"/>
    </xf>
    <xf numFmtId="3" fontId="60" fillId="15" borderId="1" applyAlignment="1" pivotButton="0" quotePrefix="0" xfId="0">
      <alignment horizontal="center"/>
    </xf>
    <xf numFmtId="3" fontId="63" fillId="15" borderId="1" applyAlignment="1" pivotButton="0" quotePrefix="0" xfId="0">
      <alignment horizontal="center" vertical="center"/>
    </xf>
    <xf numFmtId="0" fontId="64" fillId="0" borderId="1" applyAlignment="1" pivotButton="0" quotePrefix="0" xfId="0">
      <alignment horizontal="right"/>
    </xf>
    <xf numFmtId="4" fontId="7" fillId="0" borderId="1" applyAlignment="1" pivotButton="0" quotePrefix="0" xfId="0">
      <alignment horizontal="center"/>
    </xf>
    <xf numFmtId="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65" fillId="15" borderId="1" applyAlignment="1" pivotButton="0" quotePrefix="0" xfId="0">
      <alignment vertical="center"/>
    </xf>
    <xf numFmtId="3" fontId="65" fillId="15" borderId="1" applyAlignment="1" pivotButton="0" quotePrefix="0" xfId="0">
      <alignment horizontal="center"/>
    </xf>
    <xf numFmtId="3" fontId="65" fillId="15" borderId="1" applyAlignment="1" pivotButton="0" quotePrefix="0" xfId="0">
      <alignment horizontal="center"/>
    </xf>
    <xf numFmtId="10" fontId="3" fillId="0" borderId="1" applyAlignment="1" pivotButton="0" quotePrefix="0" xfId="0">
      <alignment horizontal="center"/>
    </xf>
    <xf numFmtId="165" fontId="66" fillId="6" borderId="1" pivotButton="0" quotePrefix="0" xfId="0"/>
    <xf numFmtId="3" fontId="7" fillId="0" borderId="0" pivotButton="0" quotePrefix="0" xfId="0"/>
    <xf numFmtId="0" fontId="65" fillId="16" borderId="0" pivotButton="0" quotePrefix="0" xfId="0"/>
    <xf numFmtId="0" fontId="7" fillId="16" borderId="0" pivotButton="0" quotePrefix="0" xfId="0"/>
    <xf numFmtId="3" fontId="7" fillId="16" borderId="0" pivotButton="0" quotePrefix="0" xfId="0"/>
    <xf numFmtId="0" fontId="7" fillId="17" borderId="1" pivotButton="0" quotePrefix="0" xfId="0"/>
    <xf numFmtId="3" fontId="7" fillId="17" borderId="1" pivotButton="0" quotePrefix="0" xfId="0"/>
    <xf numFmtId="165" fontId="66" fillId="2" borderId="1" applyAlignment="1" pivotButton="0" quotePrefix="0" xfId="0">
      <alignment horizontal="right"/>
    </xf>
    <xf numFmtId="49" fontId="67" fillId="2" borderId="1" pivotButton="0" quotePrefix="0" xfId="0"/>
    <xf numFmtId="0" fontId="50" fillId="0" borderId="1" pivotButton="0" quotePrefix="0" xfId="0"/>
    <xf numFmtId="3" fontId="66" fillId="0" borderId="1" applyAlignment="1" pivotButton="0" quotePrefix="0" xfId="0">
      <alignment horizontal="center"/>
    </xf>
    <xf numFmtId="0" fontId="68" fillId="6" borderId="1" pivotButton="0" quotePrefix="0" xfId="0"/>
    <xf numFmtId="49" fontId="69" fillId="2" borderId="1" pivotButton="0" quotePrefix="0" xfId="0"/>
    <xf numFmtId="0" fontId="70" fillId="6" borderId="1" pivotButton="0" quotePrefix="0" xfId="0"/>
    <xf numFmtId="49" fontId="71" fillId="3" borderId="1" pivotButton="0" quotePrefix="0" xfId="0"/>
    <xf numFmtId="0" fontId="50" fillId="2" borderId="1" pivotButton="0" quotePrefix="0" xfId="0"/>
    <xf numFmtId="3" fontId="66" fillId="2" borderId="1" applyAlignment="1" pivotButton="0" quotePrefix="0" xfId="0">
      <alignment horizontal="center"/>
    </xf>
    <xf numFmtId="0" fontId="71" fillId="0" borderId="1" pivotButton="0" quotePrefix="0" xfId="0"/>
    <xf numFmtId="0" fontId="67" fillId="2" borderId="1" pivotButton="0" quotePrefix="0" xfId="0"/>
    <xf numFmtId="3" fontId="50" fillId="0" borderId="1" pivotButton="0" quotePrefix="0" xfId="0"/>
    <xf numFmtId="49" fontId="71" fillId="2" borderId="1" pivotButton="0" quotePrefix="0" xfId="0"/>
    <xf numFmtId="0" fontId="50" fillId="0" borderId="1" pivotButton="0" quotePrefix="0" xfId="0"/>
    <xf numFmtId="0" fontId="45" fillId="0" borderId="1" pivotButton="0" quotePrefix="0" xfId="0"/>
    <xf numFmtId="49" fontId="71" fillId="0" borderId="1" pivotButton="0" quotePrefix="0" xfId="0"/>
    <xf numFmtId="0" fontId="50" fillId="2" borderId="1" pivotButton="0" quotePrefix="0" xfId="0"/>
    <xf numFmtId="3" fontId="72" fillId="2" borderId="1" applyAlignment="1" pivotButton="0" quotePrefix="0" xfId="0">
      <alignment horizontal="center"/>
    </xf>
    <xf numFmtId="165" fontId="73" fillId="2" borderId="1" applyAlignment="1" pivotButton="0" quotePrefix="0" xfId="0">
      <alignment horizontal="right"/>
    </xf>
    <xf numFmtId="49" fontId="74" fillId="2" borderId="1" pivotButton="0" quotePrefix="0" xfId="0"/>
    <xf numFmtId="3" fontId="75" fillId="0" borderId="1" applyAlignment="1" pivotButton="0" quotePrefix="0" xfId="0">
      <alignment horizontal="center"/>
    </xf>
    <xf numFmtId="49" fontId="76" fillId="2" borderId="1" pivotButton="0" quotePrefix="0" xfId="0"/>
    <xf numFmtId="3" fontId="72" fillId="0" borderId="1" applyAlignment="1" pivotButton="0" quotePrefix="0" xfId="0">
      <alignment horizontal="center"/>
    </xf>
    <xf numFmtId="49" fontId="70" fillId="2" borderId="1" pivotButton="0" quotePrefix="0" xfId="0"/>
    <xf numFmtId="0" fontId="70" fillId="0" borderId="1" pivotButton="0" quotePrefix="0" xfId="0"/>
    <xf numFmtId="3" fontId="72" fillId="0" borderId="1" applyAlignment="1" pivotButton="0" quotePrefix="0" xfId="0">
      <alignment horizontal="center"/>
    </xf>
    <xf numFmtId="0" fontId="70" fillId="0" borderId="1" pivotButton="0" quotePrefix="0" xfId="0"/>
    <xf numFmtId="3" fontId="70" fillId="0" borderId="1" applyAlignment="1" pivotButton="0" quotePrefix="0" xfId="0">
      <alignment horizontal="center"/>
    </xf>
    <xf numFmtId="165" fontId="72" fillId="2" borderId="1" applyAlignment="1" pivotButton="0" quotePrefix="0" xfId="0">
      <alignment horizontal="right"/>
    </xf>
    <xf numFmtId="49" fontId="76" fillId="2" borderId="1" applyAlignment="1" pivotButton="0" quotePrefix="0" xfId="0">
      <alignment horizontal="left"/>
    </xf>
    <xf numFmtId="0" fontId="70" fillId="0" borderId="1" applyAlignment="1" pivotButton="0" quotePrefix="0" xfId="0">
      <alignment horizontal="left"/>
    </xf>
    <xf numFmtId="3" fontId="72" fillId="0" borderId="1" applyAlignment="1" pivotButton="0" quotePrefix="0" xfId="0">
      <alignment horizontal="left"/>
    </xf>
    <xf numFmtId="0" fontId="38" fillId="6" borderId="1" pivotButton="0" quotePrefix="0" xfId="0"/>
    <xf numFmtId="49" fontId="71" fillId="2" borderId="1" applyAlignment="1" pivotButton="0" quotePrefix="0" xfId="0">
      <alignment horizontal="left"/>
    </xf>
    <xf numFmtId="49" fontId="77" fillId="2" borderId="1" applyAlignment="1" pivotButton="0" quotePrefix="0" xfId="0">
      <alignment horizontal="left"/>
    </xf>
    <xf numFmtId="0" fontId="70" fillId="0" borderId="1" applyAlignment="1" pivotButton="0" quotePrefix="0" xfId="0">
      <alignment horizontal="left"/>
    </xf>
    <xf numFmtId="49" fontId="70" fillId="2" borderId="1" applyAlignment="1" pivotButton="0" quotePrefix="0" xfId="0">
      <alignment horizontal="left"/>
    </xf>
    <xf numFmtId="3" fontId="70" fillId="0" borderId="1" applyAlignment="1" pivotButton="0" quotePrefix="0" xfId="0">
      <alignment horizontal="left"/>
    </xf>
    <xf numFmtId="0" fontId="67" fillId="2" borderId="1" applyAlignment="1" pivotButton="0" quotePrefix="0" xfId="0">
      <alignment horizontal="left"/>
    </xf>
    <xf numFmtId="0" fontId="45" fillId="0" borderId="1" applyAlignment="1" pivotButton="0" quotePrefix="0" xfId="0">
      <alignment horizontal="left"/>
    </xf>
    <xf numFmtId="3" fontId="44" fillId="0" borderId="1" applyAlignment="1" pivotButton="0" quotePrefix="0" xfId="0">
      <alignment horizontal="left"/>
    </xf>
    <xf numFmtId="49" fontId="70" fillId="2" borderId="1" applyAlignment="1" pivotButton="0" quotePrefix="0" xfId="0">
      <alignment horizontal="left"/>
    </xf>
    <xf numFmtId="49" fontId="78" fillId="3" borderId="1" applyAlignment="1" pivotButton="0" quotePrefix="0" xfId="0">
      <alignment horizontal="left"/>
    </xf>
    <xf numFmtId="0" fontId="45" fillId="0" borderId="1" applyAlignment="1" pivotButton="0" quotePrefix="0" xfId="0">
      <alignment horizontal="left"/>
    </xf>
    <xf numFmtId="49" fontId="78" fillId="6" borderId="1" applyAlignment="1" pivotButton="0" quotePrefix="0" xfId="0">
      <alignment horizontal="left"/>
    </xf>
    <xf numFmtId="3" fontId="44" fillId="0" borderId="1" applyAlignment="1" pivotButton="0" quotePrefix="0" xfId="0">
      <alignment horizontal="center"/>
    </xf>
    <xf numFmtId="49" fontId="71" fillId="2" borderId="1" applyAlignment="1" pivotButton="0" quotePrefix="0" xfId="0">
      <alignment horizontal="left"/>
    </xf>
    <xf numFmtId="49" fontId="79" fillId="6" borderId="1" applyAlignment="1" pivotButton="0" quotePrefix="0" xfId="0">
      <alignment horizontal="left"/>
    </xf>
    <xf numFmtId="165" fontId="72" fillId="6" borderId="1" pivotButton="0" quotePrefix="0" xfId="0"/>
    <xf numFmtId="0" fontId="80" fillId="6" borderId="1" pivotButton="0" quotePrefix="0" xfId="0"/>
    <xf numFmtId="49" fontId="81" fillId="6" borderId="1" pivotButton="0" quotePrefix="0" xfId="0"/>
    <xf numFmtId="0" fontId="45" fillId="0" borderId="1" pivotButton="0" quotePrefix="0" xfId="0"/>
    <xf numFmtId="49" fontId="78" fillId="6" borderId="1" pivotButton="0" quotePrefix="0" xfId="0"/>
    <xf numFmtId="49" fontId="79" fillId="6" borderId="1" pivotButton="0" quotePrefix="0" xfId="0"/>
    <xf numFmtId="49" fontId="82" fillId="6" borderId="1" pivotButton="0" quotePrefix="0" xfId="0"/>
    <xf numFmtId="49" fontId="39" fillId="6" borderId="1" pivotButton="0" quotePrefix="0" xfId="0"/>
    <xf numFmtId="0" fontId="45" fillId="0" borderId="1" applyAlignment="1" pivotButton="0" quotePrefix="0" xfId="0">
      <alignment horizontal="center"/>
    </xf>
    <xf numFmtId="0" fontId="70" fillId="2" borderId="1" pivotButton="0" quotePrefix="0" xfId="0"/>
    <xf numFmtId="165" fontId="43" fillId="6" borderId="1" pivotButton="0" quotePrefix="0" xfId="0"/>
    <xf numFmtId="49" fontId="83" fillId="6" borderId="1" applyAlignment="1" pivotButton="0" quotePrefix="0" xfId="0">
      <alignment horizontal="left"/>
    </xf>
    <xf numFmtId="0" fontId="17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center"/>
    </xf>
    <xf numFmtId="49" fontId="84" fillId="2" borderId="1" applyAlignment="1" pivotButton="0" quotePrefix="0" xfId="0">
      <alignment horizontal="left"/>
    </xf>
    <xf numFmtId="0" fontId="17" fillId="0" borderId="1" pivotButton="0" quotePrefix="0" xfId="0"/>
    <xf numFmtId="49" fontId="85" fillId="6" borderId="1" pivotButton="0" quotePrefix="0" xfId="0"/>
    <xf numFmtId="49" fontId="84" fillId="2" borderId="1" applyAlignment="1" pivotButton="0" quotePrefix="0" xfId="0">
      <alignment horizontal="left"/>
    </xf>
    <xf numFmtId="0" fontId="86" fillId="2" borderId="1" applyAlignment="1" pivotButton="0" quotePrefix="0" xfId="0">
      <alignment horizontal="left"/>
    </xf>
    <xf numFmtId="49" fontId="87" fillId="2" borderId="15" applyAlignment="1" pivotButton="0" quotePrefix="0" xfId="0">
      <alignment horizontal="left"/>
    </xf>
    <xf numFmtId="3" fontId="87" fillId="2" borderId="15" applyAlignment="1" pivotButton="0" quotePrefix="0" xfId="0">
      <alignment horizontal="right"/>
    </xf>
    <xf numFmtId="49" fontId="87" fillId="2" borderId="15" applyAlignment="1" pivotButton="0" quotePrefix="0" xfId="0">
      <alignment horizontal="left"/>
    </xf>
    <xf numFmtId="3" fontId="87" fillId="2" borderId="15" applyAlignment="1" pivotButton="0" quotePrefix="0" xfId="0">
      <alignment horizontal="right"/>
    </xf>
    <xf numFmtId="49" fontId="88" fillId="18" borderId="16" pivotButton="0" quotePrefix="0" xfId="0"/>
    <xf numFmtId="0" fontId="87" fillId="2" borderId="15" applyAlignment="1" pivotButton="0" quotePrefix="0" xfId="0">
      <alignment horizontal="right"/>
    </xf>
    <xf numFmtId="0" fontId="87" fillId="2" borderId="15" applyAlignment="1" pivotButton="0" quotePrefix="0" xfId="0">
      <alignment horizontal="right"/>
    </xf>
    <xf numFmtId="165" fontId="28" fillId="6" borderId="1" pivotButton="0" quotePrefix="0" xfId="0"/>
    <xf numFmtId="49" fontId="89" fillId="2" borderId="15" applyAlignment="1" pivotButton="0" quotePrefix="0" xfId="0">
      <alignment horizontal="left"/>
    </xf>
    <xf numFmtId="0" fontId="89" fillId="2" borderId="15" applyAlignment="1" pivotButton="0" quotePrefix="0" xfId="0">
      <alignment horizontal="right"/>
    </xf>
    <xf numFmtId="3" fontId="89" fillId="2" borderId="15" applyAlignment="1" pivotButton="0" quotePrefix="0" xfId="0">
      <alignment horizontal="right"/>
    </xf>
    <xf numFmtId="49" fontId="89" fillId="2" borderId="15" applyAlignment="1" pivotButton="0" quotePrefix="0" xfId="0">
      <alignment horizontal="left"/>
    </xf>
    <xf numFmtId="0" fontId="89" fillId="2" borderId="15" applyAlignment="1" pivotButton="0" quotePrefix="0" xfId="0">
      <alignment horizontal="right"/>
    </xf>
    <xf numFmtId="3" fontId="89" fillId="2" borderId="15" applyAlignment="1" pivotButton="0" quotePrefix="0" xfId="0">
      <alignment horizontal="right"/>
    </xf>
    <xf numFmtId="3" fontId="1" fillId="0" borderId="1" applyAlignment="1" pivotButton="0" quotePrefix="0" xfId="0">
      <alignment horizontal="center"/>
    </xf>
    <xf numFmtId="49" fontId="89" fillId="2" borderId="1" applyAlignment="1" pivotButton="0" quotePrefix="0" xfId="0">
      <alignment horizontal="left"/>
    </xf>
    <xf numFmtId="0" fontId="89" fillId="2" borderId="1" applyAlignment="1" pivotButton="0" quotePrefix="0" xfId="0">
      <alignment horizontal="right"/>
    </xf>
    <xf numFmtId="3" fontId="89" fillId="2" borderId="1" applyAlignment="1" pivotButton="0" quotePrefix="0" xfId="0">
      <alignment horizontal="right"/>
    </xf>
    <xf numFmtId="49" fontId="89" fillId="2" borderId="1" applyAlignment="1" pivotButton="0" quotePrefix="0" xfId="0">
      <alignment horizontal="left"/>
    </xf>
    <xf numFmtId="0" fontId="89" fillId="2" borderId="1" applyAlignment="1" pivotButton="0" quotePrefix="0" xfId="0">
      <alignment horizontal="right"/>
    </xf>
    <xf numFmtId="3" fontId="89" fillId="2" borderId="1" applyAlignment="1" pivotButton="0" quotePrefix="0" xfId="0">
      <alignment horizontal="right"/>
    </xf>
    <xf numFmtId="0" fontId="89" fillId="2" borderId="17" applyAlignment="1" pivotButton="0" quotePrefix="0" xfId="0">
      <alignment horizontal="right"/>
    </xf>
    <xf numFmtId="165" fontId="90" fillId="6" borderId="1" pivotButton="0" quotePrefix="0" xfId="0"/>
    <xf numFmtId="49" fontId="91" fillId="2" borderId="15" applyAlignment="1" pivotButton="0" quotePrefix="0" xfId="0">
      <alignment horizontal="left"/>
    </xf>
    <xf numFmtId="0" fontId="91" fillId="2" borderId="15" applyAlignment="1" pivotButton="0" quotePrefix="0" xfId="0">
      <alignment horizontal="right"/>
    </xf>
    <xf numFmtId="3" fontId="91" fillId="2" borderId="15" applyAlignment="1" pivotButton="0" quotePrefix="0" xfId="0">
      <alignment horizontal="right"/>
    </xf>
    <xf numFmtId="0" fontId="17" fillId="0" borderId="1" pivotButton="0" quotePrefix="0" xfId="0"/>
    <xf numFmtId="165" fontId="92" fillId="6" borderId="1" pivotButton="0" quotePrefix="0" xfId="0"/>
    <xf numFmtId="49" fontId="93" fillId="2" borderId="15" applyAlignment="1" pivotButton="0" quotePrefix="0" xfId="0">
      <alignment horizontal="left"/>
    </xf>
    <xf numFmtId="0" fontId="93" fillId="2" borderId="15" applyAlignment="1" pivotButton="0" quotePrefix="0" xfId="0">
      <alignment horizontal="right"/>
    </xf>
    <xf numFmtId="3" fontId="93" fillId="2" borderId="15" applyAlignment="1" pivotButton="0" quotePrefix="0" xfId="0">
      <alignment horizontal="right"/>
    </xf>
    <xf numFmtId="49" fontId="93" fillId="2" borderId="15" applyAlignment="1" pivotButton="0" quotePrefix="0" xfId="0">
      <alignment horizontal="left"/>
    </xf>
    <xf numFmtId="0" fontId="93" fillId="2" borderId="15" applyAlignment="1" pivotButton="0" quotePrefix="0" xfId="0">
      <alignment horizontal="right"/>
    </xf>
    <xf numFmtId="3" fontId="93" fillId="2" borderId="15" applyAlignment="1" pivotButton="0" quotePrefix="0" xfId="0">
      <alignment horizontal="right"/>
    </xf>
    <xf numFmtId="49" fontId="93" fillId="2" borderId="18" applyAlignment="1" pivotButton="0" quotePrefix="0" xfId="0">
      <alignment horizontal="left"/>
    </xf>
    <xf numFmtId="0" fontId="93" fillId="2" borderId="18" applyAlignment="1" pivotButton="0" quotePrefix="0" xfId="0">
      <alignment horizontal="right"/>
    </xf>
    <xf numFmtId="3" fontId="93" fillId="2" borderId="18" applyAlignment="1" pivotButton="0" quotePrefix="0" xfId="0">
      <alignment horizontal="right"/>
    </xf>
    <xf numFmtId="49" fontId="93" fillId="2" borderId="1" applyAlignment="1" pivotButton="0" quotePrefix="0" xfId="0">
      <alignment horizontal="left"/>
    </xf>
    <xf numFmtId="0" fontId="93" fillId="2" borderId="1" applyAlignment="1" pivotButton="0" quotePrefix="0" xfId="0">
      <alignment horizontal="right"/>
    </xf>
    <xf numFmtId="3" fontId="93" fillId="2" borderId="1" applyAlignment="1" pivotButton="0" quotePrefix="0" xfId="0">
      <alignment horizontal="right"/>
    </xf>
    <xf numFmtId="0" fontId="93" fillId="2" borderId="1" applyAlignment="1" pivotButton="0" quotePrefix="0" xfId="0">
      <alignment horizontal="right"/>
    </xf>
    <xf numFmtId="3" fontId="94" fillId="2" borderId="1" applyAlignment="1" pivotButton="0" quotePrefix="0" xfId="0">
      <alignment horizontal="center"/>
    </xf>
    <xf numFmtId="165" fontId="92" fillId="2" borderId="1" pivotButton="0" quotePrefix="0" xfId="0"/>
    <xf numFmtId="3" fontId="94" fillId="0" borderId="1" applyAlignment="1" pivotButton="0" quotePrefix="0" xfId="0">
      <alignment horizontal="center"/>
    </xf>
    <xf numFmtId="165" fontId="95" fillId="2" borderId="1" pivotButton="0" quotePrefix="0" xfId="0"/>
    <xf numFmtId="3" fontId="96" fillId="0" borderId="1" applyAlignment="1" pivotButton="0" quotePrefix="0" xfId="0">
      <alignment horizontal="center"/>
    </xf>
    <xf numFmtId="49" fontId="89" fillId="2" borderId="18" applyAlignment="1" pivotButton="0" quotePrefix="0" xfId="0">
      <alignment horizontal="left"/>
    </xf>
    <xf numFmtId="0" fontId="89" fillId="2" borderId="18" applyAlignment="1" pivotButton="0" quotePrefix="0" xfId="0">
      <alignment horizontal="right"/>
    </xf>
    <xf numFmtId="3" fontId="64" fillId="0" borderId="1" applyAlignment="1" pivotButton="0" quotePrefix="0" xfId="0">
      <alignment horizontal="center"/>
    </xf>
    <xf numFmtId="3" fontId="97" fillId="0" borderId="1" applyAlignment="1" pivotButton="0" quotePrefix="0" xfId="0">
      <alignment horizontal="center"/>
    </xf>
    <xf numFmtId="49" fontId="89" fillId="2" borderId="18" applyAlignment="1" pivotButton="0" quotePrefix="0" xfId="0">
      <alignment horizontal="left"/>
    </xf>
    <xf numFmtId="0" fontId="89" fillId="2" borderId="18" applyAlignment="1" pivotButton="0" quotePrefix="0" xfId="0">
      <alignment horizontal="right"/>
    </xf>
    <xf numFmtId="4" fontId="89" fillId="2" borderId="1" applyAlignment="1" pivotButton="0" quotePrefix="0" xfId="0">
      <alignment horizontal="center"/>
    </xf>
    <xf numFmtId="0" fontId="89" fillId="2" borderId="1" applyAlignment="1" pivotButton="0" quotePrefix="0" xfId="0">
      <alignment horizontal="center"/>
    </xf>
    <xf numFmtId="0" fontId="89" fillId="2" borderId="15" applyAlignment="1" pivotButton="0" quotePrefix="0" xfId="0">
      <alignment horizontal="left"/>
    </xf>
    <xf numFmtId="3" fontId="89" fillId="2" borderId="15" applyAlignment="1" pivotButton="0" quotePrefix="0" xfId="0">
      <alignment horizontal="center"/>
    </xf>
    <xf numFmtId="4" fontId="97" fillId="0" borderId="1" applyAlignment="1" pivotButton="0" quotePrefix="0" xfId="0">
      <alignment horizontal="center"/>
    </xf>
    <xf numFmtId="165" fontId="95" fillId="0" borderId="1" pivotButton="0" quotePrefix="0" xfId="0"/>
    <xf numFmtId="0" fontId="9" fillId="2" borderId="0" pivotButton="0" quotePrefix="0" xfId="0"/>
    <xf numFmtId="0" fontId="7" fillId="17" borderId="13" pivotButton="0" quotePrefix="0" xfId="0"/>
    <xf numFmtId="0" fontId="7" fillId="2" borderId="0" pivotButton="0" quotePrefix="0" xfId="0"/>
    <xf numFmtId="165" fontId="43" fillId="0" borderId="1" pivotButton="0" quotePrefix="0" xfId="0"/>
    <xf numFmtId="4" fontId="43" fillId="0" borderId="1" pivotButton="0" quotePrefix="0" xfId="0"/>
    <xf numFmtId="4" fontId="43" fillId="2" borderId="1" pivotButton="0" quotePrefix="0" xfId="0"/>
    <xf numFmtId="3" fontId="43" fillId="2" borderId="1" applyAlignment="1" pivotButton="0" quotePrefix="0" xfId="0">
      <alignment horizontal="right"/>
    </xf>
    <xf numFmtId="165" fontId="9" fillId="2" borderId="0" pivotButton="0" quotePrefix="0" xfId="0"/>
    <xf numFmtId="4" fontId="43" fillId="2" borderId="1" pivotButton="0" quotePrefix="0" xfId="0"/>
    <xf numFmtId="3" fontId="43" fillId="2" borderId="1" pivotButton="0" quotePrefix="0" xfId="0"/>
    <xf numFmtId="0" fontId="43" fillId="2" borderId="1" pivotButton="0" quotePrefix="0" xfId="0"/>
    <xf numFmtId="165" fontId="43" fillId="0" borderId="1" applyAlignment="1" pivotButton="0" quotePrefix="0" xfId="0">
      <alignment horizontal="right"/>
    </xf>
    <xf numFmtId="4" fontId="43" fillId="2" borderId="1" pivotButton="0" quotePrefix="0" xfId="0"/>
    <xf numFmtId="165" fontId="43" fillId="0" borderId="1" applyAlignment="1" pivotButton="0" quotePrefix="0" xfId="0">
      <alignment horizontal="right"/>
    </xf>
    <xf numFmtId="4" fontId="48" fillId="2" borderId="0" pivotButton="0" quotePrefix="0" xfId="0"/>
    <xf numFmtId="3" fontId="43" fillId="2" borderId="1" applyAlignment="1" pivotButton="0" quotePrefix="0" xfId="0">
      <alignment horizontal="right"/>
    </xf>
    <xf numFmtId="4" fontId="9" fillId="2" borderId="0" pivotButton="0" quotePrefix="0" xfId="0"/>
    <xf numFmtId="0" fontId="43" fillId="0" borderId="1" pivotButton="0" quotePrefix="0" xfId="0"/>
    <xf numFmtId="3" fontId="98" fillId="0" borderId="1" applyAlignment="1" pivotButton="0" quotePrefix="0" xfId="0">
      <alignment horizontal="right"/>
    </xf>
    <xf numFmtId="3" fontId="43" fillId="0" borderId="1" applyAlignment="1" pivotButton="0" quotePrefix="0" xfId="0">
      <alignment horizontal="right"/>
    </xf>
    <xf numFmtId="0" fontId="99" fillId="19" borderId="0" pivotButton="0" quotePrefix="0" xfId="0"/>
    <xf numFmtId="0" fontId="7" fillId="20" borderId="0" pivotButton="0" quotePrefix="0" xfId="0"/>
    <xf numFmtId="3" fontId="8" fillId="2" borderId="1" pivotButton="0" quotePrefix="0" xfId="0"/>
    <xf numFmtId="0" fontId="100" fillId="6" borderId="1" pivotButton="0" quotePrefix="0" xfId="0"/>
    <xf numFmtId="49" fontId="85" fillId="6" borderId="16" pivotButton="0" quotePrefix="0" xfId="0"/>
    <xf numFmtId="4" fontId="8" fillId="21" borderId="1" pivotButton="0" quotePrefix="0" xfId="0"/>
    <xf numFmtId="165" fontId="101" fillId="0" borderId="1" applyAlignment="1" pivotButton="0" quotePrefix="0" xfId="0">
      <alignment horizontal="right"/>
    </xf>
    <xf numFmtId="0" fontId="101" fillId="2" borderId="1" pivotButton="0" quotePrefix="0" xfId="0"/>
    <xf numFmtId="4" fontId="101" fillId="0" borderId="1" pivotButton="0" quotePrefix="0" xfId="0"/>
    <xf numFmtId="3" fontId="101" fillId="2" borderId="1" pivotButton="0" quotePrefix="0" xfId="0"/>
    <xf numFmtId="4" fontId="40" fillId="2" borderId="1" pivotButton="0" quotePrefix="0" xfId="0"/>
    <xf numFmtId="0" fontId="102" fillId="0" borderId="0" pivotButton="0" quotePrefix="0" xfId="0"/>
    <xf numFmtId="0" fontId="103" fillId="0" borderId="0" pivotButton="0" quotePrefix="0" xfId="0"/>
    <xf numFmtId="0" fontId="104" fillId="0" borderId="0" pivotButton="0" quotePrefix="0" xfId="0"/>
    <xf numFmtId="165" fontId="43" fillId="2" borderId="1" applyAlignment="1" pivotButton="0" quotePrefix="0" xfId="0">
      <alignment horizontal="right"/>
    </xf>
    <xf numFmtId="49" fontId="68" fillId="2" borderId="16" pivotButton="0" quotePrefix="0" xfId="0"/>
    <xf numFmtId="0" fontId="68" fillId="2" borderId="1" pivotButton="0" quotePrefix="0" xfId="0"/>
    <xf numFmtId="3" fontId="43" fillId="2" borderId="19" applyAlignment="1" pivotButton="0" quotePrefix="0" xfId="0">
      <alignment horizontal="center"/>
    </xf>
    <xf numFmtId="0" fontId="43" fillId="0" borderId="1" applyAlignment="1" pivotButton="0" quotePrefix="0" xfId="0">
      <alignment horizontal="left"/>
    </xf>
    <xf numFmtId="0" fontId="105" fillId="2" borderId="1" pivotButton="0" quotePrefix="0" xfId="0"/>
    <xf numFmtId="0" fontId="105" fillId="0" borderId="1" pivotButton="0" quotePrefix="0" xfId="0"/>
    <xf numFmtId="3" fontId="105" fillId="2" borderId="1" pivotButton="0" quotePrefix="0" xfId="0"/>
    <xf numFmtId="0" fontId="17" fillId="0" borderId="0" pivotButton="0" quotePrefix="0" xfId="0"/>
    <xf numFmtId="4" fontId="8" fillId="2" borderId="1" applyAlignment="1" pivotButton="0" quotePrefix="0" xfId="0">
      <alignment horizontal="left"/>
    </xf>
    <xf numFmtId="165" fontId="72" fillId="0" borderId="1" applyAlignment="1" pivotButton="0" quotePrefix="0" xfId="0">
      <alignment horizontal="right"/>
    </xf>
    <xf numFmtId="0" fontId="45" fillId="0" borderId="0" pivotButton="0" quotePrefix="0" xfId="0"/>
    <xf numFmtId="3" fontId="72" fillId="0" borderId="1" applyAlignment="1" pivotButton="0" quotePrefix="0" xfId="0">
      <alignment horizontal="center"/>
    </xf>
    <xf numFmtId="3" fontId="72" fillId="2" borderId="1" pivotButton="0" quotePrefix="0" xfId="0"/>
    <xf numFmtId="0" fontId="72" fillId="2" borderId="1" pivotButton="0" quotePrefix="0" xfId="0"/>
    <xf numFmtId="3" fontId="72" fillId="2" borderId="1" applyAlignment="1" pivotButton="0" quotePrefix="0" xfId="0">
      <alignment horizontal="center"/>
    </xf>
    <xf numFmtId="0" fontId="72" fillId="0" borderId="1" applyAlignment="1" pivotButton="0" quotePrefix="0" xfId="0">
      <alignment horizontal="center"/>
    </xf>
    <xf numFmtId="0" fontId="72" fillId="0" borderId="1" pivotButton="0" quotePrefix="0" xfId="0"/>
    <xf numFmtId="165" fontId="72" fillId="2" borderId="1" applyAlignment="1" pivotButton="0" quotePrefix="0" xfId="0">
      <alignment horizontal="right"/>
    </xf>
    <xf numFmtId="4" fontId="72" fillId="0" borderId="1" pivotButton="0" quotePrefix="0" xfId="0"/>
    <xf numFmtId="4" fontId="72" fillId="0" borderId="20" pivotButton="0" quotePrefix="0" xfId="0"/>
    <xf numFmtId="0" fontId="72" fillId="2" borderId="0" pivotButton="0" quotePrefix="0" xfId="0"/>
    <xf numFmtId="0" fontId="46" fillId="2" borderId="1" pivotButton="0" quotePrefix="0" xfId="0"/>
    <xf numFmtId="165" fontId="75" fillId="0" borderId="1" applyAlignment="1" pivotButton="0" quotePrefix="0" xfId="0">
      <alignment horizontal="right"/>
    </xf>
    <xf numFmtId="0" fontId="75" fillId="2" borderId="1" pivotButton="0" quotePrefix="0" xfId="0"/>
    <xf numFmtId="3" fontId="75" fillId="2" borderId="1" pivotButton="0" quotePrefix="0" xfId="0"/>
    <xf numFmtId="3" fontId="72" fillId="0" borderId="1" pivotButton="0" quotePrefix="0" xfId="0"/>
    <xf numFmtId="0" fontId="72" fillId="0" borderId="1" applyAlignment="1" pivotButton="0" quotePrefix="0" xfId="0">
      <alignment horizontal="right"/>
    </xf>
    <xf numFmtId="3" fontId="72" fillId="2" borderId="1" applyAlignment="1" pivotButton="0" quotePrefix="0" xfId="0">
      <alignment horizontal="right"/>
    </xf>
    <xf numFmtId="0" fontId="106" fillId="0" borderId="0" pivotButton="0" quotePrefix="0" xfId="0"/>
    <xf numFmtId="3" fontId="72" fillId="2" borderId="1" applyAlignment="1" pivotButton="0" quotePrefix="0" xfId="0">
      <alignment horizontal="center"/>
    </xf>
    <xf numFmtId="0" fontId="107" fillId="0" borderId="1" pivotButton="0" quotePrefix="0" xfId="0"/>
    <xf numFmtId="0" fontId="106" fillId="0" borderId="1" pivotButton="0" quotePrefix="0" xfId="0"/>
    <xf numFmtId="3" fontId="72" fillId="2" borderId="1" applyAlignment="1" pivotButton="0" quotePrefix="0" xfId="0">
      <alignment horizontal="left"/>
    </xf>
    <xf numFmtId="0" fontId="44" fillId="0" borderId="1" pivotButton="0" quotePrefix="0" xfId="0"/>
    <xf numFmtId="0" fontId="107" fillId="0" borderId="0" pivotButton="0" quotePrefix="0" xfId="0"/>
    <xf numFmtId="3" fontId="45" fillId="0" borderId="0" pivotButton="0" quotePrefix="0" xfId="0"/>
    <xf numFmtId="165" fontId="28" fillId="0" borderId="1" applyAlignment="1" pivotButton="0" quotePrefix="0" xfId="0">
      <alignment horizontal="right"/>
    </xf>
    <xf numFmtId="4" fontId="28" fillId="0" borderId="1" pivotButton="0" quotePrefix="0" xfId="0"/>
    <xf numFmtId="3" fontId="28" fillId="2" borderId="1" applyAlignment="1" pivotButton="0" quotePrefix="0" xfId="0">
      <alignment horizontal="right"/>
    </xf>
    <xf numFmtId="0" fontId="28" fillId="2" borderId="1" pivotButton="0" quotePrefix="0" xfId="0"/>
    <xf numFmtId="4" fontId="28" fillId="0" borderId="1" applyAlignment="1" pivotButton="0" quotePrefix="0" xfId="0">
      <alignment horizontal="right"/>
    </xf>
    <xf numFmtId="3" fontId="28" fillId="2" borderId="1" pivotButton="0" quotePrefix="0" xfId="0"/>
    <xf numFmtId="0" fontId="108" fillId="0" borderId="0" pivotButton="0" quotePrefix="0" xfId="0"/>
    <xf numFmtId="4" fontId="28" fillId="2" borderId="0" applyAlignment="1" pivotButton="0" quotePrefix="0" xfId="0">
      <alignment horizontal="right"/>
    </xf>
    <xf numFmtId="0" fontId="109" fillId="2" borderId="0" pivotButton="0" quotePrefix="0" xfId="0"/>
    <xf numFmtId="3" fontId="7" fillId="0" borderId="0" applyAlignment="1" pivotButton="0" quotePrefix="0" xfId="0">
      <alignment horizontal="right"/>
    </xf>
    <xf numFmtId="165" fontId="110" fillId="0" borderId="1" applyAlignment="1" pivotButton="0" quotePrefix="0" xfId="0">
      <alignment horizontal="right"/>
    </xf>
    <xf numFmtId="0" fontId="110" fillId="2" borderId="1" pivotButton="0" quotePrefix="0" xfId="0"/>
    <xf numFmtId="4" fontId="110" fillId="0" borderId="1" applyAlignment="1" pivotButton="0" quotePrefix="0" xfId="0">
      <alignment horizontal="right"/>
    </xf>
    <xf numFmtId="3" fontId="110" fillId="2" borderId="1" pivotButton="0" quotePrefix="0" xfId="0"/>
    <xf numFmtId="4" fontId="110" fillId="2" borderId="1" pivotButton="0" quotePrefix="0" xfId="0"/>
    <xf numFmtId="3" fontId="45" fillId="0" borderId="0" pivotButton="0" quotePrefix="0" xfId="0"/>
    <xf numFmtId="0" fontId="111" fillId="0" borderId="0" pivotButton="0" quotePrefix="0" xfId="0"/>
    <xf numFmtId="4" fontId="72" fillId="0" borderId="1" applyAlignment="1" pivotButton="0" quotePrefix="0" xfId="0">
      <alignment horizontal="right"/>
    </xf>
    <xf numFmtId="0" fontId="72" fillId="22" borderId="0" pivotButton="0" quotePrefix="0" xfId="0"/>
    <xf numFmtId="49" fontId="70" fillId="2" borderId="16" pivotButton="0" quotePrefix="0" xfId="0"/>
    <xf numFmtId="0" fontId="46" fillId="2" borderId="0" pivotButton="0" quotePrefix="0" xfId="0"/>
    <xf numFmtId="0" fontId="45" fillId="0" borderId="0" pivotButton="0" quotePrefix="0" xfId="0"/>
    <xf numFmtId="0" fontId="53" fillId="0" borderId="0" pivotButton="0" quotePrefix="0" xfId="0"/>
    <xf numFmtId="0" fontId="53" fillId="0" borderId="0" pivotButton="0" quotePrefix="0" xfId="0"/>
    <xf numFmtId="3" fontId="45" fillId="0" borderId="0" applyAlignment="1" pivotButton="0" quotePrefix="0" xfId="0">
      <alignment horizontal="right"/>
    </xf>
    <xf numFmtId="0" fontId="109" fillId="2" borderId="1" pivotButton="0" quotePrefix="0" xfId="0"/>
    <xf numFmtId="0" fontId="25" fillId="0" borderId="0" pivotButton="0" quotePrefix="0" xfId="0"/>
    <xf numFmtId="0" fontId="30" fillId="2" borderId="1" pivotButton="0" quotePrefix="0" xfId="0"/>
    <xf numFmtId="0" fontId="30" fillId="2" borderId="0" pivotButton="0" quotePrefix="0" xfId="0"/>
    <xf numFmtId="4" fontId="49" fillId="0" borderId="1" applyAlignment="1" pivotButton="0" quotePrefix="0" xfId="0">
      <alignment horizontal="right"/>
    </xf>
    <xf numFmtId="0" fontId="3" fillId="0" borderId="1" pivotButton="0" quotePrefix="0" xfId="0"/>
    <xf numFmtId="0" fontId="53" fillId="0" borderId="1" applyAlignment="1" pivotButton="0" quotePrefix="0" xfId="0">
      <alignment horizontal="center"/>
    </xf>
    <xf numFmtId="3" fontId="112" fillId="0" borderId="1" applyAlignment="1" pivotButton="0" quotePrefix="0" xfId="0">
      <alignment horizontal="right"/>
    </xf>
    <xf numFmtId="4" fontId="28" fillId="2" borderId="1" applyAlignment="1" pivotButton="0" quotePrefix="0" xfId="0">
      <alignment horizontal="right"/>
    </xf>
    <xf numFmtId="0" fontId="7" fillId="0" borderId="0" pivotButton="0" quotePrefix="0" xfId="0"/>
    <xf numFmtId="165" fontId="28" fillId="2" borderId="1" applyAlignment="1" pivotButton="0" quotePrefix="0" xfId="0">
      <alignment horizontal="right"/>
    </xf>
    <xf numFmtId="0" fontId="47" fillId="0" borderId="0" pivotButton="0" quotePrefix="0" xfId="0"/>
    <xf numFmtId="0" fontId="24" fillId="0" borderId="0" pivotButton="0" quotePrefix="0" xfId="0"/>
    <xf numFmtId="4" fontId="28" fillId="2" borderId="1" pivotButton="0" quotePrefix="0" xfId="0"/>
    <xf numFmtId="0" fontId="7" fillId="23" borderId="0" pivotButton="0" quotePrefix="0" xfId="0"/>
    <xf numFmtId="165" fontId="28" fillId="17" borderId="1" applyAlignment="1" pivotButton="0" quotePrefix="0" xfId="0">
      <alignment horizontal="right"/>
    </xf>
    <xf numFmtId="0" fontId="15" fillId="17" borderId="1" pivotButton="0" quotePrefix="0" xfId="0"/>
    <xf numFmtId="4" fontId="15" fillId="17" borderId="1" applyAlignment="1" pivotButton="0" quotePrefix="0" xfId="0">
      <alignment horizontal="right"/>
    </xf>
    <xf numFmtId="3" fontId="28" fillId="17" borderId="1" pivotButton="0" quotePrefix="0" xfId="0"/>
    <xf numFmtId="3" fontId="7" fillId="17" borderId="0" pivotButton="0" quotePrefix="0" xfId="0"/>
    <xf numFmtId="0" fontId="15" fillId="17" borderId="1" applyAlignment="1" pivotButton="0" quotePrefix="0" xfId="0">
      <alignment horizontal="left"/>
    </xf>
    <xf numFmtId="3" fontId="15" fillId="17" borderId="1" applyAlignment="1" pivotButton="0" quotePrefix="0" xfId="0">
      <alignment horizontal="right"/>
    </xf>
    <xf numFmtId="0" fontId="1" fillId="17" borderId="1" pivotButton="0" quotePrefix="0" xfId="0"/>
    <xf numFmtId="165" fontId="28" fillId="24" borderId="1" applyAlignment="1" pivotButton="0" quotePrefix="0" xfId="0">
      <alignment horizontal="right"/>
    </xf>
    <xf numFmtId="0" fontId="28" fillId="24" borderId="1" pivotButton="0" quotePrefix="0" xfId="0"/>
    <xf numFmtId="0" fontId="7" fillId="24" borderId="0" pivotButton="0" quotePrefix="0" xfId="0"/>
    <xf numFmtId="3" fontId="28" fillId="24" borderId="1" pivotButton="0" quotePrefix="0" xfId="0"/>
    <xf numFmtId="0" fontId="7" fillId="24" borderId="0" pivotButton="0" quotePrefix="0" xfId="0"/>
    <xf numFmtId="3" fontId="28" fillId="24" borderId="1" applyAlignment="1" pivotButton="0" quotePrefix="0" xfId="0">
      <alignment horizontal="right"/>
    </xf>
    <xf numFmtId="0" fontId="7" fillId="24" borderId="1" pivotButton="0" quotePrefix="0" xfId="0"/>
    <xf numFmtId="0" fontId="7" fillId="24" borderId="1" pivotButton="0" quotePrefix="0" xfId="0"/>
    <xf numFmtId="4" fontId="28" fillId="24" borderId="1" applyAlignment="1" pivotButton="0" quotePrefix="0" xfId="0">
      <alignment horizontal="right"/>
    </xf>
    <xf numFmtId="4" fontId="15" fillId="17" borderId="1" applyAlignment="1" pivotButton="0" quotePrefix="0" xfId="0">
      <alignment horizontal="right"/>
    </xf>
    <xf numFmtId="0" fontId="28" fillId="17" borderId="1" pivotButton="0" quotePrefix="0" xfId="0"/>
    <xf numFmtId="4" fontId="28" fillId="17" borderId="1" applyAlignment="1" pivotButton="0" quotePrefix="0" xfId="0">
      <alignment horizontal="right"/>
    </xf>
    <xf numFmtId="4" fontId="40" fillId="17" borderId="1" pivotButton="0" quotePrefix="0" xfId="0"/>
    <xf numFmtId="165" fontId="28" fillId="6" borderId="1" applyAlignment="1" pivotButton="0" quotePrefix="0" xfId="0">
      <alignment horizontal="right"/>
    </xf>
    <xf numFmtId="0" fontId="28" fillId="6" borderId="1" pivotButton="0" quotePrefix="0" xfId="0"/>
    <xf numFmtId="4" fontId="28" fillId="6" borderId="1" applyAlignment="1" pivotButton="0" quotePrefix="0" xfId="0">
      <alignment horizontal="right"/>
    </xf>
    <xf numFmtId="3" fontId="28" fillId="6" borderId="1" pivotButton="0" quotePrefix="0" xfId="0"/>
    <xf numFmtId="0" fontId="15" fillId="2" borderId="1" pivotButton="0" quotePrefix="0" xfId="0"/>
    <xf numFmtId="4" fontId="15" fillId="2" borderId="1" applyAlignment="1" pivotButton="0" quotePrefix="0" xfId="0">
      <alignment horizontal="right"/>
    </xf>
    <xf numFmtId="0" fontId="25" fillId="0" borderId="1" pivotButton="0" quotePrefix="0" xfId="0"/>
    <xf numFmtId="0" fontId="113" fillId="0" borderId="0" pivotButton="0" quotePrefix="0" xfId="0"/>
    <xf numFmtId="0" fontId="113" fillId="2" borderId="1" pivotButton="0" quotePrefix="0" xfId="0"/>
    <xf numFmtId="4" fontId="114" fillId="2" borderId="1" pivotButton="0" quotePrefix="0" xfId="0"/>
    <xf numFmtId="4" fontId="28" fillId="2" borderId="1" applyAlignment="1" pivotButton="0" quotePrefix="0" xfId="0">
      <alignment horizontal="right"/>
    </xf>
    <xf numFmtId="4" fontId="49" fillId="2" borderId="1" applyAlignment="1" pivotButton="0" quotePrefix="0" xfId="0">
      <alignment horizontal="right"/>
    </xf>
    <xf numFmtId="0" fontId="53" fillId="2" borderId="0" pivotButton="0" quotePrefix="0" xfId="0"/>
    <xf numFmtId="0" fontId="53" fillId="2" borderId="0" pivotButton="0" quotePrefix="0" xfId="0"/>
    <xf numFmtId="0" fontId="28" fillId="2" borderId="0" pivotButton="0" quotePrefix="0" xfId="0"/>
    <xf numFmtId="165" fontId="28" fillId="0" borderId="0" applyAlignment="1" pivotButton="0" quotePrefix="0" xfId="0">
      <alignment horizontal="right"/>
    </xf>
    <xf numFmtId="0" fontId="28" fillId="0" borderId="0" pivotButton="0" quotePrefix="0" xfId="0"/>
    <xf numFmtId="3" fontId="28" fillId="2" borderId="0" pivotButton="0" quotePrefix="0" xfId="0"/>
    <xf numFmtId="4" fontId="1" fillId="2" borderId="0" pivotButton="0" quotePrefix="0" xfId="0"/>
    <xf numFmtId="0" fontId="57" fillId="17" borderId="0" pivotButton="0" quotePrefix="0" xfId="0"/>
    <xf numFmtId="0" fontId="7" fillId="17" borderId="0" pivotButton="0" quotePrefix="0" xfId="0"/>
    <xf numFmtId="165" fontId="28" fillId="3" borderId="1" applyAlignment="1" pivotButton="0" quotePrefix="0" xfId="0">
      <alignment horizontal="right"/>
    </xf>
    <xf numFmtId="0" fontId="115" fillId="2" borderId="1" pivotButton="0" quotePrefix="0" xfId="0"/>
    <xf numFmtId="0" fontId="115" fillId="6" borderId="1" applyAlignment="1" pivotButton="0" quotePrefix="0" xfId="0">
      <alignment horizontal="right"/>
    </xf>
    <xf numFmtId="3" fontId="115" fillId="6" borderId="1" applyAlignment="1" pivotButton="0" quotePrefix="0" xfId="0">
      <alignment horizontal="right"/>
    </xf>
    <xf numFmtId="3" fontId="115" fillId="0" borderId="1" applyAlignment="1" pivotButton="0" quotePrefix="0" xfId="0">
      <alignment horizontal="right"/>
    </xf>
    <xf numFmtId="0" fontId="115" fillId="2" borderId="1" applyAlignment="1" pivotButton="0" quotePrefix="0" xfId="0">
      <alignment horizontal="right"/>
    </xf>
    <xf numFmtId="3" fontId="115" fillId="2" borderId="1" applyAlignment="1" pivotButton="0" quotePrefix="0" xfId="0">
      <alignment horizontal="right"/>
    </xf>
    <xf numFmtId="0" fontId="115" fillId="0" borderId="1" pivotButton="0" quotePrefix="0" xfId="0"/>
    <xf numFmtId="3" fontId="115" fillId="0" borderId="3" applyAlignment="1" pivotButton="0" quotePrefix="0" xfId="0">
      <alignment horizontal="right"/>
    </xf>
    <xf numFmtId="0" fontId="115" fillId="6" borderId="1" pivotButton="0" quotePrefix="0" xfId="0"/>
    <xf numFmtId="165" fontId="115" fillId="6" borderId="1" pivotButton="0" quotePrefix="0" xfId="0"/>
    <xf numFmtId="3" fontId="115" fillId="6" borderId="1" pivotButton="0" quotePrefix="0" xfId="0"/>
    <xf numFmtId="0" fontId="115" fillId="6" borderId="3" applyAlignment="1" pivotButton="0" quotePrefix="0" xfId="0">
      <alignment horizontal="right"/>
    </xf>
    <xf numFmtId="3" fontId="115" fillId="6" borderId="3" applyAlignment="1" pivotButton="0" quotePrefix="0" xfId="0">
      <alignment horizontal="right"/>
    </xf>
    <xf numFmtId="0" fontId="115" fillId="6" borderId="1" pivotButton="0" quotePrefix="0" xfId="0"/>
    <xf numFmtId="3" fontId="115" fillId="6" borderId="1" pivotButton="0" quotePrefix="0" xfId="0"/>
    <xf numFmtId="3" fontId="7" fillId="0" borderId="1" pivotButton="0" quotePrefix="0" xfId="0"/>
    <xf numFmtId="0" fontId="116" fillId="2" borderId="1" pivotButton="0" quotePrefix="0" xfId="0"/>
    <xf numFmtId="165" fontId="48" fillId="0" borderId="1" applyAlignment="1" pivotButton="0" quotePrefix="0" xfId="0">
      <alignment horizontal="right"/>
    </xf>
    <xf numFmtId="0" fontId="112" fillId="2" borderId="1" pivotButton="0" quotePrefix="0" xfId="0"/>
    <xf numFmtId="3" fontId="112" fillId="0" borderId="1" applyAlignment="1" pivotButton="0" quotePrefix="0" xfId="0">
      <alignment horizontal="right"/>
    </xf>
    <xf numFmtId="0" fontId="117" fillId="2" borderId="1" pivotButton="0" quotePrefix="0" xfId="0"/>
    <xf numFmtId="165" fontId="48" fillId="3" borderId="1" applyAlignment="1" pivotButton="0" quotePrefix="0" xfId="0">
      <alignment horizontal="right"/>
    </xf>
    <xf numFmtId="165" fontId="48" fillId="2" borderId="1" applyAlignment="1" pivotButton="0" quotePrefix="0" xfId="0">
      <alignment horizontal="right"/>
    </xf>
    <xf numFmtId="165" fontId="48" fillId="3" borderId="1" applyAlignment="1" pivotButton="0" quotePrefix="0" xfId="0">
      <alignment horizontal="right"/>
    </xf>
    <xf numFmtId="165" fontId="48" fillId="2" borderId="1" applyAlignment="1" pivotButton="0" quotePrefix="0" xfId="0">
      <alignment horizontal="right"/>
    </xf>
    <xf numFmtId="0" fontId="112" fillId="2" borderId="1" pivotButton="0" quotePrefix="0" xfId="0"/>
    <xf numFmtId="0" fontId="112" fillId="2" borderId="1" pivotButton="0" quotePrefix="0" xfId="0"/>
    <xf numFmtId="0" fontId="3" fillId="2" borderId="1" pivotButton="0" quotePrefix="0" xfId="0"/>
    <xf numFmtId="0" fontId="7" fillId="21" borderId="1" pivotButton="0" quotePrefix="0" xfId="0"/>
    <xf numFmtId="0" fontId="112" fillId="2" borderId="1" applyAlignment="1" pivotButton="0" quotePrefix="0" xfId="0">
      <alignment horizontal="right"/>
    </xf>
    <xf numFmtId="0" fontId="118" fillId="2" borderId="1" applyAlignment="1" pivotButton="0" quotePrefix="0" xfId="0">
      <alignment horizontal="right"/>
    </xf>
    <xf numFmtId="165" fontId="7" fillId="0" borderId="1" pivotButton="0" quotePrefix="0" xfId="0"/>
    <xf numFmtId="0" fontId="119" fillId="0" borderId="1" applyAlignment="1" pivotButton="0" quotePrefix="0" xfId="0">
      <alignment horizontal="center"/>
    </xf>
    <xf numFmtId="4" fontId="48" fillId="0" borderId="1" pivotButton="0" quotePrefix="0" xfId="0"/>
    <xf numFmtId="0" fontId="50" fillId="0" borderId="0" pivotButton="0" quotePrefix="0" xfId="0"/>
    <xf numFmtId="0" fontId="11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11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50" fillId="0" borderId="1" pivotButton="0" quotePrefix="0" xfId="0"/>
    <xf numFmtId="0" fontId="119" fillId="0" borderId="1" applyAlignment="1" pivotButton="0" quotePrefix="0" xfId="0">
      <alignment horizontal="left"/>
    </xf>
    <xf numFmtId="0" fontId="53" fillId="0" borderId="1" applyAlignment="1" pivotButton="0" quotePrefix="0" xfId="0">
      <alignment horizontal="left"/>
    </xf>
    <xf numFmtId="4" fontId="112" fillId="0" borderId="1" applyAlignment="1" pivotButton="0" quotePrefix="0" xfId="0">
      <alignment horizontal="right"/>
    </xf>
    <xf numFmtId="3" fontId="112" fillId="2" borderId="1" applyAlignment="1" pivotButton="0" quotePrefix="0" xfId="0">
      <alignment horizontal="right"/>
    </xf>
    <xf numFmtId="0" fontId="119" fillId="2" borderId="1" applyAlignment="1" pivotButton="0" quotePrefix="0" xfId="0">
      <alignment horizontal="center"/>
    </xf>
    <xf numFmtId="0" fontId="53" fillId="2" borderId="1" applyAlignment="1" pivotButton="0" quotePrefix="0" xfId="0">
      <alignment horizontal="center"/>
    </xf>
    <xf numFmtId="4" fontId="112" fillId="2" borderId="1" applyAlignment="1" pivotButton="0" quotePrefix="0" xfId="0">
      <alignment horizontal="right"/>
    </xf>
    <xf numFmtId="0" fontId="3" fillId="2" borderId="1" pivotButton="0" quotePrefix="0" xfId="0"/>
    <xf numFmtId="0" fontId="52" fillId="2" borderId="1" applyAlignment="1" pivotButton="0" quotePrefix="0" xfId="0">
      <alignment horizontal="center"/>
    </xf>
    <xf numFmtId="0" fontId="54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54" fillId="2" borderId="1" applyAlignment="1" pivotButton="0" quotePrefix="0" xfId="0">
      <alignment horizontal="center"/>
    </xf>
    <xf numFmtId="0" fontId="56" fillId="14" borderId="1" applyAlignment="1" pivotButton="0" quotePrefix="0" xfId="0">
      <alignment horizontal="center" vertical="center"/>
    </xf>
    <xf numFmtId="0" fontId="92" fillId="6" borderId="1" pivotButton="0" quotePrefix="0" xfId="0"/>
    <xf numFmtId="49" fontId="38" fillId="0" borderId="21" applyAlignment="1" pivotButton="0" quotePrefix="0" xfId="0">
      <alignment horizontal="left"/>
    </xf>
    <xf numFmtId="0" fontId="38" fillId="0" borderId="21" applyAlignment="1" pivotButton="0" quotePrefix="0" xfId="0">
      <alignment horizontal="right"/>
    </xf>
    <xf numFmtId="3" fontId="120" fillId="2" borderId="1" applyAlignment="1" pivotButton="0" quotePrefix="0" xfId="0">
      <alignment horizontal="right"/>
    </xf>
    <xf numFmtId="3" fontId="39" fillId="0" borderId="21" applyAlignment="1" pivotButton="0" quotePrefix="0" xfId="0">
      <alignment horizontal="right"/>
    </xf>
    <xf numFmtId="0" fontId="38" fillId="0" borderId="21" applyAlignment="1" pivotButton="0" quotePrefix="0" xfId="0">
      <alignment horizontal="right"/>
    </xf>
    <xf numFmtId="0" fontId="95" fillId="2" borderId="1" pivotButton="0" quotePrefix="0" xfId="0"/>
    <xf numFmtId="3" fontId="38" fillId="0" borderId="21" applyAlignment="1" pivotButton="0" quotePrefix="0" xfId="0">
      <alignment horizontal="right"/>
    </xf>
    <xf numFmtId="0" fontId="38" fillId="0" borderId="21" applyAlignment="1" pivotButton="0" quotePrefix="0" xfId="0">
      <alignment horizontal="right"/>
    </xf>
    <xf numFmtId="3" fontId="121" fillId="0" borderId="1" applyAlignment="1" pivotButton="0" quotePrefix="0" xfId="0">
      <alignment horizontal="right"/>
    </xf>
    <xf numFmtId="3" fontId="120" fillId="2" borderId="1" applyAlignment="1" pivotButton="0" quotePrefix="0" xfId="0">
      <alignment horizontal="right"/>
    </xf>
    <xf numFmtId="49" fontId="38" fillId="0" borderId="22" applyAlignment="1" pivotButton="0" quotePrefix="0" xfId="0">
      <alignment horizontal="left"/>
    </xf>
    <xf numFmtId="0" fontId="89" fillId="2" borderId="1" applyAlignment="1" pivotButton="0" quotePrefix="0" xfId="0">
      <alignment horizontal="left"/>
    </xf>
    <xf numFmtId="3" fontId="89" fillId="2" borderId="1" applyAlignment="1" pivotButton="0" quotePrefix="0" xfId="0">
      <alignment horizontal="center"/>
    </xf>
    <xf numFmtId="0" fontId="28" fillId="0" borderId="1" applyAlignment="1" pivotButton="0" quotePrefix="0" xfId="0">
      <alignment horizontal="right"/>
    </xf>
    <xf numFmtId="0" fontId="28" fillId="0" borderId="1" pivotButton="0" quotePrefix="0" xfId="0"/>
    <xf numFmtId="3" fontId="28" fillId="0" borderId="1" applyAlignment="1" pivotButton="0" quotePrefix="0" xfId="0">
      <alignment horizontal="right"/>
    </xf>
    <xf numFmtId="3" fontId="28" fillId="0" borderId="1" pivotButton="0" quotePrefix="0" xfId="0"/>
    <xf numFmtId="0" fontId="28" fillId="2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50" fillId="2" borderId="0" pivotButton="0" quotePrefix="0" xfId="0"/>
    <xf numFmtId="165" fontId="122" fillId="18" borderId="19" applyAlignment="1" pivotButton="0" quotePrefix="0" xfId="0">
      <alignment horizontal="center"/>
    </xf>
    <xf numFmtId="0" fontId="122" fillId="18" borderId="19" applyAlignment="1" pivotButton="0" quotePrefix="0" xfId="0">
      <alignment horizontal="center"/>
    </xf>
    <xf numFmtId="0" fontId="123" fillId="2" borderId="0" pivotButton="0" quotePrefix="0" xfId="0"/>
    <xf numFmtId="0" fontId="113" fillId="2" borderId="0" pivotButton="0" quotePrefix="0" xfId="0"/>
    <xf numFmtId="4" fontId="113" fillId="2" borderId="0" pivotButton="0" quotePrefix="0" xfId="0"/>
    <xf numFmtId="0" fontId="50" fillId="2" borderId="23" pivotButton="0" quotePrefix="0" xfId="0"/>
    <xf numFmtId="0" fontId="124" fillId="2" borderId="23" applyAlignment="1" pivotButton="0" quotePrefix="0" xfId="0">
      <alignment horizontal="center"/>
    </xf>
    <xf numFmtId="0" fontId="124" fillId="2" borderId="24" applyAlignment="1" pivotButton="0" quotePrefix="0" xfId="0">
      <alignment horizontal="center"/>
    </xf>
    <xf numFmtId="0" fontId="123" fillId="2" borderId="25" pivotButton="0" quotePrefix="0" xfId="0"/>
    <xf numFmtId="0" fontId="113" fillId="2" borderId="23" pivotButton="0" quotePrefix="0" xfId="0"/>
    <xf numFmtId="4" fontId="113" fillId="2" borderId="26" pivotButton="0" quotePrefix="0" xfId="0"/>
    <xf numFmtId="49" fontId="125" fillId="18" borderId="27" pivotButton="0" quotePrefix="0" xfId="0"/>
    <xf numFmtId="49" fontId="125" fillId="18" borderId="16" pivotButton="0" quotePrefix="0" xfId="0"/>
    <xf numFmtId="14" fontId="128" fillId="0" borderId="19" applyAlignment="1" pivotButton="0" quotePrefix="0" xfId="0">
      <alignment horizontal="center"/>
    </xf>
    <xf numFmtId="14" fontId="128" fillId="25" borderId="19" applyAlignment="1" pivotButton="0" quotePrefix="0" xfId="0">
      <alignment horizontal="center"/>
    </xf>
    <xf numFmtId="14" fontId="50" fillId="25" borderId="19" pivotButton="0" quotePrefix="0" xfId="0"/>
    <xf numFmtId="3" fontId="129" fillId="25" borderId="19" applyAlignment="1" pivotButton="0" quotePrefix="0" xfId="0">
      <alignment horizontal="center"/>
    </xf>
    <xf numFmtId="49" fontId="122" fillId="18" borderId="19" pivotButton="0" quotePrefix="0" xfId="0"/>
    <xf numFmtId="49" fontId="50" fillId="18" borderId="19" pivotButton="0" quotePrefix="0" xfId="0"/>
    <xf numFmtId="3" fontId="129" fillId="0" borderId="19" applyAlignment="1" pivotButton="0" quotePrefix="0" xfId="0">
      <alignment horizontal="center"/>
    </xf>
    <xf numFmtId="3" fontId="129" fillId="0" borderId="19" applyAlignment="1" pivotButton="0" quotePrefix="0" xfId="0">
      <alignment horizontal="center"/>
    </xf>
    <xf numFmtId="3" fontId="130" fillId="25" borderId="19" applyAlignment="1" pivotButton="0" quotePrefix="0" xfId="0">
      <alignment horizontal="center"/>
    </xf>
    <xf numFmtId="3" fontId="130" fillId="26" borderId="19" applyAlignment="1" pivotButton="0" quotePrefix="0" xfId="0">
      <alignment horizontal="center"/>
    </xf>
    <xf numFmtId="3" fontId="131" fillId="21" borderId="34" applyAlignment="1" pivotButton="0" quotePrefix="0" xfId="0">
      <alignment horizontal="center"/>
    </xf>
    <xf numFmtId="49" fontId="122" fillId="18" borderId="35" pivotButton="0" quotePrefix="0" xfId="0"/>
    <xf numFmtId="49" fontId="125" fillId="18" borderId="19" pivotButton="0" quotePrefix="0" xfId="0"/>
    <xf numFmtId="3" fontId="132" fillId="0" borderId="19" applyAlignment="1" pivotButton="0" quotePrefix="0" xfId="0">
      <alignment horizontal="center"/>
    </xf>
    <xf numFmtId="3" fontId="132" fillId="25" borderId="19" applyAlignment="1" pivotButton="0" quotePrefix="0" xfId="0">
      <alignment horizontal="center"/>
    </xf>
    <xf numFmtId="3" fontId="133" fillId="25" borderId="19" applyAlignment="1" pivotButton="0" quotePrefix="0" xfId="0">
      <alignment horizontal="right"/>
    </xf>
    <xf numFmtId="3" fontId="134" fillId="25" borderId="36" applyAlignment="1" pivotButton="0" quotePrefix="0" xfId="0">
      <alignment horizontal="center"/>
    </xf>
    <xf numFmtId="3" fontId="50" fillId="0" borderId="19" pivotButton="0" quotePrefix="0" xfId="0"/>
    <xf numFmtId="3" fontId="50" fillId="25" borderId="19" pivotButton="0" quotePrefix="0" xfId="0"/>
    <xf numFmtId="3" fontId="132" fillId="25" borderId="19" applyAlignment="1" pivotButton="0" quotePrefix="0" xfId="0">
      <alignment horizontal="center"/>
    </xf>
    <xf numFmtId="3" fontId="132" fillId="0" borderId="19" applyAlignment="1" pivotButton="0" quotePrefix="0" xfId="0">
      <alignment horizontal="center"/>
    </xf>
    <xf numFmtId="3" fontId="132" fillId="0" borderId="19" applyAlignment="1" pivotButton="0" quotePrefix="0" xfId="0">
      <alignment horizontal="center"/>
    </xf>
    <xf numFmtId="3" fontId="132" fillId="25" borderId="19" applyAlignment="1" pivotButton="0" quotePrefix="0" xfId="0">
      <alignment horizontal="center"/>
    </xf>
    <xf numFmtId="3" fontId="132" fillId="25" borderId="19" applyAlignment="1" pivotButton="0" quotePrefix="0" xfId="0">
      <alignment horizontal="center"/>
    </xf>
    <xf numFmtId="3" fontId="38" fillId="0" borderId="19" applyAlignment="1" pivotButton="0" quotePrefix="0" xfId="0">
      <alignment horizontal="right"/>
    </xf>
    <xf numFmtId="3" fontId="132" fillId="0" borderId="19" applyAlignment="1" pivotButton="0" quotePrefix="0" xfId="0">
      <alignment horizontal="center"/>
    </xf>
    <xf numFmtId="3" fontId="50" fillId="0" borderId="19" pivotButton="0" quotePrefix="0" xfId="0"/>
    <xf numFmtId="3" fontId="50" fillId="25" borderId="19" pivotButton="0" quotePrefix="0" xfId="0"/>
    <xf numFmtId="3" fontId="38" fillId="0" borderId="19" pivotButton="0" quotePrefix="0" xfId="0"/>
    <xf numFmtId="3" fontId="132" fillId="0" borderId="19" applyAlignment="1" pivotButton="0" quotePrefix="0" xfId="0">
      <alignment horizontal="center"/>
    </xf>
    <xf numFmtId="3" fontId="128" fillId="27" borderId="19" applyAlignment="1" pivotButton="0" quotePrefix="0" xfId="0">
      <alignment horizontal="center"/>
    </xf>
    <xf numFmtId="49" fontId="122" fillId="27" borderId="16" pivotButton="0" quotePrefix="0" xfId="0"/>
    <xf numFmtId="49" fontId="122" fillId="27" borderId="19" pivotButton="0" quotePrefix="0" xfId="0"/>
    <xf numFmtId="3" fontId="134" fillId="27" borderId="36" applyAlignment="1" pivotButton="0" quotePrefix="0" xfId="0">
      <alignment horizontal="center"/>
    </xf>
    <xf numFmtId="3" fontId="131" fillId="27" borderId="34" applyAlignment="1" pivotButton="0" quotePrefix="0" xfId="0">
      <alignment horizontal="center"/>
    </xf>
    <xf numFmtId="49" fontId="122" fillId="18" borderId="37" pivotButton="0" quotePrefix="0" xfId="0"/>
    <xf numFmtId="3" fontId="129" fillId="8" borderId="19" applyAlignment="1" pivotButton="0" quotePrefix="0" xfId="0">
      <alignment horizontal="center"/>
    </xf>
    <xf numFmtId="49" fontId="122" fillId="8" borderId="38" pivotButton="0" quotePrefix="0" xfId="0"/>
    <xf numFmtId="49" fontId="122" fillId="8" borderId="19" pivotButton="0" quotePrefix="0" xfId="0"/>
    <xf numFmtId="3" fontId="134" fillId="8" borderId="36" applyAlignment="1" pivotButton="0" quotePrefix="0" xfId="0">
      <alignment horizontal="center"/>
    </xf>
    <xf numFmtId="3" fontId="131" fillId="8" borderId="34" applyAlignment="1" pivotButton="0" quotePrefix="0" xfId="0">
      <alignment horizontal="center"/>
    </xf>
    <xf numFmtId="49" fontId="125" fillId="18" borderId="39" pivotButton="0" quotePrefix="0" xfId="0"/>
    <xf numFmtId="3" fontId="50" fillId="2" borderId="19" pivotButton="0" quotePrefix="0" xfId="0"/>
    <xf numFmtId="3" fontId="135" fillId="2" borderId="19" applyAlignment="1" pivotButton="0" quotePrefix="0" xfId="0">
      <alignment horizontal="center"/>
    </xf>
    <xf numFmtId="3" fontId="135" fillId="2" borderId="19" applyAlignment="1" pivotButton="0" quotePrefix="0" xfId="0">
      <alignment horizontal="center"/>
    </xf>
    <xf numFmtId="3" fontId="50" fillId="28" borderId="19" pivotButton="0" quotePrefix="0" xfId="0"/>
    <xf numFmtId="3" fontId="135" fillId="25" borderId="19" applyAlignment="1" pivotButton="0" quotePrefix="0" xfId="0">
      <alignment horizontal="center"/>
    </xf>
    <xf numFmtId="3" fontId="136" fillId="29" borderId="19" applyAlignment="1" pivotButton="0" quotePrefix="0" xfId="0">
      <alignment horizontal="center"/>
    </xf>
    <xf numFmtId="3" fontId="136" fillId="2" borderId="19" applyAlignment="1" pivotButton="0" quotePrefix="0" xfId="0">
      <alignment horizontal="center"/>
    </xf>
    <xf numFmtId="3" fontId="136" fillId="2" borderId="19" applyAlignment="1" pivotButton="0" quotePrefix="0" xfId="0">
      <alignment horizontal="center"/>
    </xf>
    <xf numFmtId="3" fontId="136" fillId="29" borderId="19" applyAlignment="1" pivotButton="0" quotePrefix="0" xfId="0">
      <alignment horizontal="center"/>
    </xf>
    <xf numFmtId="3" fontId="50" fillId="29" borderId="19" pivotButton="0" quotePrefix="0" xfId="0"/>
    <xf numFmtId="3" fontId="137" fillId="25" borderId="19" applyAlignment="1" pivotButton="0" quotePrefix="0" xfId="0">
      <alignment horizontal="center"/>
    </xf>
    <xf numFmtId="3" fontId="135" fillId="25" borderId="19" applyAlignment="1" pivotButton="0" quotePrefix="0" xfId="0">
      <alignment horizontal="center"/>
    </xf>
    <xf numFmtId="3" fontId="136" fillId="3" borderId="19" applyAlignment="1" pivotButton="0" quotePrefix="0" xfId="0">
      <alignment horizontal="center"/>
    </xf>
    <xf numFmtId="3" fontId="137" fillId="25" borderId="19" applyAlignment="1" pivotButton="0" quotePrefix="0" xfId="0">
      <alignment horizontal="center"/>
    </xf>
    <xf numFmtId="3" fontId="136" fillId="25" borderId="19" applyAlignment="1" pivotButton="0" quotePrefix="0" xfId="0">
      <alignment horizontal="center"/>
    </xf>
    <xf numFmtId="3" fontId="136" fillId="25" borderId="19" applyAlignment="1" pivotButton="0" quotePrefix="0" xfId="0">
      <alignment horizontal="center"/>
    </xf>
    <xf numFmtId="3" fontId="128" fillId="30" borderId="19" applyAlignment="1" pivotButton="0" quotePrefix="0" xfId="0">
      <alignment horizontal="center"/>
    </xf>
    <xf numFmtId="49" fontId="122" fillId="30" borderId="39" pivotButton="0" quotePrefix="0" xfId="0"/>
    <xf numFmtId="49" fontId="125" fillId="30" borderId="19" pivotButton="0" quotePrefix="0" xfId="0"/>
    <xf numFmtId="3" fontId="134" fillId="30" borderId="36" applyAlignment="1" pivotButton="0" quotePrefix="0" xfId="0">
      <alignment horizontal="center"/>
    </xf>
    <xf numFmtId="3" fontId="131" fillId="30" borderId="34" applyAlignment="1" pivotButton="0" quotePrefix="0" xfId="0">
      <alignment horizontal="center"/>
    </xf>
    <xf numFmtId="3" fontId="136" fillId="0" borderId="19" applyAlignment="1" pivotButton="0" quotePrefix="0" xfId="0">
      <alignment horizontal="center"/>
    </xf>
    <xf numFmtId="3" fontId="136" fillId="0" borderId="19" applyAlignment="1" pivotButton="0" quotePrefix="0" xfId="0">
      <alignment horizontal="center"/>
    </xf>
    <xf numFmtId="3" fontId="138" fillId="3" borderId="19" applyAlignment="1" pivotButton="0" quotePrefix="0" xfId="0">
      <alignment horizontal="center"/>
    </xf>
    <xf numFmtId="3" fontId="139" fillId="0" borderId="19" applyAlignment="1" pivotButton="0" quotePrefix="0" xfId="0">
      <alignment horizontal="center"/>
    </xf>
    <xf numFmtId="3" fontId="138" fillId="0" borderId="19" applyAlignment="1" pivotButton="0" quotePrefix="0" xfId="0">
      <alignment horizontal="center"/>
    </xf>
    <xf numFmtId="3" fontId="129" fillId="30" borderId="40" applyAlignment="1" pivotButton="0" quotePrefix="0" xfId="0">
      <alignment horizontal="center"/>
    </xf>
    <xf numFmtId="49" fontId="122" fillId="30" borderId="41" pivotButton="0" quotePrefix="0" xfId="0"/>
    <xf numFmtId="49" fontId="122" fillId="30" borderId="40" pivotButton="0" quotePrefix="0" xfId="0"/>
    <xf numFmtId="3" fontId="129" fillId="31" borderId="42" applyAlignment="1" pivotButton="0" quotePrefix="0" xfId="0">
      <alignment horizontal="center"/>
    </xf>
    <xf numFmtId="3" fontId="130" fillId="30" borderId="43" applyAlignment="1" pivotButton="0" quotePrefix="0" xfId="0">
      <alignment horizontal="center"/>
    </xf>
    <xf numFmtId="49" fontId="122" fillId="31" borderId="0" pivotButton="0" quotePrefix="0" xfId="0"/>
    <xf numFmtId="49" fontId="50" fillId="31" borderId="44" pivotButton="0" quotePrefix="0" xfId="0"/>
    <xf numFmtId="3" fontId="129" fillId="25" borderId="45" applyAlignment="1" pivotButton="0" quotePrefix="0" xfId="0">
      <alignment horizontal="center"/>
    </xf>
    <xf numFmtId="3" fontId="140" fillId="31" borderId="42" applyAlignment="1" pivotButton="0" quotePrefix="0" xfId="0">
      <alignment horizontal="center"/>
    </xf>
    <xf numFmtId="3" fontId="134" fillId="31" borderId="36" applyAlignment="1" pivotButton="0" quotePrefix="0" xfId="0">
      <alignment horizontal="center"/>
    </xf>
    <xf numFmtId="3" fontId="131" fillId="31" borderId="34" applyAlignment="1" pivotButton="0" quotePrefix="0" xfId="0">
      <alignment horizontal="center"/>
    </xf>
    <xf numFmtId="49" fontId="122" fillId="18" borderId="46" pivotButton="0" quotePrefix="0" xfId="0"/>
    <xf numFmtId="49" fontId="50" fillId="18" borderId="47" pivotButton="0" quotePrefix="0" xfId="0"/>
    <xf numFmtId="3" fontId="50" fillId="25" borderId="45" pivotButton="0" quotePrefix="0" xfId="0"/>
    <xf numFmtId="3" fontId="50" fillId="25" borderId="48" pivotButton="0" quotePrefix="0" xfId="0"/>
    <xf numFmtId="3" fontId="130" fillId="25" borderId="45" applyAlignment="1" pivotButton="0" quotePrefix="0" xfId="0">
      <alignment horizontal="center"/>
    </xf>
    <xf numFmtId="3" fontId="113" fillId="21" borderId="34" pivotButton="0" quotePrefix="0" xfId="0"/>
    <xf numFmtId="49" fontId="125" fillId="18" borderId="49" pivotButton="0" quotePrefix="0" xfId="0"/>
    <xf numFmtId="49" fontId="125" fillId="18" borderId="48" pivotButton="0" quotePrefix="0" xfId="0"/>
    <xf numFmtId="3" fontId="50" fillId="0" borderId="48" pivotButton="0" quotePrefix="0" xfId="0"/>
    <xf numFmtId="3" fontId="50" fillId="25" borderId="19" pivotButton="0" quotePrefix="0" xfId="0"/>
    <xf numFmtId="3" fontId="130" fillId="32" borderId="19" applyAlignment="1" pivotButton="0" quotePrefix="0" xfId="0">
      <alignment horizontal="center"/>
    </xf>
    <xf numFmtId="49" fontId="141" fillId="18" borderId="39" pivotButton="0" quotePrefix="0" xfId="0"/>
    <xf numFmtId="3" fontId="140" fillId="33" borderId="19" applyAlignment="1" pivotButton="0" quotePrefix="0" xfId="0">
      <alignment horizontal="center"/>
    </xf>
    <xf numFmtId="3" fontId="140" fillId="34" borderId="19" applyAlignment="1" pivotButton="0" quotePrefix="0" xfId="0">
      <alignment horizontal="center"/>
    </xf>
    <xf numFmtId="3" fontId="140" fillId="35" borderId="19" applyAlignment="1" pivotButton="0" quotePrefix="0" xfId="0">
      <alignment horizontal="center"/>
    </xf>
    <xf numFmtId="3" fontId="130" fillId="36" borderId="19" applyAlignment="1" pivotButton="0" quotePrefix="0" xfId="0">
      <alignment horizontal="center"/>
    </xf>
    <xf numFmtId="3" fontId="130" fillId="37" borderId="19" applyAlignment="1" pivotButton="0" quotePrefix="0" xfId="0">
      <alignment horizontal="center"/>
    </xf>
    <xf numFmtId="3" fontId="130" fillId="38" borderId="19" applyAlignment="1" pivotButton="0" quotePrefix="0" xfId="0">
      <alignment horizontal="center"/>
    </xf>
    <xf numFmtId="3" fontId="130" fillId="39" borderId="19" applyAlignment="1" pivotButton="0" quotePrefix="0" xfId="0">
      <alignment horizontal="center"/>
    </xf>
    <xf numFmtId="3" fontId="130" fillId="40" borderId="19" applyAlignment="1" pivotButton="0" quotePrefix="0" xfId="0">
      <alignment horizontal="center"/>
    </xf>
    <xf numFmtId="3" fontId="130" fillId="41" borderId="19" applyAlignment="1" pivotButton="0" quotePrefix="0" xfId="0">
      <alignment horizontal="center"/>
    </xf>
    <xf numFmtId="3" fontId="130" fillId="42" borderId="19" applyAlignment="1" pivotButton="0" quotePrefix="0" xfId="0">
      <alignment horizontal="center"/>
    </xf>
    <xf numFmtId="3" fontId="130" fillId="43" borderId="19" applyAlignment="1" pivotButton="0" quotePrefix="0" xfId="0">
      <alignment horizontal="center"/>
    </xf>
    <xf numFmtId="3" fontId="130" fillId="44" borderId="19" applyAlignment="1" pivotButton="0" quotePrefix="0" xfId="0">
      <alignment horizontal="center"/>
    </xf>
    <xf numFmtId="3" fontId="130" fillId="45" borderId="19" applyAlignment="1" pivotButton="0" quotePrefix="0" xfId="0">
      <alignment horizontal="center"/>
    </xf>
    <xf numFmtId="3" fontId="140" fillId="46" borderId="19" applyAlignment="1" pivotButton="0" quotePrefix="0" xfId="0">
      <alignment horizontal="center"/>
    </xf>
    <xf numFmtId="3" fontId="140" fillId="47" borderId="19" applyAlignment="1" pivotButton="0" quotePrefix="0" xfId="0">
      <alignment horizontal="center"/>
    </xf>
    <xf numFmtId="3" fontId="140" fillId="48" borderId="19" applyAlignment="1" pivotButton="0" quotePrefix="0" xfId="0">
      <alignment horizontal="center"/>
    </xf>
    <xf numFmtId="3" fontId="130" fillId="49" borderId="19" applyAlignment="1" pivotButton="0" quotePrefix="0" xfId="0">
      <alignment horizontal="center"/>
    </xf>
    <xf numFmtId="3" fontId="130" fillId="50" borderId="19" applyAlignment="1" pivotButton="0" quotePrefix="0" xfId="0">
      <alignment horizontal="center"/>
    </xf>
    <xf numFmtId="3" fontId="130" fillId="51" borderId="19" applyAlignment="1" pivotButton="0" quotePrefix="0" xfId="0">
      <alignment horizontal="center"/>
    </xf>
    <xf numFmtId="3" fontId="130" fillId="52" borderId="19" applyAlignment="1" pivotButton="0" quotePrefix="0" xfId="0">
      <alignment horizontal="center"/>
    </xf>
    <xf numFmtId="3" fontId="130" fillId="53" borderId="19" applyAlignment="1" pivotButton="0" quotePrefix="0" xfId="0">
      <alignment horizontal="center"/>
    </xf>
    <xf numFmtId="3" fontId="130" fillId="54" borderId="19" applyAlignment="1" pivotButton="0" quotePrefix="0" xfId="0">
      <alignment horizontal="center"/>
    </xf>
    <xf numFmtId="3" fontId="130" fillId="55" borderId="19" applyAlignment="1" pivotButton="0" quotePrefix="0" xfId="0">
      <alignment horizontal="center"/>
    </xf>
    <xf numFmtId="3" fontId="130" fillId="56" borderId="19" applyAlignment="1" pivotButton="0" quotePrefix="0" xfId="0">
      <alignment horizontal="center"/>
    </xf>
    <xf numFmtId="3" fontId="130" fillId="57" borderId="19" applyAlignment="1" pivotButton="0" quotePrefix="0" xfId="0">
      <alignment horizontal="center"/>
    </xf>
    <xf numFmtId="3" fontId="130" fillId="58" borderId="19" applyAlignment="1" pivotButton="0" quotePrefix="0" xfId="0">
      <alignment horizontal="center"/>
    </xf>
    <xf numFmtId="3" fontId="130" fillId="59" borderId="19" applyAlignment="1" pivotButton="0" quotePrefix="0" xfId="0">
      <alignment horizontal="center"/>
    </xf>
    <xf numFmtId="3" fontId="130" fillId="60" borderId="19" applyAlignment="1" pivotButton="0" quotePrefix="0" xfId="0">
      <alignment horizontal="center"/>
    </xf>
    <xf numFmtId="3" fontId="142" fillId="2" borderId="40" applyAlignment="1" pivotButton="0" quotePrefix="0" xfId="0">
      <alignment horizontal="center"/>
    </xf>
    <xf numFmtId="3" fontId="130" fillId="61" borderId="19" applyAlignment="1" pivotButton="0" quotePrefix="0" xfId="0">
      <alignment horizontal="center"/>
    </xf>
    <xf numFmtId="49" fontId="143" fillId="2" borderId="19" pivotButton="0" quotePrefix="0" xfId="0"/>
    <xf numFmtId="49" fontId="50" fillId="2" borderId="19" pivotButton="0" quotePrefix="0" xfId="0"/>
    <xf numFmtId="3" fontId="144" fillId="2" borderId="40" applyAlignment="1" pivotButton="0" quotePrefix="0" xfId="0">
      <alignment horizontal="center"/>
    </xf>
    <xf numFmtId="4" fontId="113" fillId="21" borderId="34" pivotButton="0" quotePrefix="0" xfId="0"/>
    <xf numFmtId="49" fontId="50" fillId="2" borderId="0" pivotButton="0" quotePrefix="0" xfId="0"/>
    <xf numFmtId="3" fontId="50" fillId="2" borderId="0" pivotButton="0" quotePrefix="0" xfId="0"/>
    <xf numFmtId="0" fontId="50" fillId="2" borderId="26" pivotButton="0" quotePrefix="0" xfId="0"/>
    <xf numFmtId="0" fontId="50" fillId="62" borderId="23" pivotButton="0" quotePrefix="0" xfId="0"/>
    <xf numFmtId="4" fontId="146" fillId="63" borderId="53" pivotButton="0" quotePrefix="0" xfId="0"/>
    <xf numFmtId="0" fontId="50" fillId="2" borderId="54" pivotButton="0" quotePrefix="0" xfId="0"/>
    <xf numFmtId="3" fontId="50" fillId="2" borderId="26" pivotButton="0" quotePrefix="0" xfId="0"/>
    <xf numFmtId="0" fontId="113" fillId="2" borderId="23" applyAlignment="1" pivotButton="0" quotePrefix="0" xfId="0">
      <alignment horizontal="center"/>
    </xf>
    <xf numFmtId="4" fontId="113" fillId="2" borderId="23" applyAlignment="1" pivotButton="0" quotePrefix="0" xfId="0">
      <alignment horizontal="right"/>
    </xf>
    <xf numFmtId="0" fontId="48" fillId="2" borderId="1" pivotButton="0" quotePrefix="0" xfId="0"/>
    <xf numFmtId="0" fontId="48" fillId="2" borderId="0" pivotButton="0" quotePrefix="0" xfId="0"/>
    <xf numFmtId="3" fontId="113" fillId="2" borderId="1" applyAlignment="1" pivotButton="0" quotePrefix="0" xfId="0">
      <alignment horizontal="right"/>
    </xf>
    <xf numFmtId="4" fontId="113" fillId="2" borderId="1" applyAlignment="1" pivotButton="0" quotePrefix="0" xfId="0">
      <alignment horizontal="right"/>
    </xf>
    <xf numFmtId="0" fontId="48" fillId="2" borderId="1" pivotButton="0" quotePrefix="0" xfId="0"/>
    <xf numFmtId="0" fontId="113" fillId="0" borderId="0" pivotButton="0" quotePrefix="0" xfId="0"/>
    <xf numFmtId="0" fontId="147" fillId="0" borderId="0" pivotButton="0" quotePrefix="0" xfId="0"/>
    <xf numFmtId="0" fontId="115" fillId="64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10" fontId="7" fillId="0" borderId="1" pivotButton="0" quotePrefix="0" xfId="0"/>
    <xf numFmtId="0" fontId="15" fillId="0" borderId="1" applyAlignment="1" pivotButton="0" quotePrefix="0" xfId="0">
      <alignment horizontal="left"/>
    </xf>
    <xf numFmtId="0" fontId="89" fillId="2" borderId="1" applyAlignment="1" pivotButton="0" quotePrefix="0" xfId="0">
      <alignment horizontal="left" wrapText="1"/>
    </xf>
    <xf numFmtId="0" fontId="15" fillId="0" borderId="1" applyAlignment="1" pivotButton="0" quotePrefix="0" xfId="0">
      <alignment horizontal="left" wrapText="1"/>
    </xf>
    <xf numFmtId="0" fontId="15" fillId="0" borderId="1" pivotButton="0" quotePrefix="0" xfId="0"/>
    <xf numFmtId="0" fontId="115" fillId="0" borderId="1" applyAlignment="1" pivotButton="0" quotePrefix="0" xfId="0">
      <alignment horizontal="left"/>
    </xf>
    <xf numFmtId="0" fontId="115" fillId="0" borderId="1" applyAlignment="1" pivotButton="0" quotePrefix="0" xfId="0">
      <alignment horizontal="left" wrapText="1"/>
    </xf>
    <xf numFmtId="0" fontId="149" fillId="10" borderId="1" applyAlignment="1" pivotButton="0" quotePrefix="0" xfId="0">
      <alignment horizontal="left" vertical="top"/>
    </xf>
    <xf numFmtId="0" fontId="150" fillId="0" borderId="1" pivotButton="0" quotePrefix="0" xfId="0"/>
    <xf numFmtId="4" fontId="150" fillId="0" borderId="1" pivotButton="0" quotePrefix="0" xfId="0"/>
    <xf numFmtId="4" fontId="7" fillId="0" borderId="1" pivotButton="0" quotePrefix="0" xfId="0"/>
    <xf numFmtId="10" fontId="7" fillId="0" borderId="1" applyAlignment="1" pivotButton="0" quotePrefix="0" xfId="0">
      <alignment wrapText="1"/>
    </xf>
    <xf numFmtId="4" fontId="7" fillId="0" borderId="1" applyAlignment="1" pivotButton="0" quotePrefix="0" xfId="0">
      <alignment horizontal="right"/>
    </xf>
    <xf numFmtId="0" fontId="112" fillId="0" borderId="1" applyAlignment="1" pivotButton="0" quotePrefix="0" xfId="0">
      <alignment horizontal="left"/>
    </xf>
    <xf numFmtId="0" fontId="112" fillId="0" borderId="1" applyAlignment="1" pivotButton="0" quotePrefix="0" xfId="0">
      <alignment horizontal="left" wrapText="1"/>
    </xf>
    <xf numFmtId="4" fontId="112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right" wrapText="1"/>
    </xf>
    <xf numFmtId="0" fontId="15" fillId="0" borderId="1" applyAlignment="1" pivotButton="0" quotePrefix="0" xfId="0">
      <alignment horizontal="right"/>
    </xf>
    <xf numFmtId="4" fontId="15" fillId="0" borderId="1" applyAlignment="1" pivotButton="0" quotePrefix="0" xfId="0">
      <alignment horizontal="right"/>
    </xf>
    <xf numFmtId="0" fontId="112" fillId="0" borderId="1" applyAlignment="1" pivotButton="0" quotePrefix="0" xfId="0">
      <alignment horizontal="right" wrapText="1"/>
    </xf>
    <xf numFmtId="0" fontId="112" fillId="0" borderId="1" applyAlignment="1" pivotButton="0" quotePrefix="0" xfId="0">
      <alignment horizontal="right"/>
    </xf>
    <xf numFmtId="4" fontId="112" fillId="0" borderId="1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10" fontId="7" fillId="0" borderId="1" applyAlignment="1" pivotButton="0" quotePrefix="0" xfId="0">
      <alignment horizontal="right"/>
    </xf>
    <xf numFmtId="0" fontId="50" fillId="6" borderId="0" pivotButton="0" quotePrefix="0" xfId="0"/>
    <xf numFmtId="0" fontId="153" fillId="6" borderId="0" pivotButton="0" quotePrefix="0" xfId="0"/>
    <xf numFmtId="0" fontId="153" fillId="16" borderId="0" pivotButton="0" quotePrefix="0" xfId="0"/>
    <xf numFmtId="0" fontId="50" fillId="16" borderId="0" pivotButton="0" quotePrefix="0" xfId="0"/>
    <xf numFmtId="0" fontId="50" fillId="17" borderId="1" pivotButton="0" quotePrefix="0" xfId="0"/>
    <xf numFmtId="0" fontId="50" fillId="17" borderId="13" pivotButton="0" quotePrefix="0" xfId="0"/>
    <xf numFmtId="0" fontId="50" fillId="17" borderId="13" pivotButton="0" quotePrefix="0" xfId="0"/>
    <xf numFmtId="4" fontId="43" fillId="0" borderId="1" pivotButton="0" quotePrefix="0" xfId="0"/>
    <xf numFmtId="4" fontId="43" fillId="2" borderId="1" applyAlignment="1" pivotButton="0" quotePrefix="0" xfId="0">
      <alignment horizontal="right"/>
    </xf>
    <xf numFmtId="165" fontId="50" fillId="2" borderId="0" pivotButton="0" quotePrefix="0" xfId="0"/>
    <xf numFmtId="4" fontId="43" fillId="2" borderId="1" applyAlignment="1" pivotButton="0" quotePrefix="0" xfId="0">
      <alignment horizontal="right"/>
    </xf>
    <xf numFmtId="4" fontId="43" fillId="0" borderId="1" pivotButton="0" quotePrefix="0" xfId="0"/>
    <xf numFmtId="0" fontId="50" fillId="0" borderId="0" pivotButton="0" quotePrefix="0" xfId="0"/>
    <xf numFmtId="0" fontId="50" fillId="2" borderId="0" pivotButton="0" quotePrefix="0" xfId="0"/>
    <xf numFmtId="4" fontId="43" fillId="2" borderId="1" pivotButton="0" quotePrefix="0" xfId="0"/>
    <xf numFmtId="4" fontId="50" fillId="2" borderId="0" pivotButton="0" quotePrefix="0" xfId="0"/>
    <xf numFmtId="165" fontId="43" fillId="2" borderId="1" pivotButton="0" quotePrefix="0" xfId="0"/>
    <xf numFmtId="0" fontId="43" fillId="2" borderId="1" pivotButton="0" quotePrefix="0" xfId="0"/>
    <xf numFmtId="0" fontId="154" fillId="0" borderId="0" pivotButton="0" quotePrefix="0" xfId="0"/>
    <xf numFmtId="0" fontId="119" fillId="2" borderId="0" pivotButton="0" quotePrefix="0" xfId="0"/>
    <xf numFmtId="14" fontId="128" fillId="26" borderId="19" applyAlignment="1" pivotButton="0" quotePrefix="0" xfId="0">
      <alignment horizontal="center"/>
    </xf>
    <xf numFmtId="14" fontId="50" fillId="26" borderId="19" pivotButton="0" quotePrefix="0" xfId="0"/>
    <xf numFmtId="3" fontId="129" fillId="26" borderId="19" applyAlignment="1" pivotButton="0" quotePrefix="0" xfId="0">
      <alignment horizontal="center"/>
    </xf>
    <xf numFmtId="3" fontId="129" fillId="25" borderId="19" applyAlignment="1" pivotButton="0" quotePrefix="0" xfId="0">
      <alignment horizontal="center"/>
    </xf>
    <xf numFmtId="3" fontId="129" fillId="26" borderId="19" applyAlignment="1" pivotButton="0" quotePrefix="0" xfId="0">
      <alignment horizontal="center"/>
    </xf>
    <xf numFmtId="3" fontId="129" fillId="2" borderId="19" applyAlignment="1" pivotButton="0" quotePrefix="0" xfId="0">
      <alignment horizontal="center"/>
    </xf>
    <xf numFmtId="3" fontId="129" fillId="62" borderId="19" applyAlignment="1" pivotButton="0" quotePrefix="0" xfId="0">
      <alignment horizontal="center"/>
    </xf>
    <xf numFmtId="3" fontId="128" fillId="25" borderId="19" applyAlignment="1" pivotButton="0" quotePrefix="0" xfId="0">
      <alignment horizontal="center"/>
    </xf>
    <xf numFmtId="3" fontId="50" fillId="62" borderId="19" pivotButton="0" quotePrefix="0" xfId="0"/>
    <xf numFmtId="3" fontId="50" fillId="26" borderId="19" pivotButton="0" quotePrefix="0" xfId="0"/>
    <xf numFmtId="3" fontId="133" fillId="26" borderId="19" applyAlignment="1" pivotButton="0" quotePrefix="0" xfId="0">
      <alignment horizontal="right"/>
    </xf>
    <xf numFmtId="3" fontId="50" fillId="3" borderId="19" pivotButton="0" quotePrefix="0" xfId="0"/>
    <xf numFmtId="3" fontId="50" fillId="26" borderId="19" pivotButton="0" quotePrefix="0" xfId="0"/>
    <xf numFmtId="3" fontId="132" fillId="62" borderId="19" applyAlignment="1" pivotButton="0" quotePrefix="0" xfId="0">
      <alignment horizontal="center"/>
    </xf>
    <xf numFmtId="3" fontId="132" fillId="26" borderId="19" applyAlignment="1" pivotButton="0" quotePrefix="0" xfId="0">
      <alignment horizontal="center"/>
    </xf>
    <xf numFmtId="3" fontId="113" fillId="26" borderId="19" pivotButton="0" quotePrefix="0" xfId="0"/>
    <xf numFmtId="3" fontId="50" fillId="26" borderId="19" pivotButton="0" quotePrefix="0" xfId="0"/>
    <xf numFmtId="3" fontId="89" fillId="26" borderId="19" applyAlignment="1" pivotButton="0" quotePrefix="0" xfId="0">
      <alignment horizontal="right"/>
    </xf>
    <xf numFmtId="3" fontId="50" fillId="62" borderId="19" pivotButton="0" quotePrefix="0" xfId="0"/>
    <xf numFmtId="3" fontId="113" fillId="26" borderId="19" pivotButton="0" quotePrefix="0" xfId="0"/>
    <xf numFmtId="3" fontId="155" fillId="26" borderId="19" applyAlignment="1" pivotButton="0" quotePrefix="0" xfId="0">
      <alignment horizontal="center"/>
    </xf>
    <xf numFmtId="3" fontId="132" fillId="26" borderId="19" applyAlignment="1" pivotButton="0" quotePrefix="0" xfId="0">
      <alignment horizontal="center"/>
    </xf>
    <xf numFmtId="3" fontId="156" fillId="26" borderId="19" applyAlignment="1" pivotButton="0" quotePrefix="0" xfId="0">
      <alignment horizontal="right"/>
    </xf>
    <xf numFmtId="3" fontId="136" fillId="26" borderId="19" applyAlignment="1" pivotButton="0" quotePrefix="0" xfId="0">
      <alignment horizontal="center"/>
    </xf>
    <xf numFmtId="3" fontId="136" fillId="26" borderId="19" applyAlignment="1" pivotButton="0" quotePrefix="0" xfId="0">
      <alignment horizontal="center"/>
    </xf>
    <xf numFmtId="3" fontId="137" fillId="29" borderId="19" applyAlignment="1" pivotButton="0" quotePrefix="0" xfId="0">
      <alignment horizontal="center"/>
    </xf>
    <xf numFmtId="3" fontId="136" fillId="62" borderId="19" applyAlignment="1" pivotButton="0" quotePrefix="0" xfId="0">
      <alignment horizontal="center"/>
    </xf>
    <xf numFmtId="3" fontId="156" fillId="66" borderId="19" applyAlignment="1" pivotButton="0" quotePrefix="0" xfId="0">
      <alignment horizontal="center"/>
    </xf>
    <xf numFmtId="3" fontId="138" fillId="25" borderId="19" applyAlignment="1" pivotButton="0" quotePrefix="0" xfId="0">
      <alignment horizontal="center"/>
    </xf>
    <xf numFmtId="3" fontId="139" fillId="25" borderId="19" applyAlignment="1" pivotButton="0" quotePrefix="0" xfId="0">
      <alignment horizontal="center"/>
    </xf>
    <xf numFmtId="3" fontId="138" fillId="25" borderId="19" applyAlignment="1" pivotButton="0" quotePrefix="0" xfId="0">
      <alignment horizontal="center"/>
    </xf>
    <xf numFmtId="3" fontId="129" fillId="26" borderId="45" applyAlignment="1" pivotButton="0" quotePrefix="0" xfId="0">
      <alignment horizontal="center"/>
    </xf>
    <xf numFmtId="3" fontId="50" fillId="62" borderId="45" pivotButton="0" quotePrefix="0" xfId="0"/>
    <xf numFmtId="3" fontId="50" fillId="26" borderId="45" pivotButton="0" quotePrefix="0" xfId="0"/>
    <xf numFmtId="3" fontId="129" fillId="2" borderId="45" applyAlignment="1" pivotButton="0" quotePrefix="0" xfId="0">
      <alignment horizontal="center"/>
    </xf>
    <xf numFmtId="3" fontId="129" fillId="62" borderId="45" applyAlignment="1" pivotButton="0" quotePrefix="0" xfId="0">
      <alignment horizontal="center"/>
    </xf>
    <xf numFmtId="3" fontId="50" fillId="26" borderId="48" pivotButton="0" quotePrefix="0" xfId="0"/>
    <xf numFmtId="3" fontId="50" fillId="62" borderId="48" pivotButton="0" quotePrefix="0" xfId="0"/>
    <xf numFmtId="3" fontId="50" fillId="2" borderId="48" pivotButton="0" quotePrefix="0" xfId="0"/>
    <xf numFmtId="3" fontId="157" fillId="25" borderId="19" applyAlignment="1" pivotButton="0" quotePrefix="0" xfId="0">
      <alignment horizontal="center"/>
    </xf>
    <xf numFmtId="3" fontId="157" fillId="67" borderId="48" applyAlignment="1" pivotButton="0" quotePrefix="0" xfId="0">
      <alignment horizontal="center"/>
    </xf>
    <xf numFmtId="3" fontId="157" fillId="62" borderId="48" applyAlignment="1" pivotButton="0" quotePrefix="0" xfId="0">
      <alignment horizontal="center"/>
    </xf>
    <xf numFmtId="3" fontId="50" fillId="26" borderId="48" pivotButton="0" quotePrefix="0" xfId="0"/>
    <xf numFmtId="3" fontId="157" fillId="67" borderId="19" applyAlignment="1" pivotButton="0" quotePrefix="0" xfId="0">
      <alignment horizontal="center"/>
    </xf>
    <xf numFmtId="3" fontId="140" fillId="68" borderId="19" applyAlignment="1" pivotButton="0" quotePrefix="0" xfId="0">
      <alignment horizontal="center"/>
    </xf>
    <xf numFmtId="3" fontId="140" fillId="69" borderId="19" applyAlignment="1" pivotButton="0" quotePrefix="0" xfId="0">
      <alignment horizontal="center"/>
    </xf>
    <xf numFmtId="3" fontId="140" fillId="15" borderId="19" applyAlignment="1" pivotButton="0" quotePrefix="0" xfId="0">
      <alignment horizontal="center"/>
    </xf>
    <xf numFmtId="3" fontId="140" fillId="70" borderId="19" applyAlignment="1" pivotButton="0" quotePrefix="0" xfId="0">
      <alignment horizontal="center"/>
    </xf>
    <xf numFmtId="3" fontId="140" fillId="71" borderId="19" applyAlignment="1" pivotButton="0" quotePrefix="0" xfId="0">
      <alignment horizontal="center"/>
    </xf>
    <xf numFmtId="3" fontId="140" fillId="72" borderId="19" applyAlignment="1" pivotButton="0" quotePrefix="0" xfId="0">
      <alignment horizontal="center"/>
    </xf>
    <xf numFmtId="3" fontId="140" fillId="73" borderId="19" applyAlignment="1" pivotButton="0" quotePrefix="0" xfId="0">
      <alignment horizontal="center"/>
    </xf>
    <xf numFmtId="3" fontId="140" fillId="74" borderId="19" applyAlignment="1" pivotButton="0" quotePrefix="0" xfId="0">
      <alignment horizontal="center"/>
    </xf>
    <xf numFmtId="3" fontId="140" fillId="45" borderId="19" applyAlignment="1" pivotButton="0" quotePrefix="0" xfId="0">
      <alignment horizontal="center"/>
    </xf>
    <xf numFmtId="3" fontId="140" fillId="75" borderId="19" applyAlignment="1" pivotButton="0" quotePrefix="0" xfId="0">
      <alignment horizontal="center"/>
    </xf>
    <xf numFmtId="3" fontId="140" fillId="76" borderId="19" applyAlignment="1" pivotButton="0" quotePrefix="0" xfId="0">
      <alignment horizontal="center"/>
    </xf>
    <xf numFmtId="3" fontId="140" fillId="77" borderId="19" applyAlignment="1" pivotButton="0" quotePrefix="0" xfId="0">
      <alignment horizontal="center"/>
    </xf>
    <xf numFmtId="3" fontId="140" fillId="78" borderId="19" applyAlignment="1" pivotButton="0" quotePrefix="0" xfId="0">
      <alignment horizontal="center"/>
    </xf>
    <xf numFmtId="3" fontId="140" fillId="79" borderId="19" applyAlignment="1" pivotButton="0" quotePrefix="0" xfId="0">
      <alignment horizontal="center"/>
    </xf>
    <xf numFmtId="3" fontId="140" fillId="61" borderId="19" applyAlignment="1" pivotButton="0" quotePrefix="0" xfId="0">
      <alignment horizontal="center"/>
    </xf>
    <xf numFmtId="3" fontId="50" fillId="2" borderId="0" pivotButton="0" quotePrefix="0" xfId="0"/>
    <xf numFmtId="3" fontId="50" fillId="2" borderId="54" pivotButton="0" quotePrefix="0" xfId="0"/>
    <xf numFmtId="0" fontId="50" fillId="2" borderId="59" pivotButton="0" quotePrefix="0" xfId="0"/>
    <xf numFmtId="0" fontId="50" fillId="2" borderId="26" pivotButton="0" quotePrefix="0" xfId="0"/>
    <xf numFmtId="4" fontId="50" fillId="2" borderId="26" pivotButton="0" quotePrefix="0" xfId="0"/>
    <xf numFmtId="4" fontId="50" fillId="2" borderId="26" applyAlignment="1" pivotButton="0" quotePrefix="0" xfId="0">
      <alignment horizontal="left"/>
    </xf>
    <xf numFmtId="0" fontId="38" fillId="0" borderId="0" pivotButton="0" quotePrefix="0" xfId="0"/>
    <xf numFmtId="4" fontId="159" fillId="0" borderId="3" applyAlignment="1" pivotButton="0" quotePrefix="0" xfId="0">
      <alignment horizontal="center"/>
    </xf>
    <xf numFmtId="0" fontId="160" fillId="2" borderId="12" applyAlignment="1" pivotButton="0" quotePrefix="0" xfId="0">
      <alignment horizontal="left"/>
    </xf>
    <xf numFmtId="4" fontId="38" fillId="2" borderId="3" applyAlignment="1" pivotButton="0" quotePrefix="0" xfId="0">
      <alignment horizontal="right"/>
    </xf>
    <xf numFmtId="4" fontId="38" fillId="2" borderId="3" applyAlignment="1" pivotButton="0" quotePrefix="0" xfId="0">
      <alignment horizontal="right"/>
    </xf>
    <xf numFmtId="4" fontId="38" fillId="2" borderId="3" pivotButton="0" quotePrefix="0" xfId="0"/>
    <xf numFmtId="4" fontId="38" fillId="3" borderId="3" applyAlignment="1" pivotButton="0" quotePrefix="0" xfId="0">
      <alignment horizontal="right"/>
    </xf>
    <xf numFmtId="4" fontId="38" fillId="3" borderId="3" applyAlignment="1" pivotButton="0" quotePrefix="0" xfId="0">
      <alignment horizontal="right"/>
    </xf>
    <xf numFmtId="0" fontId="160" fillId="3" borderId="12" applyAlignment="1" pivotButton="0" quotePrefix="0" xfId="0">
      <alignment horizontal="left"/>
    </xf>
    <xf numFmtId="4" fontId="38" fillId="3" borderId="3" pivotButton="0" quotePrefix="0" xfId="0"/>
    <xf numFmtId="0" fontId="38" fillId="2" borderId="0" pivotButton="0" quotePrefix="0" xfId="0"/>
    <xf numFmtId="0" fontId="158" fillId="2" borderId="12" applyAlignment="1" pivotButton="0" quotePrefix="0" xfId="0">
      <alignment horizontal="left"/>
    </xf>
    <xf numFmtId="4" fontId="38" fillId="0" borderId="0" pivotButton="0" quotePrefix="0" xfId="0"/>
    <xf numFmtId="4" fontId="38" fillId="0" borderId="0" applyAlignment="1" pivotButton="0" quotePrefix="0" xfId="0">
      <alignment horizontal="right"/>
    </xf>
    <xf numFmtId="3" fontId="134" fillId="80" borderId="36" applyAlignment="1" pivotButton="0" quotePrefix="0" xfId="0">
      <alignment horizontal="center"/>
    </xf>
    <xf numFmtId="3" fontId="134" fillId="81" borderId="36" applyAlignment="1" pivotButton="0" quotePrefix="0" xfId="0">
      <alignment horizontal="center"/>
    </xf>
    <xf numFmtId="3" fontId="133" fillId="62" borderId="19" applyAlignment="1" pivotButton="0" quotePrefix="0" xfId="0">
      <alignment horizontal="right"/>
    </xf>
    <xf numFmtId="3" fontId="134" fillId="20" borderId="36" applyAlignment="1" pivotButton="0" quotePrefix="0" xfId="0">
      <alignment horizontal="center"/>
    </xf>
    <xf numFmtId="3" fontId="157" fillId="82" borderId="48" applyAlignment="1" pivotButton="0" quotePrefix="0" xfId="0">
      <alignment horizontal="center"/>
    </xf>
    <xf numFmtId="3" fontId="157" fillId="82" borderId="19" applyAlignment="1" pivotButton="0" quotePrefix="0" xfId="0">
      <alignment horizontal="center"/>
    </xf>
    <xf numFmtId="3" fontId="140" fillId="83" borderId="19" applyAlignment="1" pivotButton="0" quotePrefix="0" xfId="0">
      <alignment horizontal="center"/>
    </xf>
    <xf numFmtId="3" fontId="140" fillId="84" borderId="19" applyAlignment="1" pivotButton="0" quotePrefix="0" xfId="0">
      <alignment horizontal="center"/>
    </xf>
    <xf numFmtId="3" fontId="140" fillId="72" borderId="19" applyAlignment="1" pivotButton="0" quotePrefix="0" xfId="0">
      <alignment horizontal="center"/>
    </xf>
    <xf numFmtId="3" fontId="140" fillId="85" borderId="19" applyAlignment="1" pivotButton="0" quotePrefix="0" xfId="0">
      <alignment horizontal="center"/>
    </xf>
    <xf numFmtId="0" fontId="50" fillId="2" borderId="24" pivotButton="0" quotePrefix="0" xfId="0"/>
    <xf numFmtId="0" fontId="159" fillId="0" borderId="3" applyAlignment="1" pivotButton="0" quotePrefix="0" xfId="0">
      <alignment horizontal="center"/>
    </xf>
    <xf numFmtId="0" fontId="38" fillId="2" borderId="3" applyAlignment="1" pivotButton="0" quotePrefix="0" xfId="0">
      <alignment horizontal="right"/>
    </xf>
    <xf numFmtId="0" fontId="38" fillId="2" borderId="3" applyAlignment="1" pivotButton="0" quotePrefix="0" xfId="0">
      <alignment horizontal="right"/>
    </xf>
    <xf numFmtId="0" fontId="38" fillId="2" borderId="3" pivotButton="0" quotePrefix="0" xfId="0"/>
    <xf numFmtId="0" fontId="38" fillId="2" borderId="3" applyAlignment="1" pivotButton="0" quotePrefix="0" xfId="0">
      <alignment horizontal="right"/>
    </xf>
    <xf numFmtId="0" fontId="38" fillId="2" borderId="3" pivotButton="0" quotePrefix="0" xfId="0"/>
    <xf numFmtId="0" fontId="38" fillId="3" borderId="3" applyAlignment="1" pivotButton="0" quotePrefix="0" xfId="0">
      <alignment horizontal="right"/>
    </xf>
    <xf numFmtId="0" fontId="38" fillId="3" borderId="3" applyAlignment="1" pivotButton="0" quotePrefix="0" xfId="0">
      <alignment horizontal="right"/>
    </xf>
    <xf numFmtId="0" fontId="38" fillId="3" borderId="3" pivotButton="0" quotePrefix="0" xfId="0"/>
    <xf numFmtId="0" fontId="38" fillId="0" borderId="0" applyAlignment="1" pivotButton="0" quotePrefix="0" xfId="0">
      <alignment horizontal="right"/>
    </xf>
    <xf numFmtId="3" fontId="161" fillId="2" borderId="1" applyAlignment="1" pivotButton="0" quotePrefix="0" xfId="0">
      <alignment horizontal="center"/>
    </xf>
    <xf numFmtId="4" fontId="7" fillId="3" borderId="1" pivotButton="0" quotePrefix="0" xfId="0"/>
    <xf numFmtId="4" fontId="3" fillId="0" borderId="1" pivotButton="0" quotePrefix="0" xfId="0"/>
    <xf numFmtId="0" fontId="7" fillId="66" borderId="1" pivotButton="0" quotePrefix="0" xfId="0"/>
    <xf numFmtId="4" fontId="53" fillId="0" borderId="0" pivotButton="0" quotePrefix="0" xfId="0"/>
    <xf numFmtId="0" fontId="15" fillId="0" borderId="0" pivotButton="0" quotePrefix="0" xfId="0"/>
    <xf numFmtId="0" fontId="15" fillId="0" borderId="61" pivotButton="0" quotePrefix="0" xfId="0"/>
    <xf numFmtId="0" fontId="162" fillId="0" borderId="1" pivotButton="0" quotePrefix="0" xfId="0"/>
    <xf numFmtId="0" fontId="15" fillId="0" borderId="1" pivotButton="0" quotePrefix="0" xfId="0"/>
    <xf numFmtId="0" fontId="15" fillId="3" borderId="1" applyAlignment="1" pivotButton="0" quotePrefix="0" xfId="0">
      <alignment horizontal="center"/>
    </xf>
    <xf numFmtId="0" fontId="15" fillId="3" borderId="1" pivotButton="0" quotePrefix="0" xfId="0"/>
    <xf numFmtId="0" fontId="15" fillId="0" borderId="1" pivotButton="0" quotePrefix="0" xfId="0"/>
    <xf numFmtId="166" fontId="15" fillId="0" borderId="1" pivotButton="0" quotePrefix="0" xfId="0"/>
    <xf numFmtId="167" fontId="16" fillId="0" borderId="1" pivotButton="0" quotePrefix="0" xfId="0"/>
    <xf numFmtId="0" fontId="16" fillId="0" borderId="1" pivotButton="0" quotePrefix="0" xfId="0"/>
    <xf numFmtId="0" fontId="15" fillId="0" borderId="62" pivotButton="0" quotePrefix="0" xfId="0"/>
    <xf numFmtId="0" fontId="15" fillId="3" borderId="1" applyAlignment="1" pivotButton="0" quotePrefix="0" xfId="0">
      <alignment horizontal="left"/>
    </xf>
    <xf numFmtId="0" fontId="15" fillId="3" borderId="1" pivotButton="0" quotePrefix="0" xfId="0"/>
    <xf numFmtId="0" fontId="15" fillId="0" borderId="0" pivotButton="0" quotePrefix="0" xfId="0"/>
    <xf numFmtId="0" fontId="15" fillId="0" borderId="14" pivotButton="0" quotePrefix="0" xfId="0"/>
    <xf numFmtId="167" fontId="15" fillId="0" borderId="1" pivotButton="0" quotePrefix="0" xfId="0"/>
    <xf numFmtId="0" fontId="15" fillId="0" borderId="63" pivotButton="0" quotePrefix="0" xfId="0"/>
    <xf numFmtId="0" fontId="15" fillId="86" borderId="1" pivotButton="0" quotePrefix="0" xfId="0"/>
    <xf numFmtId="0" fontId="15" fillId="86" borderId="1" pivotButton="0" quotePrefix="0" xfId="0"/>
    <xf numFmtId="0" fontId="15" fillId="0" borderId="0" pivotButton="0" quotePrefix="0" xfId="0"/>
    <xf numFmtId="0" fontId="89" fillId="18" borderId="19" applyAlignment="1" pivotButton="0" quotePrefix="0" xfId="0">
      <alignment horizontal="left"/>
    </xf>
    <xf numFmtId="0" fontId="89" fillId="18" borderId="19" applyAlignment="1" pivotButton="0" quotePrefix="0" xfId="0">
      <alignment horizontal="left"/>
    </xf>
    <xf numFmtId="0" fontId="157" fillId="87" borderId="19" applyAlignment="1" pivotButton="0" quotePrefix="0" xfId="0">
      <alignment horizontal="right"/>
    </xf>
    <xf numFmtId="0" fontId="89" fillId="18" borderId="44" applyAlignment="1" pivotButton="0" quotePrefix="0" xfId="0">
      <alignment horizontal="left"/>
    </xf>
    <xf numFmtId="0" fontId="89" fillId="18" borderId="31" applyAlignment="1" pivotButton="0" quotePrefix="0" xfId="0">
      <alignment horizontal="left"/>
    </xf>
    <xf numFmtId="0" fontId="157" fillId="88" borderId="19" applyAlignment="1" pivotButton="0" quotePrefix="0" xfId="0">
      <alignment horizontal="right"/>
    </xf>
    <xf numFmtId="0" fontId="157" fillId="87" borderId="19" applyAlignment="1" pivotButton="0" quotePrefix="0" xfId="0">
      <alignment horizontal="right"/>
    </xf>
    <xf numFmtId="165" fontId="50" fillId="0" borderId="19" pivotButton="0" quotePrefix="0" xfId="0"/>
    <xf numFmtId="49" fontId="165" fillId="0" borderId="19" pivotButton="0" quotePrefix="0" xfId="0"/>
    <xf numFmtId="49" fontId="50" fillId="0" borderId="19" pivotButton="0" quotePrefix="0" xfId="0"/>
    <xf numFmtId="49" fontId="165" fillId="0" borderId="35" pivotButton="0" quotePrefix="0" xfId="0"/>
    <xf numFmtId="49" fontId="166" fillId="0" borderId="16" pivotButton="0" quotePrefix="0" xfId="0"/>
    <xf numFmtId="49" fontId="125" fillId="0" borderId="19" pivotButton="0" quotePrefix="0" xfId="0"/>
    <xf numFmtId="49" fontId="165" fillId="0" borderId="16" pivotButton="0" quotePrefix="0" xfId="0"/>
    <xf numFmtId="49" fontId="122" fillId="0" borderId="19" pivotButton="0" quotePrefix="0" xfId="0"/>
    <xf numFmtId="3" fontId="128" fillId="0" borderId="19" applyAlignment="1" pivotButton="0" quotePrefix="0" xfId="0">
      <alignment horizontal="center"/>
    </xf>
    <xf numFmtId="0" fontId="120" fillId="0" borderId="65" pivotButton="0" quotePrefix="0" xfId="0"/>
    <xf numFmtId="49" fontId="165" fillId="0" borderId="37" pivotButton="0" quotePrefix="0" xfId="0"/>
    <xf numFmtId="49" fontId="165" fillId="0" borderId="38" pivotButton="0" quotePrefix="0" xfId="0"/>
    <xf numFmtId="49" fontId="166" fillId="0" borderId="39" pivotButton="0" quotePrefix="0" xfId="0"/>
    <xf numFmtId="49" fontId="166" fillId="0" borderId="19" pivotButton="0" quotePrefix="0" xfId="0"/>
    <xf numFmtId="49" fontId="165" fillId="0" borderId="39" pivotButton="0" quotePrefix="0" xfId="0"/>
    <xf numFmtId="49" fontId="165" fillId="0" borderId="41" pivotButton="0" quotePrefix="0" xfId="0"/>
    <xf numFmtId="49" fontId="122" fillId="0" borderId="40" pivotButton="0" quotePrefix="0" xfId="0"/>
    <xf numFmtId="3" fontId="129" fillId="0" borderId="40" applyAlignment="1" pivotButton="0" quotePrefix="0" xfId="0">
      <alignment horizontal="center"/>
    </xf>
    <xf numFmtId="49" fontId="165" fillId="0" borderId="0" pivotButton="0" quotePrefix="0" xfId="0"/>
    <xf numFmtId="49" fontId="50" fillId="0" borderId="44" pivotButton="0" quotePrefix="0" xfId="0"/>
    <xf numFmtId="3" fontId="129" fillId="0" borderId="42" applyAlignment="1" pivotButton="0" quotePrefix="0" xfId="0">
      <alignment horizontal="center"/>
    </xf>
    <xf numFmtId="49" fontId="165" fillId="0" borderId="46" pivotButton="0" quotePrefix="0" xfId="0"/>
    <xf numFmtId="49" fontId="50" fillId="0" borderId="47" pivotButton="0" quotePrefix="0" xfId="0"/>
    <xf numFmtId="3" fontId="129" fillId="0" borderId="45" applyAlignment="1" pivotButton="0" quotePrefix="0" xfId="0">
      <alignment horizontal="center"/>
    </xf>
    <xf numFmtId="49" fontId="166" fillId="0" borderId="49" pivotButton="0" quotePrefix="0" xfId="0"/>
    <xf numFmtId="49" fontId="125" fillId="0" borderId="48" pivotButton="0" quotePrefix="0" xfId="0"/>
    <xf numFmtId="3" fontId="157" fillId="0" borderId="19" applyAlignment="1" pivotButton="0" quotePrefix="0" xfId="0">
      <alignment horizontal="center"/>
    </xf>
    <xf numFmtId="3" fontId="140" fillId="0" borderId="19" applyAlignment="1" pivotButton="0" quotePrefix="0" xfId="0">
      <alignment horizontal="center"/>
    </xf>
    <xf numFmtId="49" fontId="167" fillId="0" borderId="19" pivotButton="0" quotePrefix="0" xfId="0"/>
    <xf numFmtId="3" fontId="142" fillId="0" borderId="40" applyAlignment="1" pivotButton="0" quotePrefix="0" xfId="0">
      <alignment horizontal="center"/>
    </xf>
    <xf numFmtId="0" fontId="168" fillId="0" borderId="23" pivotButton="0" quotePrefix="0" xfId="0"/>
    <xf numFmtId="0" fontId="50" fillId="0" borderId="26" pivotButton="0" quotePrefix="0" xfId="0"/>
    <xf numFmtId="0" fontId="50" fillId="0" borderId="23" pivotButton="0" quotePrefix="0" xfId="0"/>
    <xf numFmtId="0" fontId="119" fillId="0" borderId="23" pivotButton="0" quotePrefix="0" xfId="0"/>
    <xf numFmtId="3" fontId="50" fillId="0" borderId="26" pivotButton="0" quotePrefix="0" xfId="0"/>
    <xf numFmtId="4" fontId="50" fillId="0" borderId="23" pivotButton="0" quotePrefix="0" xfId="0"/>
    <xf numFmtId="4" fontId="50" fillId="0" borderId="26" pivotButton="0" quotePrefix="0" xfId="0"/>
    <xf numFmtId="165" fontId="128" fillId="0" borderId="19" applyAlignment="1" pivotButton="0" quotePrefix="0" xfId="0">
      <alignment horizontal="center"/>
    </xf>
    <xf numFmtId="165" fontId="122" fillId="0" borderId="19" applyAlignment="1" pivotButton="0" quotePrefix="0" xfId="0">
      <alignment horizontal="center"/>
    </xf>
    <xf numFmtId="14" fontId="128" fillId="0" borderId="19" applyAlignment="1" pivotButton="0" quotePrefix="0" xfId="0">
      <alignment horizontal="center"/>
    </xf>
    <xf numFmtId="14" fontId="50" fillId="0" borderId="19" pivotButton="0" quotePrefix="0" xfId="0"/>
    <xf numFmtId="3" fontId="169" fillId="0" borderId="19" applyAlignment="1" pivotButton="0" quotePrefix="0" xfId="0">
      <alignment horizontal="center"/>
    </xf>
    <xf numFmtId="3" fontId="135" fillId="0" borderId="19" applyAlignment="1" pivotButton="0" quotePrefix="0" xfId="0">
      <alignment horizontal="center"/>
    </xf>
    <xf numFmtId="3" fontId="128" fillId="0" borderId="48" applyAlignment="1" pivotButton="0" quotePrefix="0" xfId="0">
      <alignment horizontal="center"/>
    </xf>
    <xf numFmtId="4" fontId="129" fillId="0" borderId="19" applyAlignment="1" pivotButton="0" quotePrefix="0" xfId="0">
      <alignment horizontal="center"/>
    </xf>
    <xf numFmtId="3" fontId="129" fillId="0" borderId="50" applyAlignment="1" pivotButton="0" quotePrefix="0" xfId="0">
      <alignment horizontal="center"/>
    </xf>
    <xf numFmtId="4" fontId="169" fillId="0" borderId="39" applyAlignment="1" pivotButton="0" quotePrefix="0" xfId="0">
      <alignment horizontal="center"/>
    </xf>
    <xf numFmtId="3" fontId="170" fillId="0" borderId="19" applyAlignment="1" pivotButton="0" quotePrefix="0" xfId="0">
      <alignment horizontal="center"/>
    </xf>
    <xf numFmtId="3" fontId="169" fillId="0" borderId="34" applyAlignment="1" pivotButton="0" quotePrefix="0" xfId="0">
      <alignment horizontal="center"/>
    </xf>
    <xf numFmtId="3" fontId="129" fillId="0" borderId="39" applyAlignment="1" pivotButton="0" quotePrefix="0" xfId="0">
      <alignment horizontal="center"/>
    </xf>
    <xf numFmtId="3" fontId="133" fillId="0" borderId="19" applyAlignment="1" pivotButton="0" quotePrefix="0" xfId="0">
      <alignment horizontal="right"/>
    </xf>
    <xf numFmtId="3" fontId="171" fillId="0" borderId="19" applyAlignment="1" pivotButton="0" quotePrefix="0" xfId="0">
      <alignment horizontal="center"/>
    </xf>
    <xf numFmtId="3" fontId="172" fillId="0" borderId="19" applyAlignment="1" pivotButton="0" quotePrefix="0" xfId="0">
      <alignment horizontal="center"/>
    </xf>
    <xf numFmtId="3" fontId="113" fillId="0" borderId="19" pivotButton="0" quotePrefix="0" xfId="0"/>
    <xf numFmtId="3" fontId="132" fillId="0" borderId="19" applyAlignment="1" pivotButton="0" quotePrefix="0" xfId="0">
      <alignment horizontal="center"/>
    </xf>
    <xf numFmtId="3" fontId="157" fillId="0" borderId="39" applyAlignment="1" pivotButton="0" quotePrefix="0" xfId="0">
      <alignment horizontal="center"/>
    </xf>
    <xf numFmtId="3" fontId="173" fillId="0" borderId="36" applyAlignment="1" pivotButton="0" quotePrefix="0" xfId="0">
      <alignment horizontal="center"/>
    </xf>
    <xf numFmtId="3" fontId="173" fillId="0" borderId="68" applyAlignment="1" pivotButton="0" quotePrefix="0" xfId="0">
      <alignment horizontal="center"/>
    </xf>
    <xf numFmtId="3" fontId="170" fillId="0" borderId="34" applyAlignment="1" pivotButton="0" quotePrefix="0" xfId="0">
      <alignment horizontal="center"/>
    </xf>
    <xf numFmtId="3" fontId="113" fillId="0" borderId="19" pivotButton="0" quotePrefix="0" xfId="0"/>
    <xf numFmtId="3" fontId="156" fillId="0" borderId="19" applyAlignment="1" pivotButton="0" quotePrefix="0" xfId="0">
      <alignment horizontal="center"/>
    </xf>
    <xf numFmtId="3" fontId="155" fillId="0" borderId="19" applyAlignment="1" pivotButton="0" quotePrefix="0" xfId="0">
      <alignment horizontal="center"/>
    </xf>
    <xf numFmtId="3" fontId="122" fillId="0" borderId="19" applyAlignment="1" pivotButton="0" quotePrefix="0" xfId="0">
      <alignment horizontal="center"/>
    </xf>
    <xf numFmtId="3" fontId="174" fillId="0" borderId="36" applyAlignment="1" pivotButton="0" quotePrefix="0" xfId="0">
      <alignment horizontal="center"/>
    </xf>
    <xf numFmtId="3" fontId="174" fillId="0" borderId="68" applyAlignment="1" pivotButton="0" quotePrefix="0" xfId="0">
      <alignment horizontal="center"/>
    </xf>
    <xf numFmtId="3" fontId="50" fillId="0" borderId="19" pivotButton="0" quotePrefix="0" xfId="0"/>
    <xf numFmtId="3" fontId="170" fillId="0" borderId="36" applyAlignment="1" pivotButton="0" quotePrefix="0" xfId="0">
      <alignment horizontal="center"/>
    </xf>
    <xf numFmtId="3" fontId="170" fillId="0" borderId="68" applyAlignment="1" pivotButton="0" quotePrefix="0" xfId="0">
      <alignment horizontal="center"/>
    </xf>
    <xf numFmtId="3" fontId="137" fillId="0" borderId="19" applyAlignment="1" pivotButton="0" quotePrefix="0" xfId="0">
      <alignment horizontal="center"/>
    </xf>
    <xf numFmtId="3" fontId="175" fillId="0" borderId="19" applyAlignment="1" pivotButton="0" quotePrefix="0" xfId="0">
      <alignment horizontal="center"/>
    </xf>
    <xf numFmtId="3" fontId="176" fillId="0" borderId="19" applyAlignment="1" pivotButton="0" quotePrefix="0" xfId="0">
      <alignment horizontal="center"/>
    </xf>
    <xf numFmtId="3" fontId="177" fillId="0" borderId="19" applyAlignment="1" pivotButton="0" quotePrefix="0" xfId="0">
      <alignment horizontal="center"/>
    </xf>
    <xf numFmtId="3" fontId="178" fillId="0" borderId="36" applyAlignment="1" pivotButton="0" quotePrefix="0" xfId="0">
      <alignment horizontal="center"/>
    </xf>
    <xf numFmtId="3" fontId="178" fillId="0" borderId="68" applyAlignment="1" pivotButton="0" quotePrefix="0" xfId="0">
      <alignment horizontal="center"/>
    </xf>
    <xf numFmtId="3" fontId="50" fillId="0" borderId="0" pivotButton="0" quotePrefix="0" xfId="0"/>
    <xf numFmtId="3" fontId="169" fillId="0" borderId="40" applyAlignment="1" pivotButton="0" quotePrefix="0" xfId="0">
      <alignment horizontal="center"/>
    </xf>
    <xf numFmtId="3" fontId="170" fillId="0" borderId="43" applyAlignment="1" pivotButton="0" quotePrefix="0" xfId="0">
      <alignment horizontal="center"/>
    </xf>
    <xf numFmtId="3" fontId="170" fillId="0" borderId="69" applyAlignment="1" pivotButton="0" quotePrefix="0" xfId="0">
      <alignment horizontal="center"/>
    </xf>
    <xf numFmtId="3" fontId="169" fillId="0" borderId="45" applyAlignment="1" pivotButton="0" quotePrefix="0" xfId="0">
      <alignment horizontal="center"/>
    </xf>
    <xf numFmtId="3" fontId="50" fillId="0" borderId="45" pivotButton="0" quotePrefix="0" xfId="0"/>
    <xf numFmtId="3" fontId="170" fillId="0" borderId="45" applyAlignment="1" pivotButton="0" quotePrefix="0" xfId="0">
      <alignment horizontal="center"/>
    </xf>
    <xf numFmtId="3" fontId="170" fillId="0" borderId="70" applyAlignment="1" pivotButton="0" quotePrefix="0" xfId="0">
      <alignment horizontal="center"/>
    </xf>
    <xf numFmtId="3" fontId="50" fillId="0" borderId="34" pivotButton="0" quotePrefix="0" xfId="0"/>
    <xf numFmtId="3" fontId="179" fillId="0" borderId="67" applyAlignment="1" pivotButton="0" quotePrefix="0" xfId="0">
      <alignment horizontal="center"/>
    </xf>
    <xf numFmtId="3" fontId="179" fillId="0" borderId="32" applyAlignment="1" pivotButton="0" quotePrefix="0" xfId="0">
      <alignment horizontal="center"/>
    </xf>
    <xf numFmtId="3" fontId="157" fillId="0" borderId="48" applyAlignment="1" pivotButton="0" quotePrefix="0" xfId="0">
      <alignment horizontal="center"/>
    </xf>
    <xf numFmtId="3" fontId="50" fillId="0" borderId="48" pivotButton="0" quotePrefix="0" xfId="0"/>
    <xf numFmtId="3" fontId="130" fillId="0" borderId="19" applyAlignment="1" pivotButton="0" quotePrefix="0" xfId="0">
      <alignment horizontal="center"/>
    </xf>
    <xf numFmtId="4" fontId="169" fillId="0" borderId="19" applyAlignment="1" pivotButton="0" quotePrefix="0" xfId="0">
      <alignment horizontal="center"/>
    </xf>
    <xf numFmtId="4" fontId="50" fillId="0" borderId="0" pivotButton="0" quotePrefix="0" xfId="0"/>
    <xf numFmtId="3" fontId="50" fillId="0" borderId="40" pivotButton="0" quotePrefix="0" xfId="0"/>
    <xf numFmtId="4" fontId="50" fillId="0" borderId="39" pivotButton="0" quotePrefix="0" xfId="0"/>
    <xf numFmtId="4" fontId="50" fillId="0" borderId="34" pivotButton="0" quotePrefix="0" xfId="0"/>
    <xf numFmtId="49" fontId="168" fillId="0" borderId="0" pivotButton="0" quotePrefix="0" xfId="0"/>
    <xf numFmtId="3" fontId="50" fillId="0" borderId="0" pivotButton="0" quotePrefix="0" xfId="0"/>
    <xf numFmtId="3" fontId="50" fillId="0" borderId="54" pivotButton="0" quotePrefix="0" xfId="0"/>
    <xf numFmtId="0" fontId="50" fillId="0" borderId="24" pivotButton="0" quotePrefix="0" xfId="0"/>
    <xf numFmtId="3" fontId="50" fillId="0" borderId="24" pivotButton="0" quotePrefix="0" xfId="0"/>
    <xf numFmtId="4" fontId="50" fillId="0" borderId="53" pivotButton="0" quotePrefix="0" xfId="0"/>
    <xf numFmtId="0" fontId="168" fillId="0" borderId="26" pivotButton="0" quotePrefix="0" xfId="0"/>
    <xf numFmtId="0" fontId="48" fillId="0" borderId="1" pivotButton="0" quotePrefix="0" xfId="0"/>
    <xf numFmtId="3" fontId="48" fillId="0" borderId="1" applyAlignment="1" pivotButton="0" quotePrefix="0" xfId="0">
      <alignment horizontal="right"/>
    </xf>
    <xf numFmtId="0" fontId="50" fillId="0" borderId="54" pivotButton="0" quotePrefix="0" xfId="0"/>
    <xf numFmtId="0" fontId="48" fillId="0" borderId="23" applyAlignment="1" pivotButton="0" quotePrefix="0" xfId="0">
      <alignment horizontal="center"/>
    </xf>
    <xf numFmtId="4" fontId="48" fillId="0" borderId="23" applyAlignment="1" pivotButton="0" quotePrefix="0" xfId="0">
      <alignment horizontal="right"/>
    </xf>
    <xf numFmtId="3" fontId="180" fillId="0" borderId="1" applyAlignment="1" pivotButton="0" quotePrefix="0" xfId="0">
      <alignment horizontal="right"/>
    </xf>
    <xf numFmtId="0" fontId="50" fillId="0" borderId="59" pivotButton="0" quotePrefix="0" xfId="0"/>
    <xf numFmtId="4" fontId="50" fillId="0" borderId="1" applyAlignment="1" pivotButton="0" quotePrefix="0" xfId="0">
      <alignment horizontal="right"/>
    </xf>
    <xf numFmtId="0" fontId="168" fillId="0" borderId="0" pivotButton="0" quotePrefix="0" xfId="0"/>
    <xf numFmtId="0" fontId="121" fillId="0" borderId="0" pivotButton="0" quotePrefix="0" xfId="0"/>
    <xf numFmtId="3" fontId="119" fillId="2" borderId="23" pivotButton="0" quotePrefix="0" xfId="0"/>
    <xf numFmtId="0" fontId="181" fillId="2" borderId="23" pivotButton="0" quotePrefix="0" xfId="0"/>
    <xf numFmtId="3" fontId="50" fillId="2" borderId="23" pivotButton="0" quotePrefix="0" xfId="0"/>
    <xf numFmtId="3" fontId="50" fillId="2" borderId="23" pivotButton="0" quotePrefix="0" xfId="0"/>
    <xf numFmtId="0" fontId="119" fillId="2" borderId="23" pivotButton="0" quotePrefix="0" xfId="0"/>
    <xf numFmtId="3" fontId="50" fillId="2" borderId="26" pivotButton="0" quotePrefix="0" xfId="0"/>
    <xf numFmtId="4" fontId="50" fillId="2" borderId="23" pivotButton="0" quotePrefix="0" xfId="0"/>
    <xf numFmtId="3" fontId="169" fillId="25" borderId="19" applyAlignment="1" pivotButton="0" quotePrefix="0" xfId="0">
      <alignment horizontal="center"/>
    </xf>
    <xf numFmtId="3" fontId="169" fillId="26" borderId="19" applyAlignment="1" pivotButton="0" quotePrefix="0" xfId="0">
      <alignment horizontal="center"/>
    </xf>
    <xf numFmtId="3" fontId="169" fillId="21" borderId="19" applyAlignment="1" pivotButton="0" quotePrefix="0" xfId="0">
      <alignment horizontal="center"/>
    </xf>
    <xf numFmtId="3" fontId="128" fillId="25" borderId="48" applyAlignment="1" pivotButton="0" quotePrefix="0" xfId="0">
      <alignment horizontal="center"/>
    </xf>
    <xf numFmtId="3" fontId="128" fillId="26" borderId="48" applyAlignment="1" pivotButton="0" quotePrefix="0" xfId="0">
      <alignment horizontal="center"/>
    </xf>
    <xf numFmtId="4" fontId="129" fillId="21" borderId="19" applyAlignment="1" pivotButton="0" quotePrefix="0" xfId="0">
      <alignment horizontal="center"/>
    </xf>
    <xf numFmtId="3" fontId="129" fillId="21" borderId="19" applyAlignment="1" pivotButton="0" quotePrefix="0" xfId="0">
      <alignment horizontal="center"/>
    </xf>
    <xf numFmtId="3" fontId="129" fillId="26" borderId="50" applyAlignment="1" pivotButton="0" quotePrefix="0" xfId="0">
      <alignment horizontal="center"/>
    </xf>
    <xf numFmtId="4" fontId="169" fillId="21" borderId="39" applyAlignment="1" pivotButton="0" quotePrefix="0" xfId="0">
      <alignment horizontal="center"/>
    </xf>
    <xf numFmtId="3" fontId="170" fillId="25" borderId="19" applyAlignment="1" pivotButton="0" quotePrefix="0" xfId="0">
      <alignment horizontal="center"/>
    </xf>
    <xf numFmtId="3" fontId="170" fillId="26" borderId="19" applyAlignment="1" pivotButton="0" quotePrefix="0" xfId="0">
      <alignment horizontal="center"/>
    </xf>
    <xf numFmtId="3" fontId="169" fillId="21" borderId="34" applyAlignment="1" pivotButton="0" quotePrefix="0" xfId="0">
      <alignment horizontal="center"/>
    </xf>
    <xf numFmtId="3" fontId="128" fillId="26" borderId="19" applyAlignment="1" pivotButton="0" quotePrefix="0" xfId="0">
      <alignment horizontal="center"/>
    </xf>
    <xf numFmtId="3" fontId="129" fillId="26" borderId="39" applyAlignment="1" pivotButton="0" quotePrefix="0" xfId="0">
      <alignment horizontal="center"/>
    </xf>
    <xf numFmtId="3" fontId="171" fillId="25" borderId="19" applyAlignment="1" pivotButton="0" quotePrefix="0" xfId="0">
      <alignment horizontal="center"/>
    </xf>
    <xf numFmtId="3" fontId="172" fillId="26" borderId="19" applyAlignment="1" pivotButton="0" quotePrefix="0" xfId="0">
      <alignment horizontal="center"/>
    </xf>
    <xf numFmtId="3" fontId="157" fillId="26" borderId="19" applyAlignment="1" pivotButton="0" quotePrefix="0" xfId="0">
      <alignment horizontal="center"/>
    </xf>
    <xf numFmtId="3" fontId="157" fillId="26" borderId="39" applyAlignment="1" pivotButton="0" quotePrefix="0" xfId="0">
      <alignment horizontal="center"/>
    </xf>
    <xf numFmtId="3" fontId="173" fillId="25" borderId="36" applyAlignment="1" pivotButton="0" quotePrefix="0" xfId="0">
      <alignment horizontal="center"/>
    </xf>
    <xf numFmtId="3" fontId="173" fillId="26" borderId="68" applyAlignment="1" pivotButton="0" quotePrefix="0" xfId="0">
      <alignment horizontal="center"/>
    </xf>
    <xf numFmtId="3" fontId="170" fillId="21" borderId="34" applyAlignment="1" pivotButton="0" quotePrefix="0" xfId="0">
      <alignment horizontal="center"/>
    </xf>
    <xf numFmtId="3" fontId="50" fillId="3" borderId="19" pivotButton="0" quotePrefix="0" xfId="0"/>
    <xf numFmtId="3" fontId="156" fillId="25" borderId="19" applyAlignment="1" pivotButton="0" quotePrefix="0" xfId="0">
      <alignment horizontal="center"/>
    </xf>
    <xf numFmtId="3" fontId="156" fillId="25" borderId="19" applyAlignment="1" pivotButton="0" quotePrefix="0" xfId="0">
      <alignment horizontal="center"/>
    </xf>
    <xf numFmtId="49" fontId="122" fillId="18" borderId="16" pivotButton="0" quotePrefix="0" xfId="0"/>
    <xf numFmtId="3" fontId="128" fillId="62" borderId="19" applyAlignment="1" pivotButton="0" quotePrefix="0" xfId="0">
      <alignment horizontal="center"/>
    </xf>
    <xf numFmtId="3" fontId="122" fillId="25" borderId="19" applyAlignment="1" pivotButton="0" quotePrefix="0" xfId="0">
      <alignment horizontal="center"/>
    </xf>
    <xf numFmtId="3" fontId="174" fillId="25" borderId="36" applyAlignment="1" pivotButton="0" quotePrefix="0" xfId="0">
      <alignment horizontal="center"/>
    </xf>
    <xf numFmtId="3" fontId="174" fillId="26" borderId="68" applyAlignment="1" pivotButton="0" quotePrefix="0" xfId="0">
      <alignment horizontal="center"/>
    </xf>
    <xf numFmtId="3" fontId="172" fillId="3" borderId="19" applyAlignment="1" pivotButton="0" quotePrefix="0" xfId="0">
      <alignment horizontal="center"/>
    </xf>
    <xf numFmtId="3" fontId="50" fillId="3" borderId="19" pivotButton="0" quotePrefix="0" xfId="0"/>
    <xf numFmtId="3" fontId="132" fillId="3" borderId="19" applyAlignment="1" pivotButton="0" quotePrefix="0" xfId="0">
      <alignment horizontal="center"/>
    </xf>
    <xf numFmtId="3" fontId="157" fillId="3" borderId="19" applyAlignment="1" pivotButton="0" quotePrefix="0" xfId="0">
      <alignment horizontal="center"/>
    </xf>
    <xf numFmtId="0" fontId="182" fillId="24" borderId="65" pivotButton="0" quotePrefix="0" xfId="0"/>
    <xf numFmtId="3" fontId="170" fillId="25" borderId="36" applyAlignment="1" pivotButton="0" quotePrefix="0" xfId="0">
      <alignment horizontal="center"/>
    </xf>
    <xf numFmtId="3" fontId="170" fillId="26" borderId="68" applyAlignment="1" pivotButton="0" quotePrefix="0" xfId="0">
      <alignment horizontal="center"/>
    </xf>
    <xf numFmtId="3" fontId="169" fillId="8" borderId="19" applyAlignment="1" pivotButton="0" quotePrefix="0" xfId="0">
      <alignment horizontal="center"/>
    </xf>
    <xf numFmtId="3" fontId="170" fillId="8" borderId="36" applyAlignment="1" pivotButton="0" quotePrefix="0" xfId="0">
      <alignment horizontal="center"/>
    </xf>
    <xf numFmtId="3" fontId="170" fillId="8" borderId="68" applyAlignment="1" pivotButton="0" quotePrefix="0" xfId="0">
      <alignment horizontal="center"/>
    </xf>
    <xf numFmtId="3" fontId="170" fillId="8" borderId="34" applyAlignment="1" pivotButton="0" quotePrefix="0" xfId="0">
      <alignment horizontal="center"/>
    </xf>
    <xf numFmtId="3" fontId="175" fillId="25" borderId="19" applyAlignment="1" pivotButton="0" quotePrefix="0" xfId="0">
      <alignment horizontal="center"/>
    </xf>
    <xf numFmtId="3" fontId="176" fillId="21" borderId="19" applyAlignment="1" pivotButton="0" quotePrefix="0" xfId="0">
      <alignment horizontal="center"/>
    </xf>
    <xf numFmtId="3" fontId="136" fillId="89" borderId="19" applyAlignment="1" pivotButton="0" quotePrefix="0" xfId="0">
      <alignment horizontal="center"/>
    </xf>
    <xf numFmtId="3" fontId="135" fillId="26" borderId="19" applyAlignment="1" pivotButton="0" quotePrefix="0" xfId="0">
      <alignment horizontal="center"/>
    </xf>
    <xf numFmtId="3" fontId="177" fillId="21" borderId="19" applyAlignment="1" pivotButton="0" quotePrefix="0" xfId="0">
      <alignment horizontal="center"/>
    </xf>
    <xf numFmtId="3" fontId="135" fillId="28" borderId="19" applyAlignment="1" pivotButton="0" quotePrefix="0" xfId="0">
      <alignment horizontal="center"/>
    </xf>
    <xf numFmtId="3" fontId="178" fillId="25" borderId="36" applyAlignment="1" pivotButton="0" quotePrefix="0" xfId="0">
      <alignment horizontal="center"/>
    </xf>
    <xf numFmtId="3" fontId="178" fillId="26" borderId="68" applyAlignment="1" pivotButton="0" quotePrefix="0" xfId="0">
      <alignment horizontal="center"/>
    </xf>
    <xf numFmtId="3" fontId="136" fillId="3" borderId="19" applyAlignment="1" pivotButton="0" quotePrefix="0" xfId="0">
      <alignment horizontal="center"/>
    </xf>
    <xf numFmtId="3" fontId="122" fillId="30" borderId="19" applyAlignment="1" pivotButton="0" quotePrefix="0" xfId="0">
      <alignment horizontal="center"/>
    </xf>
    <xf numFmtId="3" fontId="169" fillId="30" borderId="19" applyAlignment="1" pivotButton="0" quotePrefix="0" xfId="0">
      <alignment horizontal="center"/>
    </xf>
    <xf numFmtId="3" fontId="174" fillId="30" borderId="36" applyAlignment="1" pivotButton="0" quotePrefix="0" xfId="0">
      <alignment horizontal="center"/>
    </xf>
    <xf numFmtId="3" fontId="174" fillId="30" borderId="68" applyAlignment="1" pivotButton="0" quotePrefix="0" xfId="0">
      <alignment horizontal="center"/>
    </xf>
    <xf numFmtId="3" fontId="170" fillId="30" borderId="34" applyAlignment="1" pivotButton="0" quotePrefix="0" xfId="0">
      <alignment horizontal="center"/>
    </xf>
    <xf numFmtId="3" fontId="169" fillId="30" borderId="40" applyAlignment="1" pivotButton="0" quotePrefix="0" xfId="0">
      <alignment horizontal="center"/>
    </xf>
    <xf numFmtId="3" fontId="170" fillId="30" borderId="43" applyAlignment="1" pivotButton="0" quotePrefix="0" xfId="0">
      <alignment horizontal="center"/>
    </xf>
    <xf numFmtId="3" fontId="170" fillId="30" borderId="69" applyAlignment="1" pivotButton="0" quotePrefix="0" xfId="0">
      <alignment horizontal="center"/>
    </xf>
    <xf numFmtId="49" fontId="122" fillId="90" borderId="0" pivotButton="0" quotePrefix="0" xfId="0"/>
    <xf numFmtId="49" fontId="50" fillId="90" borderId="44" pivotButton="0" quotePrefix="0" xfId="0"/>
    <xf numFmtId="3" fontId="129" fillId="90" borderId="42" applyAlignment="1" pivotButton="0" quotePrefix="0" xfId="0">
      <alignment horizontal="center"/>
    </xf>
    <xf numFmtId="3" fontId="50" fillId="90" borderId="19" pivotButton="0" quotePrefix="0" xfId="0"/>
    <xf numFmtId="3" fontId="169" fillId="25" borderId="45" applyAlignment="1" pivotButton="0" quotePrefix="0" xfId="0">
      <alignment horizontal="center"/>
    </xf>
    <xf numFmtId="3" fontId="169" fillId="26" borderId="45" applyAlignment="1" pivotButton="0" quotePrefix="0" xfId="0">
      <alignment horizontal="center"/>
    </xf>
    <xf numFmtId="3" fontId="170" fillId="25" borderId="45" applyAlignment="1" pivotButton="0" quotePrefix="0" xfId="0">
      <alignment horizontal="center"/>
    </xf>
    <xf numFmtId="3" fontId="170" fillId="26" borderId="70" applyAlignment="1" pivotButton="0" quotePrefix="0" xfId="0">
      <alignment horizontal="center"/>
    </xf>
    <xf numFmtId="3" fontId="50" fillId="21" borderId="34" pivotButton="0" quotePrefix="0" xfId="0"/>
    <xf numFmtId="3" fontId="179" fillId="25" borderId="67" applyAlignment="1" pivotButton="0" quotePrefix="0" xfId="0">
      <alignment horizontal="center"/>
    </xf>
    <xf numFmtId="3" fontId="179" fillId="26" borderId="32" applyAlignment="1" pivotButton="0" quotePrefix="0" xfId="0">
      <alignment horizontal="center"/>
    </xf>
    <xf numFmtId="3" fontId="130" fillId="83" borderId="19" applyAlignment="1" pivotButton="0" quotePrefix="0" xfId="0">
      <alignment horizontal="center"/>
    </xf>
    <xf numFmtId="3" fontId="130" fillId="84" borderId="19" applyAlignment="1" pivotButton="0" quotePrefix="0" xfId="0">
      <alignment horizontal="center"/>
    </xf>
    <xf numFmtId="3" fontId="169" fillId="91" borderId="19" applyAlignment="1" pivotButton="0" quotePrefix="0" xfId="0">
      <alignment horizontal="center"/>
    </xf>
    <xf numFmtId="3" fontId="130" fillId="35" borderId="19" applyAlignment="1" pivotButton="0" quotePrefix="0" xfId="0">
      <alignment horizontal="center"/>
    </xf>
    <xf numFmtId="4" fontId="169" fillId="21" borderId="19" applyAlignment="1" pivotButton="0" quotePrefix="0" xfId="0">
      <alignment horizontal="center"/>
    </xf>
    <xf numFmtId="3" fontId="170" fillId="32" borderId="19" applyAlignment="1" pivotButton="0" quotePrefix="0" xfId="0">
      <alignment horizontal="center"/>
    </xf>
    <xf numFmtId="3" fontId="170" fillId="45" borderId="19" applyAlignment="1" pivotButton="0" quotePrefix="0" xfId="0">
      <alignment horizontal="center"/>
    </xf>
    <xf numFmtId="3" fontId="130" fillId="85" borderId="19" applyAlignment="1" pivotButton="0" quotePrefix="0" xfId="0">
      <alignment horizontal="center"/>
    </xf>
    <xf numFmtId="3" fontId="130" fillId="79" borderId="19" applyAlignment="1" pivotButton="0" quotePrefix="0" xfId="0">
      <alignment horizontal="center"/>
    </xf>
    <xf numFmtId="3" fontId="169" fillId="92" borderId="19" applyAlignment="1" pivotButton="0" quotePrefix="0" xfId="0">
      <alignment horizontal="center"/>
    </xf>
    <xf numFmtId="3" fontId="130" fillId="48" borderId="19" applyAlignment="1" pivotButton="0" quotePrefix="0" xfId="0">
      <alignment horizontal="center"/>
    </xf>
    <xf numFmtId="3" fontId="130" fillId="93" borderId="19" applyAlignment="1" pivotButton="0" quotePrefix="0" xfId="0">
      <alignment horizontal="center"/>
    </xf>
    <xf numFmtId="3" fontId="170" fillId="44" borderId="19" applyAlignment="1" pivotButton="0" quotePrefix="0" xfId="0">
      <alignment horizontal="center"/>
    </xf>
    <xf numFmtId="3" fontId="170" fillId="61" borderId="19" applyAlignment="1" pivotButton="0" quotePrefix="0" xfId="0">
      <alignment horizontal="center"/>
    </xf>
    <xf numFmtId="4" fontId="50" fillId="2" borderId="0" pivotButton="0" quotePrefix="0" xfId="0"/>
    <xf numFmtId="3" fontId="50" fillId="2" borderId="40" pivotButton="0" quotePrefix="0" xfId="0"/>
    <xf numFmtId="4" fontId="50" fillId="21" borderId="39" pivotButton="0" quotePrefix="0" xfId="0"/>
    <xf numFmtId="4" fontId="50" fillId="21" borderId="34" pivotButton="0" quotePrefix="0" xfId="0"/>
    <xf numFmtId="3" fontId="50" fillId="2" borderId="24" pivotButton="0" quotePrefix="0" xfId="0"/>
    <xf numFmtId="0" fontId="50" fillId="62" borderId="26" pivotButton="0" quotePrefix="0" xfId="0"/>
    <xf numFmtId="4" fontId="50" fillId="2" borderId="53" pivotButton="0" quotePrefix="0" xfId="0"/>
    <xf numFmtId="3" fontId="48" fillId="2" borderId="1" applyAlignment="1" pivotButton="0" quotePrefix="0" xfId="0">
      <alignment horizontal="right"/>
    </xf>
    <xf numFmtId="0" fontId="48" fillId="2" borderId="23" applyAlignment="1" pivotButton="0" quotePrefix="0" xfId="0">
      <alignment horizontal="center"/>
    </xf>
    <xf numFmtId="4" fontId="48" fillId="2" borderId="23" applyAlignment="1" pivotButton="0" quotePrefix="0" xfId="0">
      <alignment horizontal="right"/>
    </xf>
    <xf numFmtId="3" fontId="180" fillId="2" borderId="1" applyAlignment="1" pivotButton="0" quotePrefix="0" xfId="0">
      <alignment horizontal="right"/>
    </xf>
    <xf numFmtId="4" fontId="50" fillId="2" borderId="1" applyAlignment="1" pivotButton="0" quotePrefix="0" xfId="0">
      <alignment horizontal="right"/>
    </xf>
    <xf numFmtId="4" fontId="2" fillId="6" borderId="13" applyAlignment="1" pivotButton="0" quotePrefix="0" xfId="0">
      <alignment horizontal="center" vertical="center"/>
    </xf>
    <xf numFmtId="0" fontId="59" fillId="0" borderId="14" pivotButton="0" quotePrefix="0" xfId="0"/>
    <xf numFmtId="0" fontId="59" fillId="0" borderId="2" pivotButton="0" quotePrefix="0" xfId="0"/>
    <xf numFmtId="0" fontId="9" fillId="2" borderId="0" pivotButton="0" quotePrefix="0" xfId="0"/>
    <xf numFmtId="0" fontId="0" fillId="0" borderId="0" pivotButton="0" quotePrefix="0" xfId="0"/>
    <xf numFmtId="49" fontId="126" fillId="25" borderId="28" applyAlignment="1" pivotButton="0" quotePrefix="0" xfId="0">
      <alignment horizontal="center"/>
    </xf>
    <xf numFmtId="0" fontId="59" fillId="0" borderId="31" pivotButton="0" quotePrefix="0" xfId="0"/>
    <xf numFmtId="49" fontId="126" fillId="26" borderId="29" applyAlignment="1" pivotButton="0" quotePrefix="0" xfId="0">
      <alignment horizontal="center"/>
    </xf>
    <xf numFmtId="0" fontId="59" fillId="0" borderId="32" pivotButton="0" quotePrefix="0" xfId="0"/>
    <xf numFmtId="3" fontId="127" fillId="21" borderId="30" applyAlignment="1" pivotButton="0" quotePrefix="0" xfId="0">
      <alignment horizontal="center"/>
    </xf>
    <xf numFmtId="0" fontId="59" fillId="0" borderId="33" pivotButton="0" quotePrefix="0" xfId="0"/>
    <xf numFmtId="49" fontId="125" fillId="18" borderId="49" pivotButton="0" quotePrefix="0" xfId="0"/>
    <xf numFmtId="0" fontId="59" fillId="0" borderId="50" pivotButton="0" quotePrefix="0" xfId="0"/>
    <xf numFmtId="0" fontId="145" fillId="2" borderId="51" applyAlignment="1" pivotButton="0" quotePrefix="0" xfId="0">
      <alignment horizontal="center"/>
    </xf>
    <xf numFmtId="0" fontId="59" fillId="0" borderId="52" pivotButton="0" quotePrefix="0" xfId="0"/>
    <xf numFmtId="0" fontId="148" fillId="65" borderId="0" pivotButton="0" quotePrefix="0" xfId="0"/>
    <xf numFmtId="4" fontId="7" fillId="21" borderId="0" applyAlignment="1" pivotButton="0" quotePrefix="0" xfId="0">
      <alignment horizontal="center" wrapText="1"/>
    </xf>
    <xf numFmtId="0" fontId="151" fillId="0" borderId="0" applyAlignment="1" pivotButton="0" quotePrefix="0" xfId="0">
      <alignment wrapText="1"/>
    </xf>
    <xf numFmtId="0" fontId="152" fillId="6" borderId="0" applyAlignment="1" pivotButton="0" quotePrefix="0" xfId="0">
      <alignment wrapText="1"/>
    </xf>
    <xf numFmtId="0" fontId="124" fillId="2" borderId="56" applyAlignment="1" pivotButton="0" quotePrefix="0" xfId="0">
      <alignment horizontal="center"/>
    </xf>
    <xf numFmtId="0" fontId="59" fillId="0" borderId="25" pivotButton="0" quotePrefix="0" xfId="0"/>
    <xf numFmtId="0" fontId="124" fillId="2" borderId="57" applyAlignment="1" pivotButton="0" quotePrefix="0" xfId="0">
      <alignment horizontal="center"/>
    </xf>
    <xf numFmtId="0" fontId="59" fillId="0" borderId="58" pivotButton="0" quotePrefix="0" xfId="0"/>
    <xf numFmtId="0" fontId="119" fillId="2" borderId="56" pivotButton="0" quotePrefix="0" xfId="0"/>
    <xf numFmtId="165" fontId="122" fillId="18" borderId="39" applyAlignment="1" pivotButton="0" quotePrefix="0" xfId="0">
      <alignment horizontal="center"/>
    </xf>
    <xf numFmtId="0" fontId="59" fillId="0" borderId="55" pivotButton="0" quotePrefix="0" xfId="0"/>
    <xf numFmtId="165" fontId="50" fillId="18" borderId="39" pivotButton="0" quotePrefix="0" xfId="0"/>
    <xf numFmtId="165" fontId="128" fillId="18" borderId="39" applyAlignment="1" pivotButton="0" quotePrefix="0" xfId="0">
      <alignment horizontal="center"/>
    </xf>
    <xf numFmtId="0" fontId="158" fillId="0" borderId="20" applyAlignment="1" pivotButton="0" quotePrefix="0" xfId="0">
      <alignment horizontal="center"/>
    </xf>
    <xf numFmtId="0" fontId="59" fillId="0" borderId="60" pivotButton="0" quotePrefix="0" xfId="0"/>
    <xf numFmtId="0" fontId="59" fillId="0" borderId="12" pivotButton="0" quotePrefix="0" xfId="0"/>
    <xf numFmtId="4" fontId="159" fillId="0" borderId="14" applyAlignment="1" pivotButton="0" quotePrefix="0" xfId="0">
      <alignment horizontal="center"/>
    </xf>
    <xf numFmtId="4" fontId="159" fillId="0" borderId="20" applyAlignment="1" pivotButton="0" quotePrefix="0" xfId="0">
      <alignment horizontal="center"/>
    </xf>
    <xf numFmtId="4" fontId="159" fillId="0" borderId="60" applyAlignment="1" pivotButton="0" quotePrefix="0" xfId="0">
      <alignment horizontal="right"/>
    </xf>
    <xf numFmtId="4" fontId="159" fillId="0" borderId="60" applyAlignment="1" pivotButton="0" quotePrefix="0" xfId="0">
      <alignment horizontal="center"/>
    </xf>
    <xf numFmtId="0" fontId="159" fillId="0" borderId="14" applyAlignment="1" pivotButton="0" quotePrefix="0" xfId="0">
      <alignment horizontal="center"/>
    </xf>
    <xf numFmtId="0" fontId="159" fillId="0" borderId="20" applyAlignment="1" pivotButton="0" quotePrefix="0" xfId="0">
      <alignment horizontal="center"/>
    </xf>
    <xf numFmtId="0" fontId="159" fillId="0" borderId="60" applyAlignment="1" pivotButton="0" quotePrefix="0" xfId="0">
      <alignment horizontal="right"/>
    </xf>
    <xf numFmtId="0" fontId="159" fillId="0" borderId="60" applyAlignment="1" pivotButton="0" quotePrefix="0" xfId="0">
      <alignment horizontal="center"/>
    </xf>
    <xf numFmtId="0" fontId="15" fillId="0" borderId="13" applyAlignment="1" pivotButton="0" quotePrefix="0" xfId="0">
      <alignment horizontal="center"/>
    </xf>
    <xf numFmtId="0" fontId="16" fillId="0" borderId="20" applyAlignment="1" pivotButton="0" quotePrefix="0" xfId="0">
      <alignment horizontal="center"/>
    </xf>
    <xf numFmtId="0" fontId="163" fillId="0" borderId="0" applyAlignment="1" pivotButton="0" quotePrefix="0" xfId="0">
      <alignment horizontal="left" vertical="top"/>
    </xf>
    <xf numFmtId="0" fontId="164" fillId="0" borderId="0" applyAlignment="1" pivotButton="0" quotePrefix="0" xfId="0">
      <alignment horizontal="left" vertical="top"/>
    </xf>
    <xf numFmtId="0" fontId="89" fillId="18" borderId="39" applyAlignment="1" pivotButton="0" quotePrefix="0" xfId="0">
      <alignment horizontal="left"/>
    </xf>
    <xf numFmtId="0" fontId="59" fillId="0" borderId="35" pivotButton="0" quotePrefix="0" xfId="0"/>
    <xf numFmtId="0" fontId="89" fillId="18" borderId="50" applyAlignment="1" pivotButton="0" quotePrefix="0" xfId="0">
      <alignment horizontal="left"/>
    </xf>
    <xf numFmtId="0" fontId="89" fillId="18" borderId="41" applyAlignment="1" pivotButton="0" quotePrefix="0" xfId="0">
      <alignment horizontal="left"/>
    </xf>
    <xf numFmtId="0" fontId="59" fillId="0" borderId="30" pivotButton="0" quotePrefix="0" xfId="0"/>
    <xf numFmtId="0" fontId="59" fillId="0" borderId="64" pivotButton="0" quotePrefix="0" xfId="0"/>
    <xf numFmtId="0" fontId="89" fillId="18" borderId="49" applyAlignment="1" pivotButton="0" quotePrefix="0" xfId="0">
      <alignment horizontal="left"/>
    </xf>
    <xf numFmtId="0" fontId="59" fillId="0" borderId="44" pivotButton="0" quotePrefix="0" xfId="0"/>
    <xf numFmtId="0" fontId="89" fillId="18" borderId="30" applyAlignment="1" pivotButton="0" quotePrefix="0" xfId="0">
      <alignment horizontal="left"/>
    </xf>
    <xf numFmtId="0" fontId="59" fillId="0" borderId="49" pivotButton="0" quotePrefix="0" xfId="0"/>
    <xf numFmtId="0" fontId="89" fillId="18" borderId="42" applyAlignment="1" pivotButton="0" quotePrefix="0" xfId="0">
      <alignment horizontal="left"/>
    </xf>
    <xf numFmtId="0" fontId="59" fillId="0" borderId="48" pivotButton="0" quotePrefix="0" xfId="0"/>
    <xf numFmtId="49" fontId="165" fillId="0" borderId="41" applyAlignment="1" pivotButton="0" quotePrefix="0" xfId="0">
      <alignment horizontal="center"/>
    </xf>
    <xf numFmtId="49" fontId="122" fillId="0" borderId="40" applyAlignment="1" pivotButton="0" quotePrefix="0" xfId="0">
      <alignment horizontal="center"/>
    </xf>
    <xf numFmtId="49" fontId="166" fillId="0" borderId="49" pivotButton="0" quotePrefix="0" xfId="0"/>
    <xf numFmtId="0" fontId="128" fillId="0" borderId="39" applyAlignment="1" pivotButton="0" quotePrefix="0" xfId="0">
      <alignment horizontal="center"/>
    </xf>
    <xf numFmtId="165" fontId="50" fillId="0" borderId="39" pivotButton="0" quotePrefix="0" xfId="0"/>
    <xf numFmtId="3" fontId="122" fillId="0" borderId="40" applyAlignment="1" pivotButton="0" quotePrefix="0" xfId="0">
      <alignment horizontal="center"/>
    </xf>
    <xf numFmtId="165" fontId="122" fillId="0" borderId="39" applyAlignment="1" pivotButton="0" quotePrefix="0" xfId="0">
      <alignment horizontal="center"/>
    </xf>
    <xf numFmtId="165" fontId="128" fillId="0" borderId="39" applyAlignment="1" pivotButton="0" quotePrefix="0" xfId="0">
      <alignment horizontal="center"/>
    </xf>
    <xf numFmtId="3" fontId="128" fillId="0" borderId="40" applyAlignment="1" pivotButton="0" quotePrefix="0" xfId="0">
      <alignment horizontal="center"/>
    </xf>
    <xf numFmtId="49" fontId="128" fillId="0" borderId="40" applyAlignment="1" pivotButton="0" quotePrefix="0" xfId="0">
      <alignment horizontal="center"/>
    </xf>
    <xf numFmtId="49" fontId="128" fillId="0" borderId="66" applyAlignment="1" pivotButton="0" quotePrefix="0" xfId="0">
      <alignment horizontal="center"/>
    </xf>
    <xf numFmtId="0" fontId="59" fillId="0" borderId="67" pivotButton="0" quotePrefix="0" xfId="0"/>
    <xf numFmtId="49" fontId="128" fillId="0" borderId="29" applyAlignment="1" pivotButton="0" quotePrefix="0" xfId="0">
      <alignment horizontal="center"/>
    </xf>
    <xf numFmtId="3" fontId="128" fillId="0" borderId="30" applyAlignment="1" pivotButton="0" quotePrefix="0" xfId="0">
      <alignment horizontal="center"/>
    </xf>
    <xf numFmtId="0" fontId="49" fillId="0" borderId="51" applyAlignment="1" pivotButton="0" quotePrefix="0" xfId="0">
      <alignment horizontal="center"/>
    </xf>
    <xf numFmtId="3" fontId="128" fillId="0" borderId="41" applyAlignment="1" pivotButton="0" quotePrefix="0" xfId="0">
      <alignment horizontal="center"/>
    </xf>
    <xf numFmtId="0" fontId="128" fillId="18" borderId="39" applyAlignment="1" pivotButton="0" quotePrefix="0" xfId="0">
      <alignment horizontal="center"/>
    </xf>
    <xf numFmtId="49" fontId="122" fillId="18" borderId="41" applyAlignment="1" pivotButton="0" quotePrefix="0" xfId="0">
      <alignment horizontal="center"/>
    </xf>
    <xf numFmtId="49" fontId="122" fillId="18" borderId="40" applyAlignment="1" pivotButton="0" quotePrefix="0" xfId="0">
      <alignment horizontal="center"/>
    </xf>
    <xf numFmtId="49" fontId="122" fillId="25" borderId="40" applyAlignment="1" pivotButton="0" quotePrefix="0" xfId="0">
      <alignment horizontal="center"/>
    </xf>
    <xf numFmtId="49" fontId="122" fillId="26" borderId="40" applyAlignment="1" pivotButton="0" quotePrefix="0" xfId="0">
      <alignment horizontal="center"/>
    </xf>
    <xf numFmtId="3" fontId="122" fillId="21" borderId="40" applyAlignment="1" pivotButton="0" quotePrefix="0" xfId="0">
      <alignment horizontal="center"/>
    </xf>
    <xf numFmtId="3" fontId="128" fillId="21" borderId="40" applyAlignment="1" pivotButton="0" quotePrefix="0" xfId="0">
      <alignment horizontal="center"/>
    </xf>
    <xf numFmtId="49" fontId="128" fillId="25" borderId="40" applyAlignment="1" pivotButton="0" quotePrefix="0" xfId="0">
      <alignment horizontal="center"/>
    </xf>
    <xf numFmtId="49" fontId="128" fillId="26" borderId="40" applyAlignment="1" pivotButton="0" quotePrefix="0" xfId="0">
      <alignment horizontal="center"/>
    </xf>
    <xf numFmtId="49" fontId="128" fillId="26" borderId="29" applyAlignment="1" pivotButton="0" quotePrefix="0" xfId="0">
      <alignment horizontal="center"/>
    </xf>
    <xf numFmtId="0" fontId="49" fillId="2" borderId="51" applyAlignment="1" pivotButton="0" quotePrefix="0" xfId="0">
      <alignment horizontal="center"/>
    </xf>
    <xf numFmtId="3" fontId="128" fillId="21" borderId="41" applyAlignment="1" pivotButton="0" quotePrefix="0" xfId="0">
      <alignment horizontal="center"/>
    </xf>
    <xf numFmtId="49" fontId="128" fillId="25" borderId="66" applyAlignment="1" pivotButton="0" quotePrefix="0" xfId="0">
      <alignment horizontal="center"/>
    </xf>
    <xf numFmtId="3" fontId="128" fillId="21" borderId="30" applyAlignment="1" pivotButton="0" quotePrefix="0" xfId="0">
      <alignment horizontal="center"/>
    </xf>
    <xf numFmtId="4" fontId="2" fillId="6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" pivotButton="0" quotePrefix="0" xfId="0"/>
    <xf numFmtId="0" fontId="9" fillId="2" borderId="59" pivotButton="0" quotePrefix="0" xfId="0"/>
    <xf numFmtId="49" fontId="126" fillId="25" borderId="72" applyAlignment="1" pivotButton="0" quotePrefix="0" xfId="0">
      <alignment horizontal="center"/>
    </xf>
    <xf numFmtId="49" fontId="126" fillId="26" borderId="73" applyAlignment="1" pivotButton="0" quotePrefix="0" xfId="0">
      <alignment horizontal="center"/>
    </xf>
    <xf numFmtId="3" fontId="127" fillId="21" borderId="37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49" fontId="125" fillId="18" borderId="50" pivotButton="0" quotePrefix="0" xfId="0"/>
    <xf numFmtId="0" fontId="0" fillId="0" borderId="50" pivotButton="0" quotePrefix="0" xfId="0"/>
    <xf numFmtId="0" fontId="145" fillId="2" borderId="59" applyAlignment="1" pivotButton="0" quotePrefix="0" xfId="0">
      <alignment horizontal="center"/>
    </xf>
    <xf numFmtId="0" fontId="148" fillId="65" borderId="59" pivotButton="0" quotePrefix="0" xfId="0"/>
    <xf numFmtId="4" fontId="7" fillId="21" borderId="59" applyAlignment="1" pivotButton="0" quotePrefix="0" xfId="0">
      <alignment horizontal="center" wrapText="1"/>
    </xf>
    <xf numFmtId="0" fontId="151" fillId="0" borderId="59" applyAlignment="1" pivotButton="0" quotePrefix="0" xfId="0">
      <alignment wrapText="1"/>
    </xf>
    <xf numFmtId="0" fontId="152" fillId="6" borderId="59" applyAlignment="1" pivotButton="0" quotePrefix="0" xfId="0">
      <alignment wrapText="1"/>
    </xf>
    <xf numFmtId="0" fontId="0" fillId="0" borderId="55" pivotButton="0" quotePrefix="0" xfId="0"/>
    <xf numFmtId="0" fontId="119" fillId="2" borderId="59" pivotButton="0" quotePrefix="0" xfId="0"/>
    <xf numFmtId="0" fontId="124" fillId="2" borderId="59" applyAlignment="1" pivotButton="0" quotePrefix="0" xfId="0">
      <alignment horizontal="center"/>
    </xf>
    <xf numFmtId="165" fontId="50" fillId="18" borderId="19" pivotButton="0" quotePrefix="0" xfId="0"/>
    <xf numFmtId="165" fontId="128" fillId="18" borderId="19" applyAlignment="1" pivotButton="0" quotePrefix="0" xfId="0">
      <alignment horizontal="center"/>
    </xf>
    <xf numFmtId="0" fontId="158" fillId="0" borderId="1" applyAlignment="1" pivotButton="0" quotePrefix="0" xfId="0">
      <alignment horizontal="center"/>
    </xf>
    <xf numFmtId="4" fontId="159" fillId="0" borderId="2" applyAlignment="1" pivotButton="0" quotePrefix="0" xfId="0">
      <alignment horizontal="center"/>
    </xf>
    <xf numFmtId="4" fontId="159" fillId="0" borderId="1" applyAlignment="1" pivotButton="0" quotePrefix="0" xfId="0">
      <alignment horizontal="center"/>
    </xf>
    <xf numFmtId="0" fontId="0" fillId="0" borderId="60" pivotButton="0" quotePrefix="0" xfId="0"/>
    <xf numFmtId="4" fontId="159" fillId="0" borderId="12" applyAlignment="1" pivotButton="0" quotePrefix="0" xfId="0">
      <alignment horizontal="right"/>
    </xf>
    <xf numFmtId="4" fontId="159" fillId="0" borderId="12" applyAlignment="1" pivotButton="0" quotePrefix="0" xfId="0">
      <alignment horizontal="center"/>
    </xf>
    <xf numFmtId="0" fontId="0" fillId="0" borderId="12" pivotButton="0" quotePrefix="0" xfId="0"/>
    <xf numFmtId="0" fontId="159" fillId="0" borderId="2" applyAlignment="1" pivotButton="0" quotePrefix="0" xfId="0">
      <alignment horizontal="center"/>
    </xf>
    <xf numFmtId="0" fontId="159" fillId="0" borderId="1" applyAlignment="1" pivotButton="0" quotePrefix="0" xfId="0">
      <alignment horizontal="center"/>
    </xf>
    <xf numFmtId="0" fontId="159" fillId="0" borderId="12" applyAlignment="1" pivotButton="0" quotePrefix="0" xfId="0">
      <alignment horizontal="right"/>
    </xf>
    <xf numFmtId="0" fontId="159" fillId="0" borderId="12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3" fillId="0" borderId="59" applyAlignment="1" pivotButton="0" quotePrefix="0" xfId="0">
      <alignment horizontal="left" vertical="top"/>
    </xf>
    <xf numFmtId="0" fontId="164" fillId="0" borderId="59" applyAlignment="1" pivotButton="0" quotePrefix="0" xfId="0">
      <alignment horizontal="left" vertical="top"/>
    </xf>
    <xf numFmtId="0" fontId="0" fillId="0" borderId="37" pivotButton="0" quotePrefix="0" xfId="0"/>
    <xf numFmtId="0" fontId="89" fillId="18" borderId="40" applyAlignment="1" pivotButton="0" quotePrefix="0" xfId="0">
      <alignment horizontal="left"/>
    </xf>
    <xf numFmtId="0" fontId="0" fillId="0" borderId="30" pivotButton="0" quotePrefix="0" xfId="0"/>
    <xf numFmtId="0" fontId="0" fillId="0" borderId="64" pivotButton="0" quotePrefix="0" xfId="0"/>
    <xf numFmtId="0" fontId="89" fillId="18" borderId="64" applyAlignment="1" pivotButton="0" quotePrefix="0" xfId="0">
      <alignment horizontal="left"/>
    </xf>
    <xf numFmtId="0" fontId="89" fillId="18" borderId="48" applyAlignment="1" pivotButton="0" quotePrefix="0" xfId="0">
      <alignment horizontal="left"/>
    </xf>
    <xf numFmtId="0" fontId="0" fillId="0" borderId="44" pivotButton="0" quotePrefix="0" xfId="0"/>
    <xf numFmtId="0" fontId="0" fillId="0" borderId="49" pivotButton="0" quotePrefix="0" xfId="0"/>
    <xf numFmtId="0" fontId="0" fillId="0" borderId="48" pivotButton="0" quotePrefix="0" xfId="0"/>
    <xf numFmtId="49" fontId="165" fillId="0" borderId="39" applyAlignment="1" pivotButton="0" quotePrefix="0" xfId="0">
      <alignment horizontal="center"/>
    </xf>
    <xf numFmtId="49" fontId="122" fillId="0" borderId="19" applyAlignment="1" pivotButton="0" quotePrefix="0" xfId="0">
      <alignment horizontal="center"/>
    </xf>
    <xf numFmtId="49" fontId="166" fillId="0" borderId="50" pivotButton="0" quotePrefix="0" xfId="0"/>
    <xf numFmtId="0" fontId="128" fillId="0" borderId="19" applyAlignment="1" pivotButton="0" quotePrefix="0" xfId="0">
      <alignment horizontal="center"/>
    </xf>
    <xf numFmtId="49" fontId="128" fillId="0" borderId="19" applyAlignment="1" pivotButton="0" quotePrefix="0" xfId="0">
      <alignment horizontal="center"/>
    </xf>
    <xf numFmtId="3" fontId="128" fillId="0" borderId="39" applyAlignment="1" pivotButton="0" quotePrefix="0" xfId="0">
      <alignment horizontal="center"/>
    </xf>
    <xf numFmtId="49" fontId="128" fillId="0" borderId="75" applyAlignment="1" pivotButton="0" quotePrefix="0" xfId="0">
      <alignment horizontal="center"/>
    </xf>
    <xf numFmtId="49" fontId="128" fillId="0" borderId="73" applyAlignment="1" pivotButton="0" quotePrefix="0" xfId="0">
      <alignment horizontal="center"/>
    </xf>
    <xf numFmtId="3" fontId="128" fillId="0" borderId="37" applyAlignment="1" pivotButton="0" quotePrefix="0" xfId="0">
      <alignment horizontal="center"/>
    </xf>
    <xf numFmtId="0" fontId="0" fillId="0" borderId="67" pivotButton="0" quotePrefix="0" xfId="0"/>
    <xf numFmtId="0" fontId="49" fillId="0" borderId="59" applyAlignment="1" pivotButton="0" quotePrefix="0" xfId="0">
      <alignment horizontal="center"/>
    </xf>
    <xf numFmtId="0" fontId="128" fillId="18" borderId="19" applyAlignment="1" pivotButton="0" quotePrefix="0" xfId="0">
      <alignment horizontal="center"/>
    </xf>
    <xf numFmtId="49" fontId="122" fillId="18" borderId="39" applyAlignment="1" pivotButton="0" quotePrefix="0" xfId="0">
      <alignment horizontal="center"/>
    </xf>
    <xf numFmtId="49" fontId="122" fillId="18" borderId="19" applyAlignment="1" pivotButton="0" quotePrefix="0" xfId="0">
      <alignment horizontal="center"/>
    </xf>
    <xf numFmtId="49" fontId="122" fillId="25" borderId="19" applyAlignment="1" pivotButton="0" quotePrefix="0" xfId="0">
      <alignment horizontal="center"/>
    </xf>
    <xf numFmtId="49" fontId="122" fillId="26" borderId="19" applyAlignment="1" pivotButton="0" quotePrefix="0" xfId="0">
      <alignment horizontal="center"/>
    </xf>
    <xf numFmtId="3" fontId="122" fillId="21" borderId="19" applyAlignment="1" pivotButton="0" quotePrefix="0" xfId="0">
      <alignment horizontal="center"/>
    </xf>
    <xf numFmtId="3" fontId="128" fillId="21" borderId="19" applyAlignment="1" pivotButton="0" quotePrefix="0" xfId="0">
      <alignment horizontal="center"/>
    </xf>
    <xf numFmtId="49" fontId="128" fillId="25" borderId="19" applyAlignment="1" pivotButton="0" quotePrefix="0" xfId="0">
      <alignment horizontal="center"/>
    </xf>
    <xf numFmtId="49" fontId="128" fillId="26" borderId="19" applyAlignment="1" pivotButton="0" quotePrefix="0" xfId="0">
      <alignment horizontal="center"/>
    </xf>
    <xf numFmtId="3" fontId="128" fillId="21" borderId="39" applyAlignment="1" pivotButton="0" quotePrefix="0" xfId="0">
      <alignment horizontal="center"/>
    </xf>
    <xf numFmtId="49" fontId="128" fillId="25" borderId="75" applyAlignment="1" pivotButton="0" quotePrefix="0" xfId="0">
      <alignment horizontal="center"/>
    </xf>
    <xf numFmtId="49" fontId="128" fillId="26" borderId="73" applyAlignment="1" pivotButton="0" quotePrefix="0" xfId="0">
      <alignment horizontal="center"/>
    </xf>
    <xf numFmtId="3" fontId="128" fillId="21" borderId="37" applyAlignment="1" pivotButton="0" quotePrefix="0" xfId="0">
      <alignment horizontal="center"/>
    </xf>
    <xf numFmtId="0" fontId="49" fillId="2" borderId="59" applyAlignment="1" pivotButton="0" quotePrefix="0" xfId="0">
      <alignment horizontal="center"/>
    </xf>
  </cellXfs>
  <cellStyles count="1">
    <cellStyle name="Обычный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tc={7ce264a8-0b85-458a-a16a-da0abfa5dcab}</author>
    <author>tc={44d2f412-ee56-4535-8284-b84c766f97c5}</author>
    <author>None</author>
    <author>tc={7e835c8c-8930-4dab-bdae-2242a8d1cff7}</author>
    <author>tc={e0cbdd9c-b7e7-426e-a7a4-7c1a9b6eb3f9}</author>
    <author>tc={191eca40-76e7-43c0-994c-5532a874712f}</author>
    <author>tc={cebd9399-dec7-4ffe-ab9e-9b008fab9a28}</author>
  </authors>
  <commentList>
    <comment ref="C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сняли 15 млн
</t>
      </text>
    </comment>
    <comment ref="D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ровно есть
</t>
      </text>
    </comment>
    <comment ref="E4" authorId="2" shapeId="0">
      <text>
        <t xml:space="preserve">ПЛАН: ДФЗ - 5 млн, KASPI -1 млн, 
</t>
      </text>
    </comment>
    <comment ref="F4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снимем со счета при поступлении
</t>
      </text>
    </comment>
    <comment ref="G4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1,500 с КБ
1,500 снятие со счета
</t>
      </text>
    </comment>
    <comment ref="D28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число кв. 100 депозит
</t>
      </text>
    </comment>
    <comment ref="E204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 примерная. У Alser заявку оставили на суммы. Что бы купить официально
</t>
      </text>
    </comment>
  </commentList>
</comments>
</file>

<file path=xl/comments/comment2.xml><?xml version="1.0" encoding="utf-8"?>
<comments xmlns="http://schemas.openxmlformats.org/spreadsheetml/2006/main">
  <authors>
    <author>tc={e05c353c-01e6-4bd3-9459-3330c48fd163}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 кем проработать цену и варианты?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D30" authorId="0" shapeId="0">
      <text>
        <t>доступ к прогр.на 1 мес</t>
      </text>
    </comment>
    <comment ref="F30" authorId="0" shapeId="0">
      <text>
        <t xml:space="preserve">ЛИЦЕНЗИЯ БИТРИКС </t>
      </text>
    </comment>
    <comment ref="N30" authorId="0" shapeId="0">
      <text>
        <t>фэйс контроль</t>
      </text>
    </comment>
    <comment ref="O30" authorId="0" shapeId="0">
      <text>
        <t>доступ к прогр.на 1 мес</t>
      </text>
    </comment>
    <comment ref="Q30" authorId="0" shapeId="0">
      <text>
        <t>фэйс контроль</t>
      </text>
    </comment>
    <comment ref="R30" authorId="0" shapeId="0">
      <text>
        <t>доступ к прогр.на 1 мес</t>
      </text>
    </comment>
    <comment ref="S30" authorId="0" shapeId="0">
      <text>
        <t>доступ к прогр.на 1 мес</t>
      </text>
    </comment>
    <comment ref="T30" authorId="0" shapeId="0">
      <text>
        <t>доступ к прогр.на 1 мес</t>
      </text>
    </comment>
    <comment ref="X30" authorId="0" shapeId="0">
      <text>
        <t>доступ к прогр.на 1 мес</t>
      </text>
    </comment>
    <comment ref="Y30" authorId="0" shapeId="0">
      <text>
        <t>доступ к прогр.на 1 мес</t>
      </text>
    </comment>
    <comment ref="AA31" authorId="0" shapeId="0">
      <text>
        <t>заправка картридж.</t>
      </text>
    </comment>
    <comment ref="AB31" authorId="0" shapeId="0">
      <text>
        <t>заправка картридж.</t>
      </text>
    </comment>
    <comment ref="D32" authorId="0" shapeId="0">
      <text>
        <t>400 000 учетная политика</t>
      </text>
    </comment>
    <comment ref="K32" authorId="0" shapeId="0">
      <text>
        <t>заправка картридж.</t>
      </text>
    </comment>
    <comment ref="L32" authorId="0" shapeId="0">
      <text>
        <t>заправка картридж.</t>
      </text>
    </comment>
    <comment ref="M32" authorId="0" shapeId="0">
      <text>
        <t>заправка картридж.</t>
      </text>
    </comment>
    <comment ref="N32" authorId="0" shapeId="0">
      <text>
        <t>заправка картридж.</t>
      </text>
    </comment>
    <comment ref="O32" authorId="0" shapeId="0">
      <text>
        <t>заправка картридж.</t>
      </text>
    </comment>
    <comment ref="P32" authorId="0" shapeId="0">
      <text>
        <t>заправка картридж.</t>
      </text>
    </comment>
    <comment ref="Q32" authorId="0" shapeId="0">
      <text>
        <t>заправка картридж.</t>
      </text>
    </comment>
    <comment ref="R32" authorId="0" shapeId="0">
      <text>
        <t>заправка картридж.</t>
      </text>
    </comment>
    <comment ref="S32" authorId="0" shapeId="0">
      <text>
        <t>заправка картридж.</t>
      </text>
    </comment>
    <comment ref="T32" authorId="0" shapeId="0">
      <text>
        <t>заправка картридж.</t>
      </text>
    </comment>
    <comment ref="U32" authorId="0" shapeId="0">
      <text>
        <t>заправка картридж.</t>
      </text>
    </comment>
    <comment ref="V32" authorId="0" shapeId="0">
      <text>
        <t>заправка картридж.</t>
      </text>
    </comment>
    <comment ref="W32" authorId="0" shapeId="0">
      <text>
        <t>заправка картридж.</t>
      </text>
    </comment>
    <comment ref="X32" authorId="0" shapeId="0">
      <text>
        <t>заправка картридж.</t>
      </text>
    </comment>
    <comment ref="Y32" authorId="0" shapeId="0">
      <text>
        <t>заправка картридж.</t>
      </text>
    </comment>
    <comment ref="Z32" authorId="0" shapeId="0">
      <text>
        <t>заправка картридж.</t>
      </text>
    </comment>
    <comment ref="M39" authorId="0" shapeId="0">
      <text>
        <t>налог по ЗП</t>
      </text>
    </comment>
    <comment ref="N39" authorId="0" shapeId="0">
      <text>
        <t>налог по ЗП</t>
      </text>
    </comment>
    <comment ref="Q39" authorId="0" shapeId="0">
      <text>
        <t>КПН</t>
      </text>
    </comment>
    <comment ref="R39" authorId="0" shapeId="0">
      <text>
        <t>страхование 2 транш</t>
      </text>
    </comment>
    <comment ref="T39" authorId="0" shapeId="0">
      <text>
        <t>НДС</t>
      </text>
    </comment>
    <comment ref="Y39" authorId="0" shapeId="0">
      <text>
        <t>НДС</t>
      </text>
    </comment>
    <comment ref="J56" authorId="0" shapeId="0">
      <text>
        <t>Марат</t>
      </text>
    </comment>
    <comment ref="AA56" authorId="0" shapeId="0">
      <text>
        <t>заправка картридж.</t>
      </text>
    </comment>
    <comment ref="J57" authorId="0" shapeId="0">
      <text>
        <t>заправка картридж.</t>
      </text>
    </comment>
    <comment ref="K57" authorId="0" shapeId="0">
      <text>
        <t>заправка картридж.</t>
      </text>
    </comment>
    <comment ref="L57" authorId="0" shapeId="0">
      <text>
        <t>заправка картридж.</t>
      </text>
    </comment>
    <comment ref="M57" authorId="0" shapeId="0">
      <text>
        <t>заправка картридж.</t>
      </text>
    </comment>
    <comment ref="N57" authorId="0" shapeId="0">
      <text>
        <t>заправка картридж.</t>
      </text>
    </comment>
    <comment ref="O57" authorId="0" shapeId="0">
      <text>
        <t>заправка картридж.</t>
      </text>
    </comment>
    <comment ref="P57" authorId="0" shapeId="0">
      <text>
        <t>заправка картридж.</t>
      </text>
    </comment>
    <comment ref="Q57" authorId="0" shapeId="0">
      <text>
        <t>заправка картридж.</t>
      </text>
    </comment>
    <comment ref="R57" authorId="0" shapeId="0">
      <text>
        <t>заправка картридж.</t>
      </text>
    </comment>
    <comment ref="S57" authorId="0" shapeId="0">
      <text>
        <t>заправка картридж.</t>
      </text>
    </comment>
    <comment ref="T57" authorId="0" shapeId="0">
      <text>
        <t>заправка картридж.</t>
      </text>
    </comment>
    <comment ref="U57" authorId="0" shapeId="0">
      <text>
        <t>заправка картридж.</t>
      </text>
    </comment>
    <comment ref="V57" authorId="0" shapeId="0">
      <text>
        <t>заправка картридж.</t>
      </text>
    </comment>
    <comment ref="X57" authorId="0" shapeId="0">
      <text>
        <t>заправка картридж.</t>
      </text>
    </comment>
    <comment ref="Y57" authorId="0" shapeId="0">
      <text>
        <t>заправка картридж.</t>
      </text>
    </comment>
    <comment ref="Z57" authorId="0" shapeId="0">
      <text>
        <t>заправка картридж.</t>
      </text>
    </comment>
    <comment ref="I59" authorId="0" shapeId="0">
      <text>
        <t>узбеков</t>
      </text>
    </comment>
    <comment ref="C65" authorId="0" shapeId="0">
      <text>
        <t>Технологич, фасовка</t>
      </text>
    </comment>
    <comment ref="D65" authorId="0" shapeId="0">
      <text>
        <t xml:space="preserve">СКК
</t>
      </text>
    </comment>
    <comment ref="F65" authorId="0" shapeId="0">
      <text>
        <t>Техотдел</t>
      </text>
    </comment>
    <comment ref="J65" authorId="0" shapeId="0">
      <text>
        <t>Технолог, фасовка</t>
      </text>
    </comment>
    <comment ref="O65" authorId="0" shapeId="0">
      <text>
        <t>фасовка</t>
      </text>
    </comment>
    <comment ref="P65" authorId="0" shapeId="0">
      <text>
        <t>кондитерка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T7" authorId="0" shapeId="0">
      <text>
        <t xml:space="preserve">NOA+Бобух
</t>
      </text>
    </comment>
    <comment ref="G30" authorId="0" shapeId="0">
      <text>
        <t>интернет</t>
      </text>
    </comment>
    <comment ref="I30" authorId="0" shapeId="0">
      <text>
        <t>Продвиг лицензия</t>
      </text>
    </comment>
    <comment ref="M30" authorId="0" shapeId="0">
      <text>
        <t>доступ к прогр.на 1 мес</t>
      </text>
    </comment>
    <comment ref="Q30" authorId="0" shapeId="0">
      <text>
        <t xml:space="preserve">ЛИЦЕНЗИЯ БИТРИКС </t>
      </text>
    </comment>
    <comment ref="AE30" authorId="0" shapeId="0">
      <text>
        <t>фэйс контроль</t>
      </text>
    </comment>
    <comment ref="AG30" authorId="0" shapeId="0">
      <text>
        <t>доступ к прогр.на 1 мес</t>
      </text>
    </comment>
    <comment ref="AK30" authorId="0" shapeId="0">
      <text>
        <t>фэйс контроль</t>
      </text>
    </comment>
    <comment ref="AM30" authorId="0" shapeId="0">
      <text>
        <t>доступ к прогр.на 1 мес</t>
      </text>
    </comment>
    <comment ref="AO30" authorId="0" shapeId="0">
      <text>
        <t>доступ к прогр.на 1 мес</t>
      </text>
    </comment>
    <comment ref="AQ30" authorId="0" shapeId="0">
      <text>
        <t>доступ к прогр.на 1 мес</t>
      </text>
    </comment>
    <comment ref="AY30" authorId="0" shapeId="0">
      <text>
        <t>доступ к прогр.на 1 мес</t>
      </text>
    </comment>
    <comment ref="BA30" authorId="0" shapeId="0">
      <text>
        <t>доступ к прогр.на 1 мес</t>
      </text>
    </comment>
    <comment ref="H32" authorId="0" shapeId="0">
      <text>
        <t>услуги банка</t>
      </text>
    </comment>
    <comment ref="M32" authorId="0" shapeId="0">
      <text>
        <t>400 000 учетная политика</t>
      </text>
    </comment>
    <comment ref="Y32" authorId="0" shapeId="0">
      <text>
        <t>заправка картридж.</t>
      </text>
    </comment>
    <comment ref="AA32" authorId="0" shapeId="0">
      <text>
        <t>заправка картридж.</t>
      </text>
    </comment>
    <comment ref="AC32" authorId="0" shapeId="0">
      <text>
        <t>заправка картридж.</t>
      </text>
    </comment>
    <comment ref="AE32" authorId="0" shapeId="0">
      <text>
        <t>заправка картридж.</t>
      </text>
    </comment>
    <comment ref="AG32" authorId="0" shapeId="0">
      <text>
        <t>заправка картридж.</t>
      </text>
    </comment>
    <comment ref="AI32" authorId="0" shapeId="0">
      <text>
        <t>заправка картридж.</t>
      </text>
    </comment>
    <comment ref="AK32" authorId="0" shapeId="0">
      <text>
        <t>заправка картридж.</t>
      </text>
    </comment>
    <comment ref="AM32" authorId="0" shapeId="0">
      <text>
        <t>заправка картридж.</t>
      </text>
    </comment>
    <comment ref="AO32" authorId="0" shapeId="0">
      <text>
        <t>заправка картридж.</t>
      </text>
    </comment>
    <comment ref="AQ32" authorId="0" shapeId="0">
      <text>
        <t>заправка картридж.</t>
      </text>
    </comment>
    <comment ref="AS32" authorId="0" shapeId="0">
      <text>
        <t>заправка картридж.</t>
      </text>
    </comment>
    <comment ref="AU32" authorId="0" shapeId="0">
      <text>
        <t>заправка картридж.</t>
      </text>
    </comment>
    <comment ref="AW32" authorId="0" shapeId="0">
      <text>
        <t>заправка картридж.</t>
      </text>
    </comment>
    <comment ref="AY32" authorId="0" shapeId="0">
      <text>
        <t>заправка картридж.</t>
      </text>
    </comment>
    <comment ref="BA32" authorId="0" shapeId="0">
      <text>
        <t>заправка картридж.</t>
      </text>
    </comment>
    <comment ref="BC32" authorId="0" shapeId="0">
      <text>
        <t>заправка картридж.</t>
      </text>
    </comment>
    <comment ref="AC39" authorId="0" shapeId="0">
      <text>
        <t>налог по ЗП</t>
      </text>
    </comment>
    <comment ref="AE39" authorId="0" shapeId="0">
      <text>
        <t>налог по ЗП</t>
      </text>
    </comment>
    <comment ref="AK39" authorId="0" shapeId="0">
      <text>
        <t>КПН</t>
      </text>
    </comment>
    <comment ref="AM39" authorId="0" shapeId="0">
      <text>
        <t>страхование 2 транш</t>
      </text>
    </comment>
    <comment ref="AQ39" authorId="0" shapeId="0">
      <text>
        <t>НДС</t>
      </text>
    </comment>
    <comment ref="BA39" authorId="0" shapeId="0">
      <text>
        <t>НДС</t>
      </text>
    </comment>
    <comment ref="G42" authorId="0" shapeId="0">
      <text>
        <t>услуги доступа Докробот за январь и март</t>
      </text>
    </comment>
    <comment ref="I49" authorId="0" shapeId="0">
      <text>
        <t>логистика
======</t>
      </text>
    </comment>
    <comment ref="W56" authorId="0" shapeId="0">
      <text>
        <t>Марат</t>
      </text>
    </comment>
    <comment ref="I57" authorId="0" shapeId="0">
      <text>
        <t>гугл</t>
      </text>
    </comment>
    <comment ref="W57" authorId="0" shapeId="0">
      <text>
        <t>заправка картридж.</t>
      </text>
    </comment>
    <comment ref="Y57" authorId="0" shapeId="0">
      <text>
        <t>заправка картридж.</t>
      </text>
    </comment>
    <comment ref="AA57" authorId="0" shapeId="0">
      <text>
        <t>заправка картридж.</t>
      </text>
    </comment>
    <comment ref="AC57" authorId="0" shapeId="0">
      <text>
        <t>заправка картридж.</t>
      </text>
    </comment>
    <comment ref="AE57" authorId="0" shapeId="0">
      <text>
        <t>заправка картридж.</t>
      </text>
    </comment>
    <comment ref="AG57" authorId="0" shapeId="0">
      <text>
        <t>заправка картридж.</t>
      </text>
    </comment>
    <comment ref="AI57" authorId="0" shapeId="0">
      <text>
        <t>заправка картридж.</t>
      </text>
    </comment>
    <comment ref="AK57" authorId="0" shapeId="0">
      <text>
        <t>заправка картридж.</t>
      </text>
    </comment>
    <comment ref="AM57" authorId="0" shapeId="0">
      <text>
        <t>заправка картридж.</t>
      </text>
    </comment>
    <comment ref="AO57" authorId="0" shapeId="0">
      <text>
        <t>заправка картридж.</t>
      </text>
    </comment>
    <comment ref="AQ57" authorId="0" shapeId="0">
      <text>
        <t>заправка картридж.</t>
      </text>
    </comment>
    <comment ref="AS57" authorId="0" shapeId="0">
      <text>
        <t>заправка картридж.</t>
      </text>
    </comment>
    <comment ref="AU57" authorId="0" shapeId="0">
      <text>
        <t>заправка картридж.</t>
      </text>
    </comment>
    <comment ref="AY57" authorId="0" shapeId="0">
      <text>
        <t>заправка картридж.</t>
      </text>
    </comment>
    <comment ref="BA57" authorId="0" shapeId="0">
      <text>
        <t>заправка картридж.</t>
      </text>
    </comment>
    <comment ref="BC57" authorId="0" shapeId="0">
      <text>
        <t>заправка картридж.</t>
      </text>
    </comment>
    <comment ref="U59" authorId="0" shapeId="0">
      <text>
        <t>узбеков</t>
      </text>
    </comment>
    <comment ref="I65" authorId="0" shapeId="0">
      <text>
        <t>Технологич, фасовка</t>
      </text>
    </comment>
    <comment ref="K65" authorId="0" shapeId="0">
      <text>
        <t>Технологич, фасовка</t>
      </text>
    </comment>
    <comment ref="M65" authorId="0" shapeId="0">
      <text>
        <t xml:space="preserve">СКК
</t>
      </text>
    </comment>
    <comment ref="Q65" authorId="0" shapeId="0">
      <text>
        <t>Техотдел</t>
      </text>
    </comment>
    <comment ref="W65" authorId="0" shapeId="0">
      <text>
        <t>Технолог, фасовка</t>
      </text>
    </comment>
    <comment ref="AG65" authorId="0" shapeId="0">
      <text>
        <t>фасовка</t>
      </text>
    </comment>
    <comment ref="AI65" authorId="0" shapeId="0">
      <text>
        <t>кондитерка</t>
      </text>
    </comment>
  </commentList>
</comments>
</file>

<file path=xl/comments/comment5.xml><?xml version="1.0" encoding="utf-8"?>
<comments xmlns="http://schemas.openxmlformats.org/spreadsheetml/2006/main">
  <authors>
    <author>None</author>
    <author>tc={b503be0b-f9cd-462f-a264-874e1f88dc40}</author>
    <author>tc={46c5133b-6fb7-43eb-81f3-b56672954227}</author>
  </authors>
  <commentList>
    <comment ref="V7" authorId="0" shapeId="0">
      <text>
        <t xml:space="preserve">NOA+Бобух
</t>
      </text>
    </comment>
    <comment ref="BA12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РАВНОМЕРНО КРЕДИТ ПОСТУПЛЕНИЕ, 36 млн.
</t>
      </text>
    </comment>
    <comment ref="G30" authorId="0" shapeId="0">
      <text>
        <t>интернет</t>
      </text>
    </comment>
    <comment ref="I30" authorId="0" shapeId="0">
      <text>
        <t>Продвиг лицензия</t>
      </text>
    </comment>
    <comment ref="K30" authorId="0" shapeId="0">
      <text>
        <t>Кафе софт</t>
      </text>
    </comment>
    <comment ref="O30" authorId="0" shapeId="0">
      <text>
        <t>доступ к прогр.на 1 мес</t>
      </text>
    </comment>
    <comment ref="S30" authorId="0" shapeId="0">
      <text>
        <t xml:space="preserve">ЛИЦЕНЗИЯ БИТРИКС </t>
      </text>
    </comment>
    <comment ref="AG30" authorId="0" shapeId="0">
      <text>
        <t>фэйс контроль</t>
      </text>
    </comment>
    <comment ref="AI30" authorId="0" shapeId="0">
      <text>
        <t>доступ к прогр.на 1 мес</t>
      </text>
    </comment>
    <comment ref="AM30" authorId="0" shapeId="0">
      <text>
        <t>фэйс контроль</t>
      </text>
    </comment>
    <comment ref="AO30" authorId="0" shapeId="0">
      <text>
        <t>доступ к прогр.на 1 мес</t>
      </text>
    </comment>
    <comment ref="AQ30" authorId="0" shapeId="0">
      <text>
        <t>доступ к прогр.на 1 мес</t>
      </text>
    </comment>
    <comment ref="AS30" authorId="0" shapeId="0">
      <text>
        <t>доступ к прогр.на 1 мес</t>
      </text>
    </comment>
    <comment ref="H32" authorId="0" shapeId="0">
      <text>
        <t>услуги банка</t>
      </text>
    </comment>
    <comment ref="O32" authorId="0" shapeId="0">
      <text>
        <t>400 000 учетная политика</t>
      </text>
    </comment>
    <comment ref="AA32" authorId="0" shapeId="0">
      <text>
        <t>заправка картридж.</t>
      </text>
    </comment>
    <comment ref="AC32" authorId="0" shapeId="0">
      <text>
        <t>заправка картридж.</t>
      </text>
    </comment>
    <comment ref="AE32" authorId="0" shapeId="0">
      <text>
        <t>заправка картридж.</t>
      </text>
    </comment>
    <comment ref="AG32" authorId="0" shapeId="0">
      <text>
        <t>заправка картридж.</t>
      </text>
    </comment>
    <comment ref="AI32" authorId="0" shapeId="0">
      <text>
        <t>заправка картридж.</t>
      </text>
    </comment>
    <comment ref="AK32" authorId="0" shapeId="0">
      <text>
        <t>заправка картридж.</t>
      </text>
    </comment>
    <comment ref="AM32" authorId="0" shapeId="0">
      <text>
        <t>заправка картридж.</t>
      </text>
    </comment>
    <comment ref="AO32" authorId="0" shapeId="0">
      <text>
        <t>заправка картридж.</t>
      </text>
    </comment>
    <comment ref="AQ32" authorId="0" shapeId="0">
      <text>
        <t>заправка картридж.</t>
      </text>
    </comment>
    <comment ref="AS32" authorId="0" shapeId="0">
      <text>
        <t>заправка картридж.</t>
      </text>
    </comment>
    <comment ref="AU32" authorId="0" shapeId="0">
      <text>
        <t>заправка картридж.</t>
      </text>
    </comment>
    <comment ref="AW32" authorId="0" shapeId="0">
      <text>
        <t>заправка картридж.</t>
      </text>
    </comment>
    <comment ref="AY32" authorId="0" shapeId="0">
      <text>
        <t>заправка картридж.</t>
      </text>
    </comment>
    <comment ref="AE39" authorId="0" shapeId="0">
      <text>
        <t>налог по ЗП</t>
      </text>
    </comment>
    <comment ref="AG39" authorId="0" shapeId="0">
      <text>
        <t>налог по ЗП</t>
      </text>
    </comment>
    <comment ref="AM39" authorId="0" shapeId="0">
      <text>
        <t>КПН</t>
      </text>
    </comment>
    <comment ref="AO39" authorId="0" shapeId="0">
      <text>
        <t>страхование 2 транш</t>
      </text>
    </comment>
    <comment ref="AS39" authorId="0" shapeId="0">
      <text>
        <t>НДС</t>
      </text>
    </comment>
    <comment ref="G42" authorId="0" shapeId="0">
      <text>
        <t>услуги доступа Докробот за январь и март</t>
      </text>
    </comment>
    <comment ref="BA43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Бюджет по закупу ТМЦ
</t>
      </text>
    </comment>
    <comment ref="K45" authorId="0" shapeId="0">
      <text>
        <t>СКК</t>
      </text>
    </comment>
    <comment ref="I49" authorId="0" shapeId="0">
      <text>
        <t>логистика
======</t>
      </text>
    </comment>
    <comment ref="Y56" authorId="0" shapeId="0">
      <text>
        <t>Марат</t>
      </text>
    </comment>
    <comment ref="I57" authorId="0" shapeId="0">
      <text>
        <t>гугл</t>
      </text>
    </comment>
    <comment ref="Y57" authorId="0" shapeId="0">
      <text>
        <t>заправка картридж.</t>
      </text>
    </comment>
    <comment ref="AA57" authorId="0" shapeId="0">
      <text>
        <t>заправка картридж.</t>
      </text>
    </comment>
    <comment ref="AC57" authorId="0" shapeId="0">
      <text>
        <t>заправка картридж.</t>
      </text>
    </comment>
    <comment ref="AE57" authorId="0" shapeId="0">
      <text>
        <t>заправка картридж.</t>
      </text>
    </comment>
    <comment ref="AG57" authorId="0" shapeId="0">
      <text>
        <t>заправка картридж.</t>
      </text>
    </comment>
    <comment ref="AI57" authorId="0" shapeId="0">
      <text>
        <t>заправка картридж.</t>
      </text>
    </comment>
    <comment ref="AK57" authorId="0" shapeId="0">
      <text>
        <t>заправка картридж.</t>
      </text>
    </comment>
    <comment ref="AM57" authorId="0" shapeId="0">
      <text>
        <t>заправка картридж.</t>
      </text>
    </comment>
    <comment ref="AO57" authorId="0" shapeId="0">
      <text>
        <t>заправка картридж.</t>
      </text>
    </comment>
    <comment ref="AQ57" authorId="0" shapeId="0">
      <text>
        <t>заправка картридж.</t>
      </text>
    </comment>
    <comment ref="AS57" authorId="0" shapeId="0">
      <text>
        <t>заправка картридж.</t>
      </text>
    </comment>
    <comment ref="AU57" authorId="0" shapeId="0">
      <text>
        <t>заправка картридж.</t>
      </text>
    </comment>
    <comment ref="AW57" authorId="0" shapeId="0">
      <text>
        <t>заправка картридж.</t>
      </text>
    </comment>
    <comment ref="K58" authorId="0" shapeId="0">
      <text>
        <t>ЧП</t>
      </text>
    </comment>
    <comment ref="W59" authorId="0" shapeId="0">
      <text>
        <t>узбеков</t>
      </text>
    </comment>
    <comment ref="I65" authorId="0" shapeId="0">
      <text>
        <t>Технологич, фасовка</t>
      </text>
    </comment>
    <comment ref="K65" authorId="0" shapeId="0">
      <text>
        <t>СКК</t>
      </text>
    </comment>
    <comment ref="M65" authorId="0" shapeId="0">
      <text>
        <t>Технологич, фасовка</t>
      </text>
    </comment>
    <comment ref="O65" authorId="0" shapeId="0">
      <text>
        <t xml:space="preserve">СКК
</t>
      </text>
    </comment>
    <comment ref="S65" authorId="0" shapeId="0">
      <text>
        <t>Техотдел</t>
      </text>
    </comment>
    <comment ref="Y65" authorId="0" shapeId="0">
      <text>
        <t>Технолог, фасовка</t>
      </text>
    </comment>
    <comment ref="AI65" authorId="0" shapeId="0">
      <text>
        <t>фасовка</t>
      </text>
    </comment>
    <comment ref="AK65" authorId="0" shapeId="0">
      <text>
        <t>кондитерка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BO11" authorId="0" shapeId="0">
      <text>
        <t xml:space="preserve">погашение долга РБК
</t>
      </text>
    </comment>
    <comment ref="E32" authorId="0" shapeId="0">
      <text>
        <t>интернет</t>
      </text>
    </comment>
    <comment ref="F32" authorId="0" shapeId="0">
      <text>
        <t>Продвиг лицензия</t>
      </text>
    </comment>
    <comment ref="G32" authorId="0" shapeId="0">
      <text>
        <t>Кафе софт</t>
      </text>
    </comment>
    <comment ref="AD32" authorId="0" shapeId="0">
      <text>
        <t>гугл диск</t>
      </text>
    </comment>
    <comment ref="BB32" authorId="0" shapeId="0">
      <text>
        <t>фэйс контроль</t>
      </text>
    </comment>
    <comment ref="BD32" authorId="0" shapeId="0">
      <text>
        <t>доступ к прогр.на 1 мес</t>
      </text>
    </comment>
    <comment ref="BH32" authorId="0" shapeId="0">
      <text>
        <t>фэйс контроль</t>
      </text>
    </comment>
    <comment ref="BJ32" authorId="0" shapeId="0">
      <text>
        <t>доступ к прогр.на 1 мес</t>
      </text>
    </comment>
    <comment ref="BO32" authorId="0" shapeId="0">
      <text>
        <t>фэйс контроль</t>
      </text>
    </comment>
    <comment ref="BQ32" authorId="0" shapeId="0">
      <text>
        <t>доступ к прогр.на 1 мес</t>
      </text>
    </comment>
    <comment ref="AD34" authorId="0" shapeId="0">
      <text>
        <t>400 000 учетная политика</t>
      </text>
    </comment>
    <comment ref="AS34" authorId="0" shapeId="0">
      <text>
        <t>заправка картридж.</t>
      </text>
    </comment>
    <comment ref="AW34" authorId="0" shapeId="0">
      <text>
        <t>картридж</t>
      </text>
    </comment>
    <comment ref="AW41" authorId="0" shapeId="0">
      <text>
        <t>налог по ЗП</t>
      </text>
    </comment>
    <comment ref="BH41" authorId="0" shapeId="0">
      <text>
        <t>КПН</t>
      </text>
    </comment>
    <comment ref="BJ41" authorId="0" shapeId="0">
      <text>
        <t>страхование 2 транш</t>
      </text>
    </comment>
    <comment ref="BQ41" authorId="0" shapeId="0">
      <text>
        <t>НДС</t>
      </text>
    </comment>
    <comment ref="E44" authorId="0" shapeId="0">
      <text>
        <t>услуги доступа Докробот за январь и март</t>
      </text>
    </comment>
    <comment ref="AS45" authorId="0" shapeId="0">
      <text>
        <t>лаборат.самоконтроль</t>
      </text>
    </comment>
    <comment ref="BD45" authorId="0" shapeId="0">
      <text>
        <t>дезинсекция</t>
      </text>
    </comment>
    <comment ref="G47" authorId="0" shapeId="0">
      <text>
        <t>СКК</t>
      </text>
    </comment>
    <comment ref="F51" authorId="0" shapeId="0">
      <text>
        <t>логистика
======</t>
      </text>
    </comment>
    <comment ref="AQ58" authorId="0" shapeId="0">
      <text>
        <t>Марат</t>
      </text>
    </comment>
    <comment ref="F59" authorId="0" shapeId="0">
      <text>
        <t>гугл</t>
      </text>
    </comment>
    <comment ref="G60" authorId="0" shapeId="0">
      <text>
        <t>ЧП</t>
      </text>
    </comment>
    <comment ref="AO61" authorId="0" shapeId="0">
      <text>
        <t>узбеков</t>
      </text>
    </comment>
    <comment ref="F67" authorId="0" shapeId="0">
      <text>
        <t>Технологич, фасовка</t>
      </text>
    </comment>
    <comment ref="G67" authorId="0" shapeId="0">
      <text>
        <t>СКК</t>
      </text>
    </comment>
    <comment ref="K67" authorId="0" shapeId="0">
      <text>
        <t>Технологич, фасовка</t>
      </text>
    </comment>
    <comment ref="AD67" authorId="0" shapeId="0">
      <text>
        <t xml:space="preserve">СКК
</t>
      </text>
    </comment>
    <comment ref="AH67" authorId="0" shapeId="0">
      <text>
        <t>Техотдел</t>
      </text>
    </comment>
    <comment ref="AQ67" authorId="0" shapeId="0">
      <text>
        <t>Технолог, фасовка</t>
      </text>
    </comment>
    <comment ref="BD67" authorId="0" shapeId="0">
      <text>
        <t>фасовка</t>
      </text>
    </comment>
    <comment ref="BF67" authorId="0" shapeId="0">
      <text>
        <t>кондитерка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W6" authorId="0" shapeId="0">
      <text>
        <t xml:space="preserve">NOA+Бобух
</t>
      </text>
    </comment>
    <comment ref="Y6" authorId="0" shapeId="0">
      <text>
        <t xml:space="preserve">NOA+Бобух
</t>
      </text>
    </comment>
    <comment ref="BC11" authorId="0" shapeId="0">
      <text>
        <t xml:space="preserve">погашение долга РБК
</t>
      </text>
    </comment>
    <comment ref="G32" authorId="0" shapeId="0">
      <text>
        <t>интернет</t>
      </text>
    </comment>
    <comment ref="I32" authorId="0" shapeId="0">
      <text>
        <t>Продвиг лицензия</t>
      </text>
    </comment>
    <comment ref="K32" authorId="0" shapeId="0">
      <text>
        <t>Кафе софт</t>
      </text>
    </comment>
    <comment ref="R32" authorId="0" shapeId="0">
      <text>
        <t>гугл диск</t>
      </text>
    </comment>
    <comment ref="AP32" authorId="0" shapeId="0">
      <text>
        <t>фэйс контроль</t>
      </text>
    </comment>
    <comment ref="AR32" authorId="0" shapeId="0">
      <text>
        <t>доступ к прогр.на 1 мес</t>
      </text>
    </comment>
    <comment ref="AV32" authorId="0" shapeId="0">
      <text>
        <t>фэйс контроль</t>
      </text>
    </comment>
    <comment ref="AX32" authorId="0" shapeId="0">
      <text>
        <t>доступ к прогр.на 1 мес</t>
      </text>
    </comment>
    <comment ref="BC32" authorId="0" shapeId="0">
      <text>
        <t>фэйс контроль</t>
      </text>
    </comment>
    <comment ref="BE32" authorId="0" shapeId="0">
      <text>
        <t>доступ к прогр.на 1 мес</t>
      </text>
    </comment>
    <comment ref="H34" authorId="0" shapeId="0">
      <text>
        <t>услуги банка</t>
      </text>
    </comment>
    <comment ref="R34" authorId="0" shapeId="0">
      <text>
        <t>400 000 учетная политика</t>
      </text>
    </comment>
    <comment ref="AG34" authorId="0" shapeId="0">
      <text>
        <t>заправка картридж.</t>
      </text>
    </comment>
    <comment ref="AK34" authorId="0" shapeId="0">
      <text>
        <t>картридж</t>
      </text>
    </comment>
    <comment ref="AK41" authorId="0" shapeId="0">
      <text>
        <t>налог по ЗП</t>
      </text>
    </comment>
    <comment ref="AV41" authorId="0" shapeId="0">
      <text>
        <t>КПН</t>
      </text>
    </comment>
    <comment ref="AX41" authorId="0" shapeId="0">
      <text>
        <t>страхование 2 транш</t>
      </text>
    </comment>
    <comment ref="BE41" authorId="0" shapeId="0">
      <text>
        <t>НДС</t>
      </text>
    </comment>
    <comment ref="G44" authorId="0" shapeId="0">
      <text>
        <t>услуги доступа Докробот за январь и март</t>
      </text>
    </comment>
    <comment ref="AG45" authorId="0" shapeId="0">
      <text>
        <t>лаборат.самоконтроль</t>
      </text>
    </comment>
    <comment ref="AR45" authorId="0" shapeId="0">
      <text>
        <t>дезинсекция</t>
      </text>
    </comment>
    <comment ref="K47" authorId="0" shapeId="0">
      <text>
        <t>СКК</t>
      </text>
    </comment>
    <comment ref="I51" authorId="0" shapeId="0">
      <text>
        <t>логистика
======</t>
      </text>
    </comment>
    <comment ref="AE58" authorId="0" shapeId="0">
      <text>
        <t>Марат</t>
      </text>
    </comment>
    <comment ref="I59" authorId="0" shapeId="0">
      <text>
        <t>гугл</t>
      </text>
    </comment>
    <comment ref="K60" authorId="0" shapeId="0">
      <text>
        <t>ЧП</t>
      </text>
    </comment>
    <comment ref="AC61" authorId="0" shapeId="0">
      <text>
        <t>узбеков</t>
      </text>
    </comment>
    <comment ref="I67" authorId="0" shapeId="0">
      <text>
        <t>Технологич, фасовка</t>
      </text>
    </comment>
    <comment ref="K67" authorId="0" shapeId="0">
      <text>
        <t>СКК</t>
      </text>
    </comment>
    <comment ref="P67" authorId="0" shapeId="0">
      <text>
        <t>Технологич, фасовка</t>
      </text>
    </comment>
    <comment ref="R67" authorId="0" shapeId="0">
      <text>
        <t xml:space="preserve">СКК
</t>
      </text>
    </comment>
    <comment ref="V67" authorId="0" shapeId="0">
      <text>
        <t>Техотдел</t>
      </text>
    </comment>
    <comment ref="AE67" authorId="0" shapeId="0">
      <text>
        <t>Технолог, фасовка</t>
      </text>
    </comment>
    <comment ref="AR67" authorId="0" shapeId="0">
      <text>
        <t>фасовка</t>
      </text>
    </comment>
    <comment ref="AT67" authorId="0" shapeId="0">
      <text>
        <t>кондитерка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://office-expert.kz/" TargetMode="External" Id="rId1"/><Relationship Type="http://schemas.openxmlformats.org/officeDocument/2006/relationships/hyperlink" Target="http://office-expert.kz/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office-expert.kz/" TargetMode="External" Id="rId1"/><Relationship Type="http://schemas.openxmlformats.org/officeDocument/2006/relationships/hyperlink" Target="http://office-expert.kz/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A1314"/>
  <sheetViews>
    <sheetView tabSelected="1" workbookViewId="0">
      <pane ySplit="5" topLeftCell="A6" activePane="bottomLeft" state="frozen"/>
      <selection pane="bottomLeft" activeCell="B7" sqref="B7"/>
    </sheetView>
  </sheetViews>
  <sheetFormatPr baseColWidth="8" defaultColWidth="12.6640625" defaultRowHeight="15.75" customHeight="1"/>
  <cols>
    <col width="17.21875" customWidth="1" style="1127" min="1" max="1"/>
    <col width="19.44140625" customWidth="1" style="1127" min="2" max="2"/>
    <col width="41.109375" customWidth="1" style="1127" min="3" max="3"/>
    <col width="52.33203125" customWidth="1" style="1127" min="4" max="4"/>
    <col width="17.21875" customWidth="1" style="1127" min="5" max="5"/>
    <col width="16.77734375" customWidth="1" style="1127" min="6" max="6"/>
    <col width="22" customWidth="1" style="1127" min="7" max="7"/>
    <col width="16" customWidth="1" style="1127" min="8" max="8"/>
    <col width="21.6640625" customWidth="1" style="1127" min="9" max="9"/>
    <col width="40.33203125" customWidth="1" style="1127" min="10" max="10"/>
    <col width="20.33203125" customWidth="1" style="1127" min="11" max="11"/>
    <col width="21" customWidth="1" style="1127" min="13" max="13"/>
  </cols>
  <sheetData>
    <row r="1">
      <c r="A1" s="5" t="n"/>
      <c r="B1" s="5" t="n"/>
      <c r="C1" s="2" t="n"/>
      <c r="D1" s="25" t="n"/>
      <c r="E1" s="25" t="n"/>
      <c r="F1" s="25" t="n"/>
      <c r="G1" s="25" t="n"/>
      <c r="H1" s="501" t="n"/>
      <c r="I1" s="2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>
      <c r="A2" s="14" t="n"/>
      <c r="B2" s="7" t="n">
        <v>46121</v>
      </c>
      <c r="C2" s="8" t="n"/>
      <c r="D2" s="9" t="inlineStr">
        <is>
          <t>Копилка б/н</t>
        </is>
      </c>
      <c r="E2" s="10" t="inlineStr">
        <is>
          <t>Б/н</t>
        </is>
      </c>
      <c r="F2" s="10" t="inlineStr">
        <is>
          <t>Нал</t>
        </is>
      </c>
      <c r="G2" s="11" t="inlineStr">
        <is>
          <t>Копилка нал</t>
        </is>
      </c>
      <c r="H2" s="12" t="inlineStr">
        <is>
          <t>факт нал</t>
        </is>
      </c>
      <c r="I2" s="13" t="n"/>
      <c r="J2" s="2" t="n"/>
      <c r="K2" s="14" t="n"/>
      <c r="L2" s="14" t="n"/>
      <c r="M2" s="14" t="inlineStr">
        <is>
          <t>Таблица заполняется до 10:00 Бухгалетерия/ Фин.служба</t>
        </is>
      </c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</row>
    <row r="3">
      <c r="A3" s="14" t="n"/>
      <c r="B3" s="15" t="inlineStr">
        <is>
          <t>Остатки на расчетных счетах</t>
        </is>
      </c>
      <c r="C3" s="16" t="n">
        <v>4778685</v>
      </c>
      <c r="D3" s="17" t="n">
        <v>200000</v>
      </c>
      <c r="E3" s="17">
        <f>C3+D3</f>
        <v/>
      </c>
      <c r="F3" s="18" t="n">
        <v>4358000</v>
      </c>
      <c r="G3" s="18" t="n"/>
      <c r="H3" s="19">
        <f>F3+G3</f>
        <v/>
      </c>
      <c r="I3" s="2" t="n"/>
      <c r="J3" s="2" t="n"/>
      <c r="K3" s="14" t="n"/>
      <c r="L3" s="14" t="n"/>
      <c r="M3" s="14" t="inlineStr">
        <is>
          <t>Утверждается Управляющим Диреткором до 12:00</t>
        </is>
      </c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</row>
    <row r="4">
      <c r="A4" s="20">
        <f>C3+H3+E4</f>
        <v/>
      </c>
      <c r="B4" s="21" t="inlineStr">
        <is>
          <t>План поступлений</t>
        </is>
      </c>
      <c r="D4" s="18" t="n"/>
      <c r="E4" s="17">
        <f>'ДДС МЕСЯЦ'!V7+'ДДС МЕСЯЦ'!V8+'ДДС МЕСЯЦ'!V9+'ДДС МЕСЯЦ'!V12+'ДДС МЕСЯЦ'!V14+'ДДС МЕСЯЦ'!V18+'ДДС МЕСЯЦ'!V19</f>
        <v/>
      </c>
      <c r="F4" s="19" t="n">
        <v>0</v>
      </c>
      <c r="G4" s="19" t="n"/>
      <c r="H4" s="19" t="n"/>
      <c r="I4" s="2" t="n"/>
      <c r="J4" s="2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</row>
    <row r="5">
      <c r="A5" s="22">
        <f>E1131+E1132+E1133+E1134+E1135+E1136+E1137+F1131+F1132+F1133+F1134+F1135+F1136+F1137</f>
        <v/>
      </c>
      <c r="B5" s="23" t="n"/>
      <c r="C5" s="57" t="n"/>
      <c r="D5" s="25" t="n"/>
      <c r="E5" s="25" t="inlineStr">
        <is>
          <t>план поступлений</t>
        </is>
      </c>
      <c r="F5" s="25" t="n"/>
      <c r="G5" s="25" t="n"/>
      <c r="H5" s="25" t="n"/>
      <c r="I5" s="2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5" t="n"/>
      <c r="B6" s="5" t="n"/>
      <c r="C6" s="25" t="n"/>
      <c r="D6" s="25" t="n"/>
      <c r="E6" s="25" t="n"/>
      <c r="F6" s="25" t="n"/>
      <c r="G6" s="25" t="n"/>
      <c r="H6" s="25" t="n"/>
      <c r="I6" s="2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A7" s="5" t="n"/>
      <c r="B7" s="23" t="n"/>
      <c r="C7" s="25" t="n"/>
      <c r="D7" s="25" t="n"/>
      <c r="E7" s="25" t="n"/>
      <c r="F7" s="25" t="n"/>
      <c r="G7" s="25" t="n"/>
      <c r="H7" s="25" t="n"/>
      <c r="I7" s="2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5" t="n"/>
      <c r="B8" s="26" t="inlineStr">
        <is>
          <t>Дата</t>
        </is>
      </c>
      <c r="C8" s="27" t="inlineStr">
        <is>
          <t>Контрагент</t>
        </is>
      </c>
      <c r="D8" s="28" t="inlineStr">
        <is>
          <t>Назначение платежа</t>
        </is>
      </c>
      <c r="E8" s="27" t="inlineStr">
        <is>
          <t>Сумма Безнал.</t>
        </is>
      </c>
      <c r="F8" s="27" t="inlineStr">
        <is>
          <t>Сумма Нал.</t>
        </is>
      </c>
      <c r="G8" s="27" t="inlineStr">
        <is>
          <t>Сумма</t>
        </is>
      </c>
      <c r="H8" s="27" t="inlineStr">
        <is>
          <t>Статус</t>
        </is>
      </c>
      <c r="I8" s="27" t="inlineStr">
        <is>
          <t>Согласовано с Е.Е.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5" t="n"/>
      <c r="B9" s="40" t="n">
        <v>45813</v>
      </c>
      <c r="C9" s="73" t="n"/>
      <c r="D9" s="73" t="inlineStr">
        <is>
          <t>Гугл диск</t>
        </is>
      </c>
      <c r="E9" s="73" t="n">
        <v>0</v>
      </c>
      <c r="F9" s="73" t="n">
        <v>30000</v>
      </c>
      <c r="G9" s="73" t="n">
        <v>30000</v>
      </c>
      <c r="H9" s="66" t="inlineStr">
        <is>
          <t>Отложено</t>
        </is>
      </c>
      <c r="I9" s="66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5" t="n"/>
      <c r="B10" s="40" t="n">
        <v>45817</v>
      </c>
      <c r="C10" s="73" t="inlineStr">
        <is>
          <t>ИП Intellpack</t>
        </is>
      </c>
      <c r="D10" s="73" t="inlineStr">
        <is>
          <t>Ящики транспортировочные 100шт</t>
        </is>
      </c>
      <c r="E10" s="73" t="n">
        <v>419000</v>
      </c>
      <c r="F10" s="73" t="n">
        <v>0</v>
      </c>
      <c r="G10" s="73" t="n">
        <v>419000</v>
      </c>
      <c r="H10" s="66" t="inlineStr">
        <is>
          <t>Выплачено</t>
        </is>
      </c>
      <c r="I10" s="66" t="n"/>
      <c r="J10" s="5" t="n"/>
      <c r="K10" s="5" t="n"/>
      <c r="L10" s="5" t="n"/>
      <c r="M10" s="32" t="inlineStr">
        <is>
          <t>ЦЕНА ИЗМЕНИЛАСЬ</t>
        </is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5" t="n"/>
      <c r="B11" s="40" t="n">
        <v>45818</v>
      </c>
      <c r="C11" s="73" t="inlineStr">
        <is>
          <t>Василий</t>
        </is>
      </c>
      <c r="D11" s="73" t="inlineStr">
        <is>
          <t>Ноутбук д/этикеровщика</t>
        </is>
      </c>
      <c r="E11" s="111" t="n">
        <v>0</v>
      </c>
      <c r="F11" s="73" t="n">
        <v>65000</v>
      </c>
      <c r="G11" s="73" t="n">
        <v>65000</v>
      </c>
      <c r="H11" s="66" t="inlineStr">
        <is>
          <t>Выплачено</t>
        </is>
      </c>
      <c r="I11" s="6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5" t="n"/>
      <c r="B12" s="40" t="n">
        <v>45813</v>
      </c>
      <c r="C12" s="73" t="n"/>
      <c r="D12" s="73" t="inlineStr">
        <is>
          <t>Закуп фруктов</t>
        </is>
      </c>
      <c r="E12" s="111" t="n">
        <v>0</v>
      </c>
      <c r="F12" s="73" t="n">
        <v>5465</v>
      </c>
      <c r="G12" s="73" t="n">
        <v>5465</v>
      </c>
      <c r="H12" s="66" t="inlineStr">
        <is>
          <t>Выплачено</t>
        </is>
      </c>
      <c r="I12" s="66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5" t="n"/>
      <c r="B13" s="40" t="n">
        <v>45813</v>
      </c>
      <c r="C13" s="73" t="n"/>
      <c r="D13" s="73" t="inlineStr">
        <is>
          <t>Форма силиконовая</t>
        </is>
      </c>
      <c r="E13" s="111" t="n">
        <v>0</v>
      </c>
      <c r="F13" s="73" t="n">
        <v>6400</v>
      </c>
      <c r="G13" s="73" t="n">
        <v>6400</v>
      </c>
      <c r="H13" s="66" t="inlineStr">
        <is>
          <t>Выплачено</t>
        </is>
      </c>
      <c r="I13" s="6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5" t="n"/>
      <c r="B14" s="40" t="n">
        <v>45819</v>
      </c>
      <c r="C14" s="73" t="n"/>
      <c r="D14" s="73" t="inlineStr">
        <is>
          <t>Миксер планетарный</t>
        </is>
      </c>
      <c r="E14" s="73" t="n">
        <v>270000</v>
      </c>
      <c r="F14" s="73" t="n"/>
      <c r="G14" s="73" t="n">
        <v>270000</v>
      </c>
      <c r="H14" s="66" t="inlineStr">
        <is>
          <t>Отложено</t>
        </is>
      </c>
      <c r="I14" s="66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5" t="n"/>
      <c r="B15" s="40" t="n">
        <v>45818</v>
      </c>
      <c r="C15" s="73" t="inlineStr">
        <is>
          <t>Расчет</t>
        </is>
      </c>
      <c r="D15" s="73" t="inlineStr">
        <is>
          <t>Уволенные сотрудники</t>
        </is>
      </c>
      <c r="E15" s="111" t="n">
        <v>0</v>
      </c>
      <c r="F15" s="73" t="n">
        <v>724000</v>
      </c>
      <c r="G15" s="73" t="n">
        <v>724000</v>
      </c>
      <c r="H15" s="66" t="inlineStr">
        <is>
          <t>Выплачено</t>
        </is>
      </c>
      <c r="I15" s="66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5" t="n"/>
      <c r="B16" s="40" t="n">
        <v>45814</v>
      </c>
      <c r="C16" s="73" t="n"/>
      <c r="D16" s="73" t="inlineStr">
        <is>
          <t>Вызывным катломойщицам</t>
        </is>
      </c>
      <c r="E16" s="111" t="n">
        <v>0</v>
      </c>
      <c r="F16" s="73" t="n">
        <v>24000</v>
      </c>
      <c r="G16" s="73" t="n">
        <v>24000</v>
      </c>
      <c r="H16" s="66" t="inlineStr">
        <is>
          <t>Выплачено</t>
        </is>
      </c>
      <c r="I16" s="66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5" t="n"/>
      <c r="B17" s="40" t="n">
        <v>45814</v>
      </c>
      <c r="C17" s="73" t="n"/>
      <c r="D17" s="73" t="inlineStr">
        <is>
          <t>ЗП Олеся</t>
        </is>
      </c>
      <c r="E17" s="111" t="n">
        <v>0</v>
      </c>
      <c r="F17" s="73" t="n">
        <v>2725000</v>
      </c>
      <c r="G17" s="73" t="n">
        <v>2725000</v>
      </c>
      <c r="H17" s="66" t="inlineStr">
        <is>
          <t>Выплачено</t>
        </is>
      </c>
      <c r="I17" s="66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5" t="n"/>
      <c r="B18" s="40" t="n">
        <v>45783</v>
      </c>
      <c r="C18" s="73" t="n"/>
      <c r="D18" s="73" t="inlineStr">
        <is>
          <t>Вызывные сотрудники</t>
        </is>
      </c>
      <c r="E18" s="111" t="n">
        <v>0</v>
      </c>
      <c r="F18" s="73" t="n">
        <v>120000</v>
      </c>
      <c r="G18" s="73" t="n">
        <v>120000</v>
      </c>
      <c r="H18" s="66" t="inlineStr">
        <is>
          <t>Выплачено</t>
        </is>
      </c>
      <c r="I18" s="66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5" t="n"/>
      <c r="B19" s="40" t="n">
        <v>45817</v>
      </c>
      <c r="C19" s="73" t="n"/>
      <c r="D19" s="73" t="inlineStr">
        <is>
          <t>Вернуть на кредитный счет</t>
        </is>
      </c>
      <c r="E19" s="73" t="n">
        <v>8000000</v>
      </c>
      <c r="F19" s="73" t="n">
        <v>0</v>
      </c>
      <c r="G19" s="73" t="n">
        <v>8000000</v>
      </c>
      <c r="H19" s="66" t="inlineStr">
        <is>
          <t>Выплачено</t>
        </is>
      </c>
      <c r="I19" s="66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5" t="n"/>
      <c r="B20" s="40" t="n">
        <v>45817</v>
      </c>
      <c r="C20" s="73" t="inlineStr">
        <is>
          <t>Подотчет</t>
        </is>
      </c>
      <c r="D20" s="73" t="inlineStr">
        <is>
          <t xml:space="preserve">Бижанов Асылбек </t>
        </is>
      </c>
      <c r="E20" s="111" t="n">
        <v>0</v>
      </c>
      <c r="F20" s="73" t="n">
        <v>150000</v>
      </c>
      <c r="G20" s="73" t="n">
        <v>150000</v>
      </c>
      <c r="H20" s="66" t="inlineStr">
        <is>
          <t>Выплачено</t>
        </is>
      </c>
      <c r="I20" s="66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5" t="n"/>
      <c r="B21" s="40" t="n">
        <v>45817</v>
      </c>
      <c r="C21" s="73" t="inlineStr">
        <is>
          <t>Отдел кадров</t>
        </is>
      </c>
      <c r="D21" s="73" t="inlineStr">
        <is>
          <t>Конц.товары и реклама</t>
        </is>
      </c>
      <c r="E21" s="111" t="n">
        <v>0</v>
      </c>
      <c r="F21" s="73" t="n">
        <v>25000</v>
      </c>
      <c r="G21" s="73" t="n">
        <v>25000</v>
      </c>
      <c r="H21" s="66" t="inlineStr">
        <is>
          <t>Отложено</t>
        </is>
      </c>
      <c r="I21" s="66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A22" s="5" t="n"/>
      <c r="B22" s="40" t="n">
        <v>45817</v>
      </c>
      <c r="C22" s="73" t="n"/>
      <c r="D22" s="73" t="inlineStr">
        <is>
          <t>Принтер д/диспетчеров</t>
        </is>
      </c>
      <c r="E22" s="73" t="n">
        <v>272992</v>
      </c>
      <c r="F22" s="73" t="n">
        <v>0</v>
      </c>
      <c r="G22" s="73" t="n">
        <v>272992</v>
      </c>
      <c r="H22" s="66" t="inlineStr">
        <is>
          <t>Отложено</t>
        </is>
      </c>
      <c r="I22" s="66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>
      <c r="A23" s="5" t="n"/>
      <c r="B23" s="40" t="n">
        <v>45817</v>
      </c>
      <c r="C23" s="73" t="inlineStr">
        <is>
          <t>Подотчет Есжановой Г</t>
        </is>
      </c>
      <c r="D23" s="73" t="inlineStr">
        <is>
          <t>Новый дизайн наклейки СЕГОДНЯ</t>
        </is>
      </c>
      <c r="E23" s="111" t="n">
        <v>0</v>
      </c>
      <c r="F23" s="73" t="n">
        <v>80000</v>
      </c>
      <c r="G23" s="73" t="n">
        <v>80000</v>
      </c>
      <c r="H23" s="66" t="inlineStr">
        <is>
          <t>Выплачено</t>
        </is>
      </c>
      <c r="I23" s="66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>
      <c r="A24" s="5" t="n"/>
      <c r="B24" s="40" t="n">
        <v>45817</v>
      </c>
      <c r="C24" s="73" t="n"/>
      <c r="D24" s="73" t="inlineStr">
        <is>
          <t>Гигрометр</t>
        </is>
      </c>
      <c r="E24" s="73" t="n">
        <v>150000</v>
      </c>
      <c r="F24" s="73" t="n">
        <v>0</v>
      </c>
      <c r="G24" s="73" t="n">
        <v>150000</v>
      </c>
      <c r="H24" s="66" t="inlineStr">
        <is>
          <t>Отложено</t>
        </is>
      </c>
      <c r="I24" s="66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>
      <c r="A25" s="5" t="n"/>
      <c r="B25" s="40" t="n">
        <v>45817</v>
      </c>
      <c r="C25" s="73" t="n"/>
      <c r="D25" s="73" t="inlineStr">
        <is>
          <t>Вызывные повара (пекарня,котломойка)</t>
        </is>
      </c>
      <c r="E25" s="111" t="n">
        <v>0</v>
      </c>
      <c r="F25" s="73" t="n">
        <v>87000</v>
      </c>
      <c r="G25" s="73" t="n">
        <v>87000</v>
      </c>
      <c r="H25" s="66" t="inlineStr">
        <is>
          <t>Выплачено</t>
        </is>
      </c>
      <c r="I25" s="66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>
      <c r="A26" s="5" t="n"/>
      <c r="B26" s="40" t="n">
        <v>45817</v>
      </c>
      <c r="C26" s="73" t="n"/>
      <c r="D26" s="73" t="inlineStr">
        <is>
          <t>Инвентарь</t>
        </is>
      </c>
      <c r="E26" s="111" t="n">
        <v>0</v>
      </c>
      <c r="F26" s="73" t="n">
        <v>740200</v>
      </c>
      <c r="G26" s="73" t="n">
        <v>740200</v>
      </c>
      <c r="H26" s="66" t="inlineStr">
        <is>
          <t>Отложено</t>
        </is>
      </c>
      <c r="I26" s="66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s="5" t="n"/>
      <c r="B27" s="40" t="n">
        <v>45817</v>
      </c>
      <c r="C27" s="73" t="inlineStr">
        <is>
          <t>отложить</t>
        </is>
      </c>
      <c r="D27" s="73" t="inlineStr">
        <is>
          <t>на подключение ТП (шкаф, кабеля и тд)</t>
        </is>
      </c>
      <c r="E27" s="73" t="n">
        <v>2000000</v>
      </c>
      <c r="F27" s="73" t="n">
        <v>0</v>
      </c>
      <c r="G27" s="73" t="n">
        <v>2000000</v>
      </c>
      <c r="H27" s="66" t="inlineStr">
        <is>
          <t>Отложено</t>
        </is>
      </c>
      <c r="I27" s="66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>
      <c r="A28" s="5" t="n"/>
      <c r="B28" s="40" t="n">
        <v>45818</v>
      </c>
      <c r="C28" s="73" t="n"/>
      <c r="D28" s="73" t="inlineStr">
        <is>
          <t>ЗП Ковешниковой Зои</t>
        </is>
      </c>
      <c r="E28" s="111" t="n">
        <v>0</v>
      </c>
      <c r="F28" s="73" t="n">
        <v>1533571</v>
      </c>
      <c r="G28" s="73" t="n">
        <v>1533571</v>
      </c>
      <c r="H28" s="66" t="inlineStr">
        <is>
          <t>Выплачено</t>
        </is>
      </c>
      <c r="I28" s="66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>
      <c r="A29" s="5" t="n"/>
      <c r="B29" s="40" t="n">
        <v>45818</v>
      </c>
      <c r="C29" s="73" t="inlineStr">
        <is>
          <t>на карточку сотрудникам</t>
        </is>
      </c>
      <c r="D29" s="73" t="inlineStr">
        <is>
          <t>Офицальное зп</t>
        </is>
      </c>
      <c r="E29" s="73" t="n">
        <v>13933776</v>
      </c>
      <c r="F29" s="73" t="n">
        <v>0</v>
      </c>
      <c r="G29" s="73" t="n">
        <v>13933776</v>
      </c>
      <c r="H29" s="66" t="inlineStr">
        <is>
          <t>Выплачено</t>
        </is>
      </c>
      <c r="I29" s="66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>
      <c r="A30" s="5" t="n"/>
      <c r="B30" s="40" t="n">
        <v>45818</v>
      </c>
      <c r="C30" s="73" t="inlineStr">
        <is>
          <t>Подотчет</t>
        </is>
      </c>
      <c r="D30" s="73" t="inlineStr">
        <is>
          <t>Ли Станислав</t>
        </is>
      </c>
      <c r="E30" s="111" t="n">
        <v>0</v>
      </c>
      <c r="F30" s="73" t="n">
        <v>300000</v>
      </c>
      <c r="G30" s="73" t="n">
        <v>300000</v>
      </c>
      <c r="H30" s="66" t="inlineStr">
        <is>
          <t>Выплачено</t>
        </is>
      </c>
      <c r="I30" s="66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>
      <c r="A31" s="5" t="n"/>
      <c r="B31" s="40" t="n">
        <v>45820</v>
      </c>
      <c r="C31" s="73" t="inlineStr">
        <is>
          <t>Вон С</t>
        </is>
      </c>
      <c r="D31" s="73" t="inlineStr">
        <is>
          <t>Инвентарь</t>
        </is>
      </c>
      <c r="E31" s="111" t="n">
        <v>0</v>
      </c>
      <c r="F31" s="73" t="n">
        <v>200000</v>
      </c>
      <c r="G31" s="73" t="n">
        <v>200000</v>
      </c>
      <c r="H31" s="66" t="inlineStr">
        <is>
          <t>Отложено</t>
        </is>
      </c>
      <c r="I31" s="66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>
      <c r="A32" s="5" t="n"/>
      <c r="B32" s="40" t="n">
        <v>45818</v>
      </c>
      <c r="C32" s="73" t="inlineStr">
        <is>
          <t>Сон Сергей</t>
        </is>
      </c>
      <c r="D32" s="73" t="inlineStr">
        <is>
          <t>Штрих коды по курсу 6,45*8000 рубль</t>
        </is>
      </c>
      <c r="E32" s="111" t="n">
        <v>0</v>
      </c>
      <c r="F32" s="73" t="n">
        <v>51600</v>
      </c>
      <c r="G32" s="73" t="n">
        <v>51600</v>
      </c>
      <c r="H32" s="66" t="inlineStr">
        <is>
          <t>Выплачено</t>
        </is>
      </c>
      <c r="I32" s="66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>
      <c r="A33" s="5" t="n"/>
      <c r="B33" s="40" t="n">
        <v>45818</v>
      </c>
      <c r="C33" s="73" t="inlineStr">
        <is>
          <t>Сырье</t>
        </is>
      </c>
      <c r="D33" s="73" t="inlineStr">
        <is>
          <t>Оплата по поставщикам</t>
        </is>
      </c>
      <c r="E33" s="73" t="n">
        <v>10434810</v>
      </c>
      <c r="F33" s="73" t="n">
        <v>0</v>
      </c>
      <c r="G33" s="73" t="n">
        <v>10434810</v>
      </c>
      <c r="H33" s="66" t="inlineStr">
        <is>
          <t>Выплачено</t>
        </is>
      </c>
      <c r="I33" s="66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>
      <c r="A34" s="5" t="n"/>
      <c r="B34" s="40" t="n">
        <v>45819</v>
      </c>
      <c r="C34" s="73" t="inlineStr">
        <is>
          <t>Исполнительные листы</t>
        </is>
      </c>
      <c r="D34" s="73" t="inlineStr">
        <is>
          <t>ЧСИ по сотрудникам</t>
        </is>
      </c>
      <c r="E34" s="73" t="n">
        <v>573335</v>
      </c>
      <c r="F34" s="73" t="n">
        <v>0</v>
      </c>
      <c r="G34" s="73" t="n">
        <v>589785</v>
      </c>
      <c r="H34" s="66" t="inlineStr">
        <is>
          <t>Выплачено</t>
        </is>
      </c>
      <c r="I34" s="66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>
      <c r="A35" s="5" t="n"/>
      <c r="B35" s="40" t="n">
        <v>45819</v>
      </c>
      <c r="C35" s="73" t="inlineStr">
        <is>
          <t xml:space="preserve">снимаем со счета </t>
        </is>
      </c>
      <c r="D35" s="73" t="inlineStr">
        <is>
          <t>на копилку 2 млн, на зп 2 млн</t>
        </is>
      </c>
      <c r="E35" s="111" t="n">
        <v>0</v>
      </c>
      <c r="F35" s="73" t="n">
        <v>4000000</v>
      </c>
      <c r="G35" s="73" t="n">
        <v>4000000</v>
      </c>
      <c r="H35" s="66" t="inlineStr">
        <is>
          <t>Выплачено</t>
        </is>
      </c>
      <c r="I35" s="66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>
      <c r="A36" s="5" t="n"/>
      <c r="B36" s="40" t="n">
        <v>45819</v>
      </c>
      <c r="C36" s="73" t="inlineStr">
        <is>
          <t>Сырье</t>
        </is>
      </c>
      <c r="D36" s="73" t="inlineStr">
        <is>
          <t>Оплата по поставщикам (вторая часть)</t>
        </is>
      </c>
      <c r="E36" s="73" t="n">
        <v>8000000</v>
      </c>
      <c r="F36" s="73" t="n">
        <v>0</v>
      </c>
      <c r="G36" s="73" t="n">
        <v>9102655</v>
      </c>
      <c r="H36" s="66" t="inlineStr">
        <is>
          <t>Выплачено</t>
        </is>
      </c>
      <c r="I36" s="66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>
      <c r="A37" s="5" t="n"/>
      <c r="B37" s="40" t="n">
        <v>45819</v>
      </c>
      <c r="C37" s="73" t="n"/>
      <c r="D37" s="73" t="inlineStr">
        <is>
          <t>Стерилезатор</t>
        </is>
      </c>
      <c r="E37" s="73" t="n">
        <v>84800</v>
      </c>
      <c r="F37" s="73" t="n">
        <v>0</v>
      </c>
      <c r="G37" s="73" t="n">
        <v>84800</v>
      </c>
      <c r="H37" s="66" t="inlineStr">
        <is>
          <t>Выплачено</t>
        </is>
      </c>
      <c r="I37" s="66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>
      <c r="A38" s="5" t="n"/>
      <c r="B38" s="40" t="n">
        <v>45819</v>
      </c>
      <c r="C38" s="73" t="inlineStr">
        <is>
          <t>Рынок</t>
        </is>
      </c>
      <c r="D38" s="73" t="inlineStr">
        <is>
          <t>Инвентарь д/кондитерки</t>
        </is>
      </c>
      <c r="E38" s="111" t="n">
        <v>0</v>
      </c>
      <c r="F38" s="73" t="n">
        <v>150000</v>
      </c>
      <c r="G38" s="73" t="n">
        <v>150000</v>
      </c>
      <c r="H38" s="66" t="inlineStr">
        <is>
          <t>Выплачено</t>
        </is>
      </c>
      <c r="I38" s="66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>
      <c r="A39" s="5" t="n"/>
      <c r="B39" s="40" t="n">
        <v>45819</v>
      </c>
      <c r="C39" s="73" t="n"/>
      <c r="D39" s="73" t="inlineStr">
        <is>
          <t>Светлана</t>
        </is>
      </c>
      <c r="E39" s="111" t="n"/>
      <c r="F39" s="73" t="n">
        <v>140000</v>
      </c>
      <c r="G39" s="73" t="n">
        <v>140000</v>
      </c>
      <c r="H39" s="66" t="inlineStr">
        <is>
          <t>Выплачено</t>
        </is>
      </c>
      <c r="I39" s="66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>
      <c r="A40" s="5" t="n"/>
      <c r="B40" s="40" t="n">
        <v>45819</v>
      </c>
      <c r="C40" s="73" t="inlineStr">
        <is>
          <t>Подотчет</t>
        </is>
      </c>
      <c r="D40" s="73" t="inlineStr">
        <is>
          <t>Ли Станислав</t>
        </is>
      </c>
      <c r="E40" s="111" t="n"/>
      <c r="F40" s="73" t="n">
        <v>300000</v>
      </c>
      <c r="G40" s="73" t="n">
        <v>300000</v>
      </c>
      <c r="H40" s="66" t="inlineStr">
        <is>
          <t>Выплачено</t>
        </is>
      </c>
      <c r="I40" s="66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>
      <c r="A41" s="5" t="n"/>
      <c r="B41" s="40" t="n">
        <v>45819</v>
      </c>
      <c r="C41" s="73" t="inlineStr">
        <is>
          <t>ч-з Арнур (на каспий ФЛ)</t>
        </is>
      </c>
      <c r="D41" s="73" t="inlineStr">
        <is>
          <t>Установка счетчика</t>
        </is>
      </c>
      <c r="E41" s="111" t="n"/>
      <c r="F41" s="73" t="n">
        <v>220000</v>
      </c>
      <c r="G41" s="73" t="n">
        <v>220000</v>
      </c>
      <c r="H41" s="66" t="inlineStr">
        <is>
          <t>Выплачено</t>
        </is>
      </c>
      <c r="I41" s="66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>
      <c r="A42" s="5" t="n"/>
      <c r="B42" s="40" t="n">
        <v>45819</v>
      </c>
      <c r="C42" s="73" t="n"/>
      <c r="D42" s="73" t="inlineStr">
        <is>
          <t>Уволенные сотрудники</t>
        </is>
      </c>
      <c r="E42" s="111" t="n"/>
      <c r="F42" s="73" t="n">
        <v>573014</v>
      </c>
      <c r="G42" s="73" t="n">
        <v>573014</v>
      </c>
      <c r="H42" s="66" t="inlineStr">
        <is>
          <t>Выплачено</t>
        </is>
      </c>
      <c r="I42" s="66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>
      <c r="A43" s="5" t="n"/>
      <c r="B43" s="40" t="n">
        <v>45819</v>
      </c>
      <c r="C43" s="73" t="inlineStr">
        <is>
          <t>Подотчет</t>
        </is>
      </c>
      <c r="D43" s="73" t="inlineStr">
        <is>
          <t>Сон С</t>
        </is>
      </c>
      <c r="E43" s="111" t="n"/>
      <c r="F43" s="73" t="n">
        <v>100000</v>
      </c>
      <c r="G43" s="73" t="n">
        <v>100000</v>
      </c>
      <c r="H43" s="66" t="inlineStr">
        <is>
          <t>Выплачено</t>
        </is>
      </c>
      <c r="I43" s="66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>
      <c r="A44" s="5" t="n"/>
      <c r="B44" s="40" t="n">
        <v>45820</v>
      </c>
      <c r="C44" s="73" t="inlineStr">
        <is>
          <t>ЗП</t>
        </is>
      </c>
      <c r="D44" s="73" t="inlineStr">
        <is>
          <t>Лагманщики и сушист/Зкльфия и Муратбек</t>
        </is>
      </c>
      <c r="E44" s="111" t="n"/>
      <c r="F44" s="73" t="n">
        <v>1643000</v>
      </c>
      <c r="G44" s="73" t="n">
        <v>1643000</v>
      </c>
      <c r="H44" s="66" t="inlineStr">
        <is>
          <t>Выплачено</t>
        </is>
      </c>
      <c r="I44" s="66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>
      <c r="A45" s="5" t="n"/>
      <c r="B45" s="40" t="n">
        <v>45820</v>
      </c>
      <c r="C45" s="73" t="inlineStr">
        <is>
          <t>Подотчет</t>
        </is>
      </c>
      <c r="D45" s="73" t="inlineStr">
        <is>
          <t>Ли Станислав</t>
        </is>
      </c>
      <c r="E45" s="111" t="n"/>
      <c r="F45" s="73" t="n">
        <v>600000</v>
      </c>
      <c r="G45" s="73" t="n">
        <v>600000</v>
      </c>
      <c r="H45" s="66" t="inlineStr">
        <is>
          <t>Выплачено</t>
        </is>
      </c>
      <c r="I45" s="66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>
      <c r="A46" s="5" t="n"/>
      <c r="B46" s="40" t="n">
        <v>45821</v>
      </c>
      <c r="C46" s="73" t="inlineStr">
        <is>
          <t>Аванс по служебке</t>
        </is>
      </c>
      <c r="D46" s="73" t="inlineStr">
        <is>
          <t>Абдраманова Айгуль</t>
        </is>
      </c>
      <c r="E46" s="111" t="n"/>
      <c r="F46" s="73" t="n">
        <v>150000</v>
      </c>
      <c r="G46" s="73" t="n">
        <v>150000</v>
      </c>
      <c r="H46" s="66" t="inlineStr">
        <is>
          <t>Выплачено</t>
        </is>
      </c>
      <c r="I46" s="66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>
      <c r="A47" s="5" t="n"/>
      <c r="B47" s="40" t="n">
        <v>45821</v>
      </c>
      <c r="C47" s="73" t="n"/>
      <c r="D47" s="73" t="inlineStr">
        <is>
          <t>Уволенные сотрудники</t>
        </is>
      </c>
      <c r="E47" s="111" t="n"/>
      <c r="F47" s="73" t="n">
        <v>1000000</v>
      </c>
      <c r="G47" s="73" t="n">
        <v>1270482</v>
      </c>
      <c r="H47" s="66" t="inlineStr">
        <is>
          <t>Выплачено</t>
        </is>
      </c>
      <c r="I47" s="66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>
      <c r="A48" s="5" t="n"/>
      <c r="B48" s="40" t="n">
        <v>45821</v>
      </c>
      <c r="C48" s="73" t="n"/>
      <c r="D48" s="73" t="inlineStr">
        <is>
          <t>Оплата по поставщикам</t>
        </is>
      </c>
      <c r="E48" s="111" t="n">
        <v>15000000</v>
      </c>
      <c r="F48" s="73" t="n"/>
      <c r="G48" s="73" t="n">
        <v>8032663</v>
      </c>
      <c r="H48" s="66" t="inlineStr">
        <is>
          <t>Выплачено</t>
        </is>
      </c>
      <c r="I48" s="66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>
      <c r="A49" s="5" t="n"/>
      <c r="B49" s="40" t="n">
        <v>45821</v>
      </c>
      <c r="C49" s="73" t="inlineStr">
        <is>
          <t>Сон С</t>
        </is>
      </c>
      <c r="D49" s="73" t="inlineStr">
        <is>
          <t>Аренда квартир</t>
        </is>
      </c>
      <c r="E49" s="111" t="n"/>
      <c r="F49" s="73" t="n">
        <v>350000</v>
      </c>
      <c r="G49" s="73" t="n"/>
      <c r="H49" s="66" t="inlineStr">
        <is>
          <t>Выплачено</t>
        </is>
      </c>
      <c r="I49" s="66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>
      <c r="A50" s="5" t="n"/>
      <c r="B50" s="40" t="n">
        <v>45821</v>
      </c>
      <c r="C50" s="73" t="inlineStr">
        <is>
          <t>Тараз</t>
        </is>
      </c>
      <c r="D50" s="73" t="inlineStr">
        <is>
          <t>Мед</t>
        </is>
      </c>
      <c r="E50" s="111" t="n"/>
      <c r="F50" s="73" t="n">
        <v>322700</v>
      </c>
      <c r="G50" s="73" t="n">
        <v>322700</v>
      </c>
      <c r="H50" s="66" t="inlineStr">
        <is>
          <t>Выплачено</t>
        </is>
      </c>
      <c r="I50" s="66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>
      <c r="A51" s="5" t="n"/>
      <c r="B51" s="40" t="n">
        <v>45821</v>
      </c>
      <c r="C51" s="73" t="inlineStr">
        <is>
          <t>Рынок</t>
        </is>
      </c>
      <c r="D51" s="73" t="inlineStr">
        <is>
          <t>Инвентарь д/пекарни</t>
        </is>
      </c>
      <c r="E51" s="111" t="n"/>
      <c r="F51" s="73" t="n">
        <v>150000</v>
      </c>
      <c r="G51" s="73" t="n">
        <v>150000</v>
      </c>
      <c r="H51" s="66" t="inlineStr">
        <is>
          <t>Выплачено</t>
        </is>
      </c>
      <c r="I51" s="66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>
      <c r="A52" s="5" t="n"/>
      <c r="B52" s="40" t="n">
        <v>45824</v>
      </c>
      <c r="C52" s="34" t="n"/>
      <c r="D52" s="73" t="inlineStr">
        <is>
          <t>Гигрометр</t>
        </is>
      </c>
      <c r="E52" s="111" t="n">
        <v>150000</v>
      </c>
      <c r="F52" s="73" t="n"/>
      <c r="G52" s="73" t="n">
        <v>150000</v>
      </c>
      <c r="H52" s="66" t="inlineStr">
        <is>
          <t>Отложено</t>
        </is>
      </c>
      <c r="I52" s="66" t="n"/>
      <c r="J52" s="5" t="n"/>
      <c r="K52" s="5" t="inlineStr">
        <is>
          <t>запрашивала Перизат,Василий,Асылбек,Сергей</t>
        </is>
      </c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>
      <c r="A53" s="5" t="n"/>
      <c r="B53" s="40" t="n">
        <v>45824</v>
      </c>
      <c r="C53" s="73" t="n"/>
      <c r="D53" s="73" t="inlineStr">
        <is>
          <t>Установка счетчика</t>
        </is>
      </c>
      <c r="E53" s="111" t="n"/>
      <c r="F53" s="73" t="n">
        <v>500000</v>
      </c>
      <c r="G53" s="73" t="n">
        <v>500000</v>
      </c>
      <c r="H53" s="66" t="inlineStr">
        <is>
          <t>Выплачено</t>
        </is>
      </c>
      <c r="I53" s="66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>
      <c r="A54" s="5" t="n"/>
      <c r="B54" s="40" t="n">
        <v>45824</v>
      </c>
      <c r="C54" s="73" t="inlineStr">
        <is>
          <t>Дядь Эрик</t>
        </is>
      </c>
      <c r="D54" s="73" t="inlineStr">
        <is>
          <t>Салаты</t>
        </is>
      </c>
      <c r="E54" s="111" t="n"/>
      <c r="F54" s="73" t="n">
        <v>517000</v>
      </c>
      <c r="G54" s="73" t="n">
        <v>600000</v>
      </c>
      <c r="H54" s="66" t="inlineStr">
        <is>
          <t>Выплачено</t>
        </is>
      </c>
      <c r="I54" s="66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>
      <c r="A55" s="5" t="n"/>
      <c r="B55" s="40" t="n">
        <v>45824</v>
      </c>
      <c r="C55" s="73" t="n"/>
      <c r="D55" s="73" t="inlineStr">
        <is>
          <t>Битрикс</t>
        </is>
      </c>
      <c r="E55" s="73" t="n">
        <v>147360</v>
      </c>
      <c r="G55" s="73" t="n">
        <v>147360</v>
      </c>
      <c r="H55" s="66" t="inlineStr">
        <is>
          <t>Выплачено</t>
        </is>
      </c>
      <c r="I55" s="66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>
      <c r="A56" s="5" t="n"/>
      <c r="B56" s="40" t="n">
        <v>45824</v>
      </c>
      <c r="C56" s="73" t="inlineStr">
        <is>
          <t>Отдел кадров</t>
        </is>
      </c>
      <c r="D56" s="73" t="inlineStr">
        <is>
          <t>Шкаф д/папок</t>
        </is>
      </c>
      <c r="E56" s="111" t="n"/>
      <c r="F56" s="73" t="n"/>
      <c r="G56" s="73" t="n">
        <v>50000</v>
      </c>
      <c r="H56" s="66" t="inlineStr">
        <is>
          <t>Выплачено</t>
        </is>
      </c>
      <c r="I56" s="66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>
      <c r="A57" s="5" t="n"/>
      <c r="B57" s="40" t="n">
        <v>45824</v>
      </c>
      <c r="C57" s="73" t="inlineStr">
        <is>
          <t>Узбеков</t>
        </is>
      </c>
      <c r="D57" s="73" t="inlineStr">
        <is>
          <t>Аренда квартир</t>
        </is>
      </c>
      <c r="E57" s="111" t="n"/>
      <c r="F57" s="73" t="n">
        <v>350000</v>
      </c>
      <c r="G57" s="73" t="n">
        <v>350000</v>
      </c>
      <c r="H57" s="66" t="inlineStr">
        <is>
          <t>Выплачено</t>
        </is>
      </c>
      <c r="I57" s="66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>
      <c r="A58" s="5" t="n"/>
      <c r="B58" s="40" t="n">
        <v>45824</v>
      </c>
      <c r="C58" s="73" t="n"/>
      <c r="D58" s="73" t="inlineStr">
        <is>
          <t>Зп сотрудникам</t>
        </is>
      </c>
      <c r="E58" s="111" t="n"/>
      <c r="F58" s="73" t="n">
        <v>4275124</v>
      </c>
      <c r="G58" s="73" t="n">
        <v>4275124</v>
      </c>
      <c r="H58" s="66" t="inlineStr">
        <is>
          <t>Выплачено</t>
        </is>
      </c>
      <c r="I58" s="66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>
      <c r="A59" s="5" t="n"/>
      <c r="B59" s="40" t="n">
        <v>45793</v>
      </c>
      <c r="C59" s="73" t="n"/>
      <c r="D59" s="73" t="inlineStr">
        <is>
          <t>Оплата по поставщикам</t>
        </is>
      </c>
      <c r="E59" s="111" t="n">
        <v>3292436</v>
      </c>
      <c r="F59" s="73" t="n"/>
      <c r="G59" s="73" t="n">
        <v>3292436</v>
      </c>
      <c r="H59" s="66" t="inlineStr">
        <is>
          <t>Выплачено</t>
        </is>
      </c>
      <c r="I59" s="66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>
      <c r="A60" s="5" t="n"/>
      <c r="B60" s="40" t="n">
        <v>45825</v>
      </c>
      <c r="C60" s="73" t="inlineStr">
        <is>
          <t>ОС</t>
        </is>
      </c>
      <c r="D60" s="73" t="inlineStr">
        <is>
          <t>Мармит</t>
        </is>
      </c>
      <c r="E60" s="111" t="n">
        <v>70000</v>
      </c>
      <c r="F60" s="73" t="n"/>
      <c r="G60" s="73" t="n">
        <v>70000</v>
      </c>
      <c r="H60" s="66" t="inlineStr">
        <is>
          <t>Отложено</t>
        </is>
      </c>
      <c r="I60" s="66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>
      <c r="A61" s="5" t="n"/>
      <c r="B61" s="40" t="n">
        <v>45825</v>
      </c>
      <c r="C61" s="73" t="inlineStr">
        <is>
          <t>Подотчет</t>
        </is>
      </c>
      <c r="D61" s="73" t="inlineStr">
        <is>
          <t>Ли Станислав</t>
        </is>
      </c>
      <c r="E61" s="111" t="n"/>
      <c r="F61" s="73" t="n">
        <v>300000</v>
      </c>
      <c r="G61" s="73" t="n">
        <v>300000</v>
      </c>
      <c r="H61" s="66" t="inlineStr">
        <is>
          <t>Выплачено</t>
        </is>
      </c>
      <c r="I61" s="66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>
      <c r="A62" s="5" t="n"/>
      <c r="B62" s="40" t="n">
        <v>45825</v>
      </c>
      <c r="C62" s="73" t="inlineStr">
        <is>
          <t>Технолог</t>
        </is>
      </c>
      <c r="D62" s="73" t="inlineStr">
        <is>
          <t>Инвентарь и рамки</t>
        </is>
      </c>
      <c r="E62" s="111" t="n"/>
      <c r="F62" s="73" t="n">
        <v>100000</v>
      </c>
      <c r="G62" s="73" t="n">
        <v>100000</v>
      </c>
      <c r="H62" s="66" t="inlineStr">
        <is>
          <t>Отложено</t>
        </is>
      </c>
      <c r="I62" s="66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>
      <c r="A63" s="5" t="n"/>
      <c r="B63" s="40" t="n">
        <v>45825</v>
      </c>
      <c r="C63" s="73" t="inlineStr">
        <is>
          <t>ИП Алексеевское</t>
        </is>
      </c>
      <c r="D63" s="73" t="inlineStr">
        <is>
          <t>Пищевые отходы</t>
        </is>
      </c>
      <c r="E63" s="111" t="n">
        <v>100000</v>
      </c>
      <c r="F63" s="73" t="n"/>
      <c r="G63" s="73" t="n">
        <v>100000</v>
      </c>
      <c r="H63" s="66" t="inlineStr">
        <is>
          <t>Выплачено</t>
        </is>
      </c>
      <c r="I63" s="66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>
      <c r="A64" s="5" t="n"/>
      <c r="B64" s="40" t="n">
        <v>45825</v>
      </c>
      <c r="C64" s="73" t="inlineStr">
        <is>
          <t>Отдел кадров</t>
        </is>
      </c>
      <c r="D64" s="73" t="inlineStr">
        <is>
          <t>Размещение рекламы</t>
        </is>
      </c>
      <c r="E64" s="111" t="n"/>
      <c r="F64" s="73" t="n">
        <v>20000</v>
      </c>
      <c r="G64" s="73" t="n">
        <v>20000</v>
      </c>
      <c r="H64" s="66" t="inlineStr">
        <is>
          <t>Выплачено</t>
        </is>
      </c>
      <c r="I64" s="66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>
      <c r="A65" s="5" t="n"/>
      <c r="B65" s="40" t="n">
        <v>45826</v>
      </c>
      <c r="C65" s="73" t="n"/>
      <c r="D65" s="73" t="inlineStr">
        <is>
          <t>Зп сотрудникам</t>
        </is>
      </c>
      <c r="E65" s="111" t="n"/>
      <c r="F65" s="73" t="n">
        <v>10755546</v>
      </c>
      <c r="G65" s="73" t="n">
        <v>10755546</v>
      </c>
      <c r="H65" s="66" t="inlineStr">
        <is>
          <t>Выплачено</t>
        </is>
      </c>
      <c r="I65" s="66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>
      <c r="A66" s="5" t="n"/>
      <c r="B66" s="40" t="n">
        <v>45826</v>
      </c>
      <c r="C66" s="73" t="n"/>
      <c r="D66" s="73" t="inlineStr">
        <is>
          <t>Оплата по поставщикам</t>
        </is>
      </c>
      <c r="E66" s="111" t="n">
        <v>12000000</v>
      </c>
      <c r="F66" s="73" t="n"/>
      <c r="G66" s="73" t="n">
        <v>12283607</v>
      </c>
      <c r="H66" s="66" t="inlineStr">
        <is>
          <t>Выплачено</t>
        </is>
      </c>
      <c r="I66" s="66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>
      <c r="A67" s="5" t="n"/>
      <c r="B67" s="40" t="n">
        <v>45826</v>
      </c>
      <c r="C67" s="73" t="inlineStr">
        <is>
          <t>Экспрес-сервис</t>
        </is>
      </c>
      <c r="D67" s="73" t="inlineStr">
        <is>
          <t>Аренда</t>
        </is>
      </c>
      <c r="E67" s="111" t="n">
        <v>6050000</v>
      </c>
      <c r="F67" s="73" t="n"/>
      <c r="G67" s="73" t="n">
        <v>6050000</v>
      </c>
      <c r="H67" s="66" t="inlineStr">
        <is>
          <t>Выплачено</t>
        </is>
      </c>
      <c r="I67" s="66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>
      <c r="A68" s="5" t="n"/>
      <c r="B68" s="40" t="n">
        <v>45826</v>
      </c>
      <c r="C68" s="73" t="inlineStr">
        <is>
          <t xml:space="preserve">Стас </t>
        </is>
      </c>
      <c r="D68" s="73" t="n"/>
      <c r="E68" s="111" t="n"/>
      <c r="F68" s="73" t="n">
        <v>300000</v>
      </c>
      <c r="G68" s="73" t="n">
        <v>300000</v>
      </c>
      <c r="H68" s="66" t="inlineStr">
        <is>
          <t>Выплачено</t>
        </is>
      </c>
      <c r="I68" s="66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>
      <c r="A69" s="5" t="n"/>
      <c r="B69" s="40" t="n">
        <v>45827</v>
      </c>
      <c r="C69" s="73" t="n"/>
      <c r="D69" s="73" t="inlineStr">
        <is>
          <t>Зп сотрудникам</t>
        </is>
      </c>
      <c r="E69" s="111" t="n"/>
      <c r="F69" s="73" t="n">
        <v>4612250</v>
      </c>
      <c r="G69" s="73" t="n">
        <v>4612250</v>
      </c>
      <c r="H69" s="66" t="inlineStr">
        <is>
          <t>Выплачено</t>
        </is>
      </c>
      <c r="I69" s="66" t="n"/>
      <c r="J69" s="3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>
      <c r="A70" s="5" t="n"/>
      <c r="B70" s="40" t="n">
        <v>45827</v>
      </c>
      <c r="C70" s="73" t="n"/>
      <c r="D70" s="73" t="inlineStr">
        <is>
          <t>Оплата по поставщикам</t>
        </is>
      </c>
      <c r="E70" s="111" t="n">
        <v>4428595</v>
      </c>
      <c r="F70" s="73" t="n"/>
      <c r="G70" s="73" t="n">
        <v>4443666.5</v>
      </c>
      <c r="H70" s="66" t="inlineStr">
        <is>
          <t>Выплачено</t>
        </is>
      </c>
      <c r="I70" s="66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>
      <c r="A71" s="5" t="n"/>
      <c r="B71" s="40" t="n">
        <v>45827</v>
      </c>
      <c r="C71" s="73" t="inlineStr">
        <is>
          <t>Вызывные</t>
        </is>
      </c>
      <c r="D71" s="73" t="inlineStr">
        <is>
          <t>Тех персонал</t>
        </is>
      </c>
      <c r="E71" s="111" t="n"/>
      <c r="F71" s="73" t="n">
        <v>36000</v>
      </c>
      <c r="G71" s="73" t="n">
        <v>108000</v>
      </c>
      <c r="H71" s="66" t="inlineStr">
        <is>
          <t>Выплачено</t>
        </is>
      </c>
      <c r="I71" s="66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>
      <c r="A72" s="5" t="n"/>
      <c r="B72" s="40" t="n">
        <v>45827</v>
      </c>
      <c r="C72" s="73" t="inlineStr">
        <is>
          <t>Возврат</t>
        </is>
      </c>
      <c r="D72" s="73" t="inlineStr">
        <is>
          <t>По служебке</t>
        </is>
      </c>
      <c r="E72" s="111" t="n"/>
      <c r="F72" s="73" t="n">
        <v>2966</v>
      </c>
      <c r="G72" s="73" t="n">
        <v>2966</v>
      </c>
      <c r="H72" s="66" t="inlineStr">
        <is>
          <t>Выплачено</t>
        </is>
      </c>
      <c r="I72" s="66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>
      <c r="A73" s="5" t="n"/>
      <c r="B73" s="40" t="n">
        <v>45827</v>
      </c>
      <c r="C73" s="73" t="inlineStr">
        <is>
          <t>Асылбек</t>
        </is>
      </c>
      <c r="D73" s="73" t="inlineStr">
        <is>
          <t>Ремонт и настройки морозильников</t>
        </is>
      </c>
      <c r="E73" s="111" t="n">
        <v>120000</v>
      </c>
      <c r="F73" s="73" t="n"/>
      <c r="G73" s="73" t="n">
        <v>120000</v>
      </c>
      <c r="H73" s="66" t="inlineStr">
        <is>
          <t>Выплачено</t>
        </is>
      </c>
      <c r="I73" s="66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>
      <c r="A74" s="5" t="n"/>
      <c r="B74" s="40" t="n">
        <v>45827</v>
      </c>
      <c r="C74" s="73" t="inlineStr">
        <is>
          <t>Ли Станислав</t>
        </is>
      </c>
      <c r="D74" s="73" t="inlineStr">
        <is>
          <t>Рынок</t>
        </is>
      </c>
      <c r="E74" s="111" t="n"/>
      <c r="F74" s="73" t="n">
        <v>600000</v>
      </c>
      <c r="G74" s="73" t="n">
        <v>600000</v>
      </c>
      <c r="H74" s="66" t="inlineStr">
        <is>
          <t>Выплачено</t>
        </is>
      </c>
      <c r="I74" s="66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>
      <c r="A75" s="5" t="n"/>
      <c r="B75" s="40" t="n">
        <v>45827</v>
      </c>
      <c r="C75" s="73" t="inlineStr">
        <is>
          <t>Богомол</t>
        </is>
      </c>
      <c r="D75" s="73" t="inlineStr">
        <is>
          <t>Охрана</t>
        </is>
      </c>
      <c r="E75" s="111" t="n">
        <v>600240</v>
      </c>
      <c r="F75" s="73" t="n"/>
      <c r="G75" s="73" t="n">
        <v>600240</v>
      </c>
      <c r="H75" s="66" t="inlineStr">
        <is>
          <t>Выплачено</t>
        </is>
      </c>
      <c r="I75" s="66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>
      <c r="A76" s="5" t="n"/>
      <c r="B76" s="40" t="n">
        <v>45827</v>
      </c>
      <c r="C76" s="73" t="inlineStr">
        <is>
          <t xml:space="preserve">Подотчет </t>
        </is>
      </c>
      <c r="D76" s="73" t="inlineStr">
        <is>
          <t>Асылбек</t>
        </is>
      </c>
      <c r="E76" s="111" t="n"/>
      <c r="F76" s="73" t="n">
        <v>100000</v>
      </c>
      <c r="G76" s="73" t="n">
        <v>100000</v>
      </c>
      <c r="H76" s="66" t="inlineStr">
        <is>
          <t>Выплачено</t>
        </is>
      </c>
      <c r="I76" s="66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>
      <c r="A77" s="5" t="n"/>
      <c r="B77" s="98" t="n">
        <v>45828</v>
      </c>
      <c r="C77" s="66" t="inlineStr">
        <is>
          <t>APF service</t>
        </is>
      </c>
      <c r="D77" s="66" t="inlineStr">
        <is>
          <t>Вывоз мусора</t>
        </is>
      </c>
      <c r="E77" s="37" t="n">
        <v>508200</v>
      </c>
      <c r="F77" s="66" t="n"/>
      <c r="G77" s="66" t="n">
        <v>508200</v>
      </c>
      <c r="H77" s="66" t="inlineStr">
        <is>
          <t>Выплачено</t>
        </is>
      </c>
      <c r="I77" s="66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>
      <c r="A78" s="5" t="n"/>
      <c r="B78" s="98" t="n">
        <v>45828</v>
      </c>
      <c r="C78" s="66" t="n"/>
      <c r="D78" s="66" t="inlineStr">
        <is>
          <t>Оплата по поставщикам</t>
        </is>
      </c>
      <c r="E78" s="37" t="n">
        <v>14281800</v>
      </c>
      <c r="F78" s="66" t="n"/>
      <c r="G78" s="66" t="n">
        <v>14281800</v>
      </c>
      <c r="H78" s="66" t="inlineStr">
        <is>
          <t>Выплачено</t>
        </is>
      </c>
      <c r="I78" s="66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>
      <c r="A79" s="5" t="n"/>
      <c r="B79" s="98" t="n">
        <v>45828</v>
      </c>
      <c r="C79" s="66" t="n"/>
      <c r="D79" s="66" t="inlineStr">
        <is>
          <t>Уволенные сотрудники</t>
        </is>
      </c>
      <c r="E79" s="37" t="n"/>
      <c r="F79" s="66" t="n">
        <v>1603912</v>
      </c>
      <c r="G79" s="66" t="n">
        <v>1603912</v>
      </c>
      <c r="H79" s="66" t="inlineStr">
        <is>
          <t>Выплачено</t>
        </is>
      </c>
      <c r="I79" s="66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>
      <c r="A80" s="5" t="n"/>
      <c r="B80" s="98" t="n">
        <v>45828</v>
      </c>
      <c r="C80" s="66" t="inlineStr">
        <is>
          <t>Торговый дизайн</t>
        </is>
      </c>
      <c r="D80" s="66" t="inlineStr">
        <is>
          <t>Миксер планетарный</t>
        </is>
      </c>
      <c r="E80" s="37" t="n">
        <v>343492</v>
      </c>
      <c r="F80" s="66" t="n"/>
      <c r="G80" s="66" t="n">
        <v>343492</v>
      </c>
      <c r="H80" s="66" t="inlineStr">
        <is>
          <t>Выплачено</t>
        </is>
      </c>
      <c r="I80" s="66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>
      <c r="A81" s="5" t="n"/>
      <c r="B81" s="98" t="n">
        <v>45828</v>
      </c>
      <c r="C81" s="66" t="inlineStr">
        <is>
          <t>Craft</t>
        </is>
      </c>
      <c r="D81" s="66" t="inlineStr">
        <is>
          <t>Форма д/сотрудников</t>
        </is>
      </c>
      <c r="E81" s="37" t="n">
        <v>270000</v>
      </c>
      <c r="F81" s="66" t="n"/>
      <c r="G81" s="66" t="n">
        <v>270000</v>
      </c>
      <c r="H81" s="66" t="inlineStr">
        <is>
          <t>Выплачено</t>
        </is>
      </c>
      <c r="I81" s="66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>
      <c r="A82" s="5" t="n"/>
      <c r="B82" s="98" t="n">
        <v>45463</v>
      </c>
      <c r="C82" s="66" t="inlineStr">
        <is>
          <t>Ремонт бытовой техники</t>
        </is>
      </c>
      <c r="D82" s="66" t="inlineStr">
        <is>
          <t>Ремонт микросхемы</t>
        </is>
      </c>
      <c r="E82" s="37" t="n">
        <v>8000</v>
      </c>
      <c r="F82" s="66" t="n"/>
      <c r="G82" s="66" t="n">
        <v>8000</v>
      </c>
      <c r="H82" s="66" t="inlineStr">
        <is>
          <t>Выплачено</t>
        </is>
      </c>
      <c r="I82" s="66" t="n"/>
      <c r="J82" s="39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>
      <c r="A83" s="5" t="n"/>
      <c r="B83" s="98" t="n">
        <v>45828</v>
      </c>
      <c r="C83" s="66" t="inlineStr">
        <is>
          <t>Mega service</t>
        </is>
      </c>
      <c r="D83" s="66" t="inlineStr">
        <is>
          <t>Ремонт весов</t>
        </is>
      </c>
      <c r="E83" s="37" t="n">
        <v>35000</v>
      </c>
      <c r="F83" s="66" t="n"/>
      <c r="G83" s="66" t="n">
        <v>35000</v>
      </c>
      <c r="H83" s="66" t="inlineStr">
        <is>
          <t>Выплачено</t>
        </is>
      </c>
      <c r="I83" s="66" t="n"/>
      <c r="J83" s="39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>
      <c r="A84" s="5" t="n"/>
      <c r="B84" s="98" t="n">
        <v>45828</v>
      </c>
      <c r="C84" s="66" t="inlineStr">
        <is>
          <t>CRIND</t>
        </is>
      </c>
      <c r="D84" s="66" t="inlineStr">
        <is>
          <t>Заточка ножей</t>
        </is>
      </c>
      <c r="E84" s="37" t="n">
        <v>9000</v>
      </c>
      <c r="F84" s="66" t="n"/>
      <c r="G84" s="66" t="n">
        <v>9000</v>
      </c>
      <c r="H84" s="66" t="inlineStr">
        <is>
          <t>Выплачено</t>
        </is>
      </c>
      <c r="I84" s="66" t="n"/>
      <c r="J84" s="39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>
      <c r="A85" s="5" t="n"/>
      <c r="B85" s="98" t="n">
        <v>45828</v>
      </c>
      <c r="C85" s="66" t="inlineStr">
        <is>
          <t>ИП Ни Н.Г.</t>
        </is>
      </c>
      <c r="D85" s="66" t="inlineStr">
        <is>
          <t>Ремонт агрегата Фасовка</t>
        </is>
      </c>
      <c r="E85" s="37" t="n">
        <v>25000</v>
      </c>
      <c r="F85" s="66" t="n"/>
      <c r="G85" s="66" t="n">
        <v>25000</v>
      </c>
      <c r="H85" s="66" t="inlineStr">
        <is>
          <t>Выплачено</t>
        </is>
      </c>
      <c r="I85" s="66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>
      <c r="A86" s="5" t="n"/>
      <c r="B86" s="98" t="n">
        <v>45828</v>
      </c>
      <c r="C86" s="66" t="inlineStr">
        <is>
          <t>Россия</t>
        </is>
      </c>
      <c r="D86" s="66" t="inlineStr">
        <is>
          <t>Контейнер от Бластора</t>
        </is>
      </c>
      <c r="E86" s="37" t="n">
        <v>1227717</v>
      </c>
      <c r="F86" s="66" t="n"/>
      <c r="G86" s="66" t="n">
        <v>1227717</v>
      </c>
      <c r="H86" s="66" t="inlineStr">
        <is>
          <t>Выплачено</t>
        </is>
      </c>
      <c r="I86" s="66" t="n"/>
      <c r="J86" s="3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>
      <c r="A87" s="5" t="n"/>
      <c r="B87" s="98" t="n">
        <v>45828</v>
      </c>
      <c r="C87" s="66" t="inlineStr">
        <is>
          <t>Счет предоставят завтра</t>
        </is>
      </c>
      <c r="D87" s="66" t="inlineStr">
        <is>
          <t>Агрегатор на новую морозильную камеру</t>
        </is>
      </c>
      <c r="E87" s="37" t="n">
        <v>4000000</v>
      </c>
      <c r="F87" s="66" t="n"/>
      <c r="G87" s="66" t="n">
        <v>4000000</v>
      </c>
      <c r="H87" s="66" t="inlineStr">
        <is>
          <t>Отложено</t>
        </is>
      </c>
      <c r="I87" s="66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>
      <c r="A88" s="5" t="n"/>
      <c r="B88" s="40" t="n">
        <v>45831</v>
      </c>
      <c r="C88" s="73" t="inlineStr">
        <is>
          <t>Ибрайханов Муратбек</t>
        </is>
      </c>
      <c r="D88" s="73" t="inlineStr">
        <is>
          <t>Квартира с 20 по 30 июня</t>
        </is>
      </c>
      <c r="E88" s="111" t="n"/>
      <c r="F88" s="73" t="n">
        <v>25000</v>
      </c>
      <c r="G88" s="73" t="n">
        <v>25000</v>
      </c>
      <c r="H88" s="66" t="inlineStr">
        <is>
          <t>Выплачено</t>
        </is>
      </c>
      <c r="I88" s="66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>
      <c r="A89" s="5" t="n"/>
      <c r="B89" s="40" t="n">
        <v>45831</v>
      </c>
      <c r="C89" s="73" t="inlineStr">
        <is>
          <t>ANT S</t>
        </is>
      </c>
      <c r="D89" s="73" t="inlineStr">
        <is>
          <t>Принтер д/диспетчеров</t>
        </is>
      </c>
      <c r="E89" s="111" t="n">
        <v>251630</v>
      </c>
      <c r="F89" s="73" t="n"/>
      <c r="G89" s="73" t="n">
        <v>251630</v>
      </c>
      <c r="H89" s="66" t="inlineStr">
        <is>
          <t>Выплачено</t>
        </is>
      </c>
      <c r="I89" s="66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>
      <c r="A90" s="5" t="n"/>
      <c r="B90" s="40" t="n">
        <v>45831</v>
      </c>
      <c r="C90" s="73" t="n"/>
      <c r="D90" s="73" t="inlineStr">
        <is>
          <t>Налог за май</t>
        </is>
      </c>
      <c r="E90" s="111" t="n">
        <v>8144089</v>
      </c>
      <c r="F90" s="73" t="n"/>
      <c r="G90" s="73" t="n"/>
      <c r="H90" s="66" t="inlineStr">
        <is>
          <t>Выплачено</t>
        </is>
      </c>
      <c r="I90" s="66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>
      <c r="A91" s="5" t="n"/>
      <c r="B91" s="40" t="n">
        <v>45831</v>
      </c>
      <c r="C91" s="73" t="n"/>
      <c r="D91" s="73" t="inlineStr">
        <is>
          <t>Дезинфекция</t>
        </is>
      </c>
      <c r="E91" s="111" t="n">
        <v>145000</v>
      </c>
      <c r="F91" s="73" t="n"/>
      <c r="G91" s="73" t="n"/>
      <c r="H91" s="66" t="inlineStr">
        <is>
          <t>Выплачено</t>
        </is>
      </c>
      <c r="I91" s="66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>
      <c r="A92" s="5" t="n"/>
      <c r="B92" s="40" t="n">
        <v>45831</v>
      </c>
      <c r="C92" s="73" t="inlineStr">
        <is>
          <t>Тех персонал</t>
        </is>
      </c>
      <c r="D92" s="73" t="inlineStr">
        <is>
          <t>Вызывные</t>
        </is>
      </c>
      <c r="E92" s="111" t="n"/>
      <c r="F92" s="73" t="n">
        <v>36000</v>
      </c>
      <c r="G92" s="73" t="n">
        <v>36000</v>
      </c>
      <c r="H92" s="66" t="inlineStr">
        <is>
          <t>Выплачено</t>
        </is>
      </c>
      <c r="I92" s="66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>
      <c r="A93" s="5" t="n"/>
      <c r="B93" s="40" t="n">
        <v>45831</v>
      </c>
      <c r="C93" s="73" t="n"/>
      <c r="D93" s="73" t="inlineStr">
        <is>
          <t>Зп сотрудникам</t>
        </is>
      </c>
      <c r="E93" s="111" t="n"/>
      <c r="F93" s="73" t="n">
        <v>2911238</v>
      </c>
      <c r="G93" s="73" t="n">
        <v>2911238</v>
      </c>
      <c r="H93" s="66" t="inlineStr">
        <is>
          <t>Выплачено</t>
        </is>
      </c>
      <c r="I93" s="66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>
      <c r="A94" s="5" t="n"/>
      <c r="B94" s="40" t="n">
        <v>45831</v>
      </c>
      <c r="C94" s="73" t="inlineStr">
        <is>
          <t>Кафе софт</t>
        </is>
      </c>
      <c r="D94" s="73" t="inlineStr">
        <is>
          <t>Выгрузка</t>
        </is>
      </c>
      <c r="E94" s="111" t="n">
        <v>79200</v>
      </c>
      <c r="F94" s="73" t="n"/>
      <c r="G94" s="73" t="n">
        <v>79200</v>
      </c>
      <c r="H94" s="66" t="inlineStr">
        <is>
          <t>Выплачено</t>
        </is>
      </c>
      <c r="I94" s="66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>
      <c r="A95" s="5" t="n"/>
      <c r="B95" s="40" t="n">
        <v>45832</v>
      </c>
      <c r="C95" s="73" t="n"/>
      <c r="D95" s="73" t="inlineStr">
        <is>
          <t>Оплата по поставщикам</t>
        </is>
      </c>
      <c r="E95" s="111" t="n">
        <v>10201856</v>
      </c>
      <c r="F95" s="73" t="n"/>
      <c r="G95" s="73" t="n">
        <v>10201856</v>
      </c>
      <c r="H95" s="66" t="inlineStr">
        <is>
          <t>Выплачено</t>
        </is>
      </c>
      <c r="I95" s="66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>
      <c r="A96" s="5" t="n"/>
      <c r="B96" s="40" t="n">
        <v>45832</v>
      </c>
      <c r="C96" s="73" t="n"/>
      <c r="D96" s="73" t="inlineStr">
        <is>
          <t>Зп сотрудникам</t>
        </is>
      </c>
      <c r="E96" s="111" t="n"/>
      <c r="F96" s="73" t="n">
        <v>353000</v>
      </c>
      <c r="G96" s="73" t="n">
        <v>353000</v>
      </c>
      <c r="H96" s="66" t="inlineStr">
        <is>
          <t>Выплачено</t>
        </is>
      </c>
      <c r="I96" s="66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>
      <c r="A97" s="5" t="n"/>
      <c r="B97" s="40" t="n">
        <v>45832</v>
      </c>
      <c r="C97" s="73" t="inlineStr">
        <is>
          <t xml:space="preserve">Стас </t>
        </is>
      </c>
      <c r="D97" s="73" t="inlineStr">
        <is>
          <t>Рынок</t>
        </is>
      </c>
      <c r="E97" s="111" t="n"/>
      <c r="F97" s="73" t="n">
        <v>300000</v>
      </c>
      <c r="G97" s="73" t="n">
        <v>300000</v>
      </c>
      <c r="H97" s="66" t="inlineStr">
        <is>
          <t>Выплачено</t>
        </is>
      </c>
      <c r="I97" s="66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>
      <c r="A98" s="5" t="n"/>
      <c r="B98" s="40" t="n">
        <v>45832</v>
      </c>
      <c r="C98" s="73" t="inlineStr">
        <is>
          <t>Elevator Servise  ремонт лифта</t>
        </is>
      </c>
      <c r="D98" s="73" t="n"/>
      <c r="E98" s="111" t="n">
        <v>75000</v>
      </c>
      <c r="F98" s="73" t="n"/>
      <c r="G98" s="73" t="n">
        <v>75000</v>
      </c>
      <c r="H98" s="66" t="inlineStr">
        <is>
          <t>Выплачено</t>
        </is>
      </c>
      <c r="I98" s="66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>
      <c r="A99" s="5" t="n"/>
      <c r="B99" s="40" t="n">
        <v>45832</v>
      </c>
      <c r="C99" s="73" t="inlineStr">
        <is>
          <t xml:space="preserve">Очистка  жироуловителя </t>
        </is>
      </c>
      <c r="D99" s="73" t="n"/>
      <c r="E99" s="111" t="n"/>
      <c r="F99" s="73" t="n">
        <v>40000</v>
      </c>
      <c r="G99" s="73" t="n">
        <v>40000</v>
      </c>
      <c r="H99" s="66" t="inlineStr">
        <is>
          <t>Выплачено</t>
        </is>
      </c>
      <c r="I99" s="66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>
      <c r="A100" s="5" t="n"/>
      <c r="B100" s="40" t="n">
        <v>45833</v>
      </c>
      <c r="C100" s="73" t="inlineStr">
        <is>
          <t>Гузя</t>
        </is>
      </c>
      <c r="D100" s="73" t="inlineStr">
        <is>
          <t>Закуп д/тортов</t>
        </is>
      </c>
      <c r="E100" s="111" t="n"/>
      <c r="F100" s="73" t="n">
        <v>15200</v>
      </c>
      <c r="G100" s="73" t="n">
        <v>15200</v>
      </c>
      <c r="H100" s="66" t="inlineStr">
        <is>
          <t>Выплачено</t>
        </is>
      </c>
      <c r="I100" s="66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>
      <c r="A101" s="5" t="n"/>
      <c r="B101" s="40" t="n">
        <v>45833</v>
      </c>
      <c r="C101" s="73" t="inlineStr">
        <is>
          <t xml:space="preserve">Стас </t>
        </is>
      </c>
      <c r="D101" s="73" t="inlineStr">
        <is>
          <t xml:space="preserve">Рынок </t>
        </is>
      </c>
      <c r="E101" s="111" t="n"/>
      <c r="F101" s="73" t="n">
        <v>300000</v>
      </c>
      <c r="G101" s="73" t="n">
        <v>300000</v>
      </c>
      <c r="H101" s="66" t="inlineStr">
        <is>
          <t>Выплачено</t>
        </is>
      </c>
      <c r="I101" s="66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>
      <c r="A102" s="5" t="n"/>
      <c r="B102" s="40" t="n">
        <v>45833</v>
      </c>
      <c r="C102" s="73" t="inlineStr">
        <is>
          <t xml:space="preserve">Квартира </t>
        </is>
      </c>
      <c r="D102" s="73" t="inlineStr">
        <is>
          <t xml:space="preserve">аренда </t>
        </is>
      </c>
      <c r="E102" s="111" t="n"/>
      <c r="F102" s="73" t="n">
        <v>350000</v>
      </c>
      <c r="G102" s="73" t="n">
        <v>350000</v>
      </c>
      <c r="H102" s="66" t="inlineStr">
        <is>
          <t>Выплачено</t>
        </is>
      </c>
      <c r="I102" s="66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>
      <c r="A103" s="5" t="n"/>
      <c r="B103" s="40" t="n">
        <v>45833</v>
      </c>
      <c r="C103" s="73" t="inlineStr">
        <is>
          <t xml:space="preserve">Асылбек </t>
        </is>
      </c>
      <c r="D103" s="73" t="inlineStr">
        <is>
          <t>На приобретение необходимых</t>
        </is>
      </c>
      <c r="E103" s="111" t="n"/>
      <c r="F103" s="73" t="n">
        <v>250000</v>
      </c>
      <c r="G103" s="73" t="n">
        <v>250000</v>
      </c>
      <c r="H103" s="66" t="inlineStr">
        <is>
          <t>Выплачено</t>
        </is>
      </c>
      <c r="I103" s="66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>
      <c r="A104" s="5" t="n"/>
      <c r="B104" s="40" t="n">
        <v>45833</v>
      </c>
      <c r="C104" s="73" t="n"/>
      <c r="D104" s="73" t="inlineStr">
        <is>
          <t>Оплата по поставщикам</t>
        </is>
      </c>
      <c r="E104" s="111" t="n">
        <v>5987595</v>
      </c>
      <c r="F104" s="73" t="n"/>
      <c r="G104" s="73" t="n">
        <v>5987595</v>
      </c>
      <c r="H104" s="66" t="inlineStr">
        <is>
          <t>Выплачено</t>
        </is>
      </c>
      <c r="I104" s="66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>
      <c r="A105" s="5" t="n"/>
      <c r="B105" s="40" t="n">
        <v>45833</v>
      </c>
      <c r="C105" s="73" t="inlineStr">
        <is>
          <t xml:space="preserve">Перизат </t>
        </is>
      </c>
      <c r="D105" s="55" t="inlineStr">
        <is>
          <t>Разработка дизайна для баннера</t>
        </is>
      </c>
      <c r="E105" s="111" t="n"/>
      <c r="F105" s="73" t="n">
        <v>153700</v>
      </c>
      <c r="G105" s="73" t="n">
        <v>153700</v>
      </c>
      <c r="H105" s="66" t="inlineStr">
        <is>
          <t>Выплачено</t>
        </is>
      </c>
      <c r="I105" s="66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>
      <c r="A106" s="5" t="n"/>
      <c r="B106" s="98" t="n">
        <v>45833</v>
      </c>
      <c r="C106" s="66" t="n"/>
      <c r="D106" s="66" t="inlineStr">
        <is>
          <t>Зп сотрудникам</t>
        </is>
      </c>
      <c r="E106" s="37" t="n"/>
      <c r="F106" s="66" t="n">
        <v>848000</v>
      </c>
      <c r="G106" s="66" t="n">
        <v>848000</v>
      </c>
      <c r="H106" s="66" t="inlineStr">
        <is>
          <t>Выплачено</t>
        </is>
      </c>
      <c r="I106" s="66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>
      <c r="A107" s="5" t="n"/>
      <c r="B107" s="42" t="n">
        <v>45834</v>
      </c>
      <c r="C107" s="43" t="inlineStr">
        <is>
          <t xml:space="preserve">Стас </t>
        </is>
      </c>
      <c r="D107" s="43" t="inlineStr">
        <is>
          <t xml:space="preserve">Рынок </t>
        </is>
      </c>
      <c r="E107" s="44" t="n"/>
      <c r="F107" s="43" t="n">
        <v>600000</v>
      </c>
      <c r="G107" s="43" t="n">
        <v>600000</v>
      </c>
      <c r="H107" s="43" t="inlineStr">
        <is>
          <t>Выплачено</t>
        </is>
      </c>
      <c r="I107" s="66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>
      <c r="A108" s="5" t="n"/>
      <c r="B108" s="42" t="n">
        <v>45834</v>
      </c>
      <c r="C108" s="43" t="inlineStr">
        <is>
          <t xml:space="preserve">Маша </t>
        </is>
      </c>
      <c r="D108" s="43" t="inlineStr">
        <is>
          <t xml:space="preserve">Дорожный </t>
        </is>
      </c>
      <c r="E108" s="44" t="n"/>
      <c r="F108" s="43" t="n">
        <v>132150</v>
      </c>
      <c r="G108" s="43" t="n">
        <v>132150</v>
      </c>
      <c r="H108" s="43" t="inlineStr">
        <is>
          <t>Выплачено</t>
        </is>
      </c>
      <c r="I108" s="66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>
      <c r="A109" s="5" t="n"/>
      <c r="B109" s="42" t="n">
        <v>45834</v>
      </c>
      <c r="C109" s="43" t="inlineStr">
        <is>
          <t>ИП Нурлыбекова</t>
        </is>
      </c>
      <c r="D109" s="43" t="inlineStr">
        <is>
          <t>Кондиционер д/суши</t>
        </is>
      </c>
      <c r="E109" s="44" t="n">
        <v>243049</v>
      </c>
      <c r="F109" s="43" t="n"/>
      <c r="G109" s="43" t="n">
        <v>243049</v>
      </c>
      <c r="H109" s="43" t="inlineStr">
        <is>
          <t>Выплачено</t>
        </is>
      </c>
      <c r="I109" s="66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>
      <c r="A110" s="5" t="n"/>
      <c r="B110" s="42" t="n">
        <v>45834</v>
      </c>
      <c r="C110" s="43" t="n"/>
      <c r="D110" s="43" t="inlineStr">
        <is>
          <t>Зп сотрудникам АУП</t>
        </is>
      </c>
      <c r="E110" s="44" t="n"/>
      <c r="F110" s="43" t="n">
        <v>2919000</v>
      </c>
      <c r="G110" s="43" t="n">
        <v>2919000</v>
      </c>
      <c r="H110" s="43" t="inlineStr">
        <is>
          <t>Выплачено</t>
        </is>
      </c>
      <c r="I110" s="66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>
      <c r="A111" s="5" t="n"/>
      <c r="B111" s="42" t="n">
        <v>45834</v>
      </c>
      <c r="C111" s="43" t="inlineStr">
        <is>
          <t>По банку</t>
        </is>
      </c>
      <c r="D111" s="43" t="inlineStr">
        <is>
          <t>Аванст сотрудникам</t>
        </is>
      </c>
      <c r="E111" s="44" t="n">
        <v>2000000</v>
      </c>
      <c r="F111" s="43" t="n"/>
      <c r="G111" s="43" t="n"/>
      <c r="H111" s="43" t="inlineStr">
        <is>
          <t>Выплачено</t>
        </is>
      </c>
      <c r="I111" s="66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>
      <c r="A112" s="5" t="n"/>
      <c r="B112" s="40" t="n">
        <v>45835</v>
      </c>
      <c r="C112" s="73" t="inlineStr">
        <is>
          <t>В плане</t>
        </is>
      </c>
      <c r="D112" s="73" t="inlineStr">
        <is>
          <t>Холодильники</t>
        </is>
      </c>
      <c r="E112" s="111" t="n">
        <v>9000000</v>
      </c>
      <c r="F112" s="73" t="n"/>
      <c r="G112" s="73" t="n"/>
      <c r="H112" s="66" t="inlineStr">
        <is>
          <t>Отложено</t>
        </is>
      </c>
      <c r="I112" s="66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>
      <c r="A113" s="5" t="n"/>
      <c r="B113" s="40" t="n">
        <v>45835</v>
      </c>
      <c r="C113" s="73" t="inlineStr">
        <is>
          <t>Экспресс сервис</t>
        </is>
      </c>
      <c r="D113" s="73" t="inlineStr">
        <is>
          <t>Комунальные услуги</t>
        </is>
      </c>
      <c r="E113" s="111" t="n">
        <v>5500000</v>
      </c>
      <c r="F113" s="73" t="n"/>
      <c r="G113" s="73" t="n">
        <v>5500000</v>
      </c>
      <c r="H113" s="88" t="inlineStr">
        <is>
          <t>Выплачено</t>
        </is>
      </c>
      <c r="I113" s="66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>
      <c r="A114" s="5" t="n"/>
      <c r="B114" s="40" t="n">
        <v>45835</v>
      </c>
      <c r="C114" s="73" t="n"/>
      <c r="D114" s="73" t="inlineStr">
        <is>
          <t>Уволенные сотрудники</t>
        </is>
      </c>
      <c r="E114" s="111" t="n"/>
      <c r="F114" s="73" t="n">
        <v>710992</v>
      </c>
      <c r="G114" s="73" t="n">
        <v>710992</v>
      </c>
      <c r="H114" s="88" t="inlineStr">
        <is>
          <t>Выплачено</t>
        </is>
      </c>
      <c r="I114" s="66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>
      <c r="A115" s="5" t="n"/>
      <c r="B115" s="40" t="n">
        <v>45835</v>
      </c>
      <c r="C115" s="73" t="inlineStr">
        <is>
          <t xml:space="preserve">Производ.расходы </t>
        </is>
      </c>
      <c r="D115" s="73" t="inlineStr">
        <is>
          <t>Газ</t>
        </is>
      </c>
      <c r="E115" s="111" t="n"/>
      <c r="F115" s="73" t="n">
        <v>44000</v>
      </c>
      <c r="G115" s="73" t="n">
        <v>44000</v>
      </c>
      <c r="H115" s="88" t="inlineStr">
        <is>
          <t>Выплачено</t>
        </is>
      </c>
      <c r="I115" s="66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>
      <c r="A116" s="5" t="n"/>
      <c r="B116" s="40" t="n">
        <v>45835</v>
      </c>
      <c r="C116" s="73" t="n"/>
      <c r="D116" s="73" t="inlineStr">
        <is>
          <t>Оплата по поставщикам</t>
        </is>
      </c>
      <c r="E116" s="111" t="n">
        <v>15075656</v>
      </c>
      <c r="F116" s="73" t="n"/>
      <c r="G116" s="73" t="n">
        <v>15075656</v>
      </c>
      <c r="H116" s="88" t="inlineStr">
        <is>
          <t>Выплачено</t>
        </is>
      </c>
      <c r="I116" s="66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>
      <c r="A117" s="5" t="n"/>
      <c r="B117" s="40" t="n">
        <v>45835</v>
      </c>
      <c r="C117" s="73" t="inlineStr">
        <is>
          <t xml:space="preserve">Гузя </t>
        </is>
      </c>
      <c r="D117" s="73" t="inlineStr">
        <is>
          <t>Блакнот Сегодня</t>
        </is>
      </c>
      <c r="E117" s="111" t="n"/>
      <c r="F117" s="73" t="n">
        <v>105000</v>
      </c>
      <c r="G117" s="73" t="n">
        <v>105000</v>
      </c>
      <c r="H117" s="66" t="inlineStr">
        <is>
          <t>Выплачено</t>
        </is>
      </c>
      <c r="I117" s="66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>
      <c r="A118" s="5" t="n"/>
      <c r="B118" s="40" t="n">
        <v>45835</v>
      </c>
      <c r="C118" s="73" t="inlineStr">
        <is>
          <t xml:space="preserve">Производ.расходы </t>
        </is>
      </c>
      <c r="D118" s="46" t="inlineStr">
        <is>
          <t xml:space="preserve">Прочитка канализация крод </t>
        </is>
      </c>
      <c r="E118" s="49" t="n"/>
      <c r="F118" s="73" t="n">
        <v>40000</v>
      </c>
      <c r="G118" s="73" t="n">
        <v>40000</v>
      </c>
      <c r="H118" s="66" t="inlineStr">
        <is>
          <t>Выплачено</t>
        </is>
      </c>
      <c r="I118" s="66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>
      <c r="A119" s="5" t="n"/>
      <c r="B119" s="40" t="n">
        <v>45835</v>
      </c>
      <c r="C119" s="73" t="inlineStr">
        <is>
          <t xml:space="preserve">Зп </t>
        </is>
      </c>
      <c r="D119" s="48" t="inlineStr">
        <is>
          <t xml:space="preserve">сотрудникам </t>
        </is>
      </c>
      <c r="E119" s="49" t="n"/>
      <c r="F119" s="73" t="n">
        <v>685000</v>
      </c>
      <c r="G119" s="73" t="n">
        <v>685000</v>
      </c>
      <c r="H119" s="66" t="inlineStr">
        <is>
          <t>Выплачено</t>
        </is>
      </c>
      <c r="I119" s="66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>
      <c r="A120" s="5" t="n"/>
      <c r="B120" s="40" t="n">
        <v>45838</v>
      </c>
      <c r="C120" s="49" t="inlineStr">
        <is>
          <t xml:space="preserve">Производ.расходы </t>
        </is>
      </c>
      <c r="D120" s="73" t="inlineStr">
        <is>
          <t>Аванс наличными</t>
        </is>
      </c>
      <c r="E120" s="111" t="n"/>
      <c r="F120" s="73" t="n">
        <v>790000</v>
      </c>
      <c r="G120" s="73" t="n">
        <v>790000</v>
      </c>
      <c r="H120" s="66" t="inlineStr">
        <is>
          <t>Выплачено</t>
        </is>
      </c>
      <c r="I120" s="66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>
      <c r="A121" s="5" t="n"/>
      <c r="B121" s="40" t="n">
        <v>45838</v>
      </c>
      <c r="C121" s="73" t="inlineStr">
        <is>
          <t>НДС</t>
        </is>
      </c>
      <c r="D121" s="73" t="inlineStr">
        <is>
          <t>оплата</t>
        </is>
      </c>
      <c r="E121" s="111" t="n">
        <v>7000000</v>
      </c>
      <c r="F121" s="73" t="n"/>
      <c r="G121" s="73" t="n">
        <v>7000000</v>
      </c>
      <c r="H121" s="66" t="inlineStr">
        <is>
          <t>Выплачено</t>
        </is>
      </c>
      <c r="I121" s="66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>
      <c r="A122" s="5" t="n"/>
      <c r="B122" s="40" t="n">
        <v>45838</v>
      </c>
      <c r="C122" s="73" t="inlineStr">
        <is>
          <t xml:space="preserve">Зп </t>
        </is>
      </c>
      <c r="D122" s="73" t="inlineStr">
        <is>
          <t>Сон С</t>
        </is>
      </c>
      <c r="E122" s="111" t="n"/>
      <c r="F122" s="73" t="n">
        <v>3101645</v>
      </c>
      <c r="G122" s="73" t="n">
        <v>3101645</v>
      </c>
      <c r="H122" s="66" t="inlineStr">
        <is>
          <t>Выплачено</t>
        </is>
      </c>
      <c r="I122" s="66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>
      <c r="A123" s="5" t="n"/>
      <c r="B123" s="40" t="n">
        <v>45838</v>
      </c>
      <c r="C123" s="73" t="n"/>
      <c r="D123" s="73" t="inlineStr">
        <is>
          <t>Дезинфекция</t>
        </is>
      </c>
      <c r="E123" s="111" t="n"/>
      <c r="F123" s="73" t="n">
        <v>30000</v>
      </c>
      <c r="G123" s="73" t="n"/>
      <c r="H123" s="66" t="inlineStr">
        <is>
          <t>Выплачено</t>
        </is>
      </c>
      <c r="I123" s="66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>
      <c r="A124" s="5" t="n"/>
      <c r="B124" s="40" t="n">
        <v>45838</v>
      </c>
      <c r="C124" s="73" t="inlineStr">
        <is>
          <t>Статус плюс</t>
        </is>
      </c>
      <c r="D124" s="73" t="inlineStr">
        <is>
          <t>Логистика</t>
        </is>
      </c>
      <c r="E124" s="111" t="n">
        <v>450000</v>
      </c>
      <c r="F124" s="73" t="n"/>
      <c r="G124" s="73" t="n">
        <v>450000</v>
      </c>
      <c r="H124" s="66" t="inlineStr">
        <is>
          <t>Выплачено</t>
        </is>
      </c>
      <c r="I124" s="66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>
      <c r="A125" s="5" t="n"/>
      <c r="B125" s="40" t="n">
        <v>45838</v>
      </c>
      <c r="C125" s="73" t="inlineStr">
        <is>
          <t>Асылбек</t>
        </is>
      </c>
      <c r="D125" s="73" t="inlineStr">
        <is>
          <t>Материалы д/подключение оборуд (кондер)</t>
        </is>
      </c>
      <c r="E125" s="111" t="n"/>
      <c r="F125" s="73" t="n">
        <v>160000</v>
      </c>
      <c r="G125" s="73" t="n">
        <v>160000</v>
      </c>
      <c r="H125" s="66" t="inlineStr">
        <is>
          <t>Выплачено</t>
        </is>
      </c>
      <c r="I125" s="66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>
      <c r="A126" s="5" t="n"/>
      <c r="B126" s="40" t="n">
        <v>45839</v>
      </c>
      <c r="C126" s="73" t="inlineStr">
        <is>
          <t>Accsess group</t>
        </is>
      </c>
      <c r="D126" s="73" t="inlineStr">
        <is>
          <t>Интернет</t>
        </is>
      </c>
      <c r="E126" s="111" t="n">
        <v>82240</v>
      </c>
      <c r="F126" s="73" t="n"/>
      <c r="G126" s="73" t="n">
        <v>82240</v>
      </c>
      <c r="H126" s="66" t="inlineStr">
        <is>
          <t>Выплачено</t>
        </is>
      </c>
      <c r="I126" s="66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>
      <c r="A127" s="5" t="n"/>
      <c r="B127" s="40" t="n">
        <v>45839</v>
      </c>
      <c r="C127" s="73" t="inlineStr">
        <is>
          <t>Стас</t>
        </is>
      </c>
      <c r="D127" s="73" t="inlineStr">
        <is>
          <t xml:space="preserve">Рынок </t>
        </is>
      </c>
      <c r="E127" s="111" t="n"/>
      <c r="F127" s="73" t="n">
        <v>300000</v>
      </c>
      <c r="G127" s="73" t="n">
        <v>300000</v>
      </c>
      <c r="H127" s="66" t="inlineStr">
        <is>
          <t>Выплачено</t>
        </is>
      </c>
      <c r="I127" s="66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>
      <c r="A128" s="5" t="n"/>
      <c r="B128" s="40" t="n">
        <v>45839</v>
      </c>
      <c r="C128" s="73" t="n"/>
      <c r="D128" s="73" t="inlineStr">
        <is>
          <t>Оплата по поставщикам</t>
        </is>
      </c>
      <c r="E128" s="111" t="n">
        <v>14900000</v>
      </c>
      <c r="F128" s="73" t="n"/>
      <c r="G128" s="73" t="n">
        <v>15965517.47</v>
      </c>
      <c r="H128" s="66" t="inlineStr">
        <is>
          <t>Выплачено</t>
        </is>
      </c>
      <c r="I128" s="66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>
      <c r="A129" s="5" t="n"/>
      <c r="B129" s="40" t="n">
        <v>45839</v>
      </c>
      <c r="C129" s="73" t="n"/>
      <c r="D129" s="73" t="inlineStr">
        <is>
          <t xml:space="preserve">На инвеньтар с доставкой </t>
        </is>
      </c>
      <c r="E129" s="111" t="n"/>
      <c r="F129" s="73" t="n">
        <v>43925</v>
      </c>
      <c r="G129" s="73" t="n">
        <v>43925</v>
      </c>
      <c r="H129" s="66" t="inlineStr">
        <is>
          <t>Выплачено</t>
        </is>
      </c>
      <c r="I129" s="66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>
      <c r="A130" s="5" t="n"/>
      <c r="B130" s="98" t="n">
        <v>45839</v>
      </c>
      <c r="C130" s="66" t="inlineStr">
        <is>
          <t xml:space="preserve">Кафе софт </t>
        </is>
      </c>
      <c r="D130" s="66" t="n"/>
      <c r="E130" s="37" t="n">
        <v>48680</v>
      </c>
      <c r="F130" s="66" t="n"/>
      <c r="G130" s="66" t="n">
        <v>48680</v>
      </c>
      <c r="H130" s="66" t="inlineStr">
        <is>
          <t>Выплачено</t>
        </is>
      </c>
      <c r="I130" s="66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>
      <c r="A131" s="5" t="n"/>
      <c r="B131" s="98" t="n">
        <v>45839</v>
      </c>
      <c r="C131" s="66" t="inlineStr">
        <is>
          <t xml:space="preserve">Аванс и зп </t>
        </is>
      </c>
      <c r="D131" s="66" t="n"/>
      <c r="E131" s="37" t="n"/>
      <c r="F131" s="66" t="n">
        <v>3790000</v>
      </c>
      <c r="G131" s="66" t="n">
        <v>3790000</v>
      </c>
      <c r="H131" s="66" t="inlineStr">
        <is>
          <t>Выплачено</t>
        </is>
      </c>
      <c r="I131" s="66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>
      <c r="A132" s="5" t="n"/>
      <c r="B132" s="40" t="n">
        <v>45840</v>
      </c>
      <c r="C132" s="73" t="inlineStr">
        <is>
          <t>Стас</t>
        </is>
      </c>
      <c r="D132" s="73" t="inlineStr">
        <is>
          <t>Рынок</t>
        </is>
      </c>
      <c r="E132" s="111" t="n"/>
      <c r="F132" s="73" t="n">
        <v>300000</v>
      </c>
      <c r="G132" s="73" t="n">
        <v>300000</v>
      </c>
      <c r="H132" s="66" t="inlineStr">
        <is>
          <t>Выплачено</t>
        </is>
      </c>
      <c r="I132" s="66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>
      <c r="A133" s="5" t="n"/>
      <c r="B133" s="98" t="n">
        <v>45840</v>
      </c>
      <c r="C133" s="66" t="inlineStr">
        <is>
          <t xml:space="preserve">Зп </t>
        </is>
      </c>
      <c r="D133" s="66" t="inlineStr">
        <is>
          <t xml:space="preserve">сотрудникам и вызывной  сотрудникам </t>
        </is>
      </c>
      <c r="E133" s="37" t="n"/>
      <c r="F133" s="66" t="n">
        <v>630500</v>
      </c>
      <c r="G133" s="66" t="n">
        <v>630500</v>
      </c>
      <c r="H133" s="66" t="inlineStr">
        <is>
          <t>Выплачено</t>
        </is>
      </c>
      <c r="I133" s="66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>
      <c r="A134" s="5" t="n"/>
      <c r="B134" s="98" t="n">
        <v>45840</v>
      </c>
      <c r="C134" s="66" t="n"/>
      <c r="D134" s="66" t="inlineStr">
        <is>
          <t>Оплата по поставщикам</t>
        </is>
      </c>
      <c r="E134" s="37" t="n">
        <v>645200</v>
      </c>
      <c r="F134" s="66" t="n"/>
      <c r="G134" s="66" t="n">
        <v>645200</v>
      </c>
      <c r="H134" s="66" t="inlineStr">
        <is>
          <t>Выплачено</t>
        </is>
      </c>
      <c r="I134" s="66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>
      <c r="A135" s="5" t="n"/>
      <c r="B135" s="98" t="n">
        <v>45841</v>
      </c>
      <c r="C135" s="66" t="inlineStr">
        <is>
          <t>Стас</t>
        </is>
      </c>
      <c r="D135" s="66" t="inlineStr">
        <is>
          <t xml:space="preserve">Рынок </t>
        </is>
      </c>
      <c r="E135" s="37" t="n"/>
      <c r="F135" s="66" t="n">
        <v>600000</v>
      </c>
      <c r="G135" s="66" t="n">
        <v>600000</v>
      </c>
      <c r="H135" s="66" t="inlineStr">
        <is>
          <t>Выплачено</t>
        </is>
      </c>
      <c r="I135" s="66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>
      <c r="A136" s="5" t="n"/>
      <c r="B136" s="98" t="n">
        <v>45841</v>
      </c>
      <c r="C136" s="66" t="inlineStr">
        <is>
          <t xml:space="preserve">Зп </t>
        </is>
      </c>
      <c r="D136" s="66" t="inlineStr">
        <is>
          <t>стотрудникам</t>
        </is>
      </c>
      <c r="E136" s="37" t="n"/>
      <c r="F136" s="66" t="n">
        <v>506537</v>
      </c>
      <c r="G136" s="66" t="n">
        <v>506537</v>
      </c>
      <c r="H136" s="66" t="inlineStr">
        <is>
          <t>Выплачено</t>
        </is>
      </c>
      <c r="I136" s="66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>
      <c r="A137" s="5" t="n"/>
      <c r="B137" s="98" t="n">
        <v>45841</v>
      </c>
      <c r="C137" s="66" t="n"/>
      <c r="D137" s="66" t="n"/>
      <c r="E137" s="37" t="n"/>
      <c r="F137" s="66" t="n"/>
      <c r="G137" s="66" t="n"/>
      <c r="H137" s="66" t="n"/>
      <c r="I137" s="66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>
      <c r="A138" s="5" t="n"/>
      <c r="B138" s="40" t="n">
        <v>45842</v>
      </c>
      <c r="C138" s="73" t="inlineStr">
        <is>
          <t>Асылбек</t>
        </is>
      </c>
      <c r="D138" s="73" t="inlineStr">
        <is>
          <t>Подотчет  материалы</t>
        </is>
      </c>
      <c r="E138" s="111" t="n"/>
      <c r="F138" s="73" t="n">
        <v>350000</v>
      </c>
      <c r="G138" s="73" t="n">
        <v>350000</v>
      </c>
      <c r="H138" s="73" t="inlineStr">
        <is>
          <t>Выплачено</t>
        </is>
      </c>
      <c r="I138" s="66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>
      <c r="A139" s="5" t="n"/>
      <c r="B139" s="40" t="n">
        <v>45842</v>
      </c>
      <c r="C139" s="73" t="inlineStr">
        <is>
          <t>Налог на импорт</t>
        </is>
      </c>
      <c r="D139" s="73" t="inlineStr">
        <is>
          <t>НДС</t>
        </is>
      </c>
      <c r="E139" s="111" t="n">
        <v>151574</v>
      </c>
      <c r="F139" s="73" t="n"/>
      <c r="G139" s="73" t="n">
        <v>151574</v>
      </c>
      <c r="H139" s="73" t="inlineStr">
        <is>
          <t>Выплачено</t>
        </is>
      </c>
      <c r="I139" s="66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>
      <c r="A140" s="5" t="n"/>
      <c r="B140" s="40" t="n">
        <v>45842</v>
      </c>
      <c r="C140" s="73" t="n"/>
      <c r="D140" s="73" t="inlineStr">
        <is>
          <t>Оплата по поставщикам</t>
        </is>
      </c>
      <c r="E140" s="111" t="n">
        <v>19089231</v>
      </c>
      <c r="F140" s="73" t="n"/>
      <c r="G140" s="73" t="n">
        <v>19089231</v>
      </c>
      <c r="H140" s="73" t="inlineStr">
        <is>
          <t>Выплачено</t>
        </is>
      </c>
      <c r="I140" s="66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>
      <c r="A141" s="5" t="n"/>
      <c r="B141" s="40" t="n">
        <v>45842</v>
      </c>
      <c r="C141" s="73" t="n"/>
      <c r="D141" s="73" t="inlineStr">
        <is>
          <t>Контейнер на колесах</t>
        </is>
      </c>
      <c r="E141" s="111" t="n">
        <v>150000</v>
      </c>
      <c r="F141" s="73" t="n"/>
      <c r="G141" s="73" t="n">
        <v>150000</v>
      </c>
      <c r="H141" s="73" t="inlineStr">
        <is>
          <t>Отложено</t>
        </is>
      </c>
      <c r="I141" s="66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>
      <c r="A142" s="5" t="n"/>
      <c r="B142" s="40" t="n">
        <v>45842</v>
      </c>
      <c r="C142" s="73" t="n"/>
      <c r="D142" s="73" t="inlineStr">
        <is>
          <t>Инвентарь</t>
        </is>
      </c>
      <c r="E142" s="111" t="n"/>
      <c r="F142" s="73" t="n">
        <v>200000</v>
      </c>
      <c r="G142" s="73" t="n">
        <v>200000</v>
      </c>
      <c r="H142" s="73" t="inlineStr">
        <is>
          <t>Отложено</t>
        </is>
      </c>
      <c r="I142" s="66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>
      <c r="A143" s="5" t="n"/>
      <c r="B143" s="40" t="n">
        <v>45845</v>
      </c>
      <c r="C143" s="73" t="inlineStr">
        <is>
          <t xml:space="preserve">Подотчет </t>
        </is>
      </c>
      <c r="D143" s="73" t="inlineStr">
        <is>
          <t>Сон С (д/вызывных сотрудников)</t>
        </is>
      </c>
      <c r="E143" s="111" t="n"/>
      <c r="F143" s="73" t="n">
        <v>150000</v>
      </c>
      <c r="G143" s="73" t="n">
        <v>150000</v>
      </c>
      <c r="H143" s="73" t="inlineStr">
        <is>
          <t>Выплачено</t>
        </is>
      </c>
      <c r="I143" s="66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>
      <c r="A144" s="5" t="n"/>
      <c r="B144" s="40" t="n">
        <v>45845</v>
      </c>
      <c r="C144" s="73" t="inlineStr">
        <is>
          <t>Вон С</t>
        </is>
      </c>
      <c r="D144" s="73" t="inlineStr">
        <is>
          <t>Форма д/хлеба (пекарня)</t>
        </is>
      </c>
      <c r="E144" s="111" t="n"/>
      <c r="F144" s="73" t="n">
        <v>350000</v>
      </c>
      <c r="G144" s="73" t="n">
        <v>350000</v>
      </c>
      <c r="H144" s="73" t="inlineStr">
        <is>
          <t>Выплачено</t>
        </is>
      </c>
      <c r="I144" s="66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>
      <c r="A145" s="5" t="n"/>
      <c r="B145" s="40" t="n">
        <v>45845</v>
      </c>
      <c r="C145" s="73" t="inlineStr">
        <is>
          <t>Эрик</t>
        </is>
      </c>
      <c r="D145" s="73" t="inlineStr">
        <is>
          <t>Салаты</t>
        </is>
      </c>
      <c r="E145" s="111" t="n"/>
      <c r="F145" s="73" t="n">
        <v>681025</v>
      </c>
      <c r="G145" s="73" t="n">
        <v>681025</v>
      </c>
      <c r="H145" s="73" t="inlineStr">
        <is>
          <t>Выплачено</t>
        </is>
      </c>
      <c r="I145" s="66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>
      <c r="A146" s="5" t="n"/>
      <c r="B146" s="40" t="n">
        <v>45846</v>
      </c>
      <c r="C146" s="73" t="n"/>
      <c r="D146" s="73" t="inlineStr">
        <is>
          <t>Оплата по поставщикам</t>
        </is>
      </c>
      <c r="E146" s="111" t="n">
        <v>20004314</v>
      </c>
      <c r="F146" s="73" t="n"/>
      <c r="G146" s="73" t="n">
        <v>20004314</v>
      </c>
      <c r="H146" s="73" t="inlineStr">
        <is>
          <t>Выплачено</t>
        </is>
      </c>
      <c r="I146" s="66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>
      <c r="A147" s="5" t="n"/>
      <c r="B147" s="40" t="n">
        <v>45846</v>
      </c>
      <c r="C147" s="73" t="n"/>
      <c r="D147" s="73" t="inlineStr">
        <is>
          <t>ЗП сотрудникам нал</t>
        </is>
      </c>
      <c r="E147" s="111" t="n"/>
      <c r="F147" s="73" t="n">
        <v>4520000</v>
      </c>
      <c r="G147" s="73" t="n">
        <v>4520000</v>
      </c>
      <c r="H147" s="73" t="inlineStr">
        <is>
          <t>Выплачено</t>
        </is>
      </c>
      <c r="I147" s="66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>
      <c r="A148" s="5" t="n"/>
      <c r="B148" s="40" t="n">
        <v>45846</v>
      </c>
      <c r="C148" s="73" t="inlineStr">
        <is>
          <t>Стас</t>
        </is>
      </c>
      <c r="D148" s="73" t="inlineStr">
        <is>
          <t>Рынок</t>
        </is>
      </c>
      <c r="E148" s="111" t="n"/>
      <c r="F148" s="73" t="n">
        <v>300000</v>
      </c>
      <c r="G148" s="73" t="n">
        <v>300000</v>
      </c>
      <c r="H148" s="73" t="inlineStr">
        <is>
          <t>Выплачено</t>
        </is>
      </c>
      <c r="I148" s="66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>
      <c r="A149" s="5" t="n"/>
      <c r="B149" s="40" t="n">
        <v>45846</v>
      </c>
      <c r="C149" s="73" t="inlineStr">
        <is>
          <t>Кафе софт</t>
        </is>
      </c>
      <c r="D149" s="73" t="inlineStr">
        <is>
          <t>Айко программа</t>
        </is>
      </c>
      <c r="E149" s="111" t="n">
        <v>45200</v>
      </c>
      <c r="F149" s="73" t="n"/>
      <c r="G149" s="73" t="n">
        <v>45200</v>
      </c>
      <c r="H149" s="73" t="inlineStr">
        <is>
          <t>Выплачено</t>
        </is>
      </c>
      <c r="I149" s="66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>
      <c r="A150" s="5" t="n"/>
      <c r="B150" s="40" t="n">
        <v>45846</v>
      </c>
      <c r="C150" s="73" t="inlineStr">
        <is>
          <t>Налоги Кристал</t>
        </is>
      </c>
      <c r="D150" s="73" t="inlineStr">
        <is>
          <t>НДС и КПН )извещение и уведомление)</t>
        </is>
      </c>
      <c r="E150" s="111" t="n"/>
      <c r="F150" s="73" t="n">
        <v>1296539</v>
      </c>
      <c r="G150" s="73" t="n">
        <v>1296539</v>
      </c>
      <c r="H150" s="73" t="inlineStr">
        <is>
          <t>Выплачено</t>
        </is>
      </c>
      <c r="I150" s="66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>
      <c r="A151" s="5" t="n"/>
      <c r="B151" s="40" t="n">
        <v>45846</v>
      </c>
      <c r="C151" s="73" t="n"/>
      <c r="D151" s="73" t="inlineStr">
        <is>
          <t>ЗП сотрудникам на карту</t>
        </is>
      </c>
      <c r="E151" s="111" t="n">
        <v>13210297</v>
      </c>
      <c r="F151" s="73" t="n"/>
      <c r="G151" s="73" t="n">
        <v>13210297</v>
      </c>
      <c r="H151" s="73" t="inlineStr">
        <is>
          <t>Выплачено</t>
        </is>
      </c>
      <c r="I151" s="66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>
      <c r="A152" s="5" t="n"/>
      <c r="B152" s="40" t="n">
        <v>45846</v>
      </c>
      <c r="C152" s="73" t="inlineStr">
        <is>
          <t>Маркетинг</t>
        </is>
      </c>
      <c r="D152" s="73" t="inlineStr">
        <is>
          <t>Тоймарт 3%</t>
        </is>
      </c>
      <c r="E152" s="111" t="n"/>
      <c r="F152" s="73" t="n">
        <v>664797</v>
      </c>
      <c r="G152" s="73" t="n">
        <v>664797</v>
      </c>
      <c r="H152" s="73" t="inlineStr">
        <is>
          <t>Выплачено</t>
        </is>
      </c>
      <c r="I152" s="66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>
      <c r="A153" s="5" t="n"/>
      <c r="B153" s="40" t="n">
        <v>45847</v>
      </c>
      <c r="C153" s="73" t="inlineStr">
        <is>
          <t>Сафаралиев</t>
        </is>
      </c>
      <c r="D153" s="73" t="inlineStr">
        <is>
          <t>Ремонт оборудование</t>
        </is>
      </c>
      <c r="E153" s="111" t="n">
        <v>140000</v>
      </c>
      <c r="F153" s="73" t="n"/>
      <c r="G153" s="73" t="n">
        <v>140000</v>
      </c>
      <c r="H153" s="73" t="inlineStr">
        <is>
          <t>Выплачено</t>
        </is>
      </c>
      <c r="I153" s="66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>
      <c r="A154" s="5" t="n"/>
      <c r="B154" s="40" t="n">
        <v>45847</v>
      </c>
      <c r="C154" s="73" t="inlineStr">
        <is>
          <t>Сафаралиев</t>
        </is>
      </c>
      <c r="D154" s="73" t="inlineStr">
        <is>
          <t>Ремонт оборудование</t>
        </is>
      </c>
      <c r="E154" s="111" t="n">
        <v>350000</v>
      </c>
      <c r="F154" s="73" t="n"/>
      <c r="G154" s="73" t="n">
        <v>350000</v>
      </c>
      <c r="H154" s="73" t="inlineStr">
        <is>
          <t>Выплачено</t>
        </is>
      </c>
      <c r="I154" s="66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>
      <c r="A155" s="5" t="n"/>
      <c r="B155" s="40" t="n">
        <v>45847</v>
      </c>
      <c r="C155" s="73" t="n"/>
      <c r="D155" s="73" t="inlineStr">
        <is>
          <t>Исполнительный лист по сотрудникам</t>
        </is>
      </c>
      <c r="E155" s="111" t="n">
        <v>380546</v>
      </c>
      <c r="F155" s="73" t="n"/>
      <c r="G155" s="73" t="n">
        <v>380546</v>
      </c>
      <c r="H155" s="73" t="inlineStr">
        <is>
          <t>Выплачено</t>
        </is>
      </c>
      <c r="I155" s="66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>
      <c r="A156" s="5" t="n"/>
      <c r="B156" s="40" t="n">
        <v>45847</v>
      </c>
      <c r="C156" s="73" t="n"/>
      <c r="D156" s="73" t="inlineStr">
        <is>
          <t>Оплата по поставщикам</t>
        </is>
      </c>
      <c r="E156" s="111" t="n">
        <v>3881416</v>
      </c>
      <c r="F156" s="73" t="n"/>
      <c r="G156" s="73" t="n">
        <v>3881416</v>
      </c>
      <c r="H156" s="73" t="inlineStr">
        <is>
          <t>Выплачено</t>
        </is>
      </c>
      <c r="I156" s="66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>
      <c r="A157" s="5" t="n"/>
      <c r="B157" s="40" t="n">
        <v>45847</v>
      </c>
      <c r="C157" s="73" t="n"/>
      <c r="D157" s="73" t="inlineStr">
        <is>
          <t xml:space="preserve">Зп сотрудникам </t>
        </is>
      </c>
      <c r="E157" s="111" t="n"/>
      <c r="F157" s="73" t="n">
        <v>1050725</v>
      </c>
      <c r="G157" s="73" t="n">
        <v>1050725</v>
      </c>
      <c r="H157" s="73" t="inlineStr">
        <is>
          <t>Выплачено</t>
        </is>
      </c>
      <c r="I157" s="66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>
      <c r="A158" s="5" t="n"/>
      <c r="B158" s="40" t="n">
        <v>45848</v>
      </c>
      <c r="C158" s="73" t="inlineStr">
        <is>
          <t>Битрикс</t>
        </is>
      </c>
      <c r="D158" s="73" t="inlineStr">
        <is>
          <t>Prodvig</t>
        </is>
      </c>
      <c r="E158" s="111" t="n">
        <v>147360</v>
      </c>
      <c r="F158" s="73" t="n"/>
      <c r="G158" s="73" t="n">
        <v>147360</v>
      </c>
      <c r="H158" s="88" t="inlineStr">
        <is>
          <t>Выплачено</t>
        </is>
      </c>
      <c r="I158" s="66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>
      <c r="A159" s="5" t="n"/>
      <c r="B159" s="40" t="n">
        <v>45848</v>
      </c>
      <c r="C159" s="73" t="n"/>
      <c r="D159" s="73" t="inlineStr">
        <is>
          <t>ЗП сотрудникам производства</t>
        </is>
      </c>
      <c r="E159" s="111" t="n"/>
      <c r="F159" s="73" t="n">
        <v>16173000</v>
      </c>
      <c r="G159" s="73" t="n">
        <v>16173000</v>
      </c>
      <c r="H159" s="88" t="inlineStr">
        <is>
          <t>Выплачено</t>
        </is>
      </c>
      <c r="I159" s="66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>
      <c r="A160" s="5" t="n"/>
      <c r="B160" s="98" t="n">
        <v>45848</v>
      </c>
      <c r="C160" s="66" t="inlineStr">
        <is>
          <t>Оплата по поставщикам</t>
        </is>
      </c>
      <c r="D160" s="66" t="inlineStr">
        <is>
          <t xml:space="preserve">однораз посуда </t>
        </is>
      </c>
      <c r="E160" s="37" t="n">
        <v>780336</v>
      </c>
      <c r="F160" s="66" t="n"/>
      <c r="G160" s="66" t="n">
        <v>780336</v>
      </c>
      <c r="H160" s="66" t="inlineStr">
        <is>
          <t>Выплачено</t>
        </is>
      </c>
      <c r="I160" s="66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>
      <c r="A161" s="5" t="n"/>
      <c r="B161" s="50" t="n">
        <v>45852</v>
      </c>
      <c r="C161" s="88" t="inlineStr">
        <is>
          <t>Демьянов Сергей</t>
        </is>
      </c>
      <c r="D161" s="88" t="inlineStr">
        <is>
          <t>Транспорные услуги</t>
        </is>
      </c>
      <c r="E161" s="51" t="n"/>
      <c r="F161" s="88" t="n">
        <v>560000</v>
      </c>
      <c r="G161" s="88" t="n">
        <v>560000</v>
      </c>
      <c r="H161" s="66" t="inlineStr">
        <is>
          <t>Выплачено</t>
        </is>
      </c>
      <c r="I161" s="66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>
      <c r="A162" s="5" t="n"/>
      <c r="B162" s="50" t="n">
        <v>45852</v>
      </c>
      <c r="C162" s="88" t="n"/>
      <c r="D162" s="88" t="inlineStr">
        <is>
          <t>Зп производста и ауп</t>
        </is>
      </c>
      <c r="E162" s="51" t="n"/>
      <c r="F162" s="88" t="n">
        <v>5611278</v>
      </c>
      <c r="G162" s="88" t="n">
        <v>5611278</v>
      </c>
      <c r="H162" s="66" t="inlineStr">
        <is>
          <t>Выплачено</t>
        </is>
      </c>
      <c r="I162" s="66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>
      <c r="A163" s="5" t="n"/>
      <c r="B163" s="50" t="n">
        <v>45853</v>
      </c>
      <c r="C163" s="88" t="inlineStr">
        <is>
          <t xml:space="preserve">Сон </t>
        </is>
      </c>
      <c r="D163" s="88" t="inlineStr">
        <is>
          <t>Аренда квартиры</t>
        </is>
      </c>
      <c r="E163" s="51" t="n"/>
      <c r="F163" s="88" t="n">
        <v>350000</v>
      </c>
      <c r="G163" s="88" t="n">
        <v>350000</v>
      </c>
      <c r="H163" s="66" t="inlineStr">
        <is>
          <t>Выплачено</t>
        </is>
      </c>
      <c r="I163" s="66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>
      <c r="A164" s="5" t="n"/>
      <c r="B164" s="98" t="n">
        <v>45853</v>
      </c>
      <c r="C164" s="66" t="n"/>
      <c r="D164" s="66" t="inlineStr">
        <is>
          <t>Зп производста и ауп</t>
        </is>
      </c>
      <c r="E164" s="37" t="n"/>
      <c r="F164" s="66" t="n">
        <v>7076435</v>
      </c>
      <c r="G164" s="66" t="n">
        <v>7076435</v>
      </c>
      <c r="H164" s="66" t="inlineStr">
        <is>
          <t>Выплачено</t>
        </is>
      </c>
      <c r="I164" s="66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>
      <c r="A165" s="5" t="n"/>
      <c r="B165" s="98" t="n">
        <v>45853</v>
      </c>
      <c r="C165" s="66" t="n"/>
      <c r="D165" s="73" t="inlineStr">
        <is>
          <t>Оплата по поставщикам</t>
        </is>
      </c>
      <c r="E165" s="37" t="n">
        <v>13733846</v>
      </c>
      <c r="F165" s="66" t="n"/>
      <c r="G165" s="66" t="n">
        <v>13733846</v>
      </c>
      <c r="H165" s="66" t="inlineStr">
        <is>
          <t>Выплачено</t>
        </is>
      </c>
      <c r="I165" s="66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>
      <c r="A166" s="5" t="n"/>
      <c r="B166" s="98" t="n">
        <v>45853</v>
      </c>
      <c r="C166" s="66" t="inlineStr">
        <is>
          <t xml:space="preserve">Перизат Гузя </t>
        </is>
      </c>
      <c r="D166" s="55" t="n"/>
      <c r="E166" s="37" t="n"/>
      <c r="F166" s="66" t="n">
        <v>65000</v>
      </c>
      <c r="G166" s="66" t="n">
        <v>65000</v>
      </c>
      <c r="H166" s="66" t="inlineStr">
        <is>
          <t>Выплачено</t>
        </is>
      </c>
      <c r="I166" s="66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>
      <c r="A167" s="5" t="n"/>
      <c r="B167" s="98" t="n">
        <v>45854</v>
      </c>
      <c r="C167" s="66" t="inlineStr">
        <is>
          <t xml:space="preserve">Асылбек </t>
        </is>
      </c>
      <c r="D167" s="66" t="inlineStr">
        <is>
          <t xml:space="preserve">по служебку  </t>
        </is>
      </c>
      <c r="E167" s="37" t="n"/>
      <c r="F167" s="66" t="n">
        <v>70000</v>
      </c>
      <c r="G167" s="66" t="n">
        <v>70000</v>
      </c>
      <c r="H167" s="66" t="inlineStr">
        <is>
          <t>Выплачено</t>
        </is>
      </c>
      <c r="I167" s="66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>
      <c r="A168" s="5" t="n"/>
      <c r="B168" s="98" t="n">
        <v>45854</v>
      </c>
      <c r="C168" s="66" t="inlineStr">
        <is>
          <t xml:space="preserve">Стас </t>
        </is>
      </c>
      <c r="D168" s="66" t="inlineStr">
        <is>
          <t xml:space="preserve">рынок </t>
        </is>
      </c>
      <c r="E168" s="37" t="n"/>
      <c r="F168" s="66" t="n">
        <v>300000</v>
      </c>
      <c r="G168" s="66" t="n">
        <v>300000</v>
      </c>
      <c r="H168" s="66" t="inlineStr">
        <is>
          <t>Выплачено</t>
        </is>
      </c>
      <c r="I168" s="66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>
      <c r="A169" s="5" t="n"/>
      <c r="B169" s="98" t="n">
        <v>45854</v>
      </c>
      <c r="C169" s="66" t="n"/>
      <c r="D169" s="73" t="inlineStr">
        <is>
          <t>Оплата по поставщикам</t>
        </is>
      </c>
      <c r="E169" s="37" t="n">
        <v>10623421</v>
      </c>
      <c r="F169" s="66" t="n"/>
      <c r="G169" s="66" t="n">
        <v>10623421</v>
      </c>
      <c r="H169" s="66" t="inlineStr">
        <is>
          <t>Выплачено</t>
        </is>
      </c>
      <c r="I169" s="66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>
      <c r="A170" s="5" t="n"/>
      <c r="B170" s="98" t="n">
        <v>45854</v>
      </c>
      <c r="C170" s="66" t="n"/>
      <c r="D170" s="55" t="inlineStr">
        <is>
          <t>Зп производста и ауп</t>
        </is>
      </c>
      <c r="E170" s="37" t="n"/>
      <c r="F170" s="66" t="n">
        <v>2471500</v>
      </c>
      <c r="G170" s="66" t="n">
        <v>2471500</v>
      </c>
      <c r="H170" s="66" t="inlineStr">
        <is>
          <t>Выплачено</t>
        </is>
      </c>
      <c r="I170" s="66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>
      <c r="A171" s="5" t="n"/>
      <c r="B171" s="98" t="n">
        <v>45854</v>
      </c>
      <c r="C171" s="66" t="n"/>
      <c r="D171" s="66" t="inlineStr">
        <is>
          <t>Аренда квартиры</t>
        </is>
      </c>
      <c r="E171" s="37" t="n"/>
      <c r="F171" s="66" t="n">
        <v>350000</v>
      </c>
      <c r="G171" s="66" t="n">
        <v>350000</v>
      </c>
      <c r="H171" s="66" t="inlineStr">
        <is>
          <t>Выплачено</t>
        </is>
      </c>
      <c r="I171" s="66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>
      <c r="A172" s="5" t="n"/>
      <c r="B172" s="98" t="n">
        <v>45855</v>
      </c>
      <c r="C172" s="66" t="inlineStr">
        <is>
          <t xml:space="preserve">Стас </t>
        </is>
      </c>
      <c r="D172" s="66" t="inlineStr">
        <is>
          <t xml:space="preserve">рынок </t>
        </is>
      </c>
      <c r="E172" s="37" t="n"/>
      <c r="F172" s="66" t="n">
        <v>600000</v>
      </c>
      <c r="G172" s="66" t="n">
        <v>600000</v>
      </c>
      <c r="H172" s="66" t="inlineStr">
        <is>
          <t>Выплачено</t>
        </is>
      </c>
      <c r="I172" s="66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>
      <c r="A173" s="5" t="n"/>
      <c r="B173" s="98" t="n">
        <v>45855</v>
      </c>
      <c r="C173" s="66" t="n"/>
      <c r="D173" s="66" t="inlineStr">
        <is>
          <t>Зп производста и ауп</t>
        </is>
      </c>
      <c r="E173" s="37" t="n"/>
      <c r="F173" s="66" t="n">
        <v>4558000</v>
      </c>
      <c r="G173" s="66" t="n">
        <v>4558000</v>
      </c>
      <c r="H173" s="66" t="inlineStr">
        <is>
          <t>Выплачено</t>
        </is>
      </c>
      <c r="I173" s="66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>
      <c r="A174" s="5" t="n"/>
      <c r="B174" s="98" t="n">
        <v>45855</v>
      </c>
      <c r="C174" s="66" t="inlineStr">
        <is>
          <t xml:space="preserve">Сон </t>
        </is>
      </c>
      <c r="D174" s="66" t="inlineStr">
        <is>
          <t xml:space="preserve">по служебку  </t>
        </is>
      </c>
      <c r="E174" s="37" t="n"/>
      <c r="F174" s="66" t="n">
        <v>49692</v>
      </c>
      <c r="G174" s="66" t="n">
        <v>49692</v>
      </c>
      <c r="H174" s="66" t="inlineStr">
        <is>
          <t>Выплачено</t>
        </is>
      </c>
      <c r="I174" s="66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>
      <c r="A175" s="5" t="n"/>
      <c r="B175" s="98" t="n">
        <v>45856</v>
      </c>
      <c r="C175" s="66" t="n"/>
      <c r="D175" s="66" t="inlineStr">
        <is>
          <t>Оплата по поставщикам</t>
        </is>
      </c>
      <c r="E175" s="37" t="n">
        <v>14475989</v>
      </c>
      <c r="F175" s="66" t="n"/>
      <c r="G175" s="66" t="n">
        <v>14475989</v>
      </c>
      <c r="H175" s="66" t="inlineStr">
        <is>
          <t>Выплачено</t>
        </is>
      </c>
      <c r="I175" s="66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>
      <c r="A176" s="5" t="n"/>
      <c r="B176" s="98" t="n">
        <v>45856</v>
      </c>
      <c r="C176" s="66" t="inlineStr">
        <is>
          <t>Сафаралиев</t>
        </is>
      </c>
      <c r="D176" s="66" t="inlineStr">
        <is>
          <t>Ремонт оборудование</t>
        </is>
      </c>
      <c r="E176" s="37" t="n">
        <v>400000</v>
      </c>
      <c r="F176" s="66" t="n"/>
      <c r="G176" s="66" t="n">
        <v>400000</v>
      </c>
      <c r="H176" s="66" t="inlineStr">
        <is>
          <t>Выплачено</t>
        </is>
      </c>
      <c r="I176" s="66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>
      <c r="A177" s="5" t="n"/>
      <c r="B177" s="98" t="n">
        <v>45856</v>
      </c>
      <c r="C177" s="66" t="inlineStr">
        <is>
          <t xml:space="preserve">Асылбек </t>
        </is>
      </c>
      <c r="D177" s="66" t="inlineStr">
        <is>
          <t xml:space="preserve">по служебку  </t>
        </is>
      </c>
      <c r="E177" s="37" t="n"/>
      <c r="F177" s="66" t="n">
        <v>85000</v>
      </c>
      <c r="G177" s="66" t="n">
        <v>85000</v>
      </c>
      <c r="H177" s="66" t="inlineStr">
        <is>
          <t>Выплачено</t>
        </is>
      </c>
      <c r="I177" s="66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>
      <c r="A178" s="5" t="n"/>
      <c r="B178" s="98" t="n">
        <v>45856</v>
      </c>
      <c r="C178" s="66" t="n"/>
      <c r="D178" s="66" t="inlineStr">
        <is>
          <t>Уволенные сотрудники</t>
        </is>
      </c>
      <c r="E178" s="37" t="n"/>
      <c r="F178" s="66" t="n">
        <v>952193</v>
      </c>
      <c r="G178" s="66" t="n">
        <v>952193</v>
      </c>
      <c r="H178" s="66" t="inlineStr">
        <is>
          <t>Выплачено</t>
        </is>
      </c>
      <c r="I178" s="66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>
      <c r="A179" s="5" t="n"/>
      <c r="B179" s="50" t="n">
        <v>45859</v>
      </c>
      <c r="C179" s="88" t="n"/>
      <c r="D179" s="88" t="inlineStr">
        <is>
          <t>НДС за 2 квартал</t>
        </is>
      </c>
      <c r="E179" s="51" t="n">
        <v>5000000</v>
      </c>
      <c r="F179" s="88" t="n"/>
      <c r="G179" s="88" t="n">
        <v>5000000</v>
      </c>
      <c r="H179" s="66" t="inlineStr">
        <is>
          <t>К оплате</t>
        </is>
      </c>
      <c r="I179" s="66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>
      <c r="A180" s="5" t="n"/>
      <c r="B180" s="50" t="n">
        <v>45859</v>
      </c>
      <c r="C180" s="88" t="inlineStr">
        <is>
          <t>ЗП</t>
        </is>
      </c>
      <c r="D180" s="88" t="inlineStr">
        <is>
          <t>Сон Сергей</t>
        </is>
      </c>
      <c r="E180" s="51" t="n"/>
      <c r="F180" s="88" t="n">
        <v>3355000</v>
      </c>
      <c r="G180" s="88" t="n">
        <v>3355000</v>
      </c>
      <c r="H180" s="66" t="inlineStr">
        <is>
          <t>Выплачено</t>
        </is>
      </c>
      <c r="I180" s="66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>
      <c r="A181" s="5" t="n"/>
      <c r="B181" s="50" t="n">
        <v>45859</v>
      </c>
      <c r="C181" s="88" t="n"/>
      <c r="D181" s="88" t="inlineStr">
        <is>
          <t>Единая служба дезинфекция</t>
        </is>
      </c>
      <c r="E181" s="51" t="n">
        <v>145000</v>
      </c>
      <c r="F181" s="88" t="n"/>
      <c r="G181" s="88" t="n">
        <v>145000</v>
      </c>
      <c r="H181" s="66" t="inlineStr">
        <is>
          <t>Выплачено</t>
        </is>
      </c>
      <c r="I181" s="66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>
      <c r="A182" s="5" t="n"/>
      <c r="B182" s="50" t="n">
        <v>45859</v>
      </c>
      <c r="C182" s="88" t="inlineStr">
        <is>
          <t>Сон Сергей</t>
        </is>
      </c>
      <c r="D182" s="88" t="inlineStr">
        <is>
          <t>Материал д/ремесленного хлеба</t>
        </is>
      </c>
      <c r="E182" s="51" t="n"/>
      <c r="F182" s="88" t="n">
        <v>96000</v>
      </c>
      <c r="G182" s="88" t="n">
        <v>96000</v>
      </c>
      <c r="H182" s="66" t="inlineStr">
        <is>
          <t>Выплачено</t>
        </is>
      </c>
      <c r="I182" s="66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>
      <c r="A183" s="5" t="n"/>
      <c r="B183" s="50" t="n">
        <v>45859</v>
      </c>
      <c r="C183" s="88" t="inlineStr">
        <is>
          <t>Эрико</t>
        </is>
      </c>
      <c r="D183" s="88" t="inlineStr">
        <is>
          <t>Этикетки на крафт</t>
        </is>
      </c>
      <c r="E183" s="51" t="n">
        <v>179900</v>
      </c>
      <c r="F183" s="88" t="n"/>
      <c r="G183" s="88" t="n">
        <v>179900</v>
      </c>
      <c r="H183" s="66" t="inlineStr">
        <is>
          <t>Выплачено</t>
        </is>
      </c>
      <c r="I183" s="66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>
      <c r="A184" s="5" t="n"/>
      <c r="B184" s="98" t="n">
        <v>45859</v>
      </c>
      <c r="C184" s="66" t="n"/>
      <c r="D184" s="66" t="inlineStr">
        <is>
          <t>Алексеевское ИП пищевые отходы</t>
        </is>
      </c>
      <c r="E184" s="37" t="n">
        <v>100000</v>
      </c>
      <c r="F184" s="66" t="n"/>
      <c r="G184" s="66" t="n">
        <v>100000</v>
      </c>
      <c r="H184" s="66" t="inlineStr">
        <is>
          <t>Выплачено</t>
        </is>
      </c>
      <c r="I184" s="66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>
      <c r="A185" s="5" t="n"/>
      <c r="B185" s="98" t="n">
        <v>45859</v>
      </c>
      <c r="C185" s="66" t="n"/>
      <c r="D185" s="66" t="inlineStr">
        <is>
          <t xml:space="preserve">Аванс сотрудикам </t>
        </is>
      </c>
      <c r="E185" s="37" t="n"/>
      <c r="F185" s="66" t="n">
        <v>876000</v>
      </c>
      <c r="G185" s="66" t="n">
        <v>876000</v>
      </c>
      <c r="H185" s="66" t="inlineStr">
        <is>
          <t>Выплачено</t>
        </is>
      </c>
      <c r="I185" s="66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>
      <c r="A186" s="5" t="n"/>
      <c r="B186" s="98" t="n">
        <v>45859</v>
      </c>
      <c r="C186" s="66" t="inlineStr">
        <is>
          <t xml:space="preserve">Демьянов Сергей </t>
        </is>
      </c>
      <c r="D186" s="66" t="inlineStr">
        <is>
          <t xml:space="preserve">Доставка </t>
        </is>
      </c>
      <c r="E186" s="37" t="n"/>
      <c r="F186" s="66" t="n">
        <v>770000</v>
      </c>
      <c r="G186" s="66" t="n">
        <v>770000</v>
      </c>
      <c r="H186" s="66" t="inlineStr">
        <is>
          <t>Выплачено</t>
        </is>
      </c>
      <c r="I186" s="66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>
      <c r="A187" s="5" t="n"/>
      <c r="B187" s="98" t="n">
        <v>45859</v>
      </c>
      <c r="C187" s="66" t="inlineStr">
        <is>
          <t xml:space="preserve">Производ.расходы </t>
        </is>
      </c>
      <c r="D187" s="66" t="inlineStr">
        <is>
          <t>газ</t>
        </is>
      </c>
      <c r="E187" s="37" t="n"/>
      <c r="F187" s="66" t="n">
        <v>44000</v>
      </c>
      <c r="G187" s="66" t="n">
        <v>44000</v>
      </c>
      <c r="H187" s="66" t="inlineStr">
        <is>
          <t>Выплачено</t>
        </is>
      </c>
      <c r="I187" s="66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>
      <c r="A188" s="5" t="n"/>
      <c r="B188" s="98" t="n">
        <v>45860</v>
      </c>
      <c r="C188" s="66" t="inlineStr">
        <is>
          <t xml:space="preserve">Стас </t>
        </is>
      </c>
      <c r="D188" s="66" t="inlineStr">
        <is>
          <t xml:space="preserve">рынок </t>
        </is>
      </c>
      <c r="E188" s="37" t="n"/>
      <c r="F188" s="66" t="n">
        <v>300000</v>
      </c>
      <c r="G188" s="66" t="n">
        <v>300000</v>
      </c>
      <c r="H188" s="66" t="inlineStr">
        <is>
          <t>Выплачено</t>
        </is>
      </c>
      <c r="I188" s="66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>
      <c r="A189" s="5" t="n"/>
      <c r="B189" s="98" t="n">
        <v>45860</v>
      </c>
      <c r="C189" s="66" t="n"/>
      <c r="D189" s="66" t="inlineStr">
        <is>
          <t>Оплата по поставщикам</t>
        </is>
      </c>
      <c r="E189" s="37" t="n">
        <v>16709350</v>
      </c>
      <c r="F189" s="66" t="n"/>
      <c r="G189" s="66" t="n">
        <v>16709350</v>
      </c>
      <c r="H189" s="66" t="inlineStr">
        <is>
          <t>Выплачено</t>
        </is>
      </c>
      <c r="I189" s="66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>
      <c r="A190" s="5" t="n"/>
      <c r="B190" s="98" t="n">
        <v>45861</v>
      </c>
      <c r="C190" s="66" t="n"/>
      <c r="D190" s="66" t="inlineStr">
        <is>
          <t>Оплата по поставщикам</t>
        </is>
      </c>
      <c r="E190" s="37" t="n">
        <v>5194923</v>
      </c>
      <c r="F190" s="66" t="n"/>
      <c r="G190" s="66" t="n">
        <v>5194923</v>
      </c>
      <c r="H190" s="66" t="inlineStr">
        <is>
          <t>Выплачено</t>
        </is>
      </c>
      <c r="I190" s="66" t="inlineStr">
        <is>
          <t>Ок</t>
        </is>
      </c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>
      <c r="A191" s="5" t="n"/>
      <c r="B191" s="98" t="n">
        <v>34903</v>
      </c>
      <c r="C191" s="66" t="n"/>
      <c r="D191" s="66" t="inlineStr">
        <is>
          <t>Налоги по ЗП</t>
        </is>
      </c>
      <c r="E191" s="37" t="n">
        <v>7463530</v>
      </c>
      <c r="F191" s="66" t="n"/>
      <c r="G191" s="66" t="n">
        <v>7463530</v>
      </c>
      <c r="H191" s="66" t="inlineStr">
        <is>
          <t>Выплачено</t>
        </is>
      </c>
      <c r="I191" s="66" t="inlineStr">
        <is>
          <t>Ок</t>
        </is>
      </c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>
      <c r="A192" s="5" t="n"/>
      <c r="B192" s="98" t="n">
        <v>45861</v>
      </c>
      <c r="C192" s="66" t="n"/>
      <c r="D192" s="66" t="inlineStr">
        <is>
          <t>Жесткий диск сервер</t>
        </is>
      </c>
      <c r="E192" s="37" t="n"/>
      <c r="F192" s="66" t="n">
        <v>289926</v>
      </c>
      <c r="G192" s="66" t="n">
        <v>289926</v>
      </c>
      <c r="H192" s="66" t="inlineStr">
        <is>
          <t>Выплачено</t>
        </is>
      </c>
      <c r="I192" s="66" t="inlineStr">
        <is>
          <t>Ок</t>
        </is>
      </c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>
      <c r="A193" s="5" t="n"/>
      <c r="B193" s="98" t="n">
        <v>45861</v>
      </c>
      <c r="C193" s="66" t="inlineStr">
        <is>
          <t xml:space="preserve">Стас </t>
        </is>
      </c>
      <c r="D193" s="66" t="inlineStr">
        <is>
          <t xml:space="preserve">рынок </t>
        </is>
      </c>
      <c r="E193" s="37" t="n"/>
      <c r="F193" s="66" t="n">
        <v>300000</v>
      </c>
      <c r="G193" s="66" t="n">
        <v>300000</v>
      </c>
      <c r="H193" s="66" t="inlineStr">
        <is>
          <t>Выплачено</t>
        </is>
      </c>
      <c r="I193" s="66" t="inlineStr">
        <is>
          <t>Ок</t>
        </is>
      </c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>
      <c r="A194" s="5" t="n"/>
      <c r="B194" s="98" t="n">
        <v>45861</v>
      </c>
      <c r="C194" s="66" t="n"/>
      <c r="D194" s="66" t="inlineStr">
        <is>
          <t xml:space="preserve">PRODVIG ИП </t>
        </is>
      </c>
      <c r="E194" s="37" t="n">
        <v>90000</v>
      </c>
      <c r="F194" s="66" t="n"/>
      <c r="G194" s="66" t="n">
        <v>90000</v>
      </c>
      <c r="H194" s="66" t="inlineStr">
        <is>
          <t>Выплачено</t>
        </is>
      </c>
      <c r="I194" s="66" t="inlineStr">
        <is>
          <t>Ок</t>
        </is>
      </c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>
      <c r="A195" s="5" t="n"/>
      <c r="B195" s="98" t="n">
        <v>45861</v>
      </c>
      <c r="C195" s="66" t="inlineStr">
        <is>
          <t xml:space="preserve">Асылбек </t>
        </is>
      </c>
      <c r="D195" s="66" t="inlineStr">
        <is>
          <t xml:space="preserve">Монтех ИП,SERILIK-M CONSTRUCTION </t>
        </is>
      </c>
      <c r="E195" s="37" t="n">
        <v>235500</v>
      </c>
      <c r="F195" s="66" t="n"/>
      <c r="G195" s="66" t="n">
        <v>235500</v>
      </c>
      <c r="H195" s="66" t="inlineStr">
        <is>
          <t>Выплачено</t>
        </is>
      </c>
      <c r="I195" s="66" t="inlineStr">
        <is>
          <t>Ок</t>
        </is>
      </c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>
      <c r="A196" s="5" t="n"/>
      <c r="B196" s="50" t="n">
        <v>45863</v>
      </c>
      <c r="C196" s="88" t="n"/>
      <c r="D196" s="88" t="inlineStr">
        <is>
          <t>НДС за 2 квартал</t>
        </is>
      </c>
      <c r="E196" s="51" t="n">
        <v>5000000</v>
      </c>
      <c r="F196" s="88" t="n"/>
      <c r="G196" s="88">
        <f>E196+F196</f>
        <v/>
      </c>
      <c r="H196" s="88" t="inlineStr">
        <is>
          <t>Выплачено</t>
        </is>
      </c>
      <c r="I196" s="66" t="inlineStr">
        <is>
          <t>Ок</t>
        </is>
      </c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>
      <c r="A197" s="5" t="n"/>
      <c r="B197" s="42" t="n">
        <v>45862</v>
      </c>
      <c r="C197" s="53" t="n"/>
      <c r="D197" s="43" t="inlineStr">
        <is>
          <t>Униформа</t>
        </is>
      </c>
      <c r="E197" s="44" t="n">
        <v>476000</v>
      </c>
      <c r="F197" s="43" t="n"/>
      <c r="G197" s="43">
        <f>E197+F197</f>
        <v/>
      </c>
      <c r="H197" s="88" t="inlineStr">
        <is>
          <t>Выплачено</t>
        </is>
      </c>
      <c r="I197" s="66" t="inlineStr">
        <is>
          <t>Ок</t>
        </is>
      </c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>
      <c r="A198" s="5" t="n"/>
      <c r="B198" s="42" t="n">
        <v>45862</v>
      </c>
      <c r="C198" s="43" t="inlineStr">
        <is>
          <t xml:space="preserve">Стас </t>
        </is>
      </c>
      <c r="D198" s="43" t="inlineStr">
        <is>
          <t xml:space="preserve">рынок </t>
        </is>
      </c>
      <c r="E198" s="44" t="n"/>
      <c r="F198" s="43" t="n">
        <v>600000</v>
      </c>
      <c r="G198" s="43">
        <f>E198+F198</f>
        <v/>
      </c>
      <c r="H198" s="88" t="inlineStr">
        <is>
          <t>Выплачено</t>
        </is>
      </c>
      <c r="I198" s="66" t="inlineStr">
        <is>
          <t>Ок</t>
        </is>
      </c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>
      <c r="A199" s="5" t="n"/>
      <c r="B199" s="42" t="n">
        <v>45862</v>
      </c>
      <c r="C199" s="43" t="n"/>
      <c r="D199" s="43" t="inlineStr">
        <is>
          <t>Уволенные сотрудники</t>
        </is>
      </c>
      <c r="E199" s="44" t="n"/>
      <c r="F199" s="43" t="n">
        <v>85000</v>
      </c>
      <c r="G199" s="43" t="n">
        <v>85000</v>
      </c>
      <c r="H199" s="88" t="inlineStr">
        <is>
          <t>Выплачено</t>
        </is>
      </c>
      <c r="I199" s="66" t="inlineStr">
        <is>
          <t>Ок</t>
        </is>
      </c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>
      <c r="A200" s="5" t="n"/>
      <c r="B200" s="42" t="n">
        <v>45862</v>
      </c>
      <c r="C200" s="43" t="inlineStr">
        <is>
          <t>Зарплата недельная</t>
        </is>
      </c>
      <c r="D200" s="43" t="inlineStr">
        <is>
          <t>Лагманщики</t>
        </is>
      </c>
      <c r="E200" s="44" t="n"/>
      <c r="F200" s="43" t="n">
        <v>400000</v>
      </c>
      <c r="G200" s="43" t="n">
        <v>400000</v>
      </c>
      <c r="H200" s="66" t="inlineStr">
        <is>
          <t>Выплачено</t>
        </is>
      </c>
      <c r="I200" s="66" t="inlineStr">
        <is>
          <t>Ок</t>
        </is>
      </c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>
      <c r="A201" s="5" t="n"/>
      <c r="B201" s="42" t="n">
        <v>45862</v>
      </c>
      <c r="C201" s="43" t="inlineStr">
        <is>
          <t>Гузя  по служебке</t>
        </is>
      </c>
      <c r="D201" s="43" t="inlineStr">
        <is>
          <t>на закуп презента для партнера РП (сумка)</t>
        </is>
      </c>
      <c r="E201" s="44" t="n"/>
      <c r="F201" s="43" t="n">
        <v>75000</v>
      </c>
      <c r="G201" s="43" t="n">
        <v>75000</v>
      </c>
      <c r="H201" s="66" t="inlineStr">
        <is>
          <t>Выплачено</t>
        </is>
      </c>
      <c r="I201" s="66" t="inlineStr">
        <is>
          <t>Ок</t>
        </is>
      </c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>
      <c r="A202" s="5" t="n"/>
      <c r="B202" s="40" t="n">
        <v>45863</v>
      </c>
      <c r="C202" s="73" t="inlineStr">
        <is>
          <t>Окружающая среда</t>
        </is>
      </c>
      <c r="D202" s="73" t="inlineStr">
        <is>
          <t>налог за 2 квартал 870 форма</t>
        </is>
      </c>
      <c r="E202" s="111" t="n">
        <v>12689</v>
      </c>
      <c r="F202" s="73" t="n"/>
      <c r="G202" s="73" t="n">
        <v>12689</v>
      </c>
      <c r="H202" s="66" t="inlineStr">
        <is>
          <t>Выплачено</t>
        </is>
      </c>
      <c r="I202" s="66" t="inlineStr">
        <is>
          <t>Ок</t>
        </is>
      </c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>
      <c r="A203" s="5" t="n"/>
      <c r="B203" s="40" t="n">
        <v>45863</v>
      </c>
      <c r="C203" s="73" t="n"/>
      <c r="D203" s="73" t="inlineStr">
        <is>
          <t>Оплата по поставщикам</t>
        </is>
      </c>
      <c r="E203" s="111" t="n">
        <v>20301190</v>
      </c>
      <c r="F203" s="73" t="n"/>
      <c r="G203" s="73">
        <f>E203</f>
        <v/>
      </c>
      <c r="H203" s="66" t="inlineStr">
        <is>
          <t>Выплачено</t>
        </is>
      </c>
      <c r="I203" s="66" t="inlineStr">
        <is>
          <t>Ок</t>
        </is>
      </c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>
      <c r="A204" s="5" t="n"/>
      <c r="B204" s="40" t="n">
        <v>45863</v>
      </c>
      <c r="C204" s="73" t="n"/>
      <c r="D204" s="73" t="inlineStr">
        <is>
          <t>ящики</t>
        </is>
      </c>
      <c r="E204" s="111" t="n"/>
      <c r="F204" s="73" t="n">
        <v>365000</v>
      </c>
      <c r="G204" s="73">
        <f>F204</f>
        <v/>
      </c>
      <c r="H204" s="66" t="inlineStr">
        <is>
          <t>Выплачено</t>
        </is>
      </c>
      <c r="I204" s="66" t="inlineStr">
        <is>
          <t>Ок</t>
        </is>
      </c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>
      <c r="A205" s="5" t="n"/>
      <c r="B205" s="40" t="n">
        <v>45863</v>
      </c>
      <c r="C205" s="73" t="inlineStr">
        <is>
          <t>Возвратила деньги с подотчета</t>
        </is>
      </c>
      <c r="D205" s="73" t="inlineStr">
        <is>
          <t>Купила безналичным официально с НДС (жесткий диск)</t>
        </is>
      </c>
      <c r="E205" s="111" t="n">
        <v>112060</v>
      </c>
      <c r="F205" s="73" t="n"/>
      <c r="G205" s="73" t="n">
        <v>112060</v>
      </c>
      <c r="H205" s="66" t="inlineStr">
        <is>
          <t>Выплачено</t>
        </is>
      </c>
      <c r="I205" s="66" t="inlineStr">
        <is>
          <t>Ок</t>
        </is>
      </c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>
      <c r="A206" s="5" t="n"/>
      <c r="B206" s="98" t="n"/>
      <c r="C206" s="66" t="n"/>
      <c r="D206" s="66" t="n"/>
      <c r="E206" s="37" t="n"/>
      <c r="F206" s="66" t="n"/>
      <c r="G206" s="66" t="n"/>
      <c r="H206" s="66" t="n"/>
      <c r="I206" s="66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>
      <c r="A207" s="5" t="n"/>
      <c r="B207" s="50" t="n">
        <v>45866</v>
      </c>
      <c r="C207" s="88" t="inlineStr">
        <is>
          <t xml:space="preserve">Отдел кадров </t>
        </is>
      </c>
      <c r="D207" s="88" t="inlineStr">
        <is>
          <t>Обучение членов согласительной комиссии</t>
        </is>
      </c>
      <c r="E207" s="51" t="n">
        <v>153150</v>
      </c>
      <c r="F207" s="88" t="n"/>
      <c r="G207" s="88" t="n">
        <v>153150</v>
      </c>
      <c r="H207" s="66" t="inlineStr">
        <is>
          <t>Выплачено</t>
        </is>
      </c>
      <c r="I207" s="66" t="inlineStr">
        <is>
          <t>Ок</t>
        </is>
      </c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>
      <c r="A208" s="5" t="n"/>
      <c r="B208" s="40" t="n">
        <v>45866</v>
      </c>
      <c r="C208" s="73" t="n"/>
      <c r="D208" s="73" t="inlineStr">
        <is>
          <t>Компьютеры отдел кадров и комерческий директору</t>
        </is>
      </c>
      <c r="E208" s="111" t="n">
        <v>654739</v>
      </c>
      <c r="F208" s="73" t="n"/>
      <c r="G208" s="73" t="n">
        <v>654739</v>
      </c>
      <c r="H208" s="66" t="inlineStr">
        <is>
          <t>Отложено</t>
        </is>
      </c>
      <c r="I208" s="66" t="inlineStr">
        <is>
          <t>Ок</t>
        </is>
      </c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>
      <c r="A209" s="5" t="n"/>
      <c r="B209" s="50" t="n">
        <v>45866</v>
      </c>
      <c r="C209" s="88" t="inlineStr">
        <is>
          <t>Экспресс-сервис</t>
        </is>
      </c>
      <c r="D209" s="88" t="inlineStr">
        <is>
          <t>Ком услуги</t>
        </is>
      </c>
      <c r="E209" s="51" t="n">
        <v>7195745</v>
      </c>
      <c r="F209" s="88" t="n"/>
      <c r="G209" s="88">
        <f>E209</f>
        <v/>
      </c>
      <c r="H209" s="66" t="inlineStr">
        <is>
          <t>Выплачено</t>
        </is>
      </c>
      <c r="I209" s="66" t="inlineStr">
        <is>
          <t>Ок</t>
        </is>
      </c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>
      <c r="A210" s="5" t="n"/>
      <c r="B210" s="50" t="n">
        <v>45866</v>
      </c>
      <c r="C210" s="88" t="inlineStr">
        <is>
          <t>Аванс</t>
        </is>
      </c>
      <c r="D210" s="88" t="inlineStr">
        <is>
          <t>По безналичному</t>
        </is>
      </c>
      <c r="E210" s="51" t="n">
        <v>2340000</v>
      </c>
      <c r="F210" s="88" t="n">
        <v>1500000</v>
      </c>
      <c r="G210" s="88">
        <f>1500000+E210</f>
        <v/>
      </c>
      <c r="H210" s="66" t="inlineStr">
        <is>
          <t>Выплачено</t>
        </is>
      </c>
      <c r="I210" s="66" t="inlineStr">
        <is>
          <t>Ок</t>
        </is>
      </c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>
      <c r="A211" s="5" t="n"/>
      <c r="B211" s="50" t="n">
        <v>45866</v>
      </c>
      <c r="C211" s="88" t="inlineStr">
        <is>
          <t>Grind ИП</t>
        </is>
      </c>
      <c r="D211" s="88" t="inlineStr">
        <is>
          <t>Заточка ножей</t>
        </is>
      </c>
      <c r="E211" s="51" t="n">
        <v>14400</v>
      </c>
      <c r="F211" s="88" t="n"/>
      <c r="G211" s="88" t="n">
        <v>14400</v>
      </c>
      <c r="H211" s="66" t="inlineStr">
        <is>
          <t>Выплачено</t>
        </is>
      </c>
      <c r="I211" s="66" t="inlineStr">
        <is>
          <t>Ок</t>
        </is>
      </c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>
      <c r="A212" s="5" t="n"/>
      <c r="B212" s="50" t="n">
        <v>45866</v>
      </c>
      <c r="C212" s="88" t="inlineStr">
        <is>
          <t>Elevator service</t>
        </is>
      </c>
      <c r="D212" s="88" t="inlineStr">
        <is>
          <t>Обслуживание лифта</t>
        </is>
      </c>
      <c r="E212" s="51" t="n">
        <v>25000</v>
      </c>
      <c r="F212" s="88" t="n">
        <v>25000</v>
      </c>
      <c r="G212" s="88" t="n"/>
      <c r="H212" s="66" t="inlineStr">
        <is>
          <t>Выплачено</t>
        </is>
      </c>
      <c r="I212" s="66" t="inlineStr">
        <is>
          <t>Ок</t>
        </is>
      </c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>
      <c r="A213" s="5" t="n"/>
      <c r="B213" s="50" t="n">
        <v>45866</v>
      </c>
      <c r="C213" s="88" t="inlineStr">
        <is>
          <t>Монтех</t>
        </is>
      </c>
      <c r="D213" s="88" t="inlineStr">
        <is>
          <t>Остаток моррозильника</t>
        </is>
      </c>
      <c r="E213" s="51" t="n">
        <v>532000</v>
      </c>
      <c r="F213" s="88" t="n">
        <v>532000</v>
      </c>
      <c r="G213" s="88" t="n">
        <v>532000</v>
      </c>
      <c r="H213" s="66" t="inlineStr">
        <is>
          <t>Выплачено</t>
        </is>
      </c>
      <c r="I213" s="66" t="inlineStr">
        <is>
          <t>Ок</t>
        </is>
      </c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>
      <c r="A214" s="5" t="n"/>
      <c r="B214" s="50" t="n">
        <v>45866</v>
      </c>
      <c r="C214" s="88" t="inlineStr">
        <is>
          <t>Уволенные</t>
        </is>
      </c>
      <c r="D214" s="88" t="inlineStr">
        <is>
          <t>В пятницу не было Акерке (отпуск на 1 день)</t>
        </is>
      </c>
      <c r="E214" s="51" t="n"/>
      <c r="F214" s="88" t="n">
        <v>498440</v>
      </c>
      <c r="G214" s="88" t="n">
        <v>498440</v>
      </c>
      <c r="H214" s="66" t="inlineStr">
        <is>
          <t>Выплачено</t>
        </is>
      </c>
      <c r="I214" s="66" t="inlineStr">
        <is>
          <t>Ок</t>
        </is>
      </c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>
      <c r="A215" s="5" t="n"/>
      <c r="B215" s="98" t="n">
        <v>45867</v>
      </c>
      <c r="C215" s="66" t="n"/>
      <c r="D215" s="66" t="inlineStr">
        <is>
          <t>Компьютер д/бухгалтера в произв.</t>
        </is>
      </c>
      <c r="E215" s="37" t="n">
        <v>267097</v>
      </c>
      <c r="F215" s="66" t="n"/>
      <c r="G215" s="66" t="n">
        <v>267097</v>
      </c>
      <c r="H215" s="66" t="inlineStr">
        <is>
          <t>Выплачено</t>
        </is>
      </c>
      <c r="I215" s="66" t="inlineStr">
        <is>
          <t>Ок</t>
        </is>
      </c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>
      <c r="A216" s="5" t="n"/>
      <c r="B216" s="98" t="n">
        <v>45867</v>
      </c>
      <c r="C216" s="66" t="inlineStr">
        <is>
          <t>DSF trading</t>
        </is>
      </c>
      <c r="D216" s="66" t="inlineStr">
        <is>
          <t>Логистика образцы в Атырау</t>
        </is>
      </c>
      <c r="E216" s="37" t="n">
        <v>30000</v>
      </c>
      <c r="F216" s="66" t="n"/>
      <c r="G216" s="66" t="n">
        <v>30000</v>
      </c>
      <c r="H216" s="66" t="inlineStr">
        <is>
          <t>К оплате</t>
        </is>
      </c>
      <c r="I216" s="66" t="inlineStr">
        <is>
          <t>Ок</t>
        </is>
      </c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>
      <c r="A217" s="5" t="n"/>
      <c r="B217" s="98" t="n">
        <v>45867</v>
      </c>
      <c r="C217" s="66" t="inlineStr">
        <is>
          <t>Бижанов Асылбек</t>
        </is>
      </c>
      <c r="D217" s="66" t="inlineStr">
        <is>
          <t>Ремонт произ оборуд (ТЭН), ремонт. помещ. (клей)</t>
        </is>
      </c>
      <c r="E217" s="37" t="n"/>
      <c r="F217" s="66" t="n">
        <v>100000</v>
      </c>
      <c r="G217" s="66" t="n">
        <v>100000</v>
      </c>
      <c r="H217" s="66" t="inlineStr">
        <is>
          <t>Выплачено</t>
        </is>
      </c>
      <c r="I217" s="66" t="inlineStr">
        <is>
          <t>Ок</t>
        </is>
      </c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>
      <c r="A218" s="5" t="n"/>
      <c r="B218" s="98" t="n"/>
      <c r="C218" s="66" t="n"/>
      <c r="D218" s="66" t="n"/>
      <c r="E218" s="37" t="n"/>
      <c r="F218" s="66" t="n"/>
      <c r="G218" s="66" t="n"/>
      <c r="H218" s="66" t="inlineStr">
        <is>
          <t>К оплате</t>
        </is>
      </c>
      <c r="I218" s="66" t="inlineStr">
        <is>
          <t>Ок</t>
        </is>
      </c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>
      <c r="A219" s="5" t="n"/>
      <c r="B219" s="98" t="n">
        <v>45867</v>
      </c>
      <c r="C219" s="66" t="inlineStr">
        <is>
          <t>Ли Станислав</t>
        </is>
      </c>
      <c r="D219" s="66" t="inlineStr">
        <is>
          <t>Подотчет сырье</t>
        </is>
      </c>
      <c r="E219" s="37" t="n"/>
      <c r="F219" s="66" t="n">
        <v>300000</v>
      </c>
      <c r="G219" s="66" t="n">
        <v>300000</v>
      </c>
      <c r="H219" s="66" t="inlineStr">
        <is>
          <t>Выплачено</t>
        </is>
      </c>
      <c r="I219" s="66" t="inlineStr">
        <is>
          <t>Ок</t>
        </is>
      </c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>
      <c r="A220" s="5" t="n"/>
      <c r="B220" s="98" t="n">
        <v>45867</v>
      </c>
      <c r="C220" s="66" t="n"/>
      <c r="D220" s="66" t="inlineStr">
        <is>
          <t>Шпильки для печи</t>
        </is>
      </c>
      <c r="E220" s="37" t="n">
        <v>462500</v>
      </c>
      <c r="F220" s="66" t="n"/>
      <c r="G220" s="66">
        <f>E220+F220</f>
        <v/>
      </c>
      <c r="H220" s="66" t="inlineStr">
        <is>
          <t>Выплачено</t>
        </is>
      </c>
      <c r="I220" s="66" t="inlineStr">
        <is>
          <t>Ок</t>
        </is>
      </c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>
      <c r="A221" s="5" t="n"/>
      <c r="B221" s="98" t="n">
        <v>45867</v>
      </c>
      <c r="C221" s="66" t="n"/>
      <c r="D221" s="66" t="inlineStr">
        <is>
          <t>Поставщики упаковка</t>
        </is>
      </c>
      <c r="E221" s="37" t="n">
        <v>979400</v>
      </c>
      <c r="F221" s="66" t="n"/>
      <c r="G221" s="66">
        <f>E221+F221</f>
        <v/>
      </c>
      <c r="H221" s="66" t="inlineStr">
        <is>
          <t>Выплачено</t>
        </is>
      </c>
      <c r="I221" s="66" t="inlineStr">
        <is>
          <t>Ок</t>
        </is>
      </c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>
      <c r="A222" s="5" t="n"/>
      <c r="B222" s="98" t="n">
        <v>45867</v>
      </c>
      <c r="C222" s="66" t="n"/>
      <c r="D222" s="66" t="inlineStr">
        <is>
          <t>Оплата поставщикам за сырье</t>
        </is>
      </c>
      <c r="E222" s="37" t="n">
        <v>8257994</v>
      </c>
      <c r="F222" s="66" t="n"/>
      <c r="G222" s="66">
        <f>E222+F222</f>
        <v/>
      </c>
      <c r="H222" s="66" t="inlineStr">
        <is>
          <t>Выплачено</t>
        </is>
      </c>
      <c r="I222" s="66" t="inlineStr">
        <is>
          <t>Ок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>
      <c r="A223" s="5" t="n"/>
      <c r="B223" s="98" t="n">
        <v>45867</v>
      </c>
      <c r="C223" s="66" t="n"/>
      <c r="D223" s="66" t="inlineStr">
        <is>
          <t>Логистика заморож.продукции в Шымкент</t>
        </is>
      </c>
      <c r="E223" s="37" t="n"/>
      <c r="F223" s="66" t="n">
        <v>350000</v>
      </c>
      <c r="G223" s="66">
        <f>E223+F223</f>
        <v/>
      </c>
      <c r="H223" s="66" t="inlineStr">
        <is>
          <t>Выплачено</t>
        </is>
      </c>
      <c r="I223" s="66" t="inlineStr">
        <is>
          <t>Ок</t>
        </is>
      </c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>
      <c r="A224" s="5" t="n"/>
      <c r="B224" s="98" t="n">
        <v>45868</v>
      </c>
      <c r="C224" s="66" t="n"/>
      <c r="D224" s="66" t="inlineStr">
        <is>
          <t>Поставщики упаковка</t>
        </is>
      </c>
      <c r="E224" s="100" t="n">
        <v>1930800</v>
      </c>
      <c r="F224" s="66" t="n"/>
      <c r="G224" s="66">
        <f>E224+F224</f>
        <v/>
      </c>
      <c r="H224" s="66" t="inlineStr">
        <is>
          <t>Выплачено</t>
        </is>
      </c>
      <c r="I224" s="66" t="inlineStr">
        <is>
          <t>Ок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>
      <c r="A225" s="5" t="n"/>
      <c r="B225" s="98" t="n">
        <v>45868</v>
      </c>
      <c r="C225" s="66" t="n"/>
      <c r="D225" s="66" t="inlineStr">
        <is>
          <t>Оплата поставщикам за сырье</t>
        </is>
      </c>
      <c r="E225" s="100" t="n">
        <v>6942158</v>
      </c>
      <c r="F225" s="66" t="n"/>
      <c r="G225" s="66">
        <f>E225+F225</f>
        <v/>
      </c>
      <c r="H225" s="66" t="inlineStr">
        <is>
          <t>Выплачено</t>
        </is>
      </c>
      <c r="I225" s="66" t="inlineStr">
        <is>
          <t>Ок</t>
        </is>
      </c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>
      <c r="A226" s="5" t="n"/>
      <c r="B226" s="98" t="n">
        <v>45868</v>
      </c>
      <c r="C226" s="66" t="n"/>
      <c r="D226" s="66" t="inlineStr">
        <is>
          <t>НДС за 2 кв-л</t>
        </is>
      </c>
      <c r="E226" s="100" t="n">
        <v>8000000</v>
      </c>
      <c r="F226" s="66" t="n"/>
      <c r="G226" s="66">
        <f>E226+F226</f>
        <v/>
      </c>
      <c r="H226" s="66" t="inlineStr">
        <is>
          <t>Отложено</t>
        </is>
      </c>
      <c r="I226" s="66" t="inlineStr">
        <is>
          <t>не согалсовано</t>
        </is>
      </c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>
      <c r="A227" s="5" t="n"/>
      <c r="B227" s="98" t="n">
        <v>45868</v>
      </c>
      <c r="C227" s="66" t="n"/>
      <c r="D227" s="66" t="inlineStr">
        <is>
          <t>компы в ОК</t>
        </is>
      </c>
      <c r="E227" s="100" t="n">
        <v>654739</v>
      </c>
      <c r="F227" s="66" t="n"/>
      <c r="G227" s="66">
        <f>E227+F227</f>
        <v/>
      </c>
      <c r="H227" s="66" t="inlineStr">
        <is>
          <t>Выплачено</t>
        </is>
      </c>
      <c r="I227" s="66" t="inlineStr">
        <is>
          <t>Ок</t>
        </is>
      </c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>
      <c r="A228" s="5" t="n"/>
      <c r="B228" s="98" t="n">
        <v>45868</v>
      </c>
      <c r="C228" s="66" t="n"/>
      <c r="D228" s="66" t="inlineStr">
        <is>
          <t>Тимбилдинг согл.СЗ</t>
        </is>
      </c>
      <c r="E228" s="100" t="n"/>
      <c r="F228" s="66" t="n">
        <v>525000</v>
      </c>
      <c r="G228" s="66">
        <f>E228+F228</f>
        <v/>
      </c>
      <c r="H228" s="66" t="inlineStr">
        <is>
          <t>Выплачено</t>
        </is>
      </c>
      <c r="I228" s="66" t="inlineStr">
        <is>
          <t>Ок</t>
        </is>
      </c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>
      <c r="A229" s="5" t="n"/>
      <c r="B229" s="98" t="n">
        <v>45868</v>
      </c>
      <c r="C229" s="66" t="inlineStr">
        <is>
          <t>Ли Станислав</t>
        </is>
      </c>
      <c r="D229" s="66" t="inlineStr">
        <is>
          <t>Подотчет сырье</t>
        </is>
      </c>
      <c r="E229" s="100" t="n"/>
      <c r="F229" s="66" t="n">
        <v>500000</v>
      </c>
      <c r="G229" s="66" t="n">
        <v>500000</v>
      </c>
      <c r="H229" s="66" t="inlineStr">
        <is>
          <t>Выплачено</t>
        </is>
      </c>
      <c r="I229" s="66" t="inlineStr">
        <is>
          <t>Ок</t>
        </is>
      </c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>
      <c r="A230" s="5" t="n"/>
      <c r="B230" s="98" t="n">
        <v>45868</v>
      </c>
      <c r="C230" s="66" t="n"/>
      <c r="D230" s="66" t="inlineStr">
        <is>
          <t>Рокос оплата долга</t>
        </is>
      </c>
      <c r="E230" s="100" t="n">
        <v>388906</v>
      </c>
      <c r="F230" s="66" t="n"/>
      <c r="G230" s="66" t="n">
        <v>388906</v>
      </c>
      <c r="H230" s="66" t="inlineStr">
        <is>
          <t>Выплачено</t>
        </is>
      </c>
      <c r="I230" s="66" t="inlineStr">
        <is>
          <t>Ок</t>
        </is>
      </c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>
      <c r="A231" s="5" t="n"/>
      <c r="B231" s="98" t="n">
        <v>45869</v>
      </c>
      <c r="C231" s="66" t="inlineStr">
        <is>
          <t>Ли Станислав</t>
        </is>
      </c>
      <c r="D231" s="66" t="inlineStr">
        <is>
          <t>Подотчет сырье</t>
        </is>
      </c>
      <c r="E231" s="100" t="n"/>
      <c r="F231" s="66" t="n">
        <v>600000</v>
      </c>
      <c r="G231" s="66" t="n">
        <v>600000</v>
      </c>
      <c r="H231" s="66" t="inlineStr">
        <is>
          <t>Выплачено</t>
        </is>
      </c>
      <c r="I231" s="66" t="inlineStr">
        <is>
          <t>Ок</t>
        </is>
      </c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>
      <c r="A232" s="5" t="n"/>
      <c r="B232" s="98" t="n">
        <v>45869</v>
      </c>
      <c r="C232" s="66" t="inlineStr">
        <is>
          <t>Джасымбекова Перизат</t>
        </is>
      </c>
      <c r="D232" s="66" t="inlineStr">
        <is>
          <t>Подотчет (формы д/кондитерки)</t>
        </is>
      </c>
      <c r="E232" s="100" t="n"/>
      <c r="F232" s="66" t="n">
        <v>143430</v>
      </c>
      <c r="G232" s="66" t="n">
        <v>143430</v>
      </c>
      <c r="H232" s="66" t="inlineStr">
        <is>
          <t>Выплачено</t>
        </is>
      </c>
      <c r="I232" s="66" t="inlineStr">
        <is>
          <t>Ок</t>
        </is>
      </c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>
      <c r="A233" s="5" t="n"/>
      <c r="B233" s="98" t="n">
        <v>45869</v>
      </c>
      <c r="C233" s="66" t="inlineStr">
        <is>
          <t xml:space="preserve">Вон Сергей </t>
        </is>
      </c>
      <c r="D233" s="55" t="inlineStr">
        <is>
          <t>закуп продуктов и инвентаря</t>
        </is>
      </c>
      <c r="E233" s="100" t="n"/>
      <c r="F233" s="66" t="n">
        <v>100624</v>
      </c>
      <c r="G233" s="66" t="n">
        <v>100624</v>
      </c>
      <c r="H233" s="66" t="inlineStr">
        <is>
          <t>Выплачено</t>
        </is>
      </c>
      <c r="I233" s="66" t="inlineStr">
        <is>
          <t>Ок</t>
        </is>
      </c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>
      <c r="A234" s="5" t="n"/>
      <c r="B234" s="98" t="n">
        <v>45869</v>
      </c>
      <c r="C234" s="66" t="inlineStr">
        <is>
          <t xml:space="preserve">ИП Сагденова </t>
        </is>
      </c>
      <c r="D234" s="66" t="inlineStr">
        <is>
          <t xml:space="preserve">Рисоварка и слайсер </t>
        </is>
      </c>
      <c r="E234" s="100" t="n">
        <v>537160</v>
      </c>
      <c r="F234" s="66" t="n"/>
      <c r="G234" s="66" t="n">
        <v>537160</v>
      </c>
      <c r="H234" s="66" t="inlineStr">
        <is>
          <t>Выплачено</t>
        </is>
      </c>
      <c r="I234" s="66" t="inlineStr">
        <is>
          <t>Ок</t>
        </is>
      </c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>
      <c r="A235" s="5" t="n"/>
      <c r="B235" s="98" t="n">
        <v>45869</v>
      </c>
      <c r="C235" s="66" t="n"/>
      <c r="D235" s="66" t="inlineStr">
        <is>
          <t>НДС за 2 кв-л</t>
        </is>
      </c>
      <c r="E235" s="100" t="n">
        <v>13000000</v>
      </c>
      <c r="F235" s="66" t="n"/>
      <c r="G235" s="66">
        <f>E235</f>
        <v/>
      </c>
      <c r="H235" s="66" t="inlineStr">
        <is>
          <t>Выплачено</t>
        </is>
      </c>
      <c r="I235" s="66" t="inlineStr">
        <is>
          <t>Ок</t>
        </is>
      </c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>
      <c r="A236" s="5" t="n"/>
      <c r="B236" s="98" t="n">
        <v>45869</v>
      </c>
      <c r="C236" s="66" t="inlineStr">
        <is>
          <t>Зарплата недельная</t>
        </is>
      </c>
      <c r="D236" s="66" t="inlineStr">
        <is>
          <t>Лагманщики</t>
        </is>
      </c>
      <c r="E236" s="100" t="n"/>
      <c r="F236" s="66" t="n">
        <v>400000</v>
      </c>
      <c r="G236" s="66" t="n">
        <v>400000</v>
      </c>
      <c r="H236" s="66" t="inlineStr">
        <is>
          <t>Выплачено</t>
        </is>
      </c>
      <c r="I236" s="66" t="inlineStr">
        <is>
          <t>Ок</t>
        </is>
      </c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>
      <c r="A237" s="5" t="n"/>
      <c r="B237" s="98" t="n">
        <v>45869</v>
      </c>
      <c r="C237" s="66" t="inlineStr">
        <is>
          <t>Вон Сергей</t>
        </is>
      </c>
      <c r="D237" s="66" t="inlineStr">
        <is>
          <t>Корпоратив</t>
        </is>
      </c>
      <c r="E237" s="100" t="n"/>
      <c r="F237" s="66" t="n">
        <v>70000</v>
      </c>
      <c r="G237" s="66" t="n">
        <v>70000</v>
      </c>
      <c r="H237" s="66" t="inlineStr">
        <is>
          <t>Выплачено</t>
        </is>
      </c>
      <c r="I237" s="66" t="inlineStr">
        <is>
          <t>Ок</t>
        </is>
      </c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>
      <c r="A238" s="5" t="n"/>
      <c r="B238" s="98" t="n">
        <v>45869</v>
      </c>
      <c r="C238" s="66" t="n"/>
      <c r="D238" s="66" t="inlineStr">
        <is>
          <t>Оплата поставщикам за сырье</t>
        </is>
      </c>
      <c r="E238" s="100" t="n">
        <v>16347061</v>
      </c>
      <c r="F238" s="66" t="n"/>
      <c r="G238" s="66" t="n">
        <v>16347061</v>
      </c>
      <c r="H238" s="66" t="inlineStr">
        <is>
          <t>Выплачено</t>
        </is>
      </c>
      <c r="I238" s="66" t="inlineStr">
        <is>
          <t>Ок</t>
        </is>
      </c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>
      <c r="A239" s="5" t="n"/>
      <c r="B239" s="98" t="n">
        <v>45869</v>
      </c>
      <c r="C239" s="66" t="inlineStr">
        <is>
          <t xml:space="preserve">Вон Сергей </t>
        </is>
      </c>
      <c r="D239" s="55" t="inlineStr">
        <is>
          <t>керамогранита для облицовки стен тарамойки</t>
        </is>
      </c>
      <c r="E239" s="100" t="n"/>
      <c r="F239" s="66" t="n">
        <v>162500</v>
      </c>
      <c r="G239" s="66" t="n">
        <v>162500</v>
      </c>
      <c r="H239" s="66" t="inlineStr">
        <is>
          <t>Выплачено</t>
        </is>
      </c>
      <c r="I239" s="66" t="inlineStr">
        <is>
          <t>Ок</t>
        </is>
      </c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>
      <c r="A240" s="5" t="n"/>
      <c r="B240" s="98" t="n">
        <v>45869</v>
      </c>
      <c r="C240" s="66" t="inlineStr">
        <is>
          <t xml:space="preserve">Уволенные   и аванс </t>
        </is>
      </c>
      <c r="D240" s="55" t="n"/>
      <c r="E240" s="100" t="n"/>
      <c r="F240" s="66" t="n">
        <v>2565299</v>
      </c>
      <c r="G240" s="66" t="n">
        <v>2565299</v>
      </c>
      <c r="H240" s="66" t="inlineStr">
        <is>
          <t>Выплачено</t>
        </is>
      </c>
      <c r="I240" s="66" t="inlineStr">
        <is>
          <t>Ок</t>
        </is>
      </c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>
      <c r="A241" s="5" t="n"/>
      <c r="B241" s="98" t="n">
        <v>45873</v>
      </c>
      <c r="C241" s="66" t="n"/>
      <c r="D241" s="66" t="inlineStr">
        <is>
          <t>Кафе софт  Access Group ТОО интернет</t>
        </is>
      </c>
      <c r="E241" s="100" t="n">
        <v>130920</v>
      </c>
      <c r="F241" s="66" t="n"/>
      <c r="G241" s="66">
        <f>E241+F241</f>
        <v/>
      </c>
      <c r="H241" s="66" t="inlineStr">
        <is>
          <t>Выплачено</t>
        </is>
      </c>
      <c r="I241" s="66" t="inlineStr">
        <is>
          <t>Ок</t>
        </is>
      </c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>
      <c r="A242" s="5" t="n"/>
      <c r="B242" s="98" t="n">
        <v>45873</v>
      </c>
      <c r="C242" s="66" t="n"/>
      <c r="D242" s="66" t="inlineStr">
        <is>
          <t>Восстановление системы видеонаблюдения</t>
        </is>
      </c>
      <c r="E242" s="100" t="n">
        <v>20000</v>
      </c>
      <c r="F242" s="66" t="n"/>
      <c r="G242" s="66">
        <f>E242+F242</f>
        <v/>
      </c>
      <c r="H242" s="66" t="inlineStr">
        <is>
          <t>Выплачено</t>
        </is>
      </c>
      <c r="I242" s="66" t="inlineStr">
        <is>
          <t>Ок</t>
        </is>
      </c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>
      <c r="A243" s="5" t="n"/>
      <c r="B243" s="98" t="n">
        <v>45873</v>
      </c>
      <c r="C243" s="66" t="n"/>
      <c r="D243" s="66" t="inlineStr">
        <is>
          <t>Квартальный налог ИП Ермагамбет</t>
        </is>
      </c>
      <c r="E243" s="100" t="n">
        <v>864387</v>
      </c>
      <c r="F243" s="66" t="n"/>
      <c r="G243" s="66">
        <f>E243+F243</f>
        <v/>
      </c>
      <c r="H243" s="66" t="inlineStr">
        <is>
          <t>Выплачено</t>
        </is>
      </c>
      <c r="I243" s="66" t="inlineStr">
        <is>
          <t>Ок</t>
        </is>
      </c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>
      <c r="A244" s="5" t="n"/>
      <c r="B244" s="98" t="n">
        <v>45873</v>
      </c>
      <c r="C244" s="66" t="n"/>
      <c r="D244" s="66" t="inlineStr">
        <is>
          <t>Газоанализатор согл.бюджета Технолог.</t>
        </is>
      </c>
      <c r="E244" s="100" t="n">
        <v>272400</v>
      </c>
      <c r="F244" s="66" t="n"/>
      <c r="G244" s="66">
        <f>E244+F244</f>
        <v/>
      </c>
      <c r="H244" s="66" t="inlineStr">
        <is>
          <t>Выплачено</t>
        </is>
      </c>
      <c r="I244" s="66" t="inlineStr">
        <is>
          <t>Ок</t>
        </is>
      </c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>
      <c r="A245" s="5" t="n"/>
      <c r="B245" s="98" t="n">
        <v>45873</v>
      </c>
      <c r="C245" s="66" t="n"/>
      <c r="D245" s="66" t="inlineStr">
        <is>
          <t>Дезинсекция, дератизация</t>
        </is>
      </c>
      <c r="E245" s="100" t="n">
        <v>145000</v>
      </c>
      <c r="F245" s="66" t="n"/>
      <c r="G245" s="66">
        <f>E245+F245</f>
        <v/>
      </c>
      <c r="H245" s="66" t="inlineStr">
        <is>
          <t>Отложено</t>
        </is>
      </c>
      <c r="I245" s="66" t="inlineStr">
        <is>
          <t>Ок</t>
        </is>
      </c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>
      <c r="A246" s="5" t="n"/>
      <c r="B246" s="98" t="n">
        <v>45874</v>
      </c>
      <c r="C246" s="66" t="inlineStr">
        <is>
          <t>Бижанов А.</t>
        </is>
      </c>
      <c r="D246" s="66" t="inlineStr">
        <is>
          <t>Покраска дверей, фреон 2 баллона</t>
        </is>
      </c>
      <c r="E246" s="100" t="n"/>
      <c r="F246" s="66" t="n">
        <v>150000</v>
      </c>
      <c r="G246" s="66">
        <f>E246+F246</f>
        <v/>
      </c>
      <c r="H246" s="66" t="inlineStr">
        <is>
          <t>Отложено</t>
        </is>
      </c>
      <c r="I246" s="66" t="inlineStr">
        <is>
          <t>Ок</t>
        </is>
      </c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>
      <c r="A247" s="5" t="n"/>
      <c r="B247" s="98" t="n">
        <v>45873</v>
      </c>
      <c r="C247" s="66" t="inlineStr">
        <is>
          <t>Вон С.</t>
        </is>
      </c>
      <c r="D247" s="66" t="inlineStr">
        <is>
          <t>АО Шымкентмай масло подсолнечное</t>
        </is>
      </c>
      <c r="E247" s="100" t="n">
        <v>912000</v>
      </c>
      <c r="F247" s="66" t="n"/>
      <c r="G247" s="66">
        <f>E247+F247</f>
        <v/>
      </c>
      <c r="H247" s="66" t="inlineStr">
        <is>
          <t>Выплачено</t>
        </is>
      </c>
      <c r="I247" s="66" t="inlineStr">
        <is>
          <t>Ок</t>
        </is>
      </c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>
      <c r="A248" s="5" t="n"/>
      <c r="B248" s="98" t="n">
        <v>45874</v>
      </c>
      <c r="C248" s="456" t="inlineStr">
        <is>
          <t>Вон С.</t>
        </is>
      </c>
      <c r="D248" s="66" t="inlineStr">
        <is>
          <t>Строймат-лы для таромойки</t>
        </is>
      </c>
      <c r="E248" s="100" t="n">
        <v>316512</v>
      </c>
      <c r="F248" s="66" t="n"/>
      <c r="G248" s="66">
        <f>E248+F248</f>
        <v/>
      </c>
      <c r="H248" s="66" t="inlineStr">
        <is>
          <t>Выплачено</t>
        </is>
      </c>
      <c r="I248" s="66" t="inlineStr">
        <is>
          <t>Ок</t>
        </is>
      </c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>
      <c r="A249" s="5" t="n"/>
      <c r="B249" s="98" t="n">
        <v>45873</v>
      </c>
      <c r="C249" s="66" t="inlineStr">
        <is>
          <t>М Парго</t>
        </is>
      </c>
      <c r="D249" s="66" t="inlineStr">
        <is>
          <t>Маринад, панировка</t>
        </is>
      </c>
      <c r="E249" s="100" t="n">
        <v>183040</v>
      </c>
      <c r="F249" s="66" t="n"/>
      <c r="G249" s="66">
        <f>E249+F249</f>
        <v/>
      </c>
      <c r="H249" s="66" t="inlineStr">
        <is>
          <t>Выплачено</t>
        </is>
      </c>
      <c r="I249" s="66" t="inlineStr">
        <is>
          <t>Ок</t>
        </is>
      </c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>
      <c r="A250" s="5" t="n"/>
      <c r="B250" s="98" t="n">
        <v>45873</v>
      </c>
      <c r="C250" s="66" t="inlineStr">
        <is>
          <t>Аванс и зп  IT</t>
        </is>
      </c>
      <c r="D250" s="66" t="inlineStr">
        <is>
          <t>по служебке</t>
        </is>
      </c>
      <c r="E250" s="100" t="n"/>
      <c r="F250" s="66" t="n">
        <v>230000</v>
      </c>
      <c r="G250" s="66">
        <f>E250+F250</f>
        <v/>
      </c>
      <c r="H250" s="66" t="inlineStr">
        <is>
          <t>Выплачено</t>
        </is>
      </c>
      <c r="I250" s="66" t="inlineStr">
        <is>
          <t>Ок</t>
        </is>
      </c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>
      <c r="A251" s="5" t="n"/>
      <c r="B251" s="98" t="n">
        <v>45874</v>
      </c>
      <c r="C251" s="66" t="inlineStr">
        <is>
          <t xml:space="preserve">Ли Станислав </t>
        </is>
      </c>
      <c r="D251" s="66" t="inlineStr">
        <is>
          <t>Подотчет сырье</t>
        </is>
      </c>
      <c r="E251" s="100" t="n"/>
      <c r="F251" s="66" t="n">
        <v>300000</v>
      </c>
      <c r="G251" s="66">
        <f>E251+F251</f>
        <v/>
      </c>
      <c r="H251" s="66" t="inlineStr">
        <is>
          <t>Выплачено</t>
        </is>
      </c>
      <c r="I251" s="66" t="inlineStr">
        <is>
          <t>Ок</t>
        </is>
      </c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>
      <c r="A252" s="5" t="n"/>
      <c r="B252" s="98" t="n">
        <v>45874</v>
      </c>
      <c r="C252" s="66" t="n"/>
      <c r="D252" s="66" t="inlineStr">
        <is>
          <t>Оплата поставщикам за сырье</t>
        </is>
      </c>
      <c r="E252" s="100" t="n">
        <v>17865717</v>
      </c>
      <c r="F252" s="66" t="n"/>
      <c r="G252" s="66">
        <f>E252+F252</f>
        <v/>
      </c>
      <c r="H252" s="66" t="inlineStr">
        <is>
          <t>Выплачено</t>
        </is>
      </c>
      <c r="I252" s="66" t="inlineStr">
        <is>
          <t>Ок</t>
        </is>
      </c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>
      <c r="A253" s="5" t="n"/>
      <c r="B253" s="98" t="n">
        <v>45874</v>
      </c>
      <c r="C253" s="66" t="inlineStr">
        <is>
          <t>Малышев</t>
        </is>
      </c>
      <c r="D253" s="66" t="inlineStr">
        <is>
          <t>Оплата логистики</t>
        </is>
      </c>
      <c r="E253" s="100" t="n"/>
      <c r="F253" s="66" t="n">
        <v>1120000</v>
      </c>
      <c r="G253" s="66">
        <f>E253+F253</f>
        <v/>
      </c>
      <c r="H253" s="66" t="inlineStr">
        <is>
          <t>Выплачено</t>
        </is>
      </c>
      <c r="I253" s="66" t="inlineStr">
        <is>
          <t>Ок</t>
        </is>
      </c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>
      <c r="A254" s="5" t="n"/>
      <c r="B254" s="98" t="n">
        <v>45874</v>
      </c>
      <c r="C254" s="66" t="n"/>
      <c r="D254" s="66" t="inlineStr">
        <is>
          <t>Бонус Тоймарт за июль 25</t>
        </is>
      </c>
      <c r="E254" s="100" t="n"/>
      <c r="F254" s="66" t="n">
        <v>553317</v>
      </c>
      <c r="G254" s="66">
        <f>E254+F254</f>
        <v/>
      </c>
      <c r="H254" s="66" t="inlineStr">
        <is>
          <t>Выплачено</t>
        </is>
      </c>
      <c r="I254" s="66" t="inlineStr">
        <is>
          <t>Ок</t>
        </is>
      </c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>
      <c r="A255" s="5" t="n"/>
      <c r="B255" s="98" t="n">
        <v>45874</v>
      </c>
      <c r="C255" s="66" t="inlineStr">
        <is>
          <t>Вон С.</t>
        </is>
      </c>
      <c r="D255" s="66" t="inlineStr">
        <is>
          <t>аванс за работы таромойка</t>
        </is>
      </c>
      <c r="E255" s="100" t="n"/>
      <c r="F255" s="66" t="n">
        <v>200000</v>
      </c>
      <c r="G255" s="66">
        <f>E255+F255</f>
        <v/>
      </c>
      <c r="H255" s="66" t="inlineStr">
        <is>
          <t>Выплачено</t>
        </is>
      </c>
      <c r="I255" s="66" t="inlineStr">
        <is>
          <t>Ок</t>
        </is>
      </c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>
      <c r="A256" s="5" t="n"/>
      <c r="B256" s="98" t="n">
        <v>45874</v>
      </c>
      <c r="C256" s="66" t="inlineStr">
        <is>
          <t>Есжанова Г.</t>
        </is>
      </c>
      <c r="D256" s="66" t="inlineStr">
        <is>
          <t>аппарат для приготовления рамена</t>
        </is>
      </c>
      <c r="E256" s="100" t="n"/>
      <c r="F256" s="66" t="n">
        <v>180000</v>
      </c>
      <c r="G256" s="66">
        <f>E256+F256</f>
        <v/>
      </c>
      <c r="H256" s="66" t="inlineStr">
        <is>
          <t>Отложено</t>
        </is>
      </c>
      <c r="I256" s="66" t="inlineStr">
        <is>
          <t>Ок</t>
        </is>
      </c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>
      <c r="A257" s="5" t="n"/>
      <c r="B257" s="98" t="n">
        <v>45874</v>
      </c>
      <c r="C257" s="66" t="inlineStr">
        <is>
          <t>Вон С.</t>
        </is>
      </c>
      <c r="D257" s="66" t="inlineStr">
        <is>
          <t>коробки 10 тыс.шт. Рециклинг</t>
        </is>
      </c>
      <c r="E257" s="100" t="n">
        <v>1180000</v>
      </c>
      <c r="F257" s="66" t="n"/>
      <c r="G257" s="66">
        <f>E257+F257</f>
        <v/>
      </c>
      <c r="H257" s="66" t="inlineStr">
        <is>
          <t>Выплачено</t>
        </is>
      </c>
      <c r="I257" s="66" t="inlineStr">
        <is>
          <t>Ок</t>
        </is>
      </c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>
      <c r="A258" s="5" t="n"/>
      <c r="B258" s="98" t="n">
        <v>45874</v>
      </c>
      <c r="C258" s="66" t="inlineStr">
        <is>
          <t>СЭС</t>
        </is>
      </c>
      <c r="D258" s="66" t="inlineStr">
        <is>
          <t>штраф 50%</t>
        </is>
      </c>
      <c r="E258" s="100" t="n">
        <v>412860</v>
      </c>
      <c r="F258" s="66" t="n"/>
      <c r="G258" s="66">
        <f>E258+F258</f>
        <v/>
      </c>
      <c r="H258" s="66" t="inlineStr">
        <is>
          <t>Выплачено</t>
        </is>
      </c>
      <c r="I258" s="66" t="inlineStr">
        <is>
          <t>Ок</t>
        </is>
      </c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>
      <c r="A259" s="5" t="n"/>
      <c r="B259" s="98" t="n">
        <v>45510</v>
      </c>
      <c r="C259" s="66" t="inlineStr">
        <is>
          <t>Вон С.</t>
        </is>
      </c>
      <c r="D259" s="66" t="inlineStr">
        <is>
          <t>закуп инвентаря</t>
        </is>
      </c>
      <c r="E259" s="100" t="n"/>
      <c r="F259" s="66" t="n">
        <v>200000</v>
      </c>
      <c r="G259" s="66">
        <f>E259+F259</f>
        <v/>
      </c>
      <c r="H259" s="66" t="inlineStr">
        <is>
          <t>Выплачено</t>
        </is>
      </c>
      <c r="I259" s="66" t="inlineStr">
        <is>
          <t>Ок</t>
        </is>
      </c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>
      <c r="A260" s="5" t="n"/>
      <c r="B260" s="98" t="n">
        <v>45875</v>
      </c>
      <c r="C260" s="66" t="inlineStr">
        <is>
          <t xml:space="preserve">Ли Станислав </t>
        </is>
      </c>
      <c r="D260" s="66" t="inlineStr">
        <is>
          <t>Подотчет сырье</t>
        </is>
      </c>
      <c r="E260" s="100" t="n"/>
      <c r="F260" s="66" t="n">
        <v>600000</v>
      </c>
      <c r="G260" s="66">
        <f>E260+F260</f>
        <v/>
      </c>
      <c r="H260" s="66" t="inlineStr">
        <is>
          <t>Выплачено</t>
        </is>
      </c>
      <c r="I260" s="66" t="inlineStr">
        <is>
          <t>Ок</t>
        </is>
      </c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>
      <c r="A261" s="5" t="n"/>
      <c r="B261" s="98" t="n">
        <v>45875</v>
      </c>
      <c r="C261" s="66" t="inlineStr">
        <is>
          <t>Сагденов</t>
        </is>
      </c>
      <c r="D261" s="66" t="inlineStr">
        <is>
          <t>Слайсер</t>
        </is>
      </c>
      <c r="E261" s="100" t="n">
        <v>192316</v>
      </c>
      <c r="F261" s="66" t="n"/>
      <c r="G261" s="66">
        <f>E261+F261</f>
        <v/>
      </c>
      <c r="H261" s="66" t="inlineStr">
        <is>
          <t>Выплачено</t>
        </is>
      </c>
      <c r="I261" s="66" t="inlineStr">
        <is>
          <t>Ок</t>
        </is>
      </c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>
      <c r="A262" s="5" t="n"/>
      <c r="B262" s="98" t="n">
        <v>45875</v>
      </c>
      <c r="C262" s="66" t="inlineStr">
        <is>
          <t>Вон С.</t>
        </is>
      </c>
      <c r="D262" s="66" t="inlineStr">
        <is>
          <t>Подотчет</t>
        </is>
      </c>
      <c r="E262" s="100" t="n"/>
      <c r="F262" s="66" t="n">
        <v>65950</v>
      </c>
      <c r="G262" s="66">
        <f>E262+F262</f>
        <v/>
      </c>
      <c r="H262" s="66" t="inlineStr">
        <is>
          <t>Выплачено</t>
        </is>
      </c>
      <c r="I262" s="66" t="inlineStr">
        <is>
          <t>Ок</t>
        </is>
      </c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>
      <c r="A263" s="5" t="n"/>
      <c r="B263" s="98" t="n">
        <v>45876</v>
      </c>
      <c r="C263" s="66" t="n"/>
      <c r="D263" s="66" t="inlineStr">
        <is>
          <t>ЗП на карты</t>
        </is>
      </c>
      <c r="E263" s="100" t="n">
        <v>15762622</v>
      </c>
      <c r="F263" s="66" t="n"/>
      <c r="G263" s="66">
        <f>E263+F263</f>
        <v/>
      </c>
      <c r="H263" s="66" t="inlineStr">
        <is>
          <t>Выплачено</t>
        </is>
      </c>
      <c r="I263" s="66" t="inlineStr">
        <is>
          <t>Ок</t>
        </is>
      </c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>
      <c r="A264" s="5" t="n"/>
      <c r="B264" s="98" t="n">
        <v>45876</v>
      </c>
      <c r="C264" s="66" t="n"/>
      <c r="D264" s="66" t="inlineStr">
        <is>
          <t xml:space="preserve">Вызывной сотрудики </t>
        </is>
      </c>
      <c r="E264" s="100" t="n"/>
      <c r="F264" s="66" t="n">
        <v>28000</v>
      </c>
      <c r="G264" s="66">
        <f>E264+F264</f>
        <v/>
      </c>
      <c r="H264" s="66" t="inlineStr">
        <is>
          <t>Выплачено</t>
        </is>
      </c>
      <c r="I264" s="66" t="inlineStr">
        <is>
          <t>Ок</t>
        </is>
      </c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>
      <c r="A265" s="5" t="n"/>
      <c r="B265" s="98" t="n">
        <v>45876</v>
      </c>
      <c r="C265" s="66" t="inlineStr">
        <is>
          <t xml:space="preserve">Ли Станислав </t>
        </is>
      </c>
      <c r="D265" s="66" t="inlineStr">
        <is>
          <t>Подотчет сырье</t>
        </is>
      </c>
      <c r="E265" s="100" t="n"/>
      <c r="F265" s="66" t="n">
        <v>600000</v>
      </c>
      <c r="G265" s="66">
        <f>E265+F265</f>
        <v/>
      </c>
      <c r="H265" s="66" t="inlineStr">
        <is>
          <t>Выплачено</t>
        </is>
      </c>
      <c r="I265" s="66" t="inlineStr">
        <is>
          <t>Ок</t>
        </is>
      </c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>
      <c r="A266" s="5" t="n"/>
      <c r="B266" s="98" t="n">
        <v>45876</v>
      </c>
      <c r="C266" s="66" t="inlineStr">
        <is>
          <t>Бижанов А</t>
        </is>
      </c>
      <c r="D266" s="57" t="inlineStr">
        <is>
          <t>Производственной необходимостью</t>
        </is>
      </c>
      <c r="E266" s="100" t="n"/>
      <c r="F266" s="66" t="n">
        <v>200000</v>
      </c>
      <c r="G266" s="66">
        <f>E266+F266</f>
        <v/>
      </c>
      <c r="H266" s="66" t="inlineStr">
        <is>
          <t>Выплачено</t>
        </is>
      </c>
      <c r="I266" s="66" t="inlineStr">
        <is>
          <t>Ок</t>
        </is>
      </c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>
      <c r="A267" s="5" t="n"/>
      <c r="B267" s="98" t="n">
        <v>45877</v>
      </c>
      <c r="C267" s="66" t="inlineStr">
        <is>
          <t>Расчетные</t>
        </is>
      </c>
      <c r="D267" s="66" t="inlineStr">
        <is>
          <t>По уволенным</t>
        </is>
      </c>
      <c r="E267" s="100" t="n"/>
      <c r="F267" s="66" t="n">
        <v>2000000</v>
      </c>
      <c r="G267" s="66">
        <f>E267+F267</f>
        <v/>
      </c>
      <c r="H267" s="66" t="inlineStr">
        <is>
          <t>Выплачено</t>
        </is>
      </c>
      <c r="I267" s="66" t="inlineStr">
        <is>
          <t>Ок</t>
        </is>
      </c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>
      <c r="A268" s="5" t="n"/>
      <c r="B268" s="98" t="n">
        <v>45877</v>
      </c>
      <c r="C268" s="66" t="n"/>
      <c r="D268" s="66" t="inlineStr">
        <is>
          <t>Оплата поставщикам за сырье</t>
        </is>
      </c>
      <c r="E268" s="100" t="n">
        <v>20136870</v>
      </c>
      <c r="F268" s="66" t="n"/>
      <c r="G268" s="66">
        <f>E268+F268</f>
        <v/>
      </c>
      <c r="H268" s="66" t="inlineStr">
        <is>
          <t>Выплачено</t>
        </is>
      </c>
      <c r="I268" s="66" t="inlineStr">
        <is>
          <t>Ок</t>
        </is>
      </c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>
      <c r="A269" s="5" t="n"/>
      <c r="B269" s="58" t="n">
        <v>45881</v>
      </c>
      <c r="C269" s="59" t="n"/>
      <c r="D269" s="60" t="inlineStr">
        <is>
          <t>Лампы инсекцидные</t>
        </is>
      </c>
      <c r="E269" s="61">
        <f>11500*12</f>
        <v/>
      </c>
      <c r="F269" s="60" t="n"/>
      <c r="G269" s="60">
        <f>E269+F269</f>
        <v/>
      </c>
      <c r="H269" s="62" t="inlineStr">
        <is>
          <t>Выплачено</t>
        </is>
      </c>
      <c r="I269" s="66" t="inlineStr">
        <is>
          <t>Ок</t>
        </is>
      </c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>
      <c r="A270" s="5" t="n"/>
      <c r="B270" s="40" t="n">
        <v>45880</v>
      </c>
      <c r="C270" s="73" t="inlineStr">
        <is>
          <t>ЗП</t>
        </is>
      </c>
      <c r="D270" s="73" t="inlineStr">
        <is>
          <t>Производства (склад,ГП,тех персонал) еще ревизия не готова</t>
        </is>
      </c>
      <c r="E270" s="112" t="n"/>
      <c r="F270" s="73" t="n">
        <v>32000000</v>
      </c>
      <c r="G270" s="73" t="n">
        <v>27545000</v>
      </c>
      <c r="H270" s="62" t="inlineStr">
        <is>
          <t>Выплачено</t>
        </is>
      </c>
      <c r="I270" s="66" t="inlineStr">
        <is>
          <t>Ок</t>
        </is>
      </c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>
      <c r="A271" s="5" t="n"/>
      <c r="B271" s="40" t="n">
        <v>45880</v>
      </c>
      <c r="C271" s="73" t="inlineStr">
        <is>
          <t xml:space="preserve">Инвентарь </t>
        </is>
      </c>
      <c r="D271" s="73" t="inlineStr">
        <is>
          <t>Пекарня</t>
        </is>
      </c>
      <c r="E271" s="112" t="n"/>
      <c r="F271" s="73" t="n">
        <v>150000</v>
      </c>
      <c r="G271" s="73">
        <f>E271+F271</f>
        <v/>
      </c>
      <c r="H271" s="62" t="inlineStr">
        <is>
          <t>Отложено</t>
        </is>
      </c>
      <c r="I271" s="66" t="inlineStr">
        <is>
          <t>не согалсовано</t>
        </is>
      </c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>
      <c r="A272" s="5" t="n"/>
      <c r="B272" s="40" t="n">
        <v>45880</v>
      </c>
      <c r="C272" s="73" t="inlineStr">
        <is>
          <t>Янс</t>
        </is>
      </c>
      <c r="D272" s="73" t="inlineStr">
        <is>
          <t>контейнеры</t>
        </is>
      </c>
      <c r="E272" s="112" t="n">
        <v>86688</v>
      </c>
      <c r="F272" s="73" t="n"/>
      <c r="G272" s="73">
        <f>E272+F272</f>
        <v/>
      </c>
      <c r="H272" s="62" t="inlineStr">
        <is>
          <t>Выплачено</t>
        </is>
      </c>
      <c r="I272" s="66" t="inlineStr">
        <is>
          <t>Ок</t>
        </is>
      </c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>
      <c r="A273" s="5" t="n"/>
      <c r="B273" s="40" t="n">
        <v>45881</v>
      </c>
      <c r="C273" s="64" t="inlineStr">
        <is>
          <t>Chistodeloff ТОО</t>
        </is>
      </c>
      <c r="D273" s="73" t="inlineStr">
        <is>
          <t>лотки</t>
        </is>
      </c>
      <c r="E273" s="112" t="n">
        <v>201600</v>
      </c>
      <c r="F273" s="73" t="n"/>
      <c r="G273" s="73">
        <f>E273+F273</f>
        <v/>
      </c>
      <c r="H273" s="66" t="inlineStr">
        <is>
          <t>Выплачено</t>
        </is>
      </c>
      <c r="I273" s="66" t="inlineStr">
        <is>
          <t>Ок</t>
        </is>
      </c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>
      <c r="A274" s="5" t="n"/>
      <c r="B274" s="40" t="n">
        <v>45881</v>
      </c>
      <c r="C274" s="73" t="inlineStr">
        <is>
          <t>Вон С.</t>
        </is>
      </c>
      <c r="D274" s="73" t="inlineStr">
        <is>
          <t>Оплата поставщикам за сырье</t>
        </is>
      </c>
      <c r="E274" s="112" t="n">
        <v>9079158</v>
      </c>
      <c r="F274" s="73" t="n"/>
      <c r="G274" s="73">
        <f>E274+F274</f>
        <v/>
      </c>
      <c r="H274" s="66" t="inlineStr">
        <is>
          <t>Выплачено</t>
        </is>
      </c>
      <c r="I274" s="66" t="inlineStr">
        <is>
          <t>Ок</t>
        </is>
      </c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>
      <c r="A275" s="5" t="n"/>
      <c r="B275" s="40" t="n">
        <v>45881</v>
      </c>
      <c r="C275" s="65" t="inlineStr">
        <is>
          <t>ИП Демьянов</t>
        </is>
      </c>
      <c r="D275" s="65" t="inlineStr">
        <is>
          <t>за логистические услуги, за Июнь-Июль (доставка Шинлайн</t>
        </is>
      </c>
      <c r="E275" s="112" t="n"/>
      <c r="F275" s="73" t="n">
        <v>150000</v>
      </c>
      <c r="G275" s="73">
        <f>E275+F275</f>
        <v/>
      </c>
      <c r="H275" s="66" t="inlineStr">
        <is>
          <t>Выплачено</t>
        </is>
      </c>
      <c r="I275" s="66" t="inlineStr">
        <is>
          <t>Ок</t>
        </is>
      </c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>
      <c r="A276" s="5" t="n"/>
      <c r="B276" s="40" t="n">
        <v>45882</v>
      </c>
      <c r="C276" s="73" t="inlineStr">
        <is>
          <t>Вон С.</t>
        </is>
      </c>
      <c r="D276" s="73" t="inlineStr">
        <is>
          <t>Оплата поставщикам за сырье</t>
        </is>
      </c>
      <c r="E276" s="112" t="n">
        <v>12267595</v>
      </c>
      <c r="F276" s="73" t="n"/>
      <c r="G276" s="73">
        <f>E276+F276</f>
        <v/>
      </c>
      <c r="H276" s="66" t="inlineStr">
        <is>
          <t>Выплачено</t>
        </is>
      </c>
      <c r="I276" s="66" t="inlineStr">
        <is>
          <t>Ок</t>
        </is>
      </c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>
      <c r="A277" s="5" t="n"/>
      <c r="B277" s="40" t="n">
        <v>45882</v>
      </c>
      <c r="C277" s="73" t="n"/>
      <c r="D277" s="73" t="inlineStr">
        <is>
          <t>аренда квартиры</t>
        </is>
      </c>
      <c r="E277" s="112" t="n"/>
      <c r="F277" s="73" t="n">
        <v>350000</v>
      </c>
      <c r="G277" s="73">
        <f>E277+F277</f>
        <v/>
      </c>
      <c r="H277" s="66" t="inlineStr">
        <is>
          <t>Выплачено</t>
        </is>
      </c>
      <c r="I277" s="66" t="inlineStr">
        <is>
          <t>Ок</t>
        </is>
      </c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>
      <c r="A278" s="5" t="n"/>
      <c r="B278" s="98" t="n">
        <v>45882</v>
      </c>
      <c r="C278" s="66" t="inlineStr">
        <is>
          <t xml:space="preserve">Ли Станислав </t>
        </is>
      </c>
      <c r="D278" s="66" t="inlineStr">
        <is>
          <t>Подотчет сырье</t>
        </is>
      </c>
      <c r="E278" s="100" t="n"/>
      <c r="F278" s="66" t="n">
        <v>300000</v>
      </c>
      <c r="G278" s="66">
        <f>E278+F278</f>
        <v/>
      </c>
      <c r="H278" s="66" t="inlineStr">
        <is>
          <t>Выплачено</t>
        </is>
      </c>
      <c r="I278" s="66" t="inlineStr">
        <is>
          <t>Ок</t>
        </is>
      </c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>
      <c r="A279" s="5" t="n"/>
      <c r="B279" s="98" t="n">
        <v>45882</v>
      </c>
      <c r="C279" s="66" t="inlineStr">
        <is>
          <t>ТастакСтрой</t>
        </is>
      </c>
      <c r="D279" s="66" t="inlineStr">
        <is>
          <t>стройматериалы</t>
        </is>
      </c>
      <c r="E279" s="100" t="n">
        <v>41597</v>
      </c>
      <c r="F279" s="66" t="n"/>
      <c r="G279" s="66">
        <f>E279+F279</f>
        <v/>
      </c>
      <c r="H279" s="66" t="inlineStr">
        <is>
          <t>Выплачено</t>
        </is>
      </c>
      <c r="I279" s="66" t="inlineStr">
        <is>
          <t>Ок</t>
        </is>
      </c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>
      <c r="A280" s="5" t="n"/>
      <c r="B280" s="98" t="n">
        <v>45882</v>
      </c>
      <c r="C280" s="66" t="inlineStr">
        <is>
          <t>Вон С.</t>
        </is>
      </c>
      <c r="D280" s="66" t="inlineStr">
        <is>
          <t>расчет строителям</t>
        </is>
      </c>
      <c r="E280" s="100" t="n"/>
      <c r="F280" s="66" t="n">
        <v>405500</v>
      </c>
      <c r="G280" s="66">
        <f>E280+F280</f>
        <v/>
      </c>
      <c r="H280" s="66" t="inlineStr">
        <is>
          <t>Выплачено</t>
        </is>
      </c>
      <c r="I280" s="66" t="inlineStr">
        <is>
          <t>Ок</t>
        </is>
      </c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>
      <c r="A281" s="5" t="n"/>
      <c r="B281" s="98" t="n">
        <v>45882</v>
      </c>
      <c r="C281" s="66" t="inlineStr">
        <is>
          <t>ЗП</t>
        </is>
      </c>
      <c r="D281" s="73" t="inlineStr">
        <is>
          <t>Производства (склад,ГП,тех персонал)</t>
        </is>
      </c>
      <c r="E281" s="100" t="n"/>
      <c r="F281" s="66" t="n">
        <v>3500000</v>
      </c>
      <c r="G281" s="66">
        <f>E281+F281</f>
        <v/>
      </c>
      <c r="H281" s="66" t="inlineStr">
        <is>
          <t>Выплачено</t>
        </is>
      </c>
      <c r="I281" s="66" t="inlineStr">
        <is>
          <t>Ок</t>
        </is>
      </c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>
      <c r="A282" s="5" t="n"/>
      <c r="B282" s="98" t="n">
        <v>45883</v>
      </c>
      <c r="C282" s="66" t="inlineStr">
        <is>
          <t xml:space="preserve">Есжанова Г. </t>
        </is>
      </c>
      <c r="D282" s="66" t="inlineStr">
        <is>
          <t>жалюзи по СЗ</t>
        </is>
      </c>
      <c r="E282" s="100" t="n">
        <v>68000</v>
      </c>
      <c r="F282" s="66" t="n"/>
      <c r="G282" s="66">
        <f>E282+F282</f>
        <v/>
      </c>
      <c r="H282" s="66" t="inlineStr">
        <is>
          <t>Выплачено</t>
        </is>
      </c>
      <c r="I282" s="66" t="inlineStr">
        <is>
          <t>Ок</t>
        </is>
      </c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>
      <c r="A283" s="5" t="n"/>
      <c r="B283" s="98" t="n">
        <v>45883</v>
      </c>
      <c r="C283" s="66" t="inlineStr">
        <is>
          <t>Вон С.</t>
        </is>
      </c>
      <c r="D283" s="66" t="inlineStr">
        <is>
          <t>СЗ на насосы и строймат-лы</t>
        </is>
      </c>
      <c r="E283" s="100" t="n"/>
      <c r="F283" s="66" t="n">
        <v>245000</v>
      </c>
      <c r="G283" s="66">
        <f>E283+F283</f>
        <v/>
      </c>
      <c r="H283" s="66" t="inlineStr">
        <is>
          <t>Выплачено</t>
        </is>
      </c>
      <c r="I283" s="66" t="inlineStr">
        <is>
          <t>Ок</t>
        </is>
      </c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>
      <c r="A284" s="5" t="n"/>
      <c r="B284" s="98" t="n">
        <v>45883</v>
      </c>
      <c r="C284" s="66" t="inlineStr">
        <is>
          <t>Ли Станислав</t>
        </is>
      </c>
      <c r="D284" s="66" t="inlineStr">
        <is>
          <t>Подотчет сырье</t>
        </is>
      </c>
      <c r="E284" s="100" t="n"/>
      <c r="F284" s="66" t="n">
        <v>600000</v>
      </c>
      <c r="G284" s="66">
        <f>E284+F284</f>
        <v/>
      </c>
      <c r="H284" s="66" t="inlineStr">
        <is>
          <t>Выплачено</t>
        </is>
      </c>
      <c r="I284" s="66" t="inlineStr">
        <is>
          <t>Ок</t>
        </is>
      </c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>
      <c r="A285" s="5" t="n"/>
      <c r="B285" s="98" t="n">
        <v>45887</v>
      </c>
      <c r="C285" s="66" t="inlineStr">
        <is>
          <t>Малышев А.</t>
        </is>
      </c>
      <c r="D285" s="66" t="inlineStr">
        <is>
          <t>Представительские</t>
        </is>
      </c>
      <c r="E285" s="100" t="n"/>
      <c r="F285" s="66" t="n">
        <v>21000</v>
      </c>
      <c r="G285" s="66">
        <f>E285+F285</f>
        <v/>
      </c>
      <c r="H285" s="66" t="inlineStr">
        <is>
          <t>Выплачено</t>
        </is>
      </c>
      <c r="I285" s="66" t="inlineStr">
        <is>
          <t>Ок</t>
        </is>
      </c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>
      <c r="A286" s="5" t="n"/>
      <c r="B286" s="98" t="n">
        <v>45884</v>
      </c>
      <c r="C286" s="66" t="n"/>
      <c r="D286" s="66" t="inlineStr">
        <is>
          <t>аренда квартиры</t>
        </is>
      </c>
      <c r="E286" s="100" t="n"/>
      <c r="F286" s="66" t="n">
        <v>350000</v>
      </c>
      <c r="G286" s="66">
        <f>E286+F286</f>
        <v/>
      </c>
      <c r="H286" s="66" t="inlineStr">
        <is>
          <t>Выплачено</t>
        </is>
      </c>
      <c r="I286" s="66" t="inlineStr">
        <is>
          <t>Ок</t>
        </is>
      </c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>
      <c r="A287" s="5" t="n"/>
      <c r="B287" s="98" t="n">
        <v>45884</v>
      </c>
      <c r="C287" s="66" t="n"/>
      <c r="D287" s="66" t="inlineStr">
        <is>
          <t>шпильки для ротац.печи 50%</t>
        </is>
      </c>
      <c r="E287" s="100" t="n">
        <v>462500</v>
      </c>
      <c r="F287" s="66" t="n"/>
      <c r="G287" s="66">
        <f>E287+F287</f>
        <v/>
      </c>
      <c r="H287" s="66" t="inlineStr">
        <is>
          <t>К оплате</t>
        </is>
      </c>
      <c r="I287" s="66" t="inlineStr">
        <is>
          <t>Ок</t>
        </is>
      </c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>
      <c r="A288" s="5" t="n"/>
      <c r="B288" s="98" t="n">
        <v>45884</v>
      </c>
      <c r="C288" s="66" t="n"/>
      <c r="D288" s="66" t="inlineStr">
        <is>
          <t>ЗП и отпускные</t>
        </is>
      </c>
      <c r="E288" s="100" t="n"/>
      <c r="F288" s="66" t="n">
        <v>7000000</v>
      </c>
      <c r="G288" s="66">
        <f>E288+F288</f>
        <v/>
      </c>
      <c r="H288" s="66" t="inlineStr">
        <is>
          <t>Выплачено</t>
        </is>
      </c>
      <c r="I288" s="66" t="inlineStr">
        <is>
          <t>Ок</t>
        </is>
      </c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>
      <c r="A289" s="5" t="n"/>
      <c r="B289" s="98" t="n">
        <v>45884</v>
      </c>
      <c r="C289" s="66" t="inlineStr">
        <is>
          <t>Вон С.</t>
        </is>
      </c>
      <c r="D289" s="73" t="inlineStr">
        <is>
          <t>Оплата поставщикам за сырье</t>
        </is>
      </c>
      <c r="E289" s="100" t="n">
        <v>20009522</v>
      </c>
      <c r="F289" s="66" t="n"/>
      <c r="G289" s="66">
        <f>E289+F289</f>
        <v/>
      </c>
      <c r="H289" s="66" t="inlineStr">
        <is>
          <t>Выплачено</t>
        </is>
      </c>
      <c r="I289" s="66" t="inlineStr">
        <is>
          <t>Ок</t>
        </is>
      </c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>
      <c r="A290" s="5" t="n"/>
      <c r="B290" s="98" t="n">
        <v>45887</v>
      </c>
      <c r="C290" s="66" t="inlineStr">
        <is>
          <t xml:space="preserve">Есжанова </t>
        </is>
      </c>
      <c r="D290" s="66" t="inlineStr">
        <is>
          <t xml:space="preserve">по служебку </t>
        </is>
      </c>
      <c r="E290" s="100" t="n"/>
      <c r="F290" s="66" t="n">
        <v>32593</v>
      </c>
      <c r="G290" s="66">
        <f>E290+F290</f>
        <v/>
      </c>
      <c r="H290" s="66" t="inlineStr">
        <is>
          <t>Выплачено</t>
        </is>
      </c>
      <c r="I290" s="66" t="inlineStr">
        <is>
          <t>Ок</t>
        </is>
      </c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>
      <c r="A291" s="5" t="n"/>
      <c r="B291" s="98" t="n">
        <v>45887</v>
      </c>
      <c r="C291" s="66" t="n"/>
      <c r="D291" s="66" t="inlineStr">
        <is>
          <t xml:space="preserve">аренда </t>
        </is>
      </c>
      <c r="E291" s="100" t="n">
        <v>6050000</v>
      </c>
      <c r="F291" s="66" t="n"/>
      <c r="G291" s="66">
        <f>E291+F291</f>
        <v/>
      </c>
      <c r="H291" s="66" t="inlineStr">
        <is>
          <t>Выплачено</t>
        </is>
      </c>
      <c r="I291" s="66" t="inlineStr">
        <is>
          <t>Ок</t>
        </is>
      </c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>
      <c r="A292" s="5" t="n"/>
      <c r="B292" s="98" t="n">
        <v>45887</v>
      </c>
      <c r="C292" s="66" t="n"/>
      <c r="D292" s="66" t="inlineStr">
        <is>
          <t>ЗП и отпускные</t>
        </is>
      </c>
      <c r="E292" s="100" t="n"/>
      <c r="F292" s="66" t="n">
        <v>3365000</v>
      </c>
      <c r="G292" s="66">
        <f>E292+F292</f>
        <v/>
      </c>
      <c r="H292" s="66" t="inlineStr">
        <is>
          <t>Выплачено</t>
        </is>
      </c>
      <c r="I292" s="66" t="inlineStr">
        <is>
          <t>Ок</t>
        </is>
      </c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>
      <c r="A293" s="5" t="n"/>
      <c r="B293" s="98" t="n">
        <v>45887</v>
      </c>
      <c r="C293" s="66" t="n"/>
      <c r="D293" s="66" t="inlineStr">
        <is>
          <t>гигрометр</t>
        </is>
      </c>
      <c r="E293" s="100" t="n">
        <v>105000</v>
      </c>
      <c r="F293" s="66" t="n"/>
      <c r="G293" s="66">
        <f>E293+F293</f>
        <v/>
      </c>
      <c r="H293" s="66" t="n"/>
      <c r="I293" s="66" t="inlineStr">
        <is>
          <t>Ок</t>
        </is>
      </c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>
      <c r="A294" s="5" t="n"/>
      <c r="B294" s="98" t="n">
        <v>45888</v>
      </c>
      <c r="C294" s="66" t="inlineStr">
        <is>
          <t>Вон С.</t>
        </is>
      </c>
      <c r="D294" s="66" t="inlineStr">
        <is>
          <t>работы по увеличению эл.мощности на ТП</t>
        </is>
      </c>
      <c r="E294" s="100" t="n"/>
      <c r="F294" s="66" t="n">
        <v>1000000</v>
      </c>
      <c r="G294" s="66">
        <f>E294+F294</f>
        <v/>
      </c>
      <c r="H294" s="66" t="inlineStr">
        <is>
          <t>Выплачено</t>
        </is>
      </c>
      <c r="I294" s="66" t="inlineStr">
        <is>
          <t>Ок</t>
        </is>
      </c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>
      <c r="A295" s="5" t="n"/>
      <c r="B295" s="98" t="n">
        <v>45887</v>
      </c>
      <c r="C295" s="66" t="inlineStr">
        <is>
          <t xml:space="preserve">Перизат </t>
        </is>
      </c>
      <c r="D295" s="66" t="inlineStr">
        <is>
          <t xml:space="preserve">по служебку </t>
        </is>
      </c>
      <c r="E295" s="100" t="n"/>
      <c r="F295" s="66" t="n">
        <v>60000</v>
      </c>
      <c r="G295" s="66">
        <f>E295+F295</f>
        <v/>
      </c>
      <c r="H295" s="66" t="inlineStr">
        <is>
          <t>Выплачено</t>
        </is>
      </c>
      <c r="I295" s="66" t="inlineStr">
        <is>
          <t>Ок</t>
        </is>
      </c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>
      <c r="A296" s="5" t="n"/>
      <c r="B296" s="98" t="n">
        <v>45887</v>
      </c>
      <c r="C296" s="66" t="n"/>
      <c r="D296" s="66" t="inlineStr">
        <is>
          <t xml:space="preserve">Гугул диск </t>
        </is>
      </c>
      <c r="E296" s="100" t="n"/>
      <c r="F296" s="66" t="n">
        <v>75000</v>
      </c>
      <c r="G296" s="66">
        <f>E296+F296</f>
        <v/>
      </c>
      <c r="H296" s="66" t="inlineStr">
        <is>
          <t>Выплачено</t>
        </is>
      </c>
      <c r="I296" s="66" t="inlineStr">
        <is>
          <t>Ок</t>
        </is>
      </c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>
      <c r="A297" s="5" t="n"/>
      <c r="B297" s="98" t="n">
        <v>45888</v>
      </c>
      <c r="C297" s="66" t="inlineStr">
        <is>
          <t>Ли Станислав</t>
        </is>
      </c>
      <c r="D297" s="66" t="inlineStr">
        <is>
          <t>Подотчет сырье</t>
        </is>
      </c>
      <c r="E297" s="100" t="n"/>
      <c r="F297" s="66" t="n">
        <v>300000</v>
      </c>
      <c r="G297" s="66">
        <f>E297+F297</f>
        <v/>
      </c>
      <c r="H297" s="66" t="inlineStr">
        <is>
          <t>Выплачено</t>
        </is>
      </c>
      <c r="I297" s="66" t="inlineStr">
        <is>
          <t>Ок</t>
        </is>
      </c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>
      <c r="A298" s="5" t="n"/>
      <c r="B298" s="98" t="n">
        <v>45888</v>
      </c>
      <c r="C298" s="66" t="inlineStr">
        <is>
          <t>Малышев</t>
        </is>
      </c>
      <c r="D298" s="66" t="inlineStr">
        <is>
          <t>Оплата логистики</t>
        </is>
      </c>
      <c r="E298" s="100" t="n"/>
      <c r="F298" s="66" t="n">
        <v>1085000</v>
      </c>
      <c r="G298" s="66">
        <f>E298+F298</f>
        <v/>
      </c>
      <c r="H298" s="66" t="inlineStr">
        <is>
          <t>Выплачено</t>
        </is>
      </c>
      <c r="I298" s="66" t="inlineStr">
        <is>
          <t>Ок</t>
        </is>
      </c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>
      <c r="A299" s="5" t="n"/>
      <c r="B299" s="98" t="n">
        <v>45888</v>
      </c>
      <c r="C299" s="66" t="inlineStr">
        <is>
          <t>Вон С.</t>
        </is>
      </c>
      <c r="D299" s="73" t="inlineStr">
        <is>
          <t>Оплата поставщикам за сырье</t>
        </is>
      </c>
      <c r="E299" s="100" t="n">
        <v>9139162</v>
      </c>
      <c r="F299" s="66" t="n"/>
      <c r="G299" s="66">
        <f>E299+F299</f>
        <v/>
      </c>
      <c r="H299" s="66" t="inlineStr">
        <is>
          <t>Выплачено</t>
        </is>
      </c>
      <c r="I299" s="66" t="inlineStr">
        <is>
          <t>Ок</t>
        </is>
      </c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>
      <c r="A300" s="5" t="n"/>
      <c r="B300" s="98" t="n">
        <v>45888</v>
      </c>
      <c r="C300" s="66" t="inlineStr">
        <is>
          <t>ИП Сагденова</t>
        </is>
      </c>
      <c r="D300" s="66" t="inlineStr">
        <is>
          <t>Микроволновая печь в кондитерский</t>
        </is>
      </c>
      <c r="E300" s="100" t="n">
        <v>287369</v>
      </c>
      <c r="F300" s="66" t="n"/>
      <c r="G300" s="66">
        <f>E300+F300</f>
        <v/>
      </c>
      <c r="H300" s="66" t="inlineStr">
        <is>
          <t>Выплачено</t>
        </is>
      </c>
      <c r="I300" s="66" t="inlineStr">
        <is>
          <t>Ок</t>
        </is>
      </c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>
      <c r="A301" s="5" t="n"/>
      <c r="B301" s="98" t="n">
        <v>45889</v>
      </c>
      <c r="C301" s="66" t="inlineStr">
        <is>
          <t>Есжанова Г.</t>
        </is>
      </c>
      <c r="D301" s="66" t="inlineStr">
        <is>
          <t>Столы в офис с доставкой</t>
        </is>
      </c>
      <c r="E301" s="66" t="n"/>
      <c r="F301" s="66" t="n">
        <v>68740</v>
      </c>
      <c r="G301" s="66">
        <f>E301+F301</f>
        <v/>
      </c>
      <c r="H301" s="66" t="inlineStr">
        <is>
          <t>Выплачено</t>
        </is>
      </c>
      <c r="I301" s="66" t="inlineStr">
        <is>
          <t>Ок</t>
        </is>
      </c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>
      <c r="A302" s="5" t="n"/>
      <c r="B302" s="98" t="n">
        <v>45889</v>
      </c>
      <c r="C302" s="66" t="inlineStr">
        <is>
          <t>Вон С.</t>
        </is>
      </c>
      <c r="D302" s="73" t="inlineStr">
        <is>
          <t>Оплата поставщикам за сырье</t>
        </is>
      </c>
      <c r="E302" s="100" t="n">
        <v>8456891</v>
      </c>
      <c r="F302" s="66" t="n"/>
      <c r="G302" s="66">
        <f>E302+F302</f>
        <v/>
      </c>
      <c r="H302" s="66" t="inlineStr">
        <is>
          <t>Выплачено</t>
        </is>
      </c>
      <c r="I302" s="66" t="inlineStr">
        <is>
          <t>Ок</t>
        </is>
      </c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>
      <c r="A303" s="5" t="n"/>
      <c r="B303" s="98" t="n">
        <v>45889</v>
      </c>
      <c r="C303" s="66" t="inlineStr">
        <is>
          <t>Евро фуд</t>
        </is>
      </c>
      <c r="D303" s="66" t="inlineStr">
        <is>
          <t>шоколад голд</t>
        </is>
      </c>
      <c r="E303" s="100" t="n">
        <v>49125</v>
      </c>
      <c r="F303" s="66" t="n"/>
      <c r="G303" s="66">
        <f>E303+F303</f>
        <v/>
      </c>
      <c r="H303" s="66" t="inlineStr">
        <is>
          <t>Выплачено</t>
        </is>
      </c>
      <c r="I303" s="66" t="inlineStr">
        <is>
          <t>Ок</t>
        </is>
      </c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>
      <c r="A304" s="5" t="n"/>
      <c r="B304" s="98" t="n">
        <v>45889</v>
      </c>
      <c r="C304" s="66" t="inlineStr">
        <is>
          <t>Ли Станислав</t>
        </is>
      </c>
      <c r="D304" s="66" t="inlineStr">
        <is>
          <t>Подотчет сырье</t>
        </is>
      </c>
      <c r="E304" s="100" t="n"/>
      <c r="F304" s="66" t="n">
        <v>300000</v>
      </c>
      <c r="G304" s="66">
        <f>E304+F304</f>
        <v/>
      </c>
      <c r="H304" s="66" t="inlineStr">
        <is>
          <t>Выплачено</t>
        </is>
      </c>
      <c r="I304" s="66" t="inlineStr">
        <is>
          <t>Ок</t>
        </is>
      </c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>
      <c r="A305" s="5" t="n"/>
      <c r="B305" s="98" t="n">
        <v>45890</v>
      </c>
      <c r="C305" s="66" t="inlineStr">
        <is>
          <t>Вон С.</t>
        </is>
      </c>
      <c r="D305" s="66" t="inlineStr">
        <is>
          <t>В п/о на инвентарь</t>
        </is>
      </c>
      <c r="E305" s="100" t="n"/>
      <c r="F305" s="66" t="n">
        <v>550000</v>
      </c>
      <c r="G305" s="66">
        <f>E305+F305</f>
        <v/>
      </c>
      <c r="H305" s="66" t="inlineStr">
        <is>
          <t>К оплате</t>
        </is>
      </c>
      <c r="I305" s="66" t="inlineStr">
        <is>
          <t>Ок</t>
        </is>
      </c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>
      <c r="A306" s="5" t="n"/>
      <c r="B306" s="98" t="n">
        <v>45890</v>
      </c>
      <c r="C306" s="66" t="inlineStr">
        <is>
          <t>НУ</t>
        </is>
      </c>
      <c r="D306" s="66" t="inlineStr">
        <is>
          <t>налоги по ЗП</t>
        </is>
      </c>
      <c r="E306" s="100" t="n">
        <v>8200000</v>
      </c>
      <c r="F306" s="66" t="n"/>
      <c r="G306" s="66">
        <f>E306+F306</f>
        <v/>
      </c>
      <c r="H306" s="66" t="inlineStr">
        <is>
          <t>Выплачено</t>
        </is>
      </c>
      <c r="I306" s="66" t="inlineStr">
        <is>
          <t>Ок</t>
        </is>
      </c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>
      <c r="A307" s="5" t="n"/>
      <c r="B307" s="98" t="n">
        <v>45890</v>
      </c>
      <c r="C307" s="66" t="inlineStr">
        <is>
          <t>Ли Станислав</t>
        </is>
      </c>
      <c r="D307" s="66" t="inlineStr">
        <is>
          <t>Подотчет сырье</t>
        </is>
      </c>
      <c r="E307" s="100" t="n"/>
      <c r="F307" s="66" t="n">
        <v>600000</v>
      </c>
      <c r="G307" s="66">
        <f>E307+F307</f>
        <v/>
      </c>
      <c r="H307" s="66" t="inlineStr">
        <is>
          <t>Выплачено</t>
        </is>
      </c>
      <c r="I307" s="66" t="inlineStr">
        <is>
          <t>Ок</t>
        </is>
      </c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>
      <c r="A308" s="5" t="n"/>
      <c r="B308" s="98" t="n">
        <v>45890</v>
      </c>
      <c r="C308" s="66" t="inlineStr">
        <is>
          <t xml:space="preserve">Упаковка </t>
        </is>
      </c>
      <c r="D308" s="66" t="n"/>
      <c r="E308" s="100" t="n">
        <v>1095000</v>
      </c>
      <c r="F308" s="66" t="n"/>
      <c r="G308" s="66">
        <f>E308+F308</f>
        <v/>
      </c>
      <c r="H308" s="66" t="inlineStr">
        <is>
          <t>Выплачено</t>
        </is>
      </c>
      <c r="I308" s="66" t="inlineStr">
        <is>
          <t>Ок</t>
        </is>
      </c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>
      <c r="A309" s="5" t="n"/>
      <c r="B309" s="98" t="n">
        <v>45891</v>
      </c>
      <c r="C309" s="66" t="inlineStr">
        <is>
          <t>НУ</t>
        </is>
      </c>
      <c r="D309" s="66" t="inlineStr">
        <is>
          <t>НДС за 2 кв-л</t>
        </is>
      </c>
      <c r="E309" s="100" t="n">
        <v>1400000</v>
      </c>
      <c r="F309" s="66" t="n"/>
      <c r="G309" s="66">
        <f>E309+F309</f>
        <v/>
      </c>
      <c r="H309" s="66" t="inlineStr">
        <is>
          <t>Выплачено</t>
        </is>
      </c>
      <c r="I309" s="66" t="inlineStr">
        <is>
          <t>Ок</t>
        </is>
      </c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>
      <c r="A310" s="5" t="n"/>
      <c r="B310" s="98" t="n">
        <v>45891</v>
      </c>
      <c r="C310" s="66" t="inlineStr">
        <is>
          <t>Вон С.</t>
        </is>
      </c>
      <c r="D310" s="73" t="inlineStr">
        <is>
          <t>Оплата поставщикам за сырье</t>
        </is>
      </c>
      <c r="E310" s="100" t="n">
        <v>7044025</v>
      </c>
      <c r="F310" s="66" t="n"/>
      <c r="G310" s="66">
        <f>E310+F310</f>
        <v/>
      </c>
      <c r="H310" s="66" t="inlineStr">
        <is>
          <t>Выплачено</t>
        </is>
      </c>
      <c r="I310" s="66" t="inlineStr">
        <is>
          <t>Ок</t>
        </is>
      </c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>
      <c r="A311" s="5" t="n"/>
      <c r="B311" s="98" t="n">
        <v>45894</v>
      </c>
      <c r="C311" s="66" t="inlineStr">
        <is>
          <t>Вон С.</t>
        </is>
      </c>
      <c r="D311" s="73" t="inlineStr">
        <is>
          <t>Оплата поставщикам за сырье</t>
        </is>
      </c>
      <c r="E311" s="100" t="n">
        <v>7142523</v>
      </c>
      <c r="F311" s="66" t="n"/>
      <c r="G311" s="66">
        <f>E311+F311</f>
        <v/>
      </c>
      <c r="H311" s="66" t="inlineStr">
        <is>
          <t>Выплачено</t>
        </is>
      </c>
      <c r="I311" s="66" t="inlineStr">
        <is>
          <t>Ок</t>
        </is>
      </c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>
      <c r="A312" s="5" t="n"/>
      <c r="B312" s="98" t="n">
        <v>45894</v>
      </c>
      <c r="C312" s="66" t="inlineStr">
        <is>
          <t>Интеллпак</t>
        </is>
      </c>
      <c r="D312" s="66" t="inlineStr">
        <is>
          <t>ПВХ пленка</t>
        </is>
      </c>
      <c r="E312" s="100" t="n">
        <v>120000</v>
      </c>
      <c r="F312" s="66" t="n"/>
      <c r="G312" s="66">
        <f>E312+F312</f>
        <v/>
      </c>
      <c r="H312" s="66" t="inlineStr">
        <is>
          <t>Выплачено</t>
        </is>
      </c>
      <c r="I312" s="66" t="inlineStr">
        <is>
          <t>Ок</t>
        </is>
      </c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>
      <c r="A313" s="5" t="n"/>
      <c r="B313" s="98" t="n">
        <v>45894</v>
      </c>
      <c r="C313" s="68" t="n"/>
      <c r="D313" s="66" t="inlineStr">
        <is>
          <t xml:space="preserve">Ост зп и аванс </t>
        </is>
      </c>
      <c r="E313" s="100" t="n"/>
      <c r="F313" s="68" t="n">
        <v>497000</v>
      </c>
      <c r="G313" s="66">
        <f>E313+F313</f>
        <v/>
      </c>
      <c r="H313" s="66" t="inlineStr">
        <is>
          <t>Выплачено</t>
        </is>
      </c>
      <c r="I313" s="66" t="inlineStr">
        <is>
          <t>Ок</t>
        </is>
      </c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>
      <c r="A314" s="5" t="n"/>
      <c r="B314" s="98" t="n">
        <v>45895</v>
      </c>
      <c r="C314" s="66" t="inlineStr">
        <is>
          <t>Ли Станислав</t>
        </is>
      </c>
      <c r="D314" s="66" t="inlineStr">
        <is>
          <t>Подотчет сырье</t>
        </is>
      </c>
      <c r="E314" s="100" t="n"/>
      <c r="F314" s="66" t="n">
        <v>300000</v>
      </c>
      <c r="G314" s="66">
        <f>E314+F314</f>
        <v/>
      </c>
      <c r="H314" s="66" t="inlineStr">
        <is>
          <t>Выплачено</t>
        </is>
      </c>
      <c r="I314" s="66" t="inlineStr">
        <is>
          <t>Ок</t>
        </is>
      </c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>
      <c r="A315" s="5" t="n"/>
      <c r="B315" s="98" t="n">
        <v>45896</v>
      </c>
      <c r="C315" s="66" t="inlineStr">
        <is>
          <t xml:space="preserve">APF service company </t>
        </is>
      </c>
      <c r="D315" s="66" t="inlineStr">
        <is>
          <t xml:space="preserve">Мусор </t>
        </is>
      </c>
      <c r="E315" s="100" t="n">
        <v>508200</v>
      </c>
      <c r="F315" s="66" t="n"/>
      <c r="G315" s="66">
        <f>E315+F315</f>
        <v/>
      </c>
      <c r="H315" s="66" t="inlineStr">
        <is>
          <t>Выплачено</t>
        </is>
      </c>
      <c r="I315" s="66" t="inlineStr">
        <is>
          <t>Ок</t>
        </is>
      </c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>
      <c r="A316" s="5" t="n"/>
      <c r="B316" s="98" t="n">
        <v>45896</v>
      </c>
      <c r="C316" s="66" t="n"/>
      <c r="D316" s="66" t="inlineStr">
        <is>
          <t xml:space="preserve">Аванс </t>
        </is>
      </c>
      <c r="E316" s="100" t="n">
        <v>2284258</v>
      </c>
      <c r="F316" s="66" t="n"/>
      <c r="G316" s="66">
        <f>E316+F316</f>
        <v/>
      </c>
      <c r="H316" s="66" t="inlineStr">
        <is>
          <t>Выплачено</t>
        </is>
      </c>
      <c r="I316" s="66" t="inlineStr">
        <is>
          <t>Ок</t>
        </is>
      </c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>
      <c r="A317" s="5" t="n"/>
      <c r="B317" s="98" t="n">
        <v>45896</v>
      </c>
      <c r="C317" s="66" t="n"/>
      <c r="D317" s="66" t="inlineStr">
        <is>
          <t xml:space="preserve">Аванс </t>
        </is>
      </c>
      <c r="E317" s="100" t="n"/>
      <c r="F317" s="66" t="n">
        <v>1112303</v>
      </c>
      <c r="G317" s="66">
        <f>E317+F317</f>
        <v/>
      </c>
      <c r="H317" s="66" t="inlineStr">
        <is>
          <t>Выплачено</t>
        </is>
      </c>
      <c r="I317" s="66" t="inlineStr">
        <is>
          <t>Ок</t>
        </is>
      </c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>
      <c r="A318" s="5" t="n"/>
      <c r="B318" s="98" t="n">
        <v>45896</v>
      </c>
      <c r="C318" s="66" t="n"/>
      <c r="D318" s="66" t="inlineStr">
        <is>
          <t>аренда квартиры</t>
        </is>
      </c>
      <c r="E318" s="100" t="n"/>
      <c r="F318" s="66" t="n">
        <v>350000</v>
      </c>
      <c r="G318" s="66">
        <f>E318+F318</f>
        <v/>
      </c>
      <c r="H318" s="66" t="inlineStr">
        <is>
          <t>Выплачено</t>
        </is>
      </c>
      <c r="I318" s="66" t="inlineStr">
        <is>
          <t>Ок</t>
        </is>
      </c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>
      <c r="A319" s="5" t="n"/>
      <c r="B319" s="98" t="n">
        <v>45896</v>
      </c>
      <c r="C319" s="66" t="inlineStr">
        <is>
          <t>Ли Станислав</t>
        </is>
      </c>
      <c r="D319" s="66" t="inlineStr">
        <is>
          <t>Подотчет сырье</t>
        </is>
      </c>
      <c r="E319" s="100" t="n"/>
      <c r="F319" s="66" t="n">
        <v>300000</v>
      </c>
      <c r="G319" s="66">
        <f>E319+F319</f>
        <v/>
      </c>
      <c r="H319" s="66" t="inlineStr">
        <is>
          <t>Выплачено</t>
        </is>
      </c>
      <c r="I319" s="66" t="inlineStr">
        <is>
          <t>Ок</t>
        </is>
      </c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>
      <c r="A320" s="5" t="n"/>
      <c r="B320" s="98" t="n">
        <v>45896</v>
      </c>
      <c r="C320" s="66" t="n"/>
      <c r="D320" s="66" t="inlineStr">
        <is>
          <t>за шпильки закрытие счета 50%</t>
        </is>
      </c>
      <c r="E320" s="100" t="n">
        <v>462500</v>
      </c>
      <c r="F320" s="66" t="n"/>
      <c r="G320" s="66">
        <f>E320+F320</f>
        <v/>
      </c>
      <c r="H320" s="66" t="inlineStr">
        <is>
          <t>К оплате</t>
        </is>
      </c>
      <c r="I320" s="66" t="inlineStr">
        <is>
          <t>Ок</t>
        </is>
      </c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>
      <c r="A321" s="5" t="n"/>
      <c r="B321" s="98" t="n">
        <v>45896</v>
      </c>
      <c r="C321" s="66" t="n"/>
      <c r="D321" s="66" t="inlineStr">
        <is>
          <t>Коммунальные</t>
        </is>
      </c>
      <c r="E321" s="100" t="n">
        <v>6817462</v>
      </c>
      <c r="F321" s="66" t="n"/>
      <c r="G321" s="66">
        <f>E321+F321</f>
        <v/>
      </c>
      <c r="H321" s="66" t="inlineStr">
        <is>
          <t>Выплачено</t>
        </is>
      </c>
      <c r="I321" s="66" t="inlineStr">
        <is>
          <t>Ок</t>
        </is>
      </c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>
      <c r="A322" s="5" t="n"/>
      <c r="B322" s="98" t="n">
        <v>45896</v>
      </c>
      <c r="C322" s="66" t="inlineStr">
        <is>
          <t>ЕвразианФудс</t>
        </is>
      </c>
      <c r="D322" s="66" t="inlineStr">
        <is>
          <t>погашение КЗ</t>
        </is>
      </c>
      <c r="E322" s="100" t="n">
        <v>3281676</v>
      </c>
      <c r="F322" s="66" t="n"/>
      <c r="G322" s="66">
        <f>E322+F322</f>
        <v/>
      </c>
      <c r="H322" s="66" t="inlineStr">
        <is>
          <t>Выплачено</t>
        </is>
      </c>
      <c r="I322" s="66" t="inlineStr">
        <is>
          <t>Ок</t>
        </is>
      </c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>
      <c r="A323" s="5" t="n"/>
      <c r="B323" s="98" t="n">
        <v>45896</v>
      </c>
      <c r="C323" s="66" t="inlineStr">
        <is>
          <t>ИП Исмагулова</t>
        </is>
      </c>
      <c r="D323" s="66" t="inlineStr">
        <is>
          <t>мука</t>
        </is>
      </c>
      <c r="E323" s="100" t="n">
        <v>262400</v>
      </c>
      <c r="F323" s="66" t="n"/>
      <c r="G323" s="66">
        <f>E323+F323</f>
        <v/>
      </c>
      <c r="H323" s="66" t="inlineStr">
        <is>
          <t>Выплачено</t>
        </is>
      </c>
      <c r="I323" s="66" t="inlineStr">
        <is>
          <t>Ок</t>
        </is>
      </c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>
      <c r="A324" s="5" t="n"/>
      <c r="B324" s="98" t="n">
        <v>45896</v>
      </c>
      <c r="C324" s="66" t="inlineStr">
        <is>
          <t>ИП Интеллпак</t>
        </is>
      </c>
      <c r="D324" s="66" t="inlineStr">
        <is>
          <t>пленка ПВХ</t>
        </is>
      </c>
      <c r="E324" s="100" t="n">
        <v>223500</v>
      </c>
      <c r="F324" s="66" t="n"/>
      <c r="G324" s="66">
        <f>E324+F324</f>
        <v/>
      </c>
      <c r="H324" s="66" t="inlineStr">
        <is>
          <t>Выплачено</t>
        </is>
      </c>
      <c r="I324" s="66" t="inlineStr">
        <is>
          <t>Ок</t>
        </is>
      </c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>
      <c r="A325" s="5" t="n"/>
      <c r="B325" s="98" t="n">
        <v>45897</v>
      </c>
      <c r="C325" s="66" t="inlineStr">
        <is>
          <t>Ли Станислав</t>
        </is>
      </c>
      <c r="D325" s="66" t="inlineStr">
        <is>
          <t>Подотчет сырье</t>
        </is>
      </c>
      <c r="E325" s="100" t="n"/>
      <c r="F325" s="66" t="n">
        <v>600000</v>
      </c>
      <c r="G325" s="66">
        <f>E325+F325</f>
        <v/>
      </c>
      <c r="H325" s="66" t="inlineStr">
        <is>
          <t>Выплачено</t>
        </is>
      </c>
      <c r="I325" s="66" t="inlineStr">
        <is>
          <t>Ок</t>
        </is>
      </c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>
      <c r="A326" s="5" t="n"/>
      <c r="B326" s="98" t="n">
        <v>45897</v>
      </c>
      <c r="C326" s="66" t="n"/>
      <c r="D326" s="66" t="inlineStr">
        <is>
          <t xml:space="preserve">Аванс </t>
        </is>
      </c>
      <c r="E326" s="100" t="n"/>
      <c r="F326" s="66" t="n">
        <v>500000</v>
      </c>
      <c r="G326" s="66">
        <f>E326+F326</f>
        <v/>
      </c>
      <c r="H326" s="66" t="inlineStr">
        <is>
          <t>К оплате</t>
        </is>
      </c>
      <c r="I326" s="66" t="inlineStr">
        <is>
          <t>Ок</t>
        </is>
      </c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>
      <c r="A327" s="5" t="n"/>
      <c r="B327" s="98" t="n">
        <v>45897</v>
      </c>
      <c r="C327" s="66" t="inlineStr">
        <is>
          <t>Зарплата недельная</t>
        </is>
      </c>
      <c r="D327" s="66" t="inlineStr">
        <is>
          <t>Лагманщики</t>
        </is>
      </c>
      <c r="E327" s="100" t="n"/>
      <c r="F327" s="66" t="n">
        <v>400000</v>
      </c>
      <c r="G327" s="66">
        <f>E327+F327</f>
        <v/>
      </c>
      <c r="H327" s="66" t="inlineStr">
        <is>
          <t>Выплачено</t>
        </is>
      </c>
      <c r="I327" s="66" t="inlineStr">
        <is>
          <t>Ок</t>
        </is>
      </c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>
      <c r="A328" s="5" t="n"/>
      <c r="B328" s="98" t="n">
        <v>45898</v>
      </c>
      <c r="C328" s="66" t="inlineStr">
        <is>
          <t>Дюсембин Р.</t>
        </is>
      </c>
      <c r="D328" s="66" t="inlineStr">
        <is>
          <t>возврат РБК</t>
        </is>
      </c>
      <c r="E328" s="100" t="n">
        <v>5000000</v>
      </c>
      <c r="F328" s="66" t="n"/>
      <c r="G328" s="66">
        <f>E328+F328</f>
        <v/>
      </c>
      <c r="H328" s="66" t="inlineStr">
        <is>
          <t>Выплачено</t>
        </is>
      </c>
      <c r="I328" s="66" t="inlineStr">
        <is>
          <t>Ок</t>
        </is>
      </c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>
      <c r="A329" s="5" t="n"/>
      <c r="B329" s="98" t="n">
        <v>45898</v>
      </c>
      <c r="C329" s="66" t="inlineStr">
        <is>
          <t>Вон С.</t>
        </is>
      </c>
      <c r="D329" s="73" t="inlineStr">
        <is>
          <t>Оплата поставщикам за сырье</t>
        </is>
      </c>
      <c r="E329" s="100" t="n">
        <v>19942864</v>
      </c>
      <c r="F329" s="66" t="n"/>
      <c r="G329" s="66">
        <f>E329+F329</f>
        <v/>
      </c>
      <c r="H329" s="66" t="inlineStr">
        <is>
          <t>Выплачено</t>
        </is>
      </c>
      <c r="I329" s="66" t="inlineStr">
        <is>
          <t>Ок</t>
        </is>
      </c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>
      <c r="A330" s="5" t="n"/>
      <c r="B330" s="98" t="n">
        <v>45901</v>
      </c>
      <c r="C330" s="66" t="inlineStr">
        <is>
          <t>Адолар</t>
        </is>
      </c>
      <c r="D330" s="66" t="inlineStr">
        <is>
          <t>за мясо</t>
        </is>
      </c>
      <c r="E330" s="100" t="n"/>
      <c r="F330" s="66" t="n">
        <v>421910</v>
      </c>
      <c r="G330" s="66">
        <f>E330+F330</f>
        <v/>
      </c>
      <c r="H330" s="66" t="inlineStr">
        <is>
          <t>Выплачено</t>
        </is>
      </c>
      <c r="I330" s="66" t="inlineStr">
        <is>
          <t>Ок</t>
        </is>
      </c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>
      <c r="A331" s="5" t="n"/>
      <c r="B331" s="98" t="n">
        <v>45901</v>
      </c>
      <c r="C331" s="66" t="inlineStr">
        <is>
          <t>Вон С.</t>
        </is>
      </c>
      <c r="D331" s="66" t="inlineStr">
        <is>
          <t>в п/о на закуп</t>
        </is>
      </c>
      <c r="E331" s="100" t="n"/>
      <c r="F331" s="66" t="n">
        <v>180000</v>
      </c>
      <c r="G331" s="66">
        <f>E331+F331</f>
        <v/>
      </c>
      <c r="H331" s="66" t="inlineStr">
        <is>
          <t>Выплачено</t>
        </is>
      </c>
      <c r="I331" s="66" t="inlineStr">
        <is>
          <t>Ок</t>
        </is>
      </c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>
      <c r="A332" s="5" t="n"/>
      <c r="B332" s="98" t="n">
        <v>45901</v>
      </c>
      <c r="C332" s="66" t="n"/>
      <c r="D332" s="66" t="inlineStr">
        <is>
          <t>заправка баллонов</t>
        </is>
      </c>
      <c r="E332" s="100" t="n"/>
      <c r="F332" s="66" t="n">
        <v>44000</v>
      </c>
      <c r="G332" s="66">
        <f>E332+F332</f>
        <v/>
      </c>
      <c r="H332" s="66" t="inlineStr">
        <is>
          <t>Выплачено</t>
        </is>
      </c>
      <c r="I332" s="66" t="inlineStr">
        <is>
          <t>Ок</t>
        </is>
      </c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>
      <c r="A333" s="5" t="n"/>
      <c r="B333" s="98" t="n">
        <v>45902</v>
      </c>
      <c r="C333" s="66" t="inlineStr">
        <is>
          <t>Вон С.</t>
        </is>
      </c>
      <c r="D333" s="73" t="inlineStr">
        <is>
          <t>Оплата поставщикам за сырье</t>
        </is>
      </c>
      <c r="E333" s="100" t="n">
        <v>8398788</v>
      </c>
      <c r="F333" s="66" t="n"/>
      <c r="G333" s="66">
        <f>E333+F333</f>
        <v/>
      </c>
      <c r="H333" s="66" t="inlineStr">
        <is>
          <t>Выплачено</t>
        </is>
      </c>
      <c r="I333" s="66" t="inlineStr">
        <is>
          <t>Ок</t>
        </is>
      </c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>
      <c r="A334" s="5" t="n"/>
      <c r="B334" s="98" t="n">
        <v>45903</v>
      </c>
      <c r="C334" s="66" t="inlineStr">
        <is>
          <t>Вон С.</t>
        </is>
      </c>
      <c r="D334" s="73" t="inlineStr">
        <is>
          <t>Оплата поставщикам за сырье</t>
        </is>
      </c>
      <c r="E334" s="100" t="n">
        <v>10000000</v>
      </c>
      <c r="F334" s="66" t="n"/>
      <c r="G334" s="66">
        <f>E334+F334</f>
        <v/>
      </c>
      <c r="H334" s="66" t="inlineStr">
        <is>
          <t>Выплачено</t>
        </is>
      </c>
      <c r="I334" s="66" t="inlineStr">
        <is>
          <t>Ок</t>
        </is>
      </c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>
      <c r="A335" s="5" t="n"/>
      <c r="B335" s="98" t="n">
        <v>45903</v>
      </c>
      <c r="C335" s="66" t="inlineStr">
        <is>
          <t>Малышев</t>
        </is>
      </c>
      <c r="D335" s="66" t="inlineStr">
        <is>
          <t>Оплата логистики</t>
        </is>
      </c>
      <c r="E335" s="100" t="n"/>
      <c r="F335" s="95" t="inlineStr">
        <is>
          <t>?</t>
        </is>
      </c>
      <c r="G335" s="66">
        <f>E335+F335</f>
        <v/>
      </c>
      <c r="H335" s="66" t="inlineStr">
        <is>
          <t>Отложено</t>
        </is>
      </c>
      <c r="I335" s="66" t="inlineStr">
        <is>
          <t>Ок</t>
        </is>
      </c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>
      <c r="A336" s="5" t="n"/>
      <c r="B336" s="98" t="n">
        <v>45903</v>
      </c>
      <c r="C336" s="66" t="inlineStr">
        <is>
          <t>Вон С.</t>
        </is>
      </c>
      <c r="D336" s="66" t="inlineStr">
        <is>
          <t>на инвентарь и лекарства в п/о</t>
        </is>
      </c>
      <c r="E336" s="100" t="n"/>
      <c r="F336" s="66" t="n">
        <v>400000</v>
      </c>
      <c r="G336" s="66">
        <f>E336+F336</f>
        <v/>
      </c>
      <c r="H336" s="66" t="inlineStr">
        <is>
          <t>Выплачено</t>
        </is>
      </c>
      <c r="I336" s="66" t="inlineStr">
        <is>
          <t>Ок</t>
        </is>
      </c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>
      <c r="A337" s="5" t="n"/>
      <c r="B337" s="98" t="n">
        <v>45904</v>
      </c>
      <c r="C337" s="66" t="n"/>
      <c r="D337" s="66" t="inlineStr">
        <is>
          <t>ЗП на карты</t>
        </is>
      </c>
      <c r="E337" s="100" t="n">
        <v>15762622</v>
      </c>
      <c r="F337" s="66" t="n"/>
      <c r="G337" s="66">
        <f>E337+F337</f>
        <v/>
      </c>
      <c r="H337" s="66" t="inlineStr">
        <is>
          <t>Выплачено</t>
        </is>
      </c>
      <c r="I337" s="66" t="inlineStr">
        <is>
          <t>Ок</t>
        </is>
      </c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>
      <c r="A338" s="5" t="n"/>
      <c r="B338" s="98" t="n">
        <v>45905</v>
      </c>
      <c r="C338" s="66" t="inlineStr">
        <is>
          <t>Малышев</t>
        </is>
      </c>
      <c r="D338" s="66" t="inlineStr">
        <is>
          <t>Оплата логистики</t>
        </is>
      </c>
      <c r="E338" s="100" t="n"/>
      <c r="F338" s="66" t="n">
        <v>1125000</v>
      </c>
      <c r="G338" s="66">
        <f>E338+F338</f>
        <v/>
      </c>
      <c r="H338" s="66" t="inlineStr">
        <is>
          <t>Выплачено</t>
        </is>
      </c>
      <c r="I338" s="66" t="inlineStr">
        <is>
          <t>Ок</t>
        </is>
      </c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>
      <c r="A339" s="5" t="n"/>
      <c r="B339" s="98" t="n">
        <v>45905</v>
      </c>
      <c r="C339" s="66" t="inlineStr">
        <is>
          <t>Вон С.</t>
        </is>
      </c>
      <c r="D339" s="73" t="inlineStr">
        <is>
          <t>Оплата поставщикам за сырье</t>
        </is>
      </c>
      <c r="E339" s="100" t="n">
        <v>16447221</v>
      </c>
      <c r="F339" s="66" t="n"/>
      <c r="G339" s="66">
        <f>E339+F339</f>
        <v/>
      </c>
      <c r="H339" s="66" t="inlineStr">
        <is>
          <t>Выплачено</t>
        </is>
      </c>
      <c r="I339" s="66" t="inlineStr">
        <is>
          <t>Ок</t>
        </is>
      </c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>
      <c r="A340" s="5" t="n"/>
      <c r="B340" s="98" t="n">
        <v>45908</v>
      </c>
      <c r="C340" s="66" t="n"/>
      <c r="D340" s="66" t="inlineStr">
        <is>
          <t>ЧП</t>
        </is>
      </c>
      <c r="E340" s="100" t="n"/>
      <c r="F340" s="66" t="n">
        <v>4500000</v>
      </c>
      <c r="G340" s="66">
        <f>E340+F340</f>
        <v/>
      </c>
      <c r="H340" s="66" t="inlineStr">
        <is>
          <t>Выплачено</t>
        </is>
      </c>
      <c r="I340" s="66" t="inlineStr">
        <is>
          <t>Ок</t>
        </is>
      </c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>
      <c r="A341" s="5" t="n"/>
      <c r="B341" s="98" t="n">
        <v>45908</v>
      </c>
      <c r="C341" s="66" t="n"/>
      <c r="D341" s="66" t="inlineStr">
        <is>
          <t>Дератизация</t>
        </is>
      </c>
      <c r="E341" s="100" t="n">
        <v>145000</v>
      </c>
      <c r="F341" s="66" t="n"/>
      <c r="G341" s="66">
        <f>E341+F341</f>
        <v/>
      </c>
      <c r="H341" s="66" t="inlineStr">
        <is>
          <t>Выплачено</t>
        </is>
      </c>
      <c r="I341" s="66" t="inlineStr">
        <is>
          <t>Ок</t>
        </is>
      </c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>
      <c r="A342" s="5" t="n"/>
      <c r="B342" s="98" t="n">
        <v>45908</v>
      </c>
      <c r="C342" s="66" t="inlineStr">
        <is>
          <t>Вон С.</t>
        </is>
      </c>
      <c r="D342" s="66" t="inlineStr">
        <is>
          <t>Оплата поставщикам за сырье</t>
        </is>
      </c>
      <c r="E342" s="100" t="n">
        <v>4421781</v>
      </c>
      <c r="F342" s="66" t="n"/>
      <c r="G342" s="66">
        <f>E342+F342</f>
        <v/>
      </c>
      <c r="H342" s="66" t="inlineStr">
        <is>
          <t>Выплачено</t>
        </is>
      </c>
      <c r="I342" s="66" t="inlineStr">
        <is>
          <t>Ок</t>
        </is>
      </c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>
      <c r="A343" s="5" t="n"/>
      <c r="B343" s="98" t="n">
        <v>45908</v>
      </c>
      <c r="C343" s="66" t="n"/>
      <c r="D343" s="66" t="inlineStr">
        <is>
          <t>Аванс  по служебке произ.сотрудникам</t>
        </is>
      </c>
      <c r="E343" s="100" t="n"/>
      <c r="F343" s="66" t="n">
        <v>150000</v>
      </c>
      <c r="G343" s="66">
        <f>E343+F343</f>
        <v/>
      </c>
      <c r="H343" s="66" t="inlineStr">
        <is>
          <t>Выплачено</t>
        </is>
      </c>
      <c r="I343" s="66" t="inlineStr">
        <is>
          <t>Ок</t>
        </is>
      </c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>
      <c r="A344" s="5" t="n"/>
      <c r="B344" s="98" t="n">
        <v>45909</v>
      </c>
      <c r="C344" s="66" t="inlineStr">
        <is>
          <t>ЧСИ</t>
        </is>
      </c>
      <c r="D344" s="66" t="inlineStr">
        <is>
          <t>Исполнительные листы по сотр.</t>
        </is>
      </c>
      <c r="E344" s="100" t="n">
        <v>651989</v>
      </c>
      <c r="F344" s="66" t="n"/>
      <c r="G344" s="66">
        <f>E344+F344</f>
        <v/>
      </c>
      <c r="H344" s="66" t="inlineStr">
        <is>
          <t>Выплачено</t>
        </is>
      </c>
      <c r="I344" s="66" t="inlineStr">
        <is>
          <t>Ок</t>
        </is>
      </c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>
      <c r="A345" s="5" t="n"/>
      <c r="B345" s="98" t="n">
        <v>45909</v>
      </c>
      <c r="C345" s="66" t="inlineStr">
        <is>
          <t>Вон С.</t>
        </is>
      </c>
      <c r="D345" s="66" t="inlineStr">
        <is>
          <t>Оплата поставщикам за сырье</t>
        </is>
      </c>
      <c r="E345" s="100" t="n">
        <v>9522943</v>
      </c>
      <c r="F345" s="66" t="n"/>
      <c r="G345" s="66">
        <f>E345+F345</f>
        <v/>
      </c>
      <c r="H345" s="66" t="inlineStr">
        <is>
          <t>Выплачено</t>
        </is>
      </c>
      <c r="I345" s="66" t="inlineStr">
        <is>
          <t>Ок</t>
        </is>
      </c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>
      <c r="A346" s="5" t="n"/>
      <c r="B346" s="98" t="n">
        <v>45909</v>
      </c>
      <c r="C346" s="66" t="inlineStr">
        <is>
          <t>Борзых Л.</t>
        </is>
      </c>
      <c r="D346" s="66" t="inlineStr">
        <is>
          <t>венчики для планетар.миксера</t>
        </is>
      </c>
      <c r="E346" s="100" t="n">
        <v>39600</v>
      </c>
      <c r="F346" s="66" t="n"/>
      <c r="G346" s="66">
        <f>E346+F346</f>
        <v/>
      </c>
      <c r="H346" s="66" t="inlineStr">
        <is>
          <t>К оплате</t>
        </is>
      </c>
      <c r="I346" s="66" t="inlineStr">
        <is>
          <t>Ок</t>
        </is>
      </c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>
      <c r="A347" s="5" t="n"/>
      <c r="B347" s="98" t="n">
        <v>45910</v>
      </c>
      <c r="C347" s="66" t="inlineStr">
        <is>
          <t>Provig</t>
        </is>
      </c>
      <c r="D347" s="66" t="inlineStr">
        <is>
          <t>лицензии на ПО</t>
        </is>
      </c>
      <c r="E347" s="100" t="n">
        <v>107680</v>
      </c>
      <c r="F347" s="66" t="n"/>
      <c r="G347" s="66">
        <f>E347+F347</f>
        <v/>
      </c>
      <c r="H347" s="66" t="inlineStr">
        <is>
          <t>Выплачено</t>
        </is>
      </c>
      <c r="I347" s="66" t="inlineStr">
        <is>
          <t>Ок</t>
        </is>
      </c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>
      <c r="A348" s="5" t="n"/>
      <c r="B348" s="98" t="n">
        <v>45909</v>
      </c>
      <c r="C348" s="66" t="inlineStr">
        <is>
          <t>Вон С.</t>
        </is>
      </c>
      <c r="D348" s="66" t="inlineStr">
        <is>
          <t>ТД Рокос на стопе</t>
        </is>
      </c>
      <c r="E348" s="100" t="n">
        <v>469078</v>
      </c>
      <c r="F348" s="66" t="n"/>
      <c r="G348" s="66">
        <f>E348+F348</f>
        <v/>
      </c>
      <c r="H348" s="66" t="inlineStr">
        <is>
          <t>Выплачено</t>
        </is>
      </c>
      <c r="I348" s="66" t="inlineStr">
        <is>
          <t>Ок</t>
        </is>
      </c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>
      <c r="A349" s="5" t="n"/>
      <c r="B349" s="98" t="n">
        <v>45909</v>
      </c>
      <c r="C349" s="66" t="n"/>
      <c r="D349" s="66" t="inlineStr">
        <is>
          <t>Той Март бонус за авг.2025</t>
        </is>
      </c>
      <c r="E349" s="100" t="n"/>
      <c r="F349" s="66" t="n">
        <v>470620</v>
      </c>
      <c r="G349" s="66">
        <f>E349+F349</f>
        <v/>
      </c>
      <c r="H349" s="66" t="inlineStr">
        <is>
          <t>Выплачено</t>
        </is>
      </c>
      <c r="I349" s="66" t="inlineStr">
        <is>
          <t>Ок</t>
        </is>
      </c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>
      <c r="A350" s="5" t="n"/>
      <c r="B350" s="98" t="n">
        <v>45909</v>
      </c>
      <c r="C350" s="66" t="n"/>
      <c r="D350" s="66" t="inlineStr">
        <is>
          <t>ЧП</t>
        </is>
      </c>
      <c r="E350" s="100" t="n"/>
      <c r="F350" s="66" t="n">
        <v>3500000</v>
      </c>
      <c r="G350" s="66">
        <f>E350+F350</f>
        <v/>
      </c>
      <c r="H350" s="66" t="inlineStr">
        <is>
          <t>Выплачено</t>
        </is>
      </c>
      <c r="I350" s="66" t="inlineStr">
        <is>
          <t>Ок</t>
        </is>
      </c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>
      <c r="A351" s="5" t="n"/>
      <c r="B351" s="98" t="n">
        <v>45909</v>
      </c>
      <c r="C351" s="66" t="inlineStr">
        <is>
          <t>Ли Станислав</t>
        </is>
      </c>
      <c r="D351" s="66" t="inlineStr">
        <is>
          <t>Подотчет сырье</t>
        </is>
      </c>
      <c r="E351" s="100" t="n"/>
      <c r="F351" s="66" t="n">
        <v>300000</v>
      </c>
      <c r="G351" s="66">
        <f>E351+F351</f>
        <v/>
      </c>
      <c r="H351" s="66" t="inlineStr">
        <is>
          <t>Выплачено</t>
        </is>
      </c>
      <c r="I351" s="66" t="inlineStr">
        <is>
          <t>Ок</t>
        </is>
      </c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>
      <c r="A352" s="5" t="n"/>
      <c r="B352" s="98" t="n">
        <v>45910</v>
      </c>
      <c r="C352" s="66" t="inlineStr">
        <is>
          <t>Ли Станислав</t>
        </is>
      </c>
      <c r="D352" s="66" t="inlineStr">
        <is>
          <t>Подотчет сырье</t>
        </is>
      </c>
      <c r="E352" s="100" t="n"/>
      <c r="F352" s="66" t="n">
        <v>300000</v>
      </c>
      <c r="G352" s="66">
        <f>E352+F352</f>
        <v/>
      </c>
      <c r="H352" s="66" t="inlineStr">
        <is>
          <t>Выплачено</t>
        </is>
      </c>
      <c r="I352" s="66" t="inlineStr">
        <is>
          <t>Ок</t>
        </is>
      </c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>
      <c r="A353" s="5" t="n"/>
      <c r="B353" s="98" t="n">
        <v>45910</v>
      </c>
      <c r="C353" s="66" t="inlineStr">
        <is>
          <t xml:space="preserve">Эрик </t>
        </is>
      </c>
      <c r="D353" s="66" t="n"/>
      <c r="E353" s="100" t="n"/>
      <c r="F353" s="66" t="n">
        <v>767590</v>
      </c>
      <c r="G353" s="66">
        <f>E353+F353</f>
        <v/>
      </c>
      <c r="H353" s="66" t="inlineStr">
        <is>
          <t>Выплачено</t>
        </is>
      </c>
      <c r="I353" s="66" t="inlineStr">
        <is>
          <t>Ок</t>
        </is>
      </c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>
      <c r="A354" s="5" t="n"/>
      <c r="B354" s="98" t="n">
        <v>45910</v>
      </c>
      <c r="C354" s="66" t="inlineStr">
        <is>
          <t xml:space="preserve">Эрико </t>
        </is>
      </c>
      <c r="D354" s="66" t="inlineStr">
        <is>
          <t>этикетки</t>
        </is>
      </c>
      <c r="E354" s="100" t="n">
        <v>277200</v>
      </c>
      <c r="F354" s="66" t="n"/>
      <c r="G354" s="66">
        <f>E354+F354</f>
        <v/>
      </c>
      <c r="H354" s="66" t="inlineStr">
        <is>
          <t>Выплачено</t>
        </is>
      </c>
      <c r="I354" s="66" t="inlineStr">
        <is>
          <t>Ок</t>
        </is>
      </c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>
      <c r="A355" s="5" t="n"/>
      <c r="B355" s="98" t="n">
        <v>45911</v>
      </c>
      <c r="C355" s="66" t="inlineStr">
        <is>
          <t xml:space="preserve">Эрико </t>
        </is>
      </c>
      <c r="D355" s="66" t="inlineStr">
        <is>
          <t>50% оплата за наклейки</t>
        </is>
      </c>
      <c r="E355" s="100">
        <f>2671140/2</f>
        <v/>
      </c>
      <c r="F355" s="66" t="n"/>
      <c r="G355" s="66">
        <f>E355+F355</f>
        <v/>
      </c>
      <c r="H355" s="66" t="inlineStr">
        <is>
          <t>Выплачено</t>
        </is>
      </c>
      <c r="I355" s="66" t="inlineStr">
        <is>
          <t>Ок</t>
        </is>
      </c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>
      <c r="A356" s="5" t="n"/>
      <c r="B356" s="98" t="n">
        <v>45911</v>
      </c>
      <c r="C356" s="66" t="inlineStr">
        <is>
          <t xml:space="preserve">Лейпурин </t>
        </is>
      </c>
      <c r="D356" s="66" t="n"/>
      <c r="E356" s="100" t="n">
        <v>37900</v>
      </c>
      <c r="F356" s="66" t="n"/>
      <c r="G356" s="66">
        <f>E356+F356</f>
        <v/>
      </c>
      <c r="H356" s="66" t="inlineStr">
        <is>
          <t>Выплачено</t>
        </is>
      </c>
      <c r="I356" s="66" t="inlineStr">
        <is>
          <t>Ок</t>
        </is>
      </c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>
      <c r="A357" s="5" t="n"/>
      <c r="B357" s="98" t="n">
        <v>45911</v>
      </c>
      <c r="C357" s="66" t="n"/>
      <c r="D357" s="66" t="inlineStr">
        <is>
          <t xml:space="preserve">ЧП </t>
        </is>
      </c>
      <c r="E357" s="100" t="n"/>
      <c r="F357" s="66" t="n">
        <v>500000</v>
      </c>
      <c r="G357" s="66">
        <f>E357+F357</f>
        <v/>
      </c>
      <c r="H357" s="66" t="inlineStr">
        <is>
          <t>Выплачено</t>
        </is>
      </c>
      <c r="I357" s="66" t="inlineStr">
        <is>
          <t>Ок</t>
        </is>
      </c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>
      <c r="A358" s="5" t="n"/>
      <c r="B358" s="98" t="n">
        <v>45912</v>
      </c>
      <c r="C358" s="66" t="inlineStr">
        <is>
          <t>Вон С.</t>
        </is>
      </c>
      <c r="D358" s="66" t="inlineStr">
        <is>
          <t>Оплата поставщикам за сырье</t>
        </is>
      </c>
      <c r="E358" s="100" t="n">
        <v>11251866</v>
      </c>
      <c r="F358" s="66" t="n"/>
      <c r="G358" s="66">
        <f>E358+F358</f>
        <v/>
      </c>
      <c r="H358" s="66" t="inlineStr">
        <is>
          <t>Выплачено</t>
        </is>
      </c>
      <c r="I358" s="66" t="inlineStr">
        <is>
          <t>Ок</t>
        </is>
      </c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>
      <c r="A359" s="5" t="n"/>
      <c r="B359" s="98" t="n">
        <v>45916</v>
      </c>
      <c r="C359" s="70" t="inlineStr">
        <is>
          <t xml:space="preserve">квартира </t>
        </is>
      </c>
      <c r="D359" s="66" t="inlineStr">
        <is>
          <t>Сергей С</t>
        </is>
      </c>
      <c r="E359" s="100" t="n"/>
      <c r="F359" s="66" t="n">
        <v>350000</v>
      </c>
      <c r="G359" s="66">
        <f>E359+F359</f>
        <v/>
      </c>
      <c r="H359" s="66" t="inlineStr">
        <is>
          <t>Выплачено</t>
        </is>
      </c>
      <c r="I359" s="66" t="inlineStr">
        <is>
          <t>Ок</t>
        </is>
      </c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>
      <c r="A360" s="5" t="n"/>
      <c r="B360" s="98" t="n">
        <v>45915</v>
      </c>
      <c r="C360" s="66" t="inlineStr">
        <is>
          <t>Вон С.</t>
        </is>
      </c>
      <c r="D360" s="66" t="inlineStr">
        <is>
          <t>Оплата поставщикам за сырье</t>
        </is>
      </c>
      <c r="E360" s="100" t="n">
        <v>2775442</v>
      </c>
      <c r="F360" s="66" t="n"/>
      <c r="G360" s="66">
        <f>E360+F360</f>
        <v/>
      </c>
      <c r="H360" s="66" t="inlineStr">
        <is>
          <t>Выплачено</t>
        </is>
      </c>
      <c r="I360" s="66" t="inlineStr">
        <is>
          <t>Ок</t>
        </is>
      </c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>
      <c r="A361" s="5" t="n"/>
      <c r="B361" s="98" t="n">
        <v>45915</v>
      </c>
      <c r="C361" s="66" t="n"/>
      <c r="D361" s="66" t="inlineStr">
        <is>
          <t>ЗП</t>
        </is>
      </c>
      <c r="E361" s="100" t="n"/>
      <c r="F361" s="66" t="n">
        <v>18608771</v>
      </c>
      <c r="G361" s="66">
        <f>E361+F361</f>
        <v/>
      </c>
      <c r="H361" s="66" t="inlineStr">
        <is>
          <t>Выплачено</t>
        </is>
      </c>
      <c r="I361" s="66" t="inlineStr">
        <is>
          <t>Ок</t>
        </is>
      </c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>
      <c r="A362" s="5" t="n"/>
      <c r="B362" s="98" t="n">
        <v>45916</v>
      </c>
      <c r="C362" s="66" t="n"/>
      <c r="D362" s="66" t="inlineStr">
        <is>
          <t>ЗП</t>
        </is>
      </c>
      <c r="E362" s="100" t="n"/>
      <c r="F362" s="66" t="n">
        <v>5852161</v>
      </c>
      <c r="G362" s="66">
        <f>E362+F362</f>
        <v/>
      </c>
      <c r="H362" s="66" t="inlineStr">
        <is>
          <t>Выплачено</t>
        </is>
      </c>
      <c r="I362" s="66" t="inlineStr">
        <is>
          <t>Ок</t>
        </is>
      </c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>
      <c r="A363" s="5" t="n"/>
      <c r="B363" s="98" t="n">
        <v>45916</v>
      </c>
      <c r="C363" s="66" t="inlineStr">
        <is>
          <t>Вон С.</t>
        </is>
      </c>
      <c r="D363" s="66" t="inlineStr">
        <is>
          <t>Оплата поставщикам за сырье</t>
        </is>
      </c>
      <c r="E363" s="100" t="n">
        <v>10425198</v>
      </c>
      <c r="F363" s="66" t="n"/>
      <c r="G363" s="66">
        <f>E363+F363</f>
        <v/>
      </c>
      <c r="H363" s="66" t="inlineStr">
        <is>
          <t>Выплачено</t>
        </is>
      </c>
      <c r="I363" s="66" t="inlineStr">
        <is>
          <t>Ок</t>
        </is>
      </c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>
      <c r="A364" s="5" t="n"/>
      <c r="B364" s="98" t="n">
        <v>45916</v>
      </c>
      <c r="C364" s="66" t="inlineStr">
        <is>
          <t>Вон С.</t>
        </is>
      </c>
      <c r="D364" s="66" t="inlineStr">
        <is>
          <t>в п/о на закуп инвентаря</t>
        </is>
      </c>
      <c r="E364" s="100" t="n"/>
      <c r="F364" s="66" t="n">
        <v>400000</v>
      </c>
      <c r="G364" s="66">
        <f>E364+F364</f>
        <v/>
      </c>
      <c r="H364" s="66" t="inlineStr">
        <is>
          <t>Выплачено</t>
        </is>
      </c>
      <c r="I364" s="66" t="inlineStr">
        <is>
          <t>Ок</t>
        </is>
      </c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>
      <c r="A365" s="5" t="n"/>
      <c r="B365" s="98" t="n">
        <v>45916</v>
      </c>
      <c r="C365" s="66" t="inlineStr">
        <is>
          <t>Ли Станислав</t>
        </is>
      </c>
      <c r="D365" s="66" t="inlineStr">
        <is>
          <t>Подотчет сырье</t>
        </is>
      </c>
      <c r="E365" s="100" t="n"/>
      <c r="F365" s="66" t="n">
        <v>300000</v>
      </c>
      <c r="G365" s="66">
        <f>E365+F365</f>
        <v/>
      </c>
      <c r="H365" s="66" t="inlineStr">
        <is>
          <t>Выплачено</t>
        </is>
      </c>
      <c r="I365" s="66" t="inlineStr">
        <is>
          <t>Ок</t>
        </is>
      </c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>
      <c r="A366" s="5" t="n"/>
      <c r="B366" s="98" t="n">
        <v>45917</v>
      </c>
      <c r="C366" s="66" t="inlineStr">
        <is>
          <t>Ли Станислав</t>
        </is>
      </c>
      <c r="D366" s="66" t="inlineStr">
        <is>
          <t>Подотчет сырье</t>
        </is>
      </c>
      <c r="E366" s="100" t="n"/>
      <c r="F366" s="66" t="n">
        <v>300000</v>
      </c>
      <c r="G366" s="66">
        <f>E366+F366</f>
        <v/>
      </c>
      <c r="H366" s="66" t="inlineStr">
        <is>
          <t>Выплачено</t>
        </is>
      </c>
      <c r="I366" s="66" t="inlineStr">
        <is>
          <t>Ок</t>
        </is>
      </c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>
      <c r="A367" s="5" t="n"/>
      <c r="B367" s="98" t="n">
        <v>45917</v>
      </c>
      <c r="C367" s="66" t="inlineStr">
        <is>
          <t xml:space="preserve">квартира </t>
        </is>
      </c>
      <c r="D367" s="66" t="inlineStr">
        <is>
          <t xml:space="preserve">Желтоксон </t>
        </is>
      </c>
      <c r="E367" s="100" t="n"/>
      <c r="F367" s="66" t="n">
        <v>350000</v>
      </c>
      <c r="G367" s="66">
        <f>E367+F367</f>
        <v/>
      </c>
      <c r="H367" s="66" t="inlineStr">
        <is>
          <t>Выплачено</t>
        </is>
      </c>
      <c r="I367" s="66" t="inlineStr">
        <is>
          <t>Ок</t>
        </is>
      </c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>
      <c r="A368" s="5" t="n"/>
      <c r="B368" s="98" t="n">
        <v>45917</v>
      </c>
      <c r="C368" s="66" t="inlineStr">
        <is>
          <t>Зарплата</t>
        </is>
      </c>
      <c r="D368" s="66" t="inlineStr">
        <is>
          <t>Производства</t>
        </is>
      </c>
      <c r="E368" s="100" t="n"/>
      <c r="F368" s="66" t="n">
        <v>607000</v>
      </c>
      <c r="G368" s="66">
        <f>E368+F368</f>
        <v/>
      </c>
      <c r="H368" s="66" t="inlineStr">
        <is>
          <t>Выплачено</t>
        </is>
      </c>
      <c r="I368" s="66" t="inlineStr">
        <is>
          <t>Ок</t>
        </is>
      </c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>
      <c r="A369" s="5" t="n"/>
      <c r="B369" s="98" t="n">
        <v>45918</v>
      </c>
      <c r="C369" s="66" t="inlineStr">
        <is>
          <t>Аренда</t>
        </is>
      </c>
      <c r="D369" s="66" t="n"/>
      <c r="E369" s="100" t="n">
        <v>6050000</v>
      </c>
      <c r="F369" s="66" t="n"/>
      <c r="G369" s="66">
        <f>E369+F369</f>
        <v/>
      </c>
      <c r="H369" s="66" t="inlineStr">
        <is>
          <t>Выплачено</t>
        </is>
      </c>
      <c r="I369" s="66" t="inlineStr">
        <is>
          <t>Ок</t>
        </is>
      </c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>
      <c r="A370" s="5" t="n"/>
      <c r="B370" s="98" t="n">
        <v>45918</v>
      </c>
      <c r="C370" s="66" t="inlineStr">
        <is>
          <t>Зарплата</t>
        </is>
      </c>
      <c r="D370" s="66" t="inlineStr">
        <is>
          <t>АУП</t>
        </is>
      </c>
      <c r="E370" s="100" t="n"/>
      <c r="F370" s="66" t="n">
        <v>3767895</v>
      </c>
      <c r="G370" s="66">
        <f>E370+F370</f>
        <v/>
      </c>
      <c r="H370" s="66" t="inlineStr">
        <is>
          <t>Выплачено</t>
        </is>
      </c>
      <c r="I370" s="66" t="inlineStr">
        <is>
          <t>Ок</t>
        </is>
      </c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>
      <c r="A371" s="5" t="n"/>
      <c r="B371" s="98" t="n">
        <v>45918</v>
      </c>
      <c r="C371" s="66" t="inlineStr">
        <is>
          <t>Ли Станислав</t>
        </is>
      </c>
      <c r="D371" s="66" t="inlineStr">
        <is>
          <t>Подотчет сырье</t>
        </is>
      </c>
      <c r="E371" s="100" t="n"/>
      <c r="F371" s="66" t="n">
        <v>600000</v>
      </c>
      <c r="G371" s="66">
        <f>E371+F371</f>
        <v/>
      </c>
      <c r="H371" s="66" t="inlineStr">
        <is>
          <t>Выплачено</t>
        </is>
      </c>
      <c r="I371" s="66" t="inlineStr">
        <is>
          <t>Ок</t>
        </is>
      </c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>
      <c r="A372" s="5" t="n"/>
      <c r="B372" s="98" t="n">
        <v>45918</v>
      </c>
      <c r="C372" s="66" t="inlineStr">
        <is>
          <t>Интеллпак</t>
        </is>
      </c>
      <c r="D372" s="66" t="inlineStr">
        <is>
          <t>за ящики</t>
        </is>
      </c>
      <c r="E372" s="100" t="n">
        <v>440000</v>
      </c>
      <c r="F372" s="66" t="n"/>
      <c r="G372" s="66">
        <f>E372+F372</f>
        <v/>
      </c>
      <c r="H372" s="66" t="inlineStr">
        <is>
          <t>Выплачено</t>
        </is>
      </c>
      <c r="I372" s="66" t="inlineStr">
        <is>
          <t>Ок</t>
        </is>
      </c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>
      <c r="A373" s="5" t="n"/>
      <c r="B373" s="98" t="n">
        <v>45919</v>
      </c>
      <c r="C373" s="66" t="inlineStr">
        <is>
          <t>Зарплата</t>
        </is>
      </c>
      <c r="D373" s="66" t="inlineStr">
        <is>
          <t>АУП</t>
        </is>
      </c>
      <c r="E373" s="100" t="n"/>
      <c r="F373" s="66" t="n">
        <v>2922661</v>
      </c>
      <c r="G373" s="66">
        <f>E373+F373</f>
        <v/>
      </c>
      <c r="H373" s="66" t="inlineStr">
        <is>
          <t>Выплачено</t>
        </is>
      </c>
      <c r="I373" s="66" t="inlineStr">
        <is>
          <t>Ок</t>
        </is>
      </c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>
      <c r="A374" s="5" t="n"/>
      <c r="B374" s="98" t="n">
        <v>45919</v>
      </c>
      <c r="C374" s="66" t="inlineStr">
        <is>
          <t>Вон С.</t>
        </is>
      </c>
      <c r="D374" s="66" t="inlineStr">
        <is>
          <t>Оплата поставщикам за сырье</t>
        </is>
      </c>
      <c r="E374" s="100" t="n">
        <v>15084027</v>
      </c>
      <c r="F374" s="66" t="n"/>
      <c r="G374" s="66">
        <f>E374+F374</f>
        <v/>
      </c>
      <c r="H374" s="66" t="inlineStr">
        <is>
          <t>Выплачено</t>
        </is>
      </c>
      <c r="I374" s="66" t="inlineStr">
        <is>
          <t>Ок</t>
        </is>
      </c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>
      <c r="A375" s="5" t="n"/>
      <c r="B375" s="98" t="n">
        <v>45919</v>
      </c>
      <c r="C375" s="66" t="inlineStr">
        <is>
          <t>Вон С.</t>
        </is>
      </c>
      <c r="D375" s="66" t="inlineStr">
        <is>
          <t>Шымкентмай</t>
        </is>
      </c>
      <c r="E375" s="100" t="n">
        <v>152000</v>
      </c>
      <c r="F375" s="66" t="n"/>
      <c r="G375" s="66">
        <f>E375+F375</f>
        <v/>
      </c>
      <c r="H375" s="66" t="inlineStr">
        <is>
          <t>Выплачено</t>
        </is>
      </c>
      <c r="I375" s="66" t="inlineStr">
        <is>
          <t>Ок</t>
        </is>
      </c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>
      <c r="A376" s="5" t="n"/>
      <c r="B376" s="98" t="n">
        <v>45922</v>
      </c>
      <c r="C376" s="66" t="inlineStr">
        <is>
          <t>Вон С.</t>
        </is>
      </c>
      <c r="D376" s="66" t="inlineStr">
        <is>
          <t>Iceberg за мясо</t>
        </is>
      </c>
      <c r="E376" s="100" t="n">
        <v>2669582</v>
      </c>
      <c r="F376" s="66" t="n"/>
      <c r="G376" s="66">
        <f>E376+F376</f>
        <v/>
      </c>
      <c r="H376" s="66" t="inlineStr">
        <is>
          <t>Выплачено</t>
        </is>
      </c>
      <c r="I376" s="66" t="inlineStr">
        <is>
          <t>Ок</t>
        </is>
      </c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>
      <c r="A377" s="5" t="n"/>
      <c r="B377" s="98" t="n">
        <v>45922</v>
      </c>
      <c r="C377" s="66" t="inlineStr">
        <is>
          <t>Малышев</t>
        </is>
      </c>
      <c r="D377" s="66" t="inlineStr">
        <is>
          <t>Оплата логистики</t>
        </is>
      </c>
      <c r="E377" s="100" t="n"/>
      <c r="F377" s="66" t="n">
        <v>1120000</v>
      </c>
      <c r="G377" s="66">
        <f>E377+F377</f>
        <v/>
      </c>
      <c r="H377" s="66" t="inlineStr">
        <is>
          <t>Выплачено</t>
        </is>
      </c>
      <c r="I377" s="66" t="inlineStr">
        <is>
          <t>Ок</t>
        </is>
      </c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>
      <c r="A378" s="5" t="n"/>
      <c r="B378" s="98" t="n">
        <v>45922</v>
      </c>
      <c r="C378" s="66" t="inlineStr">
        <is>
          <t>Зарплата</t>
        </is>
      </c>
      <c r="D378" s="66" t="inlineStr">
        <is>
          <t>Производства</t>
        </is>
      </c>
      <c r="E378" s="100" t="n"/>
      <c r="F378" s="66" t="n">
        <v>1057259</v>
      </c>
      <c r="G378" s="66">
        <f>E378+F378</f>
        <v/>
      </c>
      <c r="H378" s="66" t="inlineStr">
        <is>
          <t>Выплачено</t>
        </is>
      </c>
      <c r="I378" s="66" t="inlineStr">
        <is>
          <t>Ок</t>
        </is>
      </c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>
      <c r="A379" s="5" t="n"/>
      <c r="B379" s="98" t="n">
        <v>45922</v>
      </c>
      <c r="C379" s="66" t="inlineStr">
        <is>
          <t>Вон С.</t>
        </is>
      </c>
      <c r="D379" s="66" t="inlineStr">
        <is>
          <t>Аяла</t>
        </is>
      </c>
      <c r="E379" s="100" t="n">
        <v>214000</v>
      </c>
      <c r="F379" s="66" t="n"/>
      <c r="G379" s="66">
        <f>E379+F379</f>
        <v/>
      </c>
      <c r="H379" s="66" t="inlineStr">
        <is>
          <t>Выплачено</t>
        </is>
      </c>
      <c r="I379" s="66" t="inlineStr">
        <is>
          <t>Ок</t>
        </is>
      </c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>
      <c r="A380" s="5" t="n"/>
      <c r="B380" s="98" t="n">
        <v>45922</v>
      </c>
      <c r="C380" s="66" t="inlineStr">
        <is>
          <t>Вон С.</t>
        </is>
      </c>
      <c r="D380" s="66" t="inlineStr">
        <is>
          <t>Aitas за курицу</t>
        </is>
      </c>
      <c r="E380" s="100" t="n">
        <v>1685082</v>
      </c>
      <c r="F380" s="66" t="n"/>
      <c r="G380" s="66">
        <f>E380+F380</f>
        <v/>
      </c>
      <c r="H380" s="66" t="inlineStr">
        <is>
          <t>Выплачено</t>
        </is>
      </c>
      <c r="I380" s="66" t="inlineStr">
        <is>
          <t>Ок</t>
        </is>
      </c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>
      <c r="A381" s="5" t="n"/>
      <c r="B381" s="98" t="n">
        <v>45922</v>
      </c>
      <c r="C381" s="66" t="inlineStr">
        <is>
          <t>Вон С.</t>
        </is>
      </c>
      <c r="D381" s="66" t="inlineStr">
        <is>
          <t>Табыс Дистрибьюшн за салфетки</t>
        </is>
      </c>
      <c r="E381" s="100" t="n">
        <v>23400</v>
      </c>
      <c r="F381" s="66" t="n"/>
      <c r="G381" s="66">
        <f>E381+F381</f>
        <v/>
      </c>
      <c r="H381" s="66" t="inlineStr">
        <is>
          <t>Выплачено</t>
        </is>
      </c>
      <c r="I381" s="66" t="inlineStr">
        <is>
          <t>Ок</t>
        </is>
      </c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>
      <c r="A382" s="5" t="n"/>
      <c r="B382" s="98" t="n">
        <v>45922</v>
      </c>
      <c r="C382" s="66" t="n"/>
      <c r="D382" s="66" t="inlineStr">
        <is>
          <t>Охрана</t>
        </is>
      </c>
      <c r="E382" s="100" t="n">
        <v>600240</v>
      </c>
      <c r="F382" s="66" t="n"/>
      <c r="G382" s="66">
        <f>E382+F382</f>
        <v/>
      </c>
      <c r="H382" s="66" t="inlineStr">
        <is>
          <t>Выплачено</t>
        </is>
      </c>
      <c r="I382" s="66" t="inlineStr">
        <is>
          <t>Ок</t>
        </is>
      </c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>
      <c r="A383" s="5" t="n"/>
      <c r="B383" s="98" t="n">
        <v>45922</v>
      </c>
      <c r="C383" s="66" t="inlineStr">
        <is>
          <t>Вон С.</t>
        </is>
      </c>
      <c r="D383" s="66" t="inlineStr">
        <is>
          <t>Шымкентмай</t>
        </is>
      </c>
      <c r="E383" s="100" t="n">
        <v>760000</v>
      </c>
      <c r="F383" s="66" t="n"/>
      <c r="G383" s="66">
        <f>E383+F383</f>
        <v/>
      </c>
      <c r="H383" s="66" t="inlineStr">
        <is>
          <t>Выплачено</t>
        </is>
      </c>
      <c r="I383" s="66" t="inlineStr">
        <is>
          <t>Ок</t>
        </is>
      </c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>
      <c r="A384" s="5" t="n"/>
      <c r="B384" s="98" t="n">
        <v>45923</v>
      </c>
      <c r="C384" s="66" t="inlineStr">
        <is>
          <t>Ли Станислав</t>
        </is>
      </c>
      <c r="D384" s="66" t="inlineStr">
        <is>
          <t>Подотчет сырье</t>
        </is>
      </c>
      <c r="E384" s="100" t="n"/>
      <c r="F384" s="66" t="n">
        <v>300000</v>
      </c>
      <c r="G384" s="66">
        <f>E384+F384</f>
        <v/>
      </c>
      <c r="H384" s="66" t="inlineStr">
        <is>
          <t>Выплачено</t>
        </is>
      </c>
      <c r="I384" s="66" t="inlineStr">
        <is>
          <t>Ок</t>
        </is>
      </c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>
      <c r="A385" s="5" t="n"/>
      <c r="B385" s="98" t="n">
        <v>45923</v>
      </c>
      <c r="C385" s="66" t="inlineStr">
        <is>
          <t>Вон С.</t>
        </is>
      </c>
      <c r="D385" s="66" t="inlineStr">
        <is>
          <t>Оплата поставщикам за сырье</t>
        </is>
      </c>
      <c r="E385" s="100" t="n">
        <v>9057247</v>
      </c>
      <c r="F385" s="66" t="n"/>
      <c r="G385" s="66">
        <f>E385+F385</f>
        <v/>
      </c>
      <c r="H385" s="66" t="inlineStr">
        <is>
          <t>Выплачено</t>
        </is>
      </c>
      <c r="I385" s="66" t="inlineStr">
        <is>
          <t>Ок</t>
        </is>
      </c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>
      <c r="A386" s="5" t="n"/>
      <c r="B386" s="98" t="n">
        <v>45923</v>
      </c>
      <c r="C386" s="66" t="n"/>
      <c r="D386" s="66" t="inlineStr">
        <is>
          <t>1080000 - чп, 900000 - зп Дина</t>
        </is>
      </c>
      <c r="E386" s="100" t="n"/>
      <c r="F386" s="66" t="n">
        <v>1980000</v>
      </c>
      <c r="G386" s="66">
        <f>E386+F386</f>
        <v/>
      </c>
      <c r="H386" s="66" t="inlineStr">
        <is>
          <t>Выплачено</t>
        </is>
      </c>
      <c r="I386" s="66" t="inlineStr">
        <is>
          <t>Ок</t>
        </is>
      </c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>
      <c r="A387" s="5" t="n"/>
      <c r="B387" s="98" t="n">
        <v>45923</v>
      </c>
      <c r="C387" s="66" t="inlineStr">
        <is>
          <t>Зарплата</t>
        </is>
      </c>
      <c r="D387" s="66" t="inlineStr">
        <is>
          <t>АУП</t>
        </is>
      </c>
      <c r="E387" s="100" t="n"/>
      <c r="F387" s="66" t="n">
        <v>3000000</v>
      </c>
      <c r="G387" s="66">
        <f>E387+F387</f>
        <v/>
      </c>
      <c r="H387" s="66" t="inlineStr">
        <is>
          <t>К оплате</t>
        </is>
      </c>
      <c r="I387" s="66" t="inlineStr">
        <is>
          <t>Ок</t>
        </is>
      </c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>
      <c r="A388" s="5" t="n"/>
      <c r="B388" s="98" t="n">
        <v>45924</v>
      </c>
      <c r="C388" s="66" t="inlineStr">
        <is>
          <t>Маханов М</t>
        </is>
      </c>
      <c r="D388" s="66" t="inlineStr">
        <is>
          <t>закуп инвентаря</t>
        </is>
      </c>
      <c r="E388" s="100" t="n"/>
      <c r="F388" s="66" t="n">
        <v>150000</v>
      </c>
      <c r="G388" s="66">
        <f>E388+F388</f>
        <v/>
      </c>
      <c r="H388" s="66" t="inlineStr">
        <is>
          <t>Выплачено</t>
        </is>
      </c>
      <c r="I388" s="66" t="inlineStr">
        <is>
          <t>Ок</t>
        </is>
      </c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>
      <c r="A389" s="5" t="n"/>
      <c r="B389" s="98" t="n">
        <v>45923</v>
      </c>
      <c r="C389" s="66" t="inlineStr">
        <is>
          <t xml:space="preserve">Мусор </t>
        </is>
      </c>
      <c r="D389" s="71" t="inlineStr">
        <is>
          <t>APF service,ИП Алексеевское</t>
        </is>
      </c>
      <c r="E389" s="100" t="n">
        <v>836120</v>
      </c>
      <c r="F389" s="66" t="n"/>
      <c r="G389" s="66">
        <f>E389+F389</f>
        <v/>
      </c>
      <c r="H389" s="66" t="inlineStr">
        <is>
          <t>Выплачено</t>
        </is>
      </c>
      <c r="I389" s="66" t="inlineStr">
        <is>
          <t>Ок</t>
        </is>
      </c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>
      <c r="A390" s="5" t="n"/>
      <c r="B390" s="98" t="n">
        <v>45924</v>
      </c>
      <c r="C390" s="66" t="inlineStr">
        <is>
          <t>Вон С.</t>
        </is>
      </c>
      <c r="D390" s="66" t="inlineStr">
        <is>
          <t>Оплата поставщикам за сырье</t>
        </is>
      </c>
      <c r="E390" s="100" t="n">
        <v>3354453</v>
      </c>
      <c r="F390" s="66" t="n"/>
      <c r="G390" s="66">
        <f>E390+F390</f>
        <v/>
      </c>
      <c r="H390" s="66" t="inlineStr">
        <is>
          <t>Выплачено</t>
        </is>
      </c>
      <c r="I390" s="66" t="inlineStr">
        <is>
          <t>Ок</t>
        </is>
      </c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>
      <c r="A391" s="5" t="n"/>
      <c r="B391" s="98" t="n">
        <v>45924</v>
      </c>
      <c r="C391" s="66" t="inlineStr">
        <is>
          <t>Ли Станислав</t>
        </is>
      </c>
      <c r="D391" s="66" t="inlineStr">
        <is>
          <t>Подотчет сырье</t>
        </is>
      </c>
      <c r="E391" s="100" t="n"/>
      <c r="F391" s="66" t="n">
        <v>300000</v>
      </c>
      <c r="G391" s="66">
        <f>E391+F391</f>
        <v/>
      </c>
      <c r="H391" s="66" t="inlineStr">
        <is>
          <t>Выплачено</t>
        </is>
      </c>
      <c r="I391" s="66" t="inlineStr">
        <is>
          <t>Ок</t>
        </is>
      </c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>
      <c r="A392" s="5" t="n"/>
      <c r="B392" s="98" t="n">
        <v>45924</v>
      </c>
      <c r="C392" s="66" t="inlineStr">
        <is>
          <t xml:space="preserve">ИП Устюгова </t>
        </is>
      </c>
      <c r="D392" s="66" t="inlineStr">
        <is>
          <t xml:space="preserve">аналитика </t>
        </is>
      </c>
      <c r="E392" s="100" t="n">
        <v>100000</v>
      </c>
      <c r="F392" s="66" t="n"/>
      <c r="G392" s="66">
        <f>E392+F392</f>
        <v/>
      </c>
      <c r="H392" s="66" t="inlineStr">
        <is>
          <t>Выплачено</t>
        </is>
      </c>
      <c r="I392" s="66" t="inlineStr">
        <is>
          <t>Ок</t>
        </is>
      </c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>
      <c r="A393" s="5" t="n"/>
      <c r="B393" s="98" t="n">
        <v>45924</v>
      </c>
      <c r="C393" s="66" t="inlineStr">
        <is>
          <t>НУ</t>
        </is>
      </c>
      <c r="D393" s="66" t="inlineStr">
        <is>
          <t>Налоги по ЗП</t>
        </is>
      </c>
      <c r="E393" s="100" t="n">
        <v>8522424</v>
      </c>
      <c r="F393" s="66" t="n"/>
      <c r="G393" s="66">
        <f>E393+F393</f>
        <v/>
      </c>
      <c r="H393" s="66" t="inlineStr">
        <is>
          <t>Выплачено</t>
        </is>
      </c>
      <c r="I393" s="66" t="inlineStr">
        <is>
          <t>Ок</t>
        </is>
      </c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>
      <c r="A394" s="5" t="n"/>
      <c r="B394" s="98" t="n">
        <v>45924</v>
      </c>
      <c r="C394" s="66" t="inlineStr">
        <is>
          <t>Вон С.</t>
        </is>
      </c>
      <c r="D394" s="66" t="inlineStr">
        <is>
          <t>Art food</t>
        </is>
      </c>
      <c r="E394" s="100" t="n">
        <v>942888</v>
      </c>
      <c r="F394" s="66" t="n"/>
      <c r="G394" s="66">
        <f>E394+F394</f>
        <v/>
      </c>
      <c r="H394" s="66" t="inlineStr">
        <is>
          <t>Выплачено</t>
        </is>
      </c>
      <c r="I394" s="66" t="inlineStr">
        <is>
          <t>Ок</t>
        </is>
      </c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>
      <c r="A395" s="5" t="n"/>
      <c r="B395" s="98" t="n">
        <v>45924</v>
      </c>
      <c r="C395" s="66" t="inlineStr">
        <is>
          <t>Вон С.</t>
        </is>
      </c>
      <c r="D395" s="66" t="inlineStr">
        <is>
          <t>Food Company</t>
        </is>
      </c>
      <c r="E395" s="100" t="n">
        <v>529000</v>
      </c>
      <c r="F395" s="66" t="n"/>
      <c r="G395" s="66">
        <f>E395+F395</f>
        <v/>
      </c>
      <c r="H395" s="66" t="inlineStr">
        <is>
          <t>Выплачено</t>
        </is>
      </c>
      <c r="I395" s="66" t="inlineStr">
        <is>
          <t>Ок</t>
        </is>
      </c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>
      <c r="A396" s="5" t="n"/>
      <c r="B396" s="98" t="n">
        <v>45924</v>
      </c>
      <c r="C396" s="66" t="inlineStr">
        <is>
          <t>Вон С.</t>
        </is>
      </c>
      <c r="D396" s="66" t="inlineStr">
        <is>
          <t>ИП Исмагулов</t>
        </is>
      </c>
      <c r="E396" s="100" t="n">
        <v>743000</v>
      </c>
      <c r="F396" s="66" t="n"/>
      <c r="G396" s="66">
        <f>E396+F396</f>
        <v/>
      </c>
      <c r="H396" s="66" t="inlineStr">
        <is>
          <t>Выплачено</t>
        </is>
      </c>
      <c r="I396" s="66" t="inlineStr">
        <is>
          <t>Ок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>
      <c r="A397" s="5" t="n"/>
      <c r="B397" s="98" t="n">
        <v>45925</v>
      </c>
      <c r="C397" s="66" t="inlineStr">
        <is>
          <t>Ли Станислав</t>
        </is>
      </c>
      <c r="D397" s="66" t="inlineStr">
        <is>
          <t>Подотчет сырье</t>
        </is>
      </c>
      <c r="E397" s="100" t="n"/>
      <c r="F397" s="66" t="n">
        <v>600000</v>
      </c>
      <c r="G397" s="66">
        <f>E397+F397</f>
        <v/>
      </c>
      <c r="H397" s="66" t="inlineStr">
        <is>
          <t>Выплачено</t>
        </is>
      </c>
      <c r="I397" s="66" t="inlineStr">
        <is>
          <t>Ок</t>
        </is>
      </c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>
      <c r="A398" s="5" t="n"/>
      <c r="B398" s="98" t="n">
        <v>45925</v>
      </c>
      <c r="C398" s="66" t="n"/>
      <c r="D398" s="66" t="inlineStr">
        <is>
          <t>ЗП Маньшева О. (долг прошлых месяцев)</t>
        </is>
      </c>
      <c r="E398" s="100" t="n"/>
      <c r="F398" s="66" t="n">
        <v>2000000</v>
      </c>
      <c r="G398" s="66">
        <f>E398+F398</f>
        <v/>
      </c>
      <c r="H398" s="66" t="inlineStr">
        <is>
          <t>Выплачено</t>
        </is>
      </c>
      <c r="I398" s="66" t="inlineStr">
        <is>
          <t>Ок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>
      <c r="A399" s="5" t="n"/>
      <c r="B399" s="98" t="n">
        <v>45925</v>
      </c>
      <c r="C399" s="66" t="inlineStr">
        <is>
          <t>Вон С.</t>
        </is>
      </c>
      <c r="D399" s="66" t="inlineStr">
        <is>
          <t>Инарин</t>
        </is>
      </c>
      <c r="E399" s="100" t="n">
        <v>168300</v>
      </c>
      <c r="F399" s="66" t="n"/>
      <c r="G399" s="66">
        <f>E399+F399</f>
        <v/>
      </c>
      <c r="H399" s="66" t="inlineStr">
        <is>
          <t>Выплачено</t>
        </is>
      </c>
      <c r="I399" s="66" t="inlineStr">
        <is>
          <t>Ок</t>
        </is>
      </c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>
      <c r="A400" s="5" t="n"/>
      <c r="B400" s="98" t="n">
        <v>45925</v>
      </c>
      <c r="C400" s="66" t="inlineStr">
        <is>
          <t xml:space="preserve">Олеся </t>
        </is>
      </c>
      <c r="D400" s="66" t="inlineStr">
        <is>
          <t xml:space="preserve">Квартира </t>
        </is>
      </c>
      <c r="E400" s="100" t="n"/>
      <c r="F400" s="66" t="n">
        <v>350000</v>
      </c>
      <c r="G400" s="66">
        <f>E400+F400</f>
        <v/>
      </c>
      <c r="H400" s="66" t="inlineStr">
        <is>
          <t>Выплачено</t>
        </is>
      </c>
      <c r="I400" s="66" t="inlineStr">
        <is>
          <t>Ок</t>
        </is>
      </c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>
      <c r="A401" s="5" t="n"/>
      <c r="B401" s="98" t="n">
        <v>45925</v>
      </c>
      <c r="C401" s="66" t="inlineStr">
        <is>
          <t>Зарплата недельная</t>
        </is>
      </c>
      <c r="D401" s="66" t="inlineStr">
        <is>
          <t>Лагманщики</t>
        </is>
      </c>
      <c r="E401" s="100" t="n"/>
      <c r="F401" s="66" t="n">
        <v>390000</v>
      </c>
      <c r="G401" s="66">
        <f>E401+F401</f>
        <v/>
      </c>
      <c r="H401" s="66" t="inlineStr">
        <is>
          <t>Выплачено</t>
        </is>
      </c>
      <c r="I401" s="66" t="inlineStr">
        <is>
          <t>Ок</t>
        </is>
      </c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>
      <c r="A402" s="5" t="n"/>
      <c r="B402" s="98" t="n">
        <v>45925</v>
      </c>
      <c r="C402" s="66" t="n"/>
      <c r="D402" s="66" t="inlineStr">
        <is>
          <t xml:space="preserve">Газ балон </t>
        </is>
      </c>
      <c r="E402" s="100" t="n"/>
      <c r="F402" s="66" t="n">
        <v>44000</v>
      </c>
      <c r="G402" s="66">
        <f>E402+F402</f>
        <v/>
      </c>
      <c r="H402" s="66" t="inlineStr">
        <is>
          <t>Выплачено</t>
        </is>
      </c>
      <c r="I402" s="66" t="inlineStr">
        <is>
          <t>Ок</t>
        </is>
      </c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>
      <c r="A403" s="5" t="n"/>
      <c r="B403" s="98" t="n">
        <v>45925</v>
      </c>
      <c r="C403" s="66" t="inlineStr">
        <is>
          <t xml:space="preserve">Марат Маханов </t>
        </is>
      </c>
      <c r="D403" s="66" t="inlineStr">
        <is>
          <t>DECORSHOP ИП подложка</t>
        </is>
      </c>
      <c r="E403" s="100" t="n">
        <v>15000</v>
      </c>
      <c r="F403" s="66" t="n"/>
      <c r="G403" s="66">
        <f>E403+F403</f>
        <v/>
      </c>
      <c r="H403" s="66" t="inlineStr">
        <is>
          <t>Выплачено</t>
        </is>
      </c>
      <c r="I403" s="66" t="inlineStr">
        <is>
          <t>Ок</t>
        </is>
      </c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 s="1127">
      <c r="A404" s="5" t="n"/>
      <c r="B404" s="98" t="n">
        <v>45925</v>
      </c>
      <c r="C404" s="66" t="n"/>
      <c r="D404" s="72" t="n"/>
      <c r="E404" s="100" t="n"/>
      <c r="F404" s="66" t="n">
        <v>24500</v>
      </c>
      <c r="G404" s="66">
        <f>E404+F404</f>
        <v/>
      </c>
      <c r="H404" s="66" t="inlineStr">
        <is>
          <t>Выплачено</t>
        </is>
      </c>
      <c r="I404" s="66" t="inlineStr">
        <is>
          <t>Ок</t>
        </is>
      </c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>
      <c r="A405" s="5" t="n"/>
      <c r="B405" s="98" t="n">
        <v>45925</v>
      </c>
      <c r="C405" s="66" t="inlineStr">
        <is>
          <t>Вон С.</t>
        </is>
      </c>
      <c r="D405" s="66" t="inlineStr">
        <is>
          <t>Казлоте</t>
        </is>
      </c>
      <c r="E405" s="100" t="n">
        <v>115050</v>
      </c>
      <c r="F405" s="66" t="n"/>
      <c r="G405" s="66">
        <f>E405+F405</f>
        <v/>
      </c>
      <c r="H405" s="66" t="inlineStr">
        <is>
          <t>Выплачено</t>
        </is>
      </c>
      <c r="I405" s="66" t="inlineStr">
        <is>
          <t>Ок</t>
        </is>
      </c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>
      <c r="A406" s="5" t="n"/>
      <c r="B406" s="98" t="n">
        <v>45926</v>
      </c>
      <c r="C406" s="66" t="n"/>
      <c r="D406" s="66" t="inlineStr">
        <is>
          <t>Авансы на карты</t>
        </is>
      </c>
      <c r="E406" s="100" t="n">
        <v>2750000</v>
      </c>
      <c r="F406" s="66" t="n"/>
      <c r="G406" s="66">
        <f>E406+F406</f>
        <v/>
      </c>
      <c r="H406" s="66" t="inlineStr">
        <is>
          <t>Выплачено</t>
        </is>
      </c>
      <c r="I406" s="66" t="inlineStr">
        <is>
          <t>Ок</t>
        </is>
      </c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>
      <c r="A407" s="5" t="n"/>
      <c r="B407" s="98" t="n">
        <v>45926</v>
      </c>
      <c r="C407" s="66" t="inlineStr">
        <is>
          <t>Вон С.</t>
        </is>
      </c>
      <c r="D407" s="66" t="inlineStr">
        <is>
          <t>Оплата поставщикам за сырье</t>
        </is>
      </c>
      <c r="E407" s="100" t="n">
        <v>16315200</v>
      </c>
      <c r="F407" s="66" t="n"/>
      <c r="G407" s="66">
        <f>E407+F407</f>
        <v/>
      </c>
      <c r="H407" s="66" t="inlineStr">
        <is>
          <t>Выплачено</t>
        </is>
      </c>
      <c r="I407" s="66" t="inlineStr">
        <is>
          <t>Ок</t>
        </is>
      </c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>
      <c r="A408" s="5" t="n"/>
      <c r="B408" s="98" t="n">
        <v>45926</v>
      </c>
      <c r="C408" s="66" t="inlineStr">
        <is>
          <t>Экспресс сервис</t>
        </is>
      </c>
      <c r="D408" s="66" t="inlineStr">
        <is>
          <t>коммунальные услуги</t>
        </is>
      </c>
      <c r="E408" s="100" t="n">
        <v>6370564</v>
      </c>
      <c r="F408" s="66" t="n"/>
      <c r="G408" s="66">
        <f>E408+F408</f>
        <v/>
      </c>
      <c r="H408" s="66" t="inlineStr">
        <is>
          <t>Выплачено</t>
        </is>
      </c>
      <c r="I408" s="66" t="inlineStr">
        <is>
          <t>Ок</t>
        </is>
      </c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>
      <c r="A409" s="5" t="n"/>
      <c r="B409" s="98" t="n">
        <v>45926</v>
      </c>
      <c r="C409" s="66" t="inlineStr">
        <is>
          <t>Вон С.</t>
        </is>
      </c>
      <c r="D409" s="66" t="inlineStr">
        <is>
          <t>Шымкентмай</t>
        </is>
      </c>
      <c r="E409" s="100" t="n">
        <v>912000</v>
      </c>
      <c r="F409" s="66" t="n"/>
      <c r="G409" s="66">
        <f>E409+F409</f>
        <v/>
      </c>
      <c r="H409" s="66" t="inlineStr">
        <is>
          <t>Выплачено</t>
        </is>
      </c>
      <c r="I409" s="66" t="inlineStr">
        <is>
          <t>Ок</t>
        </is>
      </c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>
      <c r="A410" s="5" t="n"/>
      <c r="B410" s="98" t="n">
        <v>45926</v>
      </c>
      <c r="C410" s="66" t="inlineStr">
        <is>
          <t xml:space="preserve">Мира </t>
        </is>
      </c>
      <c r="D410" s="66" t="inlineStr">
        <is>
          <t>CLEAN OFFICE ТОО уборка</t>
        </is>
      </c>
      <c r="E410" s="100" t="n">
        <v>175000</v>
      </c>
      <c r="F410" s="66" t="n"/>
      <c r="G410" s="66">
        <f>E410+F410</f>
        <v/>
      </c>
      <c r="H410" s="66" t="inlineStr">
        <is>
          <t>Выплачено</t>
        </is>
      </c>
      <c r="I410" s="66" t="inlineStr">
        <is>
          <t>Ок</t>
        </is>
      </c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>
      <c r="A411" s="5" t="n"/>
      <c r="B411" s="98" t="n">
        <v>45926</v>
      </c>
      <c r="C411" s="66" t="inlineStr">
        <is>
          <t xml:space="preserve">Вадим </t>
        </is>
      </c>
      <c r="D411" s="66" t="inlineStr">
        <is>
          <t>Ким С.В ИП  услуг</t>
        </is>
      </c>
      <c r="E411" s="100" t="n">
        <v>672000</v>
      </c>
      <c r="F411" s="66" t="n"/>
      <c r="G411" s="66">
        <f>E411+F411</f>
        <v/>
      </c>
      <c r="H411" s="66" t="inlineStr">
        <is>
          <t>Выплачено</t>
        </is>
      </c>
      <c r="I411" s="66" t="inlineStr">
        <is>
          <t>Ок</t>
        </is>
      </c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>
      <c r="A412" s="5" t="n"/>
      <c r="B412" s="98" t="n">
        <v>45926</v>
      </c>
      <c r="C412" s="66" t="inlineStr">
        <is>
          <t>Вон С.</t>
        </is>
      </c>
      <c r="D412" s="66" t="inlineStr">
        <is>
          <t xml:space="preserve">Торговый Дизайн </t>
        </is>
      </c>
      <c r="E412" s="100" t="n">
        <v>151100</v>
      </c>
      <c r="F412" s="66" t="n"/>
      <c r="G412" s="66">
        <f>E412+F412</f>
        <v/>
      </c>
      <c r="H412" s="66" t="inlineStr">
        <is>
          <t>Выплачено</t>
        </is>
      </c>
      <c r="I412" s="66" t="inlineStr">
        <is>
          <t>Ок</t>
        </is>
      </c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>
      <c r="A413" s="5" t="n"/>
      <c r="B413" s="98" t="n">
        <v>45926</v>
      </c>
      <c r="C413" s="66" t="inlineStr">
        <is>
          <t xml:space="preserve">Уволенные и аванс </t>
        </is>
      </c>
      <c r="D413" s="66" t="n"/>
      <c r="E413" s="100" t="n"/>
      <c r="F413" s="66" t="n">
        <v>642616</v>
      </c>
      <c r="G413" s="66">
        <f>E413+F413</f>
        <v/>
      </c>
      <c r="H413" s="66" t="inlineStr">
        <is>
          <t>Выплачено</t>
        </is>
      </c>
      <c r="I413" s="66" t="inlineStr">
        <is>
          <t>Ок</t>
        </is>
      </c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>
      <c r="A414" s="5" t="n"/>
      <c r="B414" s="40" t="n">
        <v>45929</v>
      </c>
      <c r="C414" s="73" t="inlineStr">
        <is>
          <t>Вон С.</t>
        </is>
      </c>
      <c r="D414" s="73" t="inlineStr">
        <is>
          <t>Оплата поставщикам за сырье</t>
        </is>
      </c>
      <c r="E414" s="112" t="n">
        <v>9163146</v>
      </c>
      <c r="F414" s="73" t="n"/>
      <c r="G414" s="73">
        <f>E414+F414</f>
        <v/>
      </c>
      <c r="H414" s="66" t="inlineStr">
        <is>
          <t>Выплачено</t>
        </is>
      </c>
      <c r="I414" s="66" t="inlineStr">
        <is>
          <t>Ок</t>
        </is>
      </c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>
      <c r="A415" s="5" t="n"/>
      <c r="B415" s="40" t="n">
        <v>45929</v>
      </c>
      <c r="C415" s="73" t="inlineStr">
        <is>
          <t>НУ</t>
        </is>
      </c>
      <c r="D415" s="73" t="inlineStr">
        <is>
          <t>НДС</t>
        </is>
      </c>
      <c r="E415" s="112" t="n">
        <v>5000000</v>
      </c>
      <c r="F415" s="73" t="n"/>
      <c r="G415" s="73">
        <f>E415+F415</f>
        <v/>
      </c>
      <c r="H415" s="66" t="inlineStr">
        <is>
          <t>Выплачено</t>
        </is>
      </c>
      <c r="I415" s="66" t="inlineStr">
        <is>
          <t>Ок</t>
        </is>
      </c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>
      <c r="A416" s="5" t="n"/>
      <c r="B416" s="40" t="n">
        <v>45929</v>
      </c>
      <c r="C416" s="73" t="inlineStr">
        <is>
          <t>Тугалова Ойбарчин</t>
        </is>
      </c>
      <c r="D416" s="73" t="inlineStr">
        <is>
          <t xml:space="preserve">зарплата </t>
        </is>
      </c>
      <c r="E416" s="112" t="n"/>
      <c r="F416" s="73" t="n">
        <v>334000</v>
      </c>
      <c r="G416" s="73">
        <f>E416+F416</f>
        <v/>
      </c>
      <c r="H416" s="66" t="inlineStr">
        <is>
          <t>Выплачено</t>
        </is>
      </c>
      <c r="I416" s="66" t="inlineStr">
        <is>
          <t>Ок</t>
        </is>
      </c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 s="1127">
      <c r="A417" s="5" t="n"/>
      <c r="B417" s="40" t="n">
        <v>45929</v>
      </c>
      <c r="C417" s="73" t="inlineStr">
        <is>
          <t>Вон С.</t>
        </is>
      </c>
      <c r="D417" s="74" t="inlineStr">
        <is>
          <t>Шымкентмай</t>
        </is>
      </c>
      <c r="E417" s="75" t="n"/>
      <c r="F417" s="73" t="n"/>
      <c r="G417" s="73">
        <f>E417+F417</f>
        <v/>
      </c>
      <c r="H417" s="66" t="inlineStr">
        <is>
          <t>Отложено</t>
        </is>
      </c>
      <c r="I417" s="66" t="inlineStr">
        <is>
          <t>Ок</t>
        </is>
      </c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 s="1127">
      <c r="A418" s="5" t="n"/>
      <c r="B418" s="40" t="n">
        <v>45929</v>
      </c>
      <c r="C418" s="73" t="inlineStr">
        <is>
          <t>Вон С.</t>
        </is>
      </c>
      <c r="D418" s="74" t="inlineStr">
        <is>
          <t>ICEBERG Distribution ТОО</t>
        </is>
      </c>
      <c r="E418" s="75" t="n">
        <v>2248214</v>
      </c>
      <c r="F418" s="73" t="n"/>
      <c r="G418" s="73">
        <f>E418+F418</f>
        <v/>
      </c>
      <c r="H418" s="66" t="inlineStr">
        <is>
          <t>Выплачено</t>
        </is>
      </c>
      <c r="I418" s="66" t="inlineStr">
        <is>
          <t>Ок</t>
        </is>
      </c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 s="1127">
      <c r="A419" s="5" t="n"/>
      <c r="B419" s="40" t="n">
        <v>45929</v>
      </c>
      <c r="C419" s="73" t="inlineStr">
        <is>
          <t>Вон С.</t>
        </is>
      </c>
      <c r="D419" s="74" t="inlineStr">
        <is>
          <t>Aitas meat distribution ТОО</t>
        </is>
      </c>
      <c r="E419" s="75" t="n">
        <v>2683712</v>
      </c>
      <c r="F419" s="73" t="n"/>
      <c r="G419" s="73">
        <f>E419+F419</f>
        <v/>
      </c>
      <c r="H419" s="66" t="inlineStr">
        <is>
          <t>Выплачено</t>
        </is>
      </c>
      <c r="I419" s="66" t="inlineStr">
        <is>
          <t>Ок</t>
        </is>
      </c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>
      <c r="A420" s="5" t="n"/>
      <c r="B420" s="98" t="n">
        <v>45930</v>
      </c>
      <c r="C420" s="66" t="inlineStr">
        <is>
          <t>Ли Станислав</t>
        </is>
      </c>
      <c r="D420" s="66" t="inlineStr">
        <is>
          <t>Подотчет сырье</t>
        </is>
      </c>
      <c r="E420" s="100" t="n"/>
      <c r="F420" s="66" t="n">
        <v>300000</v>
      </c>
      <c r="G420" s="66">
        <f>E420+F420</f>
        <v/>
      </c>
      <c r="H420" s="66" t="inlineStr">
        <is>
          <t>Выплачено</t>
        </is>
      </c>
      <c r="I420" s="66" t="inlineStr">
        <is>
          <t>Ок</t>
        </is>
      </c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>
      <c r="A421" s="5" t="n"/>
      <c r="B421" s="98" t="n">
        <v>45930</v>
      </c>
      <c r="C421" s="66" t="inlineStr">
        <is>
          <t>Вон С.</t>
        </is>
      </c>
      <c r="D421" s="66" t="inlineStr">
        <is>
          <t>Оплата поставщикам за сырье</t>
        </is>
      </c>
      <c r="E421" s="100" t="n">
        <v>5722901</v>
      </c>
      <c r="F421" s="66" t="n"/>
      <c r="G421" s="66">
        <f>E421+F421</f>
        <v/>
      </c>
      <c r="H421" s="66" t="inlineStr">
        <is>
          <t>Выплачено</t>
        </is>
      </c>
      <c r="I421" s="66" t="inlineStr">
        <is>
          <t>Ок</t>
        </is>
      </c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>
      <c r="A422" s="5" t="n"/>
      <c r="B422" s="40" t="n">
        <v>45931</v>
      </c>
      <c r="C422" s="73" t="inlineStr">
        <is>
          <t>Маньшева О.</t>
        </is>
      </c>
      <c r="D422" s="73" t="inlineStr">
        <is>
          <t>ЗП за авг.</t>
        </is>
      </c>
      <c r="E422" s="112" t="n"/>
      <c r="F422" s="73" t="n">
        <v>3056791</v>
      </c>
      <c r="G422" s="73">
        <f>E422+F422</f>
        <v/>
      </c>
      <c r="H422" s="66" t="inlineStr">
        <is>
          <t>Выплачено</t>
        </is>
      </c>
      <c r="I422" s="66" t="inlineStr">
        <is>
          <t>Ок</t>
        </is>
      </c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>
      <c r="A423" s="5" t="n"/>
      <c r="B423" s="40" t="n">
        <v>45931</v>
      </c>
      <c r="C423" s="73" t="inlineStr">
        <is>
          <t>ИП Ким С.В (не официально)</t>
        </is>
      </c>
      <c r="D423" s="73" t="inlineStr">
        <is>
          <t>Интеграция 1с с Айко  (предоплата 40%) наличка</t>
        </is>
      </c>
      <c r="E423" s="353" t="n"/>
      <c r="F423" s="111" t="n">
        <v>672000</v>
      </c>
      <c r="G423" s="73" t="n">
        <v>672000</v>
      </c>
      <c r="H423" s="66" t="inlineStr">
        <is>
          <t>Выплачено</t>
        </is>
      </c>
      <c r="I423" s="66" t="inlineStr">
        <is>
          <t>Ок</t>
        </is>
      </c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>
      <c r="A424" s="5" t="n"/>
      <c r="B424" s="40" t="n">
        <v>45931</v>
      </c>
      <c r="C424" s="73" t="inlineStr">
        <is>
          <t>Вон С.</t>
        </is>
      </c>
      <c r="D424" s="73" t="inlineStr">
        <is>
          <t>Оплата поставщикам за сырье</t>
        </is>
      </c>
      <c r="E424" s="112" t="n">
        <v>5630213</v>
      </c>
      <c r="F424" s="73" t="n"/>
      <c r="G424" s="73">
        <f>E424+F424</f>
        <v/>
      </c>
      <c r="H424" s="66" t="inlineStr">
        <is>
          <t>Выплачено</t>
        </is>
      </c>
      <c r="I424" s="66" t="inlineStr">
        <is>
          <t>Ок</t>
        </is>
      </c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>
      <c r="A425" s="5" t="n"/>
      <c r="B425" s="98" t="n">
        <v>45932</v>
      </c>
      <c r="C425" s="66" t="inlineStr">
        <is>
          <t>ТОО Access Group</t>
        </is>
      </c>
      <c r="D425" s="66" t="inlineStr">
        <is>
          <t xml:space="preserve">интернет </t>
        </is>
      </c>
      <c r="E425" s="100" t="n">
        <v>82240</v>
      </c>
      <c r="F425" s="66" t="n"/>
      <c r="G425" s="66">
        <f>E425+F425</f>
        <v/>
      </c>
      <c r="H425" s="66" t="inlineStr">
        <is>
          <t>Выплачено</t>
        </is>
      </c>
      <c r="I425" s="66" t="inlineStr">
        <is>
          <t>Ок</t>
        </is>
      </c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>
      <c r="A426" s="5" t="n"/>
      <c r="B426" s="98" t="n">
        <v>45932</v>
      </c>
      <c r="C426" s="66" t="inlineStr">
        <is>
          <t>Кафе Софт KZ ТОО айко программа</t>
        </is>
      </c>
      <c r="D426" s="66" t="n"/>
      <c r="E426" s="100" t="n">
        <v>48680</v>
      </c>
      <c r="F426" s="66" t="n"/>
      <c r="G426" s="66">
        <f>E426+F426</f>
        <v/>
      </c>
      <c r="H426" s="66" t="inlineStr">
        <is>
          <t>Выплачено</t>
        </is>
      </c>
      <c r="I426" s="66" t="inlineStr">
        <is>
          <t>Ок</t>
        </is>
      </c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>
      <c r="A427" s="5" t="n"/>
      <c r="B427" s="98" t="n">
        <v>45933</v>
      </c>
      <c r="C427" s="66" t="n"/>
      <c r="D427" s="66" t="inlineStr">
        <is>
          <t>ЗП на карты</t>
        </is>
      </c>
      <c r="E427" s="100" t="n">
        <v>16750000</v>
      </c>
      <c r="F427" s="66" t="n"/>
      <c r="G427" s="66">
        <f>E427+F427</f>
        <v/>
      </c>
      <c r="H427" s="66" t="inlineStr">
        <is>
          <t>Выплачено</t>
        </is>
      </c>
      <c r="I427" s="66" t="inlineStr">
        <is>
          <t>Ок</t>
        </is>
      </c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>
      <c r="A428" s="5" t="n"/>
      <c r="B428" s="98" t="n">
        <v>45933</v>
      </c>
      <c r="C428" s="66" t="inlineStr">
        <is>
          <t>Вон С.</t>
        </is>
      </c>
      <c r="D428" s="66" t="inlineStr">
        <is>
          <t>Оплата поставщикам за сырье</t>
        </is>
      </c>
      <c r="E428" s="100" t="n">
        <v>14738090</v>
      </c>
      <c r="F428" s="66" t="n"/>
      <c r="G428" s="66">
        <f>E428+F428</f>
        <v/>
      </c>
      <c r="H428" s="66" t="inlineStr">
        <is>
          <t>Выплачено</t>
        </is>
      </c>
      <c r="I428" s="66" t="inlineStr">
        <is>
          <t>Ок</t>
        </is>
      </c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>
      <c r="A429" s="5" t="n"/>
      <c r="B429" s="98" t="n">
        <v>45933</v>
      </c>
      <c r="C429" s="66" t="n"/>
      <c r="D429" s="66" t="inlineStr">
        <is>
          <t>Бонус Тоймарт за сент.</t>
        </is>
      </c>
      <c r="E429" s="100" t="n"/>
      <c r="F429" s="66" t="n">
        <v>534180</v>
      </c>
      <c r="G429" s="66">
        <f>E429+F429</f>
        <v/>
      </c>
      <c r="H429" s="66" t="inlineStr">
        <is>
          <t>Выплачено</t>
        </is>
      </c>
      <c r="I429" s="66" t="inlineStr">
        <is>
          <t>Ок</t>
        </is>
      </c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>
      <c r="A430" s="5" t="n"/>
      <c r="B430" s="77" t="n">
        <v>45936</v>
      </c>
      <c r="C430" s="80" t="inlineStr">
        <is>
          <t>Тастак Строй</t>
        </is>
      </c>
      <c r="D430" s="80" t="inlineStr">
        <is>
          <t>стройматериалы</t>
        </is>
      </c>
      <c r="E430" s="102" t="n">
        <v>241496</v>
      </c>
      <c r="F430" s="80" t="n"/>
      <c r="G430" s="80">
        <f>E430+F430</f>
        <v/>
      </c>
      <c r="H430" s="66" t="inlineStr">
        <is>
          <t>Выплачено</t>
        </is>
      </c>
      <c r="I430" s="66" t="inlineStr">
        <is>
          <t>Ок</t>
        </is>
      </c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>
      <c r="A431" s="5" t="n"/>
      <c r="B431" s="77" t="n">
        <v>45936</v>
      </c>
      <c r="C431" s="80" t="n"/>
      <c r="D431" s="80" t="inlineStr">
        <is>
          <t>дератизация</t>
        </is>
      </c>
      <c r="E431" s="102" t="n">
        <v>145000</v>
      </c>
      <c r="F431" s="80" t="n"/>
      <c r="G431" s="80">
        <f>E431+F431</f>
        <v/>
      </c>
      <c r="H431" s="66" t="inlineStr">
        <is>
          <t>Выплачено</t>
        </is>
      </c>
      <c r="I431" s="66" t="inlineStr">
        <is>
          <t>Ок</t>
        </is>
      </c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>
      <c r="A432" s="5" t="n"/>
      <c r="B432" s="77" t="n">
        <v>45936</v>
      </c>
      <c r="C432" s="80" t="inlineStr">
        <is>
          <t>Малышев А.</t>
        </is>
      </c>
      <c r="D432" s="80" t="inlineStr">
        <is>
          <t xml:space="preserve">логистика </t>
        </is>
      </c>
      <c r="E432" s="102" t="n"/>
      <c r="F432" s="80" t="n">
        <v>1120000</v>
      </c>
      <c r="G432" s="80">
        <f>E432+F432</f>
        <v/>
      </c>
      <c r="H432" s="66" t="inlineStr">
        <is>
          <t>Выплачено</t>
        </is>
      </c>
      <c r="I432" s="66" t="inlineStr">
        <is>
          <t>Ок</t>
        </is>
      </c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>
      <c r="A433" s="5" t="n"/>
      <c r="B433" s="77" t="n">
        <v>45936</v>
      </c>
      <c r="C433" s="80" t="n"/>
      <c r="D433" s="80" t="inlineStr">
        <is>
          <t>Поверка весов</t>
        </is>
      </c>
      <c r="E433" s="102" t="n">
        <v>75000</v>
      </c>
      <c r="F433" s="80" t="n"/>
      <c r="G433" s="80">
        <f>E433+F433</f>
        <v/>
      </c>
      <c r="H433" s="66" t="inlineStr">
        <is>
          <t>Выплачено</t>
        </is>
      </c>
      <c r="I433" s="66" t="inlineStr">
        <is>
          <t>Ок</t>
        </is>
      </c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>
      <c r="A434" s="5" t="n"/>
      <c r="B434" s="77" t="n">
        <v>45936</v>
      </c>
      <c r="C434" s="80" t="inlineStr">
        <is>
          <t>Маньшева О.</t>
        </is>
      </c>
      <c r="D434" s="80" t="inlineStr">
        <is>
          <t>Возмещение за ЧП2</t>
        </is>
      </c>
      <c r="E434" s="102" t="n"/>
      <c r="F434" s="80" t="n">
        <v>1000000</v>
      </c>
      <c r="G434" s="80">
        <f>E434+F434</f>
        <v/>
      </c>
      <c r="H434" s="66" t="inlineStr">
        <is>
          <t>Выплачено</t>
        </is>
      </c>
      <c r="I434" s="66" t="inlineStr">
        <is>
          <t>Ок</t>
        </is>
      </c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>
      <c r="A435" s="5" t="n"/>
      <c r="B435" s="98" t="n">
        <v>45936</v>
      </c>
      <c r="C435" s="66" t="inlineStr">
        <is>
          <t>Шымкентмай</t>
        </is>
      </c>
      <c r="D435" s="66" t="inlineStr">
        <is>
          <t>масло</t>
        </is>
      </c>
      <c r="E435" s="100" t="n">
        <v>912000</v>
      </c>
      <c r="F435" s="66" t="n"/>
      <c r="G435" s="66">
        <f>E435+F435</f>
        <v/>
      </c>
      <c r="H435" s="66" t="inlineStr">
        <is>
          <t>Выплачено</t>
        </is>
      </c>
      <c r="I435" s="66" t="inlineStr">
        <is>
          <t>Ок</t>
        </is>
      </c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>
      <c r="A436" s="5" t="n"/>
      <c r="B436" s="98" t="n">
        <v>45937</v>
      </c>
      <c r="C436" s="66" t="inlineStr">
        <is>
          <t>Вон С.</t>
        </is>
      </c>
      <c r="D436" s="66" t="inlineStr">
        <is>
          <t>Оплата поставщикам за сырье</t>
        </is>
      </c>
      <c r="E436" s="100" t="n">
        <v>7444957</v>
      </c>
      <c r="F436" s="66" t="n"/>
      <c r="G436" s="66">
        <f>E436+F436</f>
        <v/>
      </c>
      <c r="H436" s="66" t="inlineStr">
        <is>
          <t>Выплачено</t>
        </is>
      </c>
      <c r="I436" s="66" t="inlineStr">
        <is>
          <t>Ок</t>
        </is>
      </c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>
      <c r="A437" s="5" t="n"/>
      <c r="B437" s="98" t="n">
        <v>45937</v>
      </c>
      <c r="C437" s="66" t="inlineStr">
        <is>
          <t>Эрик</t>
        </is>
      </c>
      <c r="D437" s="66" t="inlineStr">
        <is>
          <t>Салаты</t>
        </is>
      </c>
      <c r="E437" s="100" t="n"/>
      <c r="F437" s="66" t="n">
        <v>715890</v>
      </c>
      <c r="G437" s="66">
        <f>E437+F437</f>
        <v/>
      </c>
      <c r="H437" s="66" t="inlineStr">
        <is>
          <t>Выплачено</t>
        </is>
      </c>
      <c r="I437" s="66" t="inlineStr">
        <is>
          <t>Ок</t>
        </is>
      </c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>
      <c r="A438" s="5" t="n"/>
      <c r="B438" s="98" t="n">
        <v>45937</v>
      </c>
      <c r="C438" s="66" t="inlineStr">
        <is>
          <t>Ли Станислав</t>
        </is>
      </c>
      <c r="D438" s="66" t="inlineStr">
        <is>
          <t>Подотчет сырье</t>
        </is>
      </c>
      <c r="E438" s="100" t="n"/>
      <c r="F438" s="66" t="n">
        <v>300000</v>
      </c>
      <c r="G438" s="66">
        <f>E438+F438</f>
        <v/>
      </c>
      <c r="H438" s="66" t="inlineStr">
        <is>
          <t>Выплачено</t>
        </is>
      </c>
      <c r="I438" s="66" t="inlineStr">
        <is>
          <t>Ок</t>
        </is>
      </c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>
      <c r="A439" s="5" t="n"/>
      <c r="B439" s="98" t="n">
        <v>45937</v>
      </c>
      <c r="C439" s="66" t="inlineStr">
        <is>
          <t>Вон С.</t>
        </is>
      </c>
      <c r="D439" s="66" t="inlineStr">
        <is>
          <t>Оплата поставщикам за сырье</t>
        </is>
      </c>
      <c r="E439" s="100" t="n">
        <v>10773204</v>
      </c>
      <c r="F439" s="66" t="n"/>
      <c r="G439" s="66">
        <f>E439+F439</f>
        <v/>
      </c>
      <c r="H439" s="66" t="inlineStr">
        <is>
          <t>Выплачено</t>
        </is>
      </c>
      <c r="I439" s="66" t="inlineStr">
        <is>
          <t>Ок</t>
        </is>
      </c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>
      <c r="A440" s="5" t="n"/>
      <c r="B440" s="98" t="n">
        <v>45938</v>
      </c>
      <c r="C440" s="66" t="inlineStr">
        <is>
          <t>Маханов М.</t>
        </is>
      </c>
      <c r="D440" s="66" t="inlineStr">
        <is>
          <t xml:space="preserve">в п/о на закуп инвентаря </t>
        </is>
      </c>
      <c r="E440" s="100" t="n"/>
      <c r="F440" s="66" t="n">
        <v>350000</v>
      </c>
      <c r="G440" s="66">
        <f>E440+F440</f>
        <v/>
      </c>
      <c r="H440" s="66" t="inlineStr">
        <is>
          <t>Выплачено</t>
        </is>
      </c>
      <c r="I440" s="66" t="inlineStr">
        <is>
          <t>Ок</t>
        </is>
      </c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>
      <c r="A441" s="5" t="n"/>
      <c r="B441" s="98" t="n">
        <v>45938</v>
      </c>
      <c r="C441" s="66" t="inlineStr">
        <is>
          <t>Вон С.</t>
        </is>
      </c>
      <c r="D441" s="66" t="inlineStr">
        <is>
          <t>Fresh Frozen</t>
        </is>
      </c>
      <c r="E441" s="100" t="n">
        <v>931500</v>
      </c>
      <c r="F441" s="66" t="n"/>
      <c r="G441" s="66">
        <f>E441+F441</f>
        <v/>
      </c>
      <c r="H441" s="66" t="inlineStr">
        <is>
          <t>Выплачено</t>
        </is>
      </c>
      <c r="I441" s="66" t="inlineStr">
        <is>
          <t>Ок</t>
        </is>
      </c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>
      <c r="A442" s="5" t="n"/>
      <c r="B442" s="98" t="n">
        <v>45938</v>
      </c>
      <c r="C442" s="66" t="inlineStr">
        <is>
          <t>Вон С.</t>
        </is>
      </c>
      <c r="D442" s="66" t="inlineStr">
        <is>
          <t>Альбатрос</t>
        </is>
      </c>
      <c r="E442" s="100" t="n">
        <v>173000</v>
      </c>
      <c r="F442" s="66" t="n"/>
      <c r="G442" s="66">
        <f>E442+F442</f>
        <v/>
      </c>
      <c r="H442" s="66" t="inlineStr">
        <is>
          <t>Выплачено</t>
        </is>
      </c>
      <c r="I442" s="66" t="inlineStr">
        <is>
          <t>Ок</t>
        </is>
      </c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>
      <c r="A443" s="5" t="n"/>
      <c r="B443" s="98" t="n">
        <v>45938</v>
      </c>
      <c r="C443" s="66" t="inlineStr">
        <is>
          <t>Вон С.</t>
        </is>
      </c>
      <c r="D443" s="66" t="inlineStr">
        <is>
          <t>IntellPack Емельянов ИП ящики</t>
        </is>
      </c>
      <c r="E443" s="100" t="n">
        <v>440000</v>
      </c>
      <c r="F443" s="66" t="n"/>
      <c r="G443" s="66">
        <f>E443+F443</f>
        <v/>
      </c>
      <c r="H443" s="66" t="inlineStr">
        <is>
          <t>Выплачено</t>
        </is>
      </c>
      <c r="I443" s="66" t="inlineStr">
        <is>
          <t>Ок</t>
        </is>
      </c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>
      <c r="A444" s="5" t="n"/>
      <c r="B444" s="98" t="n">
        <v>45938</v>
      </c>
      <c r="C444" s="66" t="inlineStr">
        <is>
          <t xml:space="preserve">Асылбек </t>
        </is>
      </c>
      <c r="D444" s="66" t="inlineStr">
        <is>
          <t>GRIND ИП заточка ножей</t>
        </is>
      </c>
      <c r="E444" s="100" t="n">
        <v>25000</v>
      </c>
      <c r="F444" s="66" t="n"/>
      <c r="G444" s="66">
        <f>E444+F444</f>
        <v/>
      </c>
      <c r="H444" s="66" t="inlineStr">
        <is>
          <t>Выплачено</t>
        </is>
      </c>
      <c r="I444" s="66" t="inlineStr">
        <is>
          <t>Ок</t>
        </is>
      </c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>
      <c r="A445" s="5" t="n"/>
      <c r="B445" s="98" t="n">
        <v>45938</v>
      </c>
      <c r="C445" s="66" t="inlineStr">
        <is>
          <t>Ли Станислав</t>
        </is>
      </c>
      <c r="D445" s="66" t="inlineStr">
        <is>
          <t>Подотчет сырье</t>
        </is>
      </c>
      <c r="E445" s="100" t="n"/>
      <c r="F445" s="66" t="n">
        <v>300000</v>
      </c>
      <c r="G445" s="66">
        <f>E445+F445</f>
        <v/>
      </c>
      <c r="H445" s="66" t="inlineStr">
        <is>
          <t>Выплачено</t>
        </is>
      </c>
      <c r="I445" s="66" t="inlineStr">
        <is>
          <t>Ок</t>
        </is>
      </c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>
      <c r="A446" s="5" t="n"/>
      <c r="B446" s="98" t="n">
        <v>45938</v>
      </c>
      <c r="C446" s="66" t="inlineStr">
        <is>
          <t>Вон С.</t>
        </is>
      </c>
      <c r="D446" s="66" t="inlineStr">
        <is>
          <t>Aitas</t>
        </is>
      </c>
      <c r="E446" s="100" t="n">
        <v>980652</v>
      </c>
      <c r="F446" s="66" t="n"/>
      <c r="G446" s="66">
        <f>E446+F446</f>
        <v/>
      </c>
      <c r="H446" s="66" t="inlineStr">
        <is>
          <t>Выплачено</t>
        </is>
      </c>
      <c r="I446" s="66" t="inlineStr">
        <is>
          <t>Ок</t>
        </is>
      </c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>
      <c r="A447" s="5" t="n"/>
      <c r="B447" s="98" t="n">
        <v>45938</v>
      </c>
      <c r="C447" s="66" t="inlineStr">
        <is>
          <t>Вон С.</t>
        </is>
      </c>
      <c r="D447" s="66" t="inlineStr">
        <is>
          <t>Cis Market</t>
        </is>
      </c>
      <c r="E447" s="100" t="n">
        <v>404250</v>
      </c>
      <c r="F447" s="66" t="n"/>
      <c r="G447" s="66">
        <f>E447+F447</f>
        <v/>
      </c>
      <c r="H447" s="66" t="inlineStr">
        <is>
          <t>Выплачено</t>
        </is>
      </c>
      <c r="I447" s="66" t="inlineStr">
        <is>
          <t>Ок</t>
        </is>
      </c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>
      <c r="A448" s="5" t="n"/>
      <c r="B448" s="98" t="n">
        <v>45938</v>
      </c>
      <c r="C448" s="66" t="inlineStr">
        <is>
          <t>Вон С.</t>
        </is>
      </c>
      <c r="D448" s="66" t="inlineStr">
        <is>
          <t>KazBeef</t>
        </is>
      </c>
      <c r="E448" s="100" t="n">
        <v>1400000</v>
      </c>
      <c r="F448" s="66" t="n"/>
      <c r="G448" s="66">
        <f>E448+F448</f>
        <v/>
      </c>
      <c r="H448" s="66" t="inlineStr">
        <is>
          <t>Выплачено</t>
        </is>
      </c>
      <c r="I448" s="66" t="inlineStr">
        <is>
          <t>Ок</t>
        </is>
      </c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>
      <c r="A449" s="5" t="n"/>
      <c r="B449" s="98" t="n">
        <v>45938</v>
      </c>
      <c r="C449" s="66" t="inlineStr">
        <is>
          <t>Эрико</t>
        </is>
      </c>
      <c r="D449" s="66" t="inlineStr">
        <is>
          <t>риббоны</t>
        </is>
      </c>
      <c r="E449" s="100">
        <f>874475+547080</f>
        <v/>
      </c>
      <c r="F449" s="66" t="n"/>
      <c r="G449" s="66">
        <f>E449+F449</f>
        <v/>
      </c>
      <c r="H449" s="66" t="inlineStr">
        <is>
          <t>Выплачено</t>
        </is>
      </c>
      <c r="I449" s="66" t="inlineStr">
        <is>
          <t>Ок</t>
        </is>
      </c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>
      <c r="A450" s="5" t="n"/>
      <c r="B450" s="98" t="n">
        <v>45939</v>
      </c>
      <c r="C450" s="66" t="inlineStr">
        <is>
          <t>Продвиг</t>
        </is>
      </c>
      <c r="D450" s="66" t="inlineStr">
        <is>
          <t>лицензия облако</t>
        </is>
      </c>
      <c r="E450" s="100" t="n">
        <v>170000</v>
      </c>
      <c r="F450" s="66" t="n"/>
      <c r="G450" s="66">
        <f>E450+F450</f>
        <v/>
      </c>
      <c r="H450" s="66" t="inlineStr">
        <is>
          <t>Выплачено</t>
        </is>
      </c>
      <c r="I450" s="66" t="inlineStr">
        <is>
          <t>Ок</t>
        </is>
      </c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>
      <c r="A451" s="5" t="n"/>
      <c r="B451" s="98" t="n">
        <v>45939</v>
      </c>
      <c r="C451" s="66" t="inlineStr">
        <is>
          <t>Зарплата недельная</t>
        </is>
      </c>
      <c r="D451" s="66" t="inlineStr">
        <is>
          <t>Лагманщики</t>
        </is>
      </c>
      <c r="E451" s="100" t="n"/>
      <c r="F451" s="66" t="n">
        <v>404000</v>
      </c>
      <c r="G451" s="66">
        <f>E451+F451</f>
        <v/>
      </c>
      <c r="H451" s="66" t="inlineStr">
        <is>
          <t>Выплачено</t>
        </is>
      </c>
      <c r="I451" s="66" t="inlineStr">
        <is>
          <t>Ок</t>
        </is>
      </c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>
      <c r="A452" s="5" t="n"/>
      <c r="B452" s="98" t="n">
        <v>45939</v>
      </c>
      <c r="C452" s="66" t="inlineStr">
        <is>
          <t>Ли Станислав</t>
        </is>
      </c>
      <c r="D452" s="66" t="inlineStr">
        <is>
          <t>Подотчет сырье</t>
        </is>
      </c>
      <c r="E452" s="100" t="n"/>
      <c r="F452" s="66" t="n">
        <v>600000</v>
      </c>
      <c r="G452" s="66">
        <f>E452+F452</f>
        <v/>
      </c>
      <c r="H452" s="66" t="inlineStr">
        <is>
          <t>Выплачено</t>
        </is>
      </c>
      <c r="I452" s="66" t="inlineStr">
        <is>
          <t>Ок</t>
        </is>
      </c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>
      <c r="A453" s="5" t="n"/>
      <c r="B453" s="98" t="n">
        <v>45939</v>
      </c>
      <c r="C453" s="66" t="inlineStr">
        <is>
          <t xml:space="preserve">Асылбек </t>
        </is>
      </c>
      <c r="D453" s="66" t="inlineStr">
        <is>
          <t>Ни Н Г</t>
        </is>
      </c>
      <c r="E453" s="100" t="n">
        <v>68000</v>
      </c>
      <c r="F453" s="66" t="n"/>
      <c r="G453" s="66">
        <f>E453+F453</f>
        <v/>
      </c>
      <c r="H453" s="66" t="inlineStr">
        <is>
          <t>Выплачено</t>
        </is>
      </c>
      <c r="I453" s="66" t="inlineStr">
        <is>
          <t>Ок</t>
        </is>
      </c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>
      <c r="A454" s="5" t="n"/>
      <c r="B454" s="98" t="n">
        <v>45939</v>
      </c>
      <c r="C454" s="66" t="inlineStr">
        <is>
          <t xml:space="preserve">Нотбук астана </t>
        </is>
      </c>
      <c r="D454" s="66" t="inlineStr">
        <is>
          <t>E-Stock ТОО</t>
        </is>
      </c>
      <c r="E454" s="100" t="n">
        <v>320000</v>
      </c>
      <c r="F454" s="66" t="n"/>
      <c r="G454" s="66">
        <f>E454+F454</f>
        <v/>
      </c>
      <c r="H454" s="66" t="inlineStr">
        <is>
          <t>Выплачено</t>
        </is>
      </c>
      <c r="I454" s="66" t="inlineStr">
        <is>
          <t>Ок</t>
        </is>
      </c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>
      <c r="A455" s="5" t="n"/>
      <c r="B455" s="98" t="n">
        <v>45939</v>
      </c>
      <c r="C455" s="66" t="inlineStr">
        <is>
          <t xml:space="preserve">Марат </t>
        </is>
      </c>
      <c r="D455" s="66" t="inlineStr">
        <is>
          <t>Advertising and Marketing</t>
        </is>
      </c>
      <c r="E455" s="100" t="n">
        <v>30000</v>
      </c>
      <c r="F455" s="66" t="n"/>
      <c r="G455" s="66">
        <f>E455+F455</f>
        <v/>
      </c>
      <c r="H455" s="66" t="inlineStr">
        <is>
          <t>Выплачено</t>
        </is>
      </c>
      <c r="I455" s="66" t="inlineStr">
        <is>
          <t>Ок</t>
        </is>
      </c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>
      <c r="A456" s="5" t="n"/>
      <c r="B456" s="98" t="n">
        <v>45939</v>
      </c>
      <c r="C456" s="66" t="inlineStr">
        <is>
          <t>Вон С.</t>
        </is>
      </c>
      <c r="D456" s="66" t="inlineStr">
        <is>
          <t>Ремонт коридора и крыльца</t>
        </is>
      </c>
      <c r="E456" s="100" t="n"/>
      <c r="F456" s="66" t="n">
        <v>262500</v>
      </c>
      <c r="G456" s="66">
        <f>E456+F456</f>
        <v/>
      </c>
      <c r="H456" s="66" t="inlineStr">
        <is>
          <t>Выплачено</t>
        </is>
      </c>
      <c r="I456" s="66" t="inlineStr">
        <is>
          <t>Ок</t>
        </is>
      </c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>
      <c r="A457" s="5" t="n"/>
      <c r="B457" s="98" t="n">
        <v>45943</v>
      </c>
      <c r="C457" s="66" t="n"/>
      <c r="D457" s="66" t="inlineStr">
        <is>
          <t>ЗП производство</t>
        </is>
      </c>
      <c r="E457" s="100" t="n"/>
      <c r="F457" s="66" t="n">
        <v>16769711</v>
      </c>
      <c r="G457" s="66">
        <f>E457+F457</f>
        <v/>
      </c>
      <c r="H457" s="66" t="inlineStr">
        <is>
          <t>Выплачено</t>
        </is>
      </c>
      <c r="I457" s="66" t="inlineStr">
        <is>
          <t>Ок</t>
        </is>
      </c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>
      <c r="A458" s="5" t="n"/>
      <c r="B458" s="98" t="n">
        <v>45944</v>
      </c>
      <c r="C458" s="66" t="inlineStr">
        <is>
          <t>ТОО Вернал</t>
        </is>
      </c>
      <c r="D458" s="66" t="inlineStr">
        <is>
          <t>дез.средства</t>
        </is>
      </c>
      <c r="E458" s="100" t="n">
        <v>14900</v>
      </c>
      <c r="F458" s="66" t="n"/>
      <c r="G458" s="66">
        <f>E458+F458</f>
        <v/>
      </c>
      <c r="H458" s="66" t="inlineStr">
        <is>
          <t>Выплачено</t>
        </is>
      </c>
      <c r="I458" s="66" t="inlineStr">
        <is>
          <t>Ок</t>
        </is>
      </c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>
      <c r="A459" s="5" t="n"/>
      <c r="B459" s="98" t="n">
        <v>45944</v>
      </c>
      <c r="C459" s="66" t="inlineStr">
        <is>
          <t>Вон С.</t>
        </is>
      </c>
      <c r="D459" s="66" t="inlineStr">
        <is>
          <t>Оплата поставщикам за сырье</t>
        </is>
      </c>
      <c r="E459" s="100" t="n">
        <v>9540529</v>
      </c>
      <c r="F459" s="66" t="n"/>
      <c r="G459" s="66">
        <f>E459+F459</f>
        <v/>
      </c>
      <c r="H459" s="66" t="inlineStr">
        <is>
          <t>Выплачено</t>
        </is>
      </c>
      <c r="I459" s="66" t="inlineStr">
        <is>
          <t>Ок</t>
        </is>
      </c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>
      <c r="A460" s="5" t="n"/>
      <c r="B460" s="98" t="n">
        <v>45944</v>
      </c>
      <c r="C460" s="66" t="n"/>
      <c r="D460" s="66" t="inlineStr">
        <is>
          <t>аренда квартиры</t>
        </is>
      </c>
      <c r="E460" s="100" t="n"/>
      <c r="F460" s="66" t="n">
        <v>350000</v>
      </c>
      <c r="G460" s="66">
        <f>E460+F460</f>
        <v/>
      </c>
      <c r="H460" s="66" t="inlineStr">
        <is>
          <t>Выплачено</t>
        </is>
      </c>
      <c r="I460" s="66" t="inlineStr">
        <is>
          <t>Ок</t>
        </is>
      </c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>
      <c r="A461" s="5" t="n"/>
      <c r="B461" s="98" t="n">
        <v>45944</v>
      </c>
      <c r="C461" s="66" t="inlineStr">
        <is>
          <t>Ли Станислав</t>
        </is>
      </c>
      <c r="D461" s="66" t="inlineStr">
        <is>
          <t>Подотчет сырье</t>
        </is>
      </c>
      <c r="E461" s="100" t="n"/>
      <c r="F461" s="66" t="n">
        <v>300000</v>
      </c>
      <c r="G461" s="66">
        <f>E461+F461</f>
        <v/>
      </c>
      <c r="H461" s="66" t="inlineStr">
        <is>
          <t>Выплачено</t>
        </is>
      </c>
      <c r="I461" s="66" t="inlineStr">
        <is>
          <t>Ок</t>
        </is>
      </c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>
      <c r="A462" s="5" t="n"/>
      <c r="B462" s="98" t="n">
        <v>45944</v>
      </c>
      <c r="C462" s="66" t="n"/>
      <c r="D462" s="66" t="inlineStr">
        <is>
          <t>ЗП производство</t>
        </is>
      </c>
      <c r="E462" s="100" t="n"/>
      <c r="F462" s="66" t="n">
        <v>4692940</v>
      </c>
      <c r="G462" s="66">
        <f>E462+F462</f>
        <v/>
      </c>
      <c r="H462" s="66" t="inlineStr">
        <is>
          <t>Выплачено</t>
        </is>
      </c>
      <c r="I462" s="66" t="inlineStr">
        <is>
          <t>Ок</t>
        </is>
      </c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>
      <c r="A463" s="5" t="n"/>
      <c r="B463" s="98" t="n">
        <v>45945</v>
      </c>
      <c r="C463" s="66" t="inlineStr">
        <is>
          <t>Вон С.</t>
        </is>
      </c>
      <c r="D463" s="66" t="inlineStr">
        <is>
          <t>Оплата поставщикам за сырье</t>
        </is>
      </c>
      <c r="E463" s="100" t="n">
        <v>9841149</v>
      </c>
      <c r="F463" s="66" t="n"/>
      <c r="G463" s="66">
        <f>E463+F463</f>
        <v/>
      </c>
      <c r="H463" s="66" t="inlineStr">
        <is>
          <t>Выплачено</t>
        </is>
      </c>
      <c r="I463" s="66" t="inlineStr">
        <is>
          <t>Ок</t>
        </is>
      </c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>
      <c r="A464" s="5" t="n"/>
      <c r="B464" s="98" t="n">
        <v>45945</v>
      </c>
      <c r="C464" s="66" t="n"/>
      <c r="D464" s="66" t="inlineStr">
        <is>
          <t>аренда квартиры</t>
        </is>
      </c>
      <c r="E464" s="100" t="n"/>
      <c r="F464" s="66" t="n">
        <v>350000</v>
      </c>
      <c r="G464" s="66">
        <f>E464+F464</f>
        <v/>
      </c>
      <c r="H464" s="66" t="inlineStr">
        <is>
          <t>Выплачено</t>
        </is>
      </c>
      <c r="I464" s="66" t="inlineStr">
        <is>
          <t>Ок</t>
        </is>
      </c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>
      <c r="A465" s="5" t="n"/>
      <c r="B465" s="98" t="n">
        <v>45945</v>
      </c>
      <c r="C465" s="66" t="n"/>
      <c r="D465" s="66" t="inlineStr">
        <is>
          <t xml:space="preserve">DAUMAK ТОО фартук,Кафе софт </t>
        </is>
      </c>
      <c r="E465" s="100" t="n">
        <v>77280</v>
      </c>
      <c r="F465" s="66" t="n"/>
      <c r="G465" s="66">
        <f>E465+F465</f>
        <v/>
      </c>
      <c r="H465" s="66" t="inlineStr">
        <is>
          <t>Выплачено</t>
        </is>
      </c>
      <c r="I465" s="66" t="inlineStr">
        <is>
          <t>Ок</t>
        </is>
      </c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>
      <c r="A466" s="5" t="n"/>
      <c r="B466" s="98" t="n">
        <v>45945</v>
      </c>
      <c r="C466" s="66" t="n"/>
      <c r="D466" s="66" t="inlineStr">
        <is>
          <t>вывоз мусора</t>
        </is>
      </c>
      <c r="E466" s="100" t="n">
        <v>100000</v>
      </c>
      <c r="F466" s="66" t="n"/>
      <c r="G466" s="66">
        <f>E466+F466</f>
        <v/>
      </c>
      <c r="H466" s="66" t="inlineStr">
        <is>
          <t>Выплачено</t>
        </is>
      </c>
      <c r="I466" s="66" t="inlineStr">
        <is>
          <t>Ок</t>
        </is>
      </c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>
      <c r="A467" s="5" t="n"/>
      <c r="B467" s="98" t="n">
        <v>45945</v>
      </c>
      <c r="C467" s="66" t="n"/>
      <c r="D467" s="66" t="inlineStr">
        <is>
          <t xml:space="preserve">ЗП производство и АУП </t>
        </is>
      </c>
      <c r="E467" s="100" t="n"/>
      <c r="F467" s="66" t="n">
        <v>12819971</v>
      </c>
      <c r="G467" s="66">
        <f>E467+F467</f>
        <v/>
      </c>
      <c r="H467" s="66" t="inlineStr">
        <is>
          <t>Выплачено</t>
        </is>
      </c>
      <c r="I467" s="66" t="inlineStr">
        <is>
          <t>Ок</t>
        </is>
      </c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>
      <c r="A468" s="5" t="n"/>
      <c r="B468" s="98" t="n">
        <v>45946</v>
      </c>
      <c r="C468" s="66" t="n"/>
      <c r="D468" s="66" t="inlineStr">
        <is>
          <t>ЗП АУП</t>
        </is>
      </c>
      <c r="E468" s="100" t="n"/>
      <c r="F468" s="66" t="n">
        <v>3365234</v>
      </c>
      <c r="G468" s="66">
        <f>E468+F468</f>
        <v/>
      </c>
      <c r="H468" s="66" t="inlineStr">
        <is>
          <t>Выплачено</t>
        </is>
      </c>
      <c r="I468" s="66" t="inlineStr">
        <is>
          <t>Ок</t>
        </is>
      </c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>
      <c r="A469" s="5" t="n"/>
      <c r="B469" s="98" t="n">
        <v>45946</v>
      </c>
      <c r="C469" s="66" t="n"/>
      <c r="D469" s="66" t="inlineStr">
        <is>
          <t xml:space="preserve">Услуги регистации иностранной рабочий силы </t>
        </is>
      </c>
      <c r="E469" s="100" t="n"/>
      <c r="F469" s="66" t="n">
        <v>1081000</v>
      </c>
      <c r="G469" s="66">
        <f>E469+F469</f>
        <v/>
      </c>
      <c r="H469" s="66" t="inlineStr">
        <is>
          <t>Выплачено</t>
        </is>
      </c>
      <c r="I469" s="66" t="inlineStr">
        <is>
          <t>Ок</t>
        </is>
      </c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>
      <c r="A470" s="5" t="n"/>
      <c r="B470" s="98" t="n">
        <v>45947</v>
      </c>
      <c r="C470" s="66" t="n"/>
      <c r="D470" s="66" t="inlineStr">
        <is>
          <t>зп уволенные</t>
        </is>
      </c>
      <c r="E470" s="100" t="n"/>
      <c r="F470" s="66" t="n">
        <v>4000000</v>
      </c>
      <c r="G470" s="66">
        <f>E470+F470</f>
        <v/>
      </c>
      <c r="H470" s="66" t="inlineStr">
        <is>
          <t>Выплачено</t>
        </is>
      </c>
      <c r="I470" s="66" t="inlineStr">
        <is>
          <t>Ок</t>
        </is>
      </c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>
      <c r="A471" s="5" t="n"/>
      <c r="B471" s="98" t="n">
        <v>45947</v>
      </c>
      <c r="C471" s="66" t="inlineStr">
        <is>
          <t>Вон С.</t>
        </is>
      </c>
      <c r="D471" s="66" t="inlineStr">
        <is>
          <t>Оплата поставщикам за сырье</t>
        </is>
      </c>
      <c r="E471" s="100" t="n">
        <v>13050841</v>
      </c>
      <c r="F471" s="66" t="n"/>
      <c r="G471" s="66">
        <f>E471+F471</f>
        <v/>
      </c>
      <c r="H471" s="66" t="inlineStr">
        <is>
          <t>Выплачено</t>
        </is>
      </c>
      <c r="I471" s="66" t="inlineStr">
        <is>
          <t>Ок</t>
        </is>
      </c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>
      <c r="A472" s="5" t="n"/>
      <c r="B472" s="98" t="n">
        <v>45950</v>
      </c>
      <c r="C472" s="66" t="inlineStr">
        <is>
          <t>Экспресс-сервис</t>
        </is>
      </c>
      <c r="D472" s="66" t="inlineStr">
        <is>
          <t>Аренда помещения</t>
        </is>
      </c>
      <c r="E472" s="100" t="n">
        <v>6050000</v>
      </c>
      <c r="F472" s="66" t="n"/>
      <c r="G472" s="66">
        <f>E472+F472</f>
        <v/>
      </c>
      <c r="H472" s="66" t="inlineStr">
        <is>
          <t>Выплачено</t>
        </is>
      </c>
      <c r="I472" s="66" t="inlineStr">
        <is>
          <t>Ок</t>
        </is>
      </c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>
      <c r="A473" s="5" t="n"/>
      <c r="B473" s="98" t="n">
        <v>45950</v>
      </c>
      <c r="C473" s="66" t="inlineStr">
        <is>
          <t>Богомол</t>
        </is>
      </c>
      <c r="D473" s="66" t="inlineStr">
        <is>
          <t>Услуги охраны</t>
        </is>
      </c>
      <c r="E473" s="100" t="n">
        <v>600240</v>
      </c>
      <c r="F473" s="66" t="n"/>
      <c r="G473" s="66">
        <f>E473+F473</f>
        <v/>
      </c>
      <c r="H473" s="66" t="inlineStr">
        <is>
          <t>Выплачено</t>
        </is>
      </c>
      <c r="I473" s="66" t="inlineStr">
        <is>
          <t>Ок</t>
        </is>
      </c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>
      <c r="A474" s="5" t="n"/>
      <c r="B474" s="98" t="n">
        <v>45950</v>
      </c>
      <c r="C474" s="66" t="n"/>
      <c r="D474" s="66" t="inlineStr">
        <is>
          <t>Аренда квартиры</t>
        </is>
      </c>
      <c r="E474" s="100" t="n"/>
      <c r="F474" s="66" t="n">
        <v>350000</v>
      </c>
      <c r="G474" s="66">
        <f>E474+F474</f>
        <v/>
      </c>
      <c r="H474" s="66" t="inlineStr">
        <is>
          <t>Выплачено</t>
        </is>
      </c>
      <c r="I474" s="66" t="inlineStr">
        <is>
          <t>Ок</t>
        </is>
      </c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>
      <c r="A475" s="5" t="n"/>
      <c r="B475" s="393" t="n"/>
      <c r="I475" s="66" t="inlineStr">
        <is>
          <t>Ок</t>
        </is>
      </c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>
      <c r="A476" s="5" t="n"/>
      <c r="B476" s="98" t="n">
        <v>45950</v>
      </c>
      <c r="C476" s="66" t="inlineStr">
        <is>
          <t>АО Шымкентмай</t>
        </is>
      </c>
      <c r="D476" s="66" t="inlineStr">
        <is>
          <t>масло подсолн.</t>
        </is>
      </c>
      <c r="E476" s="100" t="n">
        <v>592000</v>
      </c>
      <c r="F476" s="66" t="n"/>
      <c r="G476" s="66">
        <f>E476+F476</f>
        <v/>
      </c>
      <c r="H476" s="66" t="inlineStr">
        <is>
          <t>Выплачено</t>
        </is>
      </c>
      <c r="I476" s="66" t="inlineStr">
        <is>
          <t>Ок</t>
        </is>
      </c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>
      <c r="A477" s="5" t="n"/>
      <c r="B477" s="98" t="n">
        <v>45950</v>
      </c>
      <c r="C477" s="66" t="inlineStr">
        <is>
          <t>Ли Станислав</t>
        </is>
      </c>
      <c r="D477" s="66" t="inlineStr">
        <is>
          <t>Подотчет сырье</t>
        </is>
      </c>
      <c r="E477" s="100" t="n"/>
      <c r="F477" s="66" t="n">
        <v>200000</v>
      </c>
      <c r="G477" s="66">
        <f>E477+F477</f>
        <v/>
      </c>
      <c r="H477" s="66" t="inlineStr">
        <is>
          <t>Выплачено</t>
        </is>
      </c>
      <c r="I477" s="66" t="inlineStr">
        <is>
          <t>Ок</t>
        </is>
      </c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 s="1127">
      <c r="A478" s="5" t="n"/>
      <c r="B478" s="98" t="n">
        <v>45950</v>
      </c>
      <c r="C478" s="82" t="inlineStr">
        <is>
          <t>Aitas meat distribution ТОО</t>
        </is>
      </c>
      <c r="D478" s="83" t="inlineStr">
        <is>
          <t>филе</t>
        </is>
      </c>
      <c r="E478" s="84" t="n">
        <v>1693115</v>
      </c>
      <c r="F478" s="66" t="n"/>
      <c r="G478" s="66">
        <f>E478+F478</f>
        <v/>
      </c>
      <c r="H478" s="66" t="inlineStr">
        <is>
          <t>Выплачено</t>
        </is>
      </c>
      <c r="I478" s="66" t="inlineStr">
        <is>
          <t>Ок</t>
        </is>
      </c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 s="1127">
      <c r="A479" s="5" t="n"/>
      <c r="B479" s="98" t="n">
        <v>45950</v>
      </c>
      <c r="C479" s="85" t="inlineStr">
        <is>
          <t>Нарлен ет ТОО</t>
        </is>
      </c>
      <c r="D479" s="83" t="inlineStr">
        <is>
          <t>мясо, сосиски брецель</t>
        </is>
      </c>
      <c r="E479" s="84" t="n">
        <v>1540949</v>
      </c>
      <c r="F479" s="66" t="n"/>
      <c r="G479" s="66">
        <f>E479+F479</f>
        <v/>
      </c>
      <c r="H479" s="66" t="inlineStr">
        <is>
          <t>Выплачено</t>
        </is>
      </c>
      <c r="I479" s="66" t="inlineStr">
        <is>
          <t>Ок</t>
        </is>
      </c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 s="1127">
      <c r="A480" s="5" t="n"/>
      <c r="B480" s="98" t="n">
        <v>45950</v>
      </c>
      <c r="C480" s="85" t="inlineStr">
        <is>
          <t>Frozen Fruit ТОО</t>
        </is>
      </c>
      <c r="D480" s="83" t="inlineStr">
        <is>
          <t>икра</t>
        </is>
      </c>
      <c r="E480" s="84" t="n">
        <v>1311577</v>
      </c>
      <c r="F480" s="66" t="n"/>
      <c r="G480" s="66">
        <f>E480+F480</f>
        <v/>
      </c>
      <c r="H480" s="66" t="inlineStr">
        <is>
          <t>Выплачено</t>
        </is>
      </c>
      <c r="I480" s="66" t="inlineStr">
        <is>
          <t>Ок</t>
        </is>
      </c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 s="1127">
      <c r="A481" s="5" t="n"/>
      <c r="B481" s="98" t="n">
        <v>45950</v>
      </c>
      <c r="C481" s="86" t="inlineStr">
        <is>
          <t>Компания Фудмастер-Трэйд ТОО</t>
        </is>
      </c>
      <c r="D481" s="83" t="inlineStr">
        <is>
          <t>сметана</t>
        </is>
      </c>
      <c r="E481" s="84" t="n">
        <v>57122</v>
      </c>
      <c r="F481" s="66" t="n"/>
      <c r="G481" s="66">
        <f>E481+F481</f>
        <v/>
      </c>
      <c r="H481" s="66" t="inlineStr">
        <is>
          <t>Выплачено</t>
        </is>
      </c>
      <c r="I481" s="66" t="inlineStr">
        <is>
          <t>Ок</t>
        </is>
      </c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 s="1127">
      <c r="A482" s="5" t="n"/>
      <c r="B482" s="98" t="n">
        <v>45950</v>
      </c>
      <c r="C482" s="82" t="inlineStr">
        <is>
          <t>Viki-Kazakhstan ТОО</t>
        </is>
      </c>
      <c r="D482" s="83" t="inlineStr">
        <is>
          <t>ингридиенты</t>
        </is>
      </c>
      <c r="E482" s="84" t="n">
        <v>500000</v>
      </c>
      <c r="F482" s="66" t="n"/>
      <c r="G482" s="66">
        <f>E482+F482</f>
        <v/>
      </c>
      <c r="H482" s="66" t="inlineStr">
        <is>
          <t>Выплачено</t>
        </is>
      </c>
      <c r="I482" s="66" t="inlineStr">
        <is>
          <t>Ок</t>
        </is>
      </c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>
      <c r="A483" s="5" t="n"/>
      <c r="B483" s="50" t="n">
        <v>45951</v>
      </c>
      <c r="C483" s="88" t="inlineStr">
        <is>
          <t>Хон В.</t>
        </is>
      </c>
      <c r="D483" s="88" t="inlineStr">
        <is>
          <t>ежемес.тариф за корпорат.почту</t>
        </is>
      </c>
      <c r="E483" s="87" t="n"/>
      <c r="F483" s="88" t="n">
        <v>86125</v>
      </c>
      <c r="G483" s="88">
        <f>E483+F483</f>
        <v/>
      </c>
      <c r="H483" s="66" t="inlineStr">
        <is>
          <t>К оплате</t>
        </is>
      </c>
      <c r="I483" s="66" t="inlineStr">
        <is>
          <t>Ок</t>
        </is>
      </c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>
      <c r="A484" s="5" t="n"/>
      <c r="B484" s="50" t="n">
        <v>45951</v>
      </c>
      <c r="C484" s="88" t="inlineStr">
        <is>
          <t>Логистика</t>
        </is>
      </c>
      <c r="D484" s="88" t="inlineStr">
        <is>
          <t>Авансом по 500 мес.удерж</t>
        </is>
      </c>
      <c r="E484" s="87" t="n"/>
      <c r="F484" s="88" t="n">
        <v>2000000</v>
      </c>
      <c r="G484" s="88">
        <f>E484+F484</f>
        <v/>
      </c>
      <c r="H484" s="66" t="inlineStr">
        <is>
          <t>Выплачено</t>
        </is>
      </c>
      <c r="I484" s="66" t="inlineStr">
        <is>
          <t>Ок</t>
        </is>
      </c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>
      <c r="A485" s="5" t="n"/>
      <c r="B485" s="50" t="n">
        <v>45951</v>
      </c>
      <c r="C485" s="88" t="inlineStr">
        <is>
          <t>Демьянов</t>
        </is>
      </c>
      <c r="D485" s="88" t="inlineStr">
        <is>
          <t>Логистика (доставка)</t>
        </is>
      </c>
      <c r="E485" s="87" t="n"/>
      <c r="F485" s="88" t="n">
        <v>1225000</v>
      </c>
      <c r="G485" s="88">
        <f>E485+F485</f>
        <v/>
      </c>
      <c r="H485" s="66" t="inlineStr">
        <is>
          <t>Выплачено</t>
        </is>
      </c>
      <c r="I485" s="66" t="inlineStr">
        <is>
          <t>Ок</t>
        </is>
      </c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>
      <c r="A486" s="5" t="n"/>
      <c r="B486" s="50" t="n">
        <v>45951</v>
      </c>
      <c r="C486" s="88" t="inlineStr">
        <is>
          <t>Ли Стас</t>
        </is>
      </c>
      <c r="D486" s="88" t="inlineStr">
        <is>
          <t>Рынок</t>
        </is>
      </c>
      <c r="E486" s="87" t="n"/>
      <c r="F486" s="88" t="n">
        <v>300000</v>
      </c>
      <c r="G486" s="88">
        <f>E486+F486</f>
        <v/>
      </c>
      <c r="H486" s="66" t="inlineStr">
        <is>
          <t>Выплачено</t>
        </is>
      </c>
      <c r="I486" s="66" t="inlineStr">
        <is>
          <t>Ок</t>
        </is>
      </c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>
      <c r="A487" s="5" t="n"/>
      <c r="B487" s="50" t="n">
        <v>45951</v>
      </c>
      <c r="C487" s="88" t="n"/>
      <c r="D487" s="88" t="inlineStr">
        <is>
          <t>Оплата по поставщикам</t>
        </is>
      </c>
      <c r="E487" s="87" t="n">
        <v>17000000</v>
      </c>
      <c r="F487" s="88" t="n"/>
      <c r="G487" s="88">
        <f>E487+F487</f>
        <v/>
      </c>
      <c r="H487" s="66" t="inlineStr">
        <is>
          <t>Отложено</t>
        </is>
      </c>
      <c r="I487" s="66" t="inlineStr">
        <is>
          <t>Ок</t>
        </is>
      </c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>
      <c r="A488" s="5" t="n"/>
      <c r="B488" s="50" t="n">
        <v>45952</v>
      </c>
      <c r="C488" s="88" t="inlineStr">
        <is>
          <t>Маньшева О.С.</t>
        </is>
      </c>
      <c r="D488" s="88" t="inlineStr">
        <is>
          <t>Зп за прошлые месяца</t>
        </is>
      </c>
      <c r="E488" s="87" t="n"/>
      <c r="F488" s="88" t="n">
        <v>2000000</v>
      </c>
      <c r="G488" s="88">
        <f>E488+F488</f>
        <v/>
      </c>
      <c r="H488" s="66" t="inlineStr">
        <is>
          <t>Выплачено</t>
        </is>
      </c>
      <c r="I488" s="66" t="inlineStr">
        <is>
          <t>Ок</t>
        </is>
      </c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>
      <c r="A489" s="5" t="n"/>
      <c r="B489" s="98" t="n">
        <v>45952</v>
      </c>
      <c r="C489" s="66" t="inlineStr">
        <is>
          <t>Вон С.</t>
        </is>
      </c>
      <c r="D489" s="66" t="inlineStr">
        <is>
          <t>Оплата поставщикам за сырье</t>
        </is>
      </c>
      <c r="E489" s="100" t="n">
        <v>14832630</v>
      </c>
      <c r="F489" s="66" t="n"/>
      <c r="G489" s="66">
        <f>E489+F489</f>
        <v/>
      </c>
      <c r="H489" s="66" t="inlineStr">
        <is>
          <t>Выплачено</t>
        </is>
      </c>
      <c r="I489" s="66" t="inlineStr">
        <is>
          <t>Ок</t>
        </is>
      </c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>
      <c r="A490" s="5" t="n"/>
      <c r="B490" s="98" t="n">
        <v>45952</v>
      </c>
      <c r="C490" s="66" t="inlineStr">
        <is>
          <t>НУ</t>
        </is>
      </c>
      <c r="D490" s="66" t="inlineStr">
        <is>
          <t>Налоги по ЗП</t>
        </is>
      </c>
      <c r="E490" s="100" t="n">
        <v>8588719</v>
      </c>
      <c r="F490" s="66" t="n"/>
      <c r="G490" s="66">
        <f>E490+F490</f>
        <v/>
      </c>
      <c r="H490" s="66" t="inlineStr">
        <is>
          <t>Выплачено</t>
        </is>
      </c>
      <c r="I490" s="66" t="inlineStr">
        <is>
          <t>Ок</t>
        </is>
      </c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>
      <c r="A491" s="5" t="n"/>
      <c r="B491" s="98" t="n">
        <v>45952</v>
      </c>
      <c r="C491" s="66" t="inlineStr">
        <is>
          <t>Хон В.</t>
        </is>
      </c>
      <c r="D491" s="66" t="inlineStr">
        <is>
          <t>сетевое оборудование</t>
        </is>
      </c>
      <c r="E491" s="100" t="n">
        <v>201747</v>
      </c>
      <c r="F491" s="66" t="n"/>
      <c r="G491" s="66">
        <f>E491+F491</f>
        <v/>
      </c>
      <c r="H491" s="66" t="inlineStr">
        <is>
          <t>К оплате</t>
        </is>
      </c>
      <c r="I491" s="66" t="inlineStr">
        <is>
          <t>Ок</t>
        </is>
      </c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>
      <c r="A492" s="5" t="n"/>
      <c r="B492" s="98" t="n">
        <v>45953</v>
      </c>
      <c r="C492" s="66" t="n"/>
      <c r="D492" s="66" t="inlineStr">
        <is>
          <t>Услуги регистации иностранной рабочий силы 2000 дол</t>
        </is>
      </c>
      <c r="E492" s="100" t="n"/>
      <c r="F492" s="66" t="n">
        <v>1080200</v>
      </c>
      <c r="G492" s="66">
        <f>E492+F492</f>
        <v/>
      </c>
      <c r="H492" s="66" t="inlineStr">
        <is>
          <t>Выплачено</t>
        </is>
      </c>
      <c r="I492" s="66" t="inlineStr">
        <is>
          <t>Ок</t>
        </is>
      </c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>
      <c r="A493" s="5" t="n"/>
      <c r="B493" s="98" t="n">
        <v>45952</v>
      </c>
      <c r="C493" s="66" t="inlineStr">
        <is>
          <t>Глобал Халал</t>
        </is>
      </c>
      <c r="D493" s="66" t="inlineStr">
        <is>
          <t>филе предоплата</t>
        </is>
      </c>
      <c r="E493" s="100" t="n">
        <v>880000</v>
      </c>
      <c r="F493" s="66" t="n"/>
      <c r="G493" s="66">
        <f>E493+F493</f>
        <v/>
      </c>
      <c r="H493" s="66" t="inlineStr">
        <is>
          <t>Выплачено</t>
        </is>
      </c>
      <c r="I493" s="66" t="inlineStr">
        <is>
          <t>Ок</t>
        </is>
      </c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>
      <c r="A494" s="5" t="n"/>
      <c r="B494" s="98" t="n">
        <v>45952</v>
      </c>
      <c r="C494" s="66" t="inlineStr">
        <is>
          <t>Эрико</t>
        </is>
      </c>
      <c r="D494" s="66" t="inlineStr">
        <is>
          <t>термолента</t>
        </is>
      </c>
      <c r="E494" s="100" t="n">
        <v>547080</v>
      </c>
      <c r="F494" s="66" t="n"/>
      <c r="G494" s="66">
        <f>E494+F494</f>
        <v/>
      </c>
      <c r="H494" s="66" t="inlineStr">
        <is>
          <t>Выплачено</t>
        </is>
      </c>
      <c r="I494" s="66" t="inlineStr">
        <is>
          <t>Ок</t>
        </is>
      </c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>
      <c r="A495" s="5" t="n"/>
      <c r="B495" s="98" t="n">
        <v>45953</v>
      </c>
      <c r="C495" s="66" t="inlineStr">
        <is>
          <t>Протэк</t>
        </is>
      </c>
      <c r="D495" s="66" t="inlineStr">
        <is>
          <t>лотки погашение КЗ</t>
        </is>
      </c>
      <c r="E495" s="100" t="n">
        <v>2017070</v>
      </c>
      <c r="F495" s="66" t="n"/>
      <c r="G495" s="66">
        <f>E495+F495</f>
        <v/>
      </c>
      <c r="H495" s="66" t="inlineStr">
        <is>
          <t>Выплачено</t>
        </is>
      </c>
      <c r="I495" s="66" t="inlineStr">
        <is>
          <t>Ок</t>
        </is>
      </c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>
      <c r="A496" s="5" t="n"/>
      <c r="B496" s="98" t="n">
        <v>45953</v>
      </c>
      <c r="C496" s="66" t="inlineStr">
        <is>
          <t>Глобал Халал</t>
        </is>
      </c>
      <c r="D496" s="66" t="inlineStr">
        <is>
          <t>филе предоплата</t>
        </is>
      </c>
      <c r="E496" s="100" t="n">
        <v>200000</v>
      </c>
      <c r="F496" s="66" t="n"/>
      <c r="G496" s="66">
        <f>E496+F496</f>
        <v/>
      </c>
      <c r="H496" s="66" t="inlineStr">
        <is>
          <t>Выплачено</t>
        </is>
      </c>
      <c r="I496" s="66" t="inlineStr">
        <is>
          <t>Ок</t>
        </is>
      </c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>
      <c r="A497" s="5" t="n"/>
      <c r="B497" s="98" t="n">
        <v>45954</v>
      </c>
      <c r="C497" s="66" t="n"/>
      <c r="D497" s="66" t="inlineStr">
        <is>
          <t>вывоз мусора</t>
        </is>
      </c>
      <c r="E497" s="100" t="n">
        <v>750000</v>
      </c>
      <c r="F497" s="66" t="n"/>
      <c r="G497" s="66">
        <f>E497+F497</f>
        <v/>
      </c>
      <c r="H497" s="66" t="inlineStr">
        <is>
          <t>Выплачено</t>
        </is>
      </c>
      <c r="I497" s="66" t="inlineStr">
        <is>
          <t>Ок</t>
        </is>
      </c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>
      <c r="A498" s="5" t="n"/>
      <c r="B498" s="98" t="n">
        <v>45954</v>
      </c>
      <c r="C498" s="66" t="inlineStr">
        <is>
          <t>Вон С.</t>
        </is>
      </c>
      <c r="D498" s="66" t="inlineStr">
        <is>
          <t>Оплата поставщикам за сырье</t>
        </is>
      </c>
      <c r="E498" s="100" t="n">
        <v>20028554</v>
      </c>
      <c r="F498" s="66" t="n"/>
      <c r="G498" s="66">
        <f>E498+F498</f>
        <v/>
      </c>
      <c r="H498" s="66" t="inlineStr">
        <is>
          <t>Выплачено</t>
        </is>
      </c>
      <c r="I498" s="66" t="inlineStr">
        <is>
          <t>Ок</t>
        </is>
      </c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>
      <c r="A499" s="5" t="n"/>
      <c r="B499" s="98" t="n">
        <v>45958</v>
      </c>
      <c r="C499" s="66" t="n"/>
      <c r="D499" s="66" t="inlineStr">
        <is>
          <t>Аванс на карточки</t>
        </is>
      </c>
      <c r="E499" s="100" t="n">
        <v>2750000</v>
      </c>
      <c r="F499" s="66" t="n"/>
      <c r="G499" s="66">
        <f>E499+F499</f>
        <v/>
      </c>
      <c r="H499" s="66" t="inlineStr">
        <is>
          <t>Выплачено</t>
        </is>
      </c>
      <c r="I499" s="66" t="inlineStr">
        <is>
          <t>Ок</t>
        </is>
      </c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>
      <c r="A500" s="5" t="n"/>
      <c r="B500" s="98" t="n">
        <v>45958</v>
      </c>
      <c r="C500" s="66" t="inlineStr">
        <is>
          <t>Вон С.</t>
        </is>
      </c>
      <c r="D500" s="66" t="inlineStr">
        <is>
          <t>Оплата поставщикам за сырье</t>
        </is>
      </c>
      <c r="E500" s="100" t="n">
        <v>9914166</v>
      </c>
      <c r="F500" s="66" t="n"/>
      <c r="G500" s="66" t="n">
        <v>9914166</v>
      </c>
      <c r="H500" s="66" t="inlineStr">
        <is>
          <t>Выплачено</t>
        </is>
      </c>
      <c r="I500" s="66" t="inlineStr">
        <is>
          <t>Ок</t>
        </is>
      </c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>
      <c r="A501" s="5" t="n"/>
      <c r="B501" s="98" t="n">
        <v>45958</v>
      </c>
      <c r="C501" s="66" t="inlineStr">
        <is>
          <t>Экспресс сервис</t>
        </is>
      </c>
      <c r="D501" s="66" t="inlineStr">
        <is>
          <t>коммунальные услуги</t>
        </is>
      </c>
      <c r="E501" s="100" t="n">
        <v>6813042</v>
      </c>
      <c r="F501" s="66" t="n"/>
      <c r="G501" s="66">
        <f>E501+F501</f>
        <v/>
      </c>
      <c r="H501" s="66" t="inlineStr">
        <is>
          <t>Выплачено</t>
        </is>
      </c>
      <c r="I501" s="66" t="inlineStr">
        <is>
          <t>Ок</t>
        </is>
      </c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>
      <c r="A502" s="5" t="n"/>
      <c r="B502" s="98" t="n">
        <v>45958</v>
      </c>
      <c r="C502" s="66" t="inlineStr">
        <is>
          <t>Вон С.</t>
        </is>
      </c>
      <c r="D502" s="66" t="inlineStr">
        <is>
          <t>Фудс ИП</t>
        </is>
      </c>
      <c r="E502" s="100" t="n">
        <v>1055650</v>
      </c>
      <c r="F502" s="66" t="n"/>
      <c r="G502" s="66">
        <f>E502+F502</f>
        <v/>
      </c>
      <c r="H502" s="66" t="inlineStr">
        <is>
          <t>Выплачено</t>
        </is>
      </c>
      <c r="I502" s="66" t="inlineStr">
        <is>
          <t>Ок</t>
        </is>
      </c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>
      <c r="A503" s="5" t="n"/>
      <c r="B503" s="98" t="n">
        <v>45959</v>
      </c>
      <c r="C503" s="66" t="inlineStr">
        <is>
          <t>Вон С.</t>
        </is>
      </c>
      <c r="D503" s="66" t="inlineStr">
        <is>
          <t>Оплата поставщикам за сырье</t>
        </is>
      </c>
      <c r="E503" s="100" t="n">
        <v>14145913</v>
      </c>
      <c r="F503" s="66" t="n"/>
      <c r="G503" s="66">
        <f>E503+F503</f>
        <v/>
      </c>
      <c r="H503" s="66" t="inlineStr">
        <is>
          <t>Выплачено</t>
        </is>
      </c>
      <c r="I503" s="66" t="inlineStr">
        <is>
          <t>Ок</t>
        </is>
      </c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>
      <c r="A504" s="5" t="n"/>
      <c r="B504" s="98" t="n">
        <v>45959</v>
      </c>
      <c r="C504" s="66" t="n"/>
      <c r="D504" s="66" t="inlineStr">
        <is>
          <t>ЗП сент</t>
        </is>
      </c>
      <c r="E504" s="100" t="n"/>
      <c r="F504" s="66" t="n">
        <v>1000000</v>
      </c>
      <c r="G504" s="66">
        <f>E504+F504</f>
        <v/>
      </c>
      <c r="H504" s="66" t="inlineStr">
        <is>
          <t>Выплачено</t>
        </is>
      </c>
      <c r="I504" s="66" t="inlineStr">
        <is>
          <t>Ок</t>
        </is>
      </c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>
      <c r="A505" s="5" t="n"/>
      <c r="B505" s="98" t="n">
        <v>45959</v>
      </c>
      <c r="C505" s="66" t="n"/>
      <c r="D505" s="66" t="inlineStr">
        <is>
          <t>Авансы окт</t>
        </is>
      </c>
      <c r="E505" s="100" t="n"/>
      <c r="F505" s="66" t="n">
        <v>820000</v>
      </c>
      <c r="G505" s="66">
        <f>E505+F505</f>
        <v/>
      </c>
      <c r="H505" s="66" t="inlineStr">
        <is>
          <t>Выплачено</t>
        </is>
      </c>
      <c r="I505" s="66" t="inlineStr">
        <is>
          <t>Ок</t>
        </is>
      </c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>
      <c r="A506" s="5" t="n"/>
      <c r="B506" s="98" t="n">
        <v>45959</v>
      </c>
      <c r="C506" s="66" t="inlineStr">
        <is>
          <t>Ли Станислав</t>
        </is>
      </c>
      <c r="D506" s="66" t="inlineStr">
        <is>
          <t>Подотчет сырье</t>
        </is>
      </c>
      <c r="E506" s="100" t="n"/>
      <c r="F506" s="66" t="n">
        <v>800000</v>
      </c>
      <c r="G506" s="66">
        <f>E506+F506</f>
        <v/>
      </c>
      <c r="H506" s="66" t="inlineStr">
        <is>
          <t>Выплачено</t>
        </is>
      </c>
      <c r="I506" s="66" t="inlineStr">
        <is>
          <t>Ок</t>
        </is>
      </c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>
      <c r="A507" s="5" t="n"/>
      <c r="B507" s="98" t="n">
        <v>45959</v>
      </c>
      <c r="C507" s="66" t="inlineStr">
        <is>
          <t>ИП Сесоров</t>
        </is>
      </c>
      <c r="D507" s="66" t="inlineStr">
        <is>
          <t>Запайщик</t>
        </is>
      </c>
      <c r="E507" s="100" t="n">
        <v>46000</v>
      </c>
      <c r="F507" s="66" t="n"/>
      <c r="G507" s="66">
        <f>E507+F507</f>
        <v/>
      </c>
      <c r="H507" s="66" t="inlineStr">
        <is>
          <t>Выплачено</t>
        </is>
      </c>
      <c r="I507" s="66" t="inlineStr">
        <is>
          <t>Ок</t>
        </is>
      </c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>
      <c r="A508" s="5" t="n"/>
      <c r="B508" s="98" t="n">
        <v>45959</v>
      </c>
      <c r="C508" s="66" t="inlineStr">
        <is>
          <t>ИП Монтех</t>
        </is>
      </c>
      <c r="D508" s="66" t="inlineStr">
        <is>
          <t>Ремонт компрессора охлаждения в пекарне</t>
        </is>
      </c>
      <c r="E508" s="100" t="n">
        <v>703000</v>
      </c>
      <c r="F508" s="66" t="n"/>
      <c r="G508" s="66">
        <f>E508+F508</f>
        <v/>
      </c>
      <c r="H508" s="66" t="inlineStr">
        <is>
          <t>Выплачено</t>
        </is>
      </c>
      <c r="I508" s="66" t="inlineStr">
        <is>
          <t>Ок</t>
        </is>
      </c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>
      <c r="A509" s="5" t="n"/>
      <c r="B509" s="98" t="n">
        <v>45959</v>
      </c>
      <c r="C509" s="66" t="inlineStr">
        <is>
          <t>АО Шымкентмай</t>
        </is>
      </c>
      <c r="D509" s="66" t="inlineStr">
        <is>
          <t>масло подсолнечное</t>
        </is>
      </c>
      <c r="E509" s="100" t="n">
        <v>592000</v>
      </c>
      <c r="F509" s="66" t="n"/>
      <c r="G509" s="66">
        <f>E509+F509</f>
        <v/>
      </c>
      <c r="H509" s="66" t="inlineStr">
        <is>
          <t>Выплачено</t>
        </is>
      </c>
      <c r="I509" s="66" t="inlineStr">
        <is>
          <t>Ок</t>
        </is>
      </c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>
      <c r="A510" s="5" t="n"/>
      <c r="B510" s="98" t="n">
        <v>45959</v>
      </c>
      <c r="C510" s="66" t="n"/>
      <c r="D510" s="66" t="inlineStr">
        <is>
          <t>Котломойщицам по СЗ</t>
        </is>
      </c>
      <c r="E510" s="100" t="n"/>
      <c r="F510" s="66" t="n">
        <v>36000</v>
      </c>
      <c r="G510" s="66">
        <f>E510+F510</f>
        <v/>
      </c>
      <c r="H510" s="66" t="inlineStr">
        <is>
          <t>Выплачено</t>
        </is>
      </c>
      <c r="I510" s="66" t="inlineStr">
        <is>
          <t>Ок</t>
        </is>
      </c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>
      <c r="A511" s="5" t="n"/>
      <c r="B511" s="98" t="n">
        <v>45959</v>
      </c>
      <c r="C511" s="89" t="inlineStr">
        <is>
          <t>Alfa Distributors Almaty</t>
        </is>
      </c>
      <c r="D511" s="66" t="inlineStr">
        <is>
          <t>приправа Дашида</t>
        </is>
      </c>
      <c r="E511" s="100" t="n">
        <v>275000</v>
      </c>
      <c r="F511" s="66" t="n"/>
      <c r="G511" s="66">
        <f>E511+F511</f>
        <v/>
      </c>
      <c r="H511" s="66" t="inlineStr">
        <is>
          <t>Выплачено</t>
        </is>
      </c>
      <c r="I511" s="66" t="inlineStr">
        <is>
          <t>Ок</t>
        </is>
      </c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>
      <c r="A512" s="5" t="n"/>
      <c r="B512" s="98" t="n">
        <v>45959</v>
      </c>
      <c r="C512" s="90" t="inlineStr">
        <is>
          <t>MPARGO</t>
        </is>
      </c>
      <c r="D512" s="66" t="inlineStr">
        <is>
          <t>маринад, панировка</t>
        </is>
      </c>
      <c r="E512" s="100" t="n">
        <v>194480</v>
      </c>
      <c r="F512" s="66" t="n"/>
      <c r="G512" s="66">
        <f>E512+F512</f>
        <v/>
      </c>
      <c r="H512" s="66" t="inlineStr">
        <is>
          <t>Выплачено</t>
        </is>
      </c>
      <c r="I512" s="66" t="inlineStr">
        <is>
          <t>Ок</t>
        </is>
      </c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>
      <c r="A513" s="5" t="n"/>
      <c r="B513" s="98" t="n">
        <v>45959</v>
      </c>
      <c r="C513" s="66" t="inlineStr">
        <is>
          <t>ИП Ахмерова</t>
        </is>
      </c>
      <c r="D513" s="66" t="inlineStr">
        <is>
          <t>ПЭТ бутылки</t>
        </is>
      </c>
      <c r="E513" s="100" t="n">
        <v>88200</v>
      </c>
      <c r="F513" s="66" t="n"/>
      <c r="G513" s="66">
        <f>E513+F513</f>
        <v/>
      </c>
      <c r="H513" s="66" t="inlineStr">
        <is>
          <t>Выплачено</t>
        </is>
      </c>
      <c r="I513" s="66" t="inlineStr">
        <is>
          <t>Ок</t>
        </is>
      </c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>
      <c r="A514" s="5" t="n"/>
      <c r="B514" s="98" t="n">
        <v>45960</v>
      </c>
      <c r="C514" s="66" t="inlineStr">
        <is>
          <t>Той Март</t>
        </is>
      </c>
      <c r="D514" s="66" t="inlineStr">
        <is>
          <t>за овощи согласно акта сверки</t>
        </is>
      </c>
      <c r="E514" s="100" t="n">
        <v>331090</v>
      </c>
      <c r="F514" s="66" t="n"/>
      <c r="G514" s="66">
        <f>E514+F514</f>
        <v/>
      </c>
      <c r="H514" s="66" t="inlineStr">
        <is>
          <t>Выплачено</t>
        </is>
      </c>
      <c r="I514" s="66" t="inlineStr">
        <is>
          <t>Ок</t>
        </is>
      </c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>
      <c r="A515" s="5" t="n"/>
      <c r="B515" s="98" t="n">
        <v>45960</v>
      </c>
      <c r="C515" s="66" t="inlineStr">
        <is>
          <t>Зарплата недельная</t>
        </is>
      </c>
      <c r="D515" s="456" t="inlineStr">
        <is>
          <t>Лагманщики</t>
        </is>
      </c>
      <c r="E515" s="100" t="n"/>
      <c r="F515" s="66" t="n">
        <v>400000</v>
      </c>
      <c r="G515" s="66">
        <f>E515+F515</f>
        <v/>
      </c>
      <c r="H515" s="66" t="inlineStr">
        <is>
          <t>Выплачено</t>
        </is>
      </c>
      <c r="I515" s="66" t="inlineStr">
        <is>
          <t>Ок</t>
        </is>
      </c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>
      <c r="A516" s="5" t="n"/>
      <c r="B516" s="98" t="n">
        <v>45964</v>
      </c>
      <c r="C516" s="66" t="inlineStr">
        <is>
          <t>НУ</t>
        </is>
      </c>
      <c r="D516" s="66" t="inlineStr">
        <is>
          <t>НДС</t>
        </is>
      </c>
      <c r="E516" s="100" t="n">
        <v>20000000</v>
      </c>
      <c r="F516" s="66" t="n"/>
      <c r="G516" s="66">
        <f>E516+F516</f>
        <v/>
      </c>
      <c r="H516" s="66" t="inlineStr">
        <is>
          <t>Выплачено</t>
        </is>
      </c>
      <c r="I516" s="66" t="inlineStr">
        <is>
          <t>Ок</t>
        </is>
      </c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>
      <c r="A517" s="5" t="n"/>
      <c r="B517" s="98" t="n">
        <v>45961</v>
      </c>
      <c r="C517" s="66" t="inlineStr">
        <is>
          <t>Вон С.</t>
        </is>
      </c>
      <c r="D517" s="66" t="inlineStr">
        <is>
          <t>Оплата поставщикам за сырье</t>
        </is>
      </c>
      <c r="E517" s="100" t="n">
        <v>16586900</v>
      </c>
      <c r="F517" s="66" t="n"/>
      <c r="G517" s="66">
        <f>E517+F517</f>
        <v/>
      </c>
      <c r="H517" s="66" t="inlineStr">
        <is>
          <t>Выплачено</t>
        </is>
      </c>
      <c r="I517" s="66" t="inlineStr">
        <is>
          <t>Ок</t>
        </is>
      </c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>
      <c r="A518" s="5" t="n"/>
      <c r="B518" s="98" t="n">
        <v>45964</v>
      </c>
      <c r="C518" s="66" t="inlineStr">
        <is>
          <t>Компания В</t>
        </is>
      </c>
      <c r="D518" s="66" t="inlineStr">
        <is>
          <t>Предоплата за гофрокоробки</t>
        </is>
      </c>
      <c r="E518" s="100" t="n">
        <v>1289600</v>
      </c>
      <c r="F518" s="66" t="n"/>
      <c r="G518" s="66">
        <f>E518+F518</f>
        <v/>
      </c>
      <c r="H518" s="66" t="inlineStr">
        <is>
          <t>Выплачено</t>
        </is>
      </c>
      <c r="I518" s="66" t="inlineStr">
        <is>
          <t>Ок</t>
        </is>
      </c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>
      <c r="A519" s="5" t="n"/>
      <c r="B519" s="98" t="n">
        <v>45964</v>
      </c>
      <c r="C519" s="66" t="inlineStr">
        <is>
          <t>ИП ОК</t>
        </is>
      </c>
      <c r="D519" s="66" t="inlineStr">
        <is>
          <t>восстановление системы видеонаблюдения</t>
        </is>
      </c>
      <c r="E519" s="100" t="n">
        <v>25000</v>
      </c>
      <c r="F519" s="66" t="n"/>
      <c r="G519" s="66">
        <f>E519+F519</f>
        <v/>
      </c>
      <c r="H519" s="66" t="inlineStr">
        <is>
          <t>Выплачено</t>
        </is>
      </c>
      <c r="I519" s="66" t="inlineStr">
        <is>
          <t>Ок</t>
        </is>
      </c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>
      <c r="A520" s="5" t="n"/>
      <c r="B520" s="98" t="n">
        <v>45964</v>
      </c>
      <c r="C520" s="456" t="inlineStr">
        <is>
          <t>Кафе софт и Access Group ТОО</t>
        </is>
      </c>
      <c r="D520" s="66" t="n"/>
      <c r="E520" s="100" t="n">
        <v>130920</v>
      </c>
      <c r="F520" s="66" t="n"/>
      <c r="G520" s="66">
        <f>E520+F520</f>
        <v/>
      </c>
      <c r="H520" s="66" t="inlineStr">
        <is>
          <t>Выплачено</t>
        </is>
      </c>
      <c r="I520" s="66" t="inlineStr">
        <is>
          <t>Ок</t>
        </is>
      </c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>
      <c r="A521" s="5" t="n"/>
      <c r="B521" s="393" t="n"/>
      <c r="I521" s="66" t="inlineStr">
        <is>
          <t>Ок</t>
        </is>
      </c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>
      <c r="A522" s="5" t="n"/>
      <c r="B522" s="98" t="n">
        <v>45965</v>
      </c>
      <c r="C522" s="43" t="inlineStr">
        <is>
          <t>Демьянов</t>
        </is>
      </c>
      <c r="D522" s="43" t="inlineStr">
        <is>
          <t>Логистика (доставка)</t>
        </is>
      </c>
      <c r="E522" s="100" t="n"/>
      <c r="F522" s="66" t="n">
        <v>1645000</v>
      </c>
      <c r="G522" s="66">
        <f>E522+F522</f>
        <v/>
      </c>
      <c r="H522" s="66" t="inlineStr">
        <is>
          <t>Выплачено</t>
        </is>
      </c>
      <c r="I522" s="66" t="inlineStr">
        <is>
          <t>Ок</t>
        </is>
      </c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>
      <c r="A523" s="5" t="n"/>
      <c r="B523" s="98" t="n">
        <v>45964</v>
      </c>
      <c r="C523" s="66" t="inlineStr">
        <is>
          <t>Фуд Мастер</t>
        </is>
      </c>
      <c r="D523" s="66" t="inlineStr">
        <is>
          <t>кефир, сметана</t>
        </is>
      </c>
      <c r="E523" s="100" t="n">
        <v>31266</v>
      </c>
      <c r="F523" s="66" t="n"/>
      <c r="G523" s="66">
        <f>E523+F523</f>
        <v/>
      </c>
      <c r="H523" s="66" t="inlineStr">
        <is>
          <t>Выплачено</t>
        </is>
      </c>
      <c r="I523" s="66" t="inlineStr">
        <is>
          <t>Ок</t>
        </is>
      </c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>
      <c r="A524" s="5" t="n"/>
      <c r="B524" s="98" t="n">
        <v>45964</v>
      </c>
      <c r="C524" s="66" t="inlineStr">
        <is>
          <t>Арт Фуд</t>
        </is>
      </c>
      <c r="D524" s="66" t="n"/>
      <c r="E524" s="100" t="n">
        <v>1215620</v>
      </c>
      <c r="F524" s="66" t="n"/>
      <c r="G524" s="66">
        <f>E524+F524</f>
        <v/>
      </c>
      <c r="H524" s="66" t="inlineStr">
        <is>
          <t>Выплачено</t>
        </is>
      </c>
      <c r="I524" s="66" t="inlineStr">
        <is>
          <t>Ок</t>
        </is>
      </c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>
      <c r="A525" s="5" t="n"/>
      <c r="B525" s="98" t="n">
        <v>45964</v>
      </c>
      <c r="C525" s="66" t="inlineStr">
        <is>
          <t>ТОО Караван</t>
        </is>
      </c>
      <c r="D525" s="66" t="inlineStr">
        <is>
          <t>сухарики</t>
        </is>
      </c>
      <c r="E525" s="100" t="n">
        <v>28032</v>
      </c>
      <c r="F525" s="66" t="n"/>
      <c r="G525" s="66">
        <f>E525+F525</f>
        <v/>
      </c>
      <c r="H525" s="66" t="inlineStr">
        <is>
          <t>Отложено</t>
        </is>
      </c>
      <c r="I525" s="66" t="inlineStr">
        <is>
          <t>Ок</t>
        </is>
      </c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>
      <c r="A526" s="5" t="n"/>
      <c r="B526" s="98" t="n">
        <v>45964</v>
      </c>
      <c r="C526" s="66" t="inlineStr">
        <is>
          <t>Фуд Компани</t>
        </is>
      </c>
      <c r="D526" s="66" t="n"/>
      <c r="E526" s="100" t="n">
        <v>392500</v>
      </c>
      <c r="F526" s="66" t="n"/>
      <c r="G526" s="66">
        <f>E526+F526</f>
        <v/>
      </c>
      <c r="H526" s="66" t="inlineStr">
        <is>
          <t>Выплачено</t>
        </is>
      </c>
      <c r="I526" s="66" t="inlineStr">
        <is>
          <t>Ок</t>
        </is>
      </c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>
      <c r="A527" s="5" t="n"/>
      <c r="B527" s="98" t="n">
        <v>45966</v>
      </c>
      <c r="C527" s="66" t="inlineStr">
        <is>
          <t>Экспресс Сервис</t>
        </is>
      </c>
      <c r="D527" s="66" t="inlineStr">
        <is>
          <t>доначисление э/эн. за октябрь</t>
        </is>
      </c>
      <c r="E527" s="100" t="n">
        <v>1051976</v>
      </c>
      <c r="F527" s="66" t="n"/>
      <c r="G527" s="66">
        <f>E527+F527</f>
        <v/>
      </c>
      <c r="H527" s="66" t="inlineStr">
        <is>
          <t>Выплачено</t>
        </is>
      </c>
      <c r="I527" s="66" t="inlineStr">
        <is>
          <t>Ок</t>
        </is>
      </c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>
      <c r="A528" s="5" t="n"/>
      <c r="B528" s="98" t="n">
        <v>45965</v>
      </c>
      <c r="C528" s="66" t="inlineStr">
        <is>
          <t xml:space="preserve">Ли Станислав </t>
        </is>
      </c>
      <c r="D528" s="66" t="inlineStr">
        <is>
          <t>Подотчет сырье</t>
        </is>
      </c>
      <c r="E528" s="100" t="n"/>
      <c r="F528" s="66" t="n">
        <v>300000</v>
      </c>
      <c r="G528" s="66">
        <f>E528+F528</f>
        <v/>
      </c>
      <c r="H528" s="66" t="inlineStr">
        <is>
          <t>Выплачено</t>
        </is>
      </c>
      <c r="I528" s="66" t="inlineStr">
        <is>
          <t>Ок</t>
        </is>
      </c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>
      <c r="B529" s="98" t="n">
        <v>45965</v>
      </c>
      <c r="C529" s="66" t="inlineStr">
        <is>
          <t>Дядь Эрик</t>
        </is>
      </c>
      <c r="D529" s="66" t="inlineStr">
        <is>
          <t xml:space="preserve">Салаты </t>
        </is>
      </c>
      <c r="E529" s="100" t="n"/>
      <c r="F529" s="66" t="n">
        <v>739970</v>
      </c>
      <c r="G529" s="66">
        <f>E529+F529</f>
        <v/>
      </c>
      <c r="H529" s="66" t="inlineStr">
        <is>
          <t>Выплачено</t>
        </is>
      </c>
      <c r="I529" s="66" t="inlineStr">
        <is>
          <t>Ок</t>
        </is>
      </c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>
      <c r="A530" s="5" t="n"/>
      <c r="B530" s="98" t="n">
        <v>45965</v>
      </c>
      <c r="C530" s="66" t="inlineStr">
        <is>
          <t>Вон С.</t>
        </is>
      </c>
      <c r="D530" s="66" t="inlineStr">
        <is>
          <t>Оплата поставщикам за сырье</t>
        </is>
      </c>
      <c r="E530" s="100" t="n">
        <v>13975969</v>
      </c>
      <c r="F530" s="66" t="n"/>
      <c r="G530" s="66">
        <f>E530+F530</f>
        <v/>
      </c>
      <c r="H530" s="66" t="inlineStr">
        <is>
          <t>Выплачено</t>
        </is>
      </c>
      <c r="I530" s="66" t="inlineStr">
        <is>
          <t>Ок</t>
        </is>
      </c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>
      <c r="A531" s="5" t="n"/>
      <c r="B531" s="98" t="n">
        <v>45965</v>
      </c>
      <c r="C531" s="66" t="inlineStr">
        <is>
          <t>Мастер дистрибьюшн</t>
        </is>
      </c>
      <c r="D531" s="66" t="inlineStr">
        <is>
          <t>масло фундучное</t>
        </is>
      </c>
      <c r="E531" s="100" t="n">
        <v>31800</v>
      </c>
      <c r="F531" s="66" t="n"/>
      <c r="G531" s="66">
        <f>E531+F531</f>
        <v/>
      </c>
      <c r="H531" s="66" t="inlineStr">
        <is>
          <t>Выплачено</t>
        </is>
      </c>
      <c r="I531" s="66" t="inlineStr">
        <is>
          <t>Ок</t>
        </is>
      </c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>
      <c r="A532" s="5" t="n"/>
      <c r="B532" s="98" t="n">
        <v>45966</v>
      </c>
      <c r="C532" s="66" t="inlineStr">
        <is>
          <t xml:space="preserve">Ли Станислав </t>
        </is>
      </c>
      <c r="D532" s="66" t="inlineStr">
        <is>
          <t>Подотчет сырье</t>
        </is>
      </c>
      <c r="E532" s="100" t="n"/>
      <c r="F532" s="66" t="n">
        <v>300000</v>
      </c>
      <c r="G532" s="66">
        <f>E532+F532</f>
        <v/>
      </c>
      <c r="H532" s="66" t="inlineStr">
        <is>
          <t>Выплачено</t>
        </is>
      </c>
      <c r="I532" s="66" t="inlineStr">
        <is>
          <t>Ок</t>
        </is>
      </c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>
      <c r="A533" s="5" t="n"/>
      <c r="B533" s="98" t="n">
        <v>45966</v>
      </c>
      <c r="C533" s="66" t="n"/>
      <c r="D533" s="66" t="inlineStr">
        <is>
          <t>Аппарат для пончиков (880000 руб)</t>
        </is>
      </c>
      <c r="E533" s="100" t="n">
        <v>5764456</v>
      </c>
      <c r="F533" s="66" t="n"/>
      <c r="G533" s="66">
        <f>E533+F533</f>
        <v/>
      </c>
      <c r="H533" s="66" t="inlineStr">
        <is>
          <t>Выплачено</t>
        </is>
      </c>
      <c r="I533" s="66" t="inlineStr">
        <is>
          <t>Ок</t>
        </is>
      </c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>
      <c r="A534" s="5" t="n"/>
      <c r="B534" s="98" t="n">
        <v>45966</v>
      </c>
      <c r="C534" s="66" t="inlineStr">
        <is>
          <t>Вон С.</t>
        </is>
      </c>
      <c r="D534" s="66" t="inlineStr">
        <is>
          <t>Оплата поставщикам за сырье</t>
        </is>
      </c>
      <c r="E534" s="100" t="n">
        <v>4007562</v>
      </c>
      <c r="F534" s="66" t="n"/>
      <c r="G534" s="66">
        <f>E534+F534</f>
        <v/>
      </c>
      <c r="H534" s="66" t="inlineStr">
        <is>
          <t>Выплачено</t>
        </is>
      </c>
      <c r="I534" s="66" t="inlineStr">
        <is>
          <t>Ок</t>
        </is>
      </c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>
      <c r="A535" s="5" t="n"/>
      <c r="B535" s="98" t="n">
        <v>45967</v>
      </c>
      <c r="C535" s="66" t="inlineStr">
        <is>
          <t>ДФЗ</t>
        </is>
      </c>
      <c r="D535" s="66" t="inlineStr">
        <is>
          <t>Тоймарт акция</t>
        </is>
      </c>
      <c r="E535" s="100" t="n"/>
      <c r="F535" s="66" t="n">
        <v>488293</v>
      </c>
      <c r="G535" s="66">
        <f>E535+F535</f>
        <v/>
      </c>
      <c r="H535" s="66" t="inlineStr">
        <is>
          <t>Выплачено</t>
        </is>
      </c>
      <c r="I535" s="66" t="inlineStr">
        <is>
          <t>Ок</t>
        </is>
      </c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>
      <c r="A536" s="5" t="n"/>
      <c r="B536" s="98" t="n">
        <v>45967</v>
      </c>
      <c r="C536" s="66" t="inlineStr">
        <is>
          <t>Ли Станислав</t>
        </is>
      </c>
      <c r="D536" s="66" t="inlineStr">
        <is>
          <t>Подотчет сырье</t>
        </is>
      </c>
      <c r="E536" s="100" t="n"/>
      <c r="F536" s="66" t="n">
        <v>600000</v>
      </c>
      <c r="G536" s="66">
        <f>E536+F536</f>
        <v/>
      </c>
      <c r="H536" s="66" t="inlineStr">
        <is>
          <t>Выплачено</t>
        </is>
      </c>
      <c r="I536" s="66" t="inlineStr">
        <is>
          <t>Ок</t>
        </is>
      </c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>
      <c r="A537" s="5" t="n"/>
      <c r="B537" s="98" t="n">
        <v>45967</v>
      </c>
      <c r="C537" s="66" t="inlineStr">
        <is>
          <t>Хон Вадим</t>
        </is>
      </c>
      <c r="D537" s="66" t="inlineStr">
        <is>
          <t>Лицензия облако Битрекса</t>
        </is>
      </c>
      <c r="E537" s="100" t="n">
        <v>170000</v>
      </c>
      <c r="F537" s="66" t="n"/>
      <c r="G537" s="66">
        <f>E537+F537</f>
        <v/>
      </c>
      <c r="H537" s="66" t="inlineStr">
        <is>
          <t>Выплачено</t>
        </is>
      </c>
      <c r="I537" s="66" t="inlineStr">
        <is>
          <t>Ок</t>
        </is>
      </c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>
      <c r="A538" s="5" t="n"/>
      <c r="B538" s="98" t="n">
        <v>45967</v>
      </c>
      <c r="C538" s="66" t="inlineStr">
        <is>
          <t xml:space="preserve">Эрико </t>
        </is>
      </c>
      <c r="D538" s="66" t="n"/>
      <c r="E538" s="100" t="n">
        <v>507827</v>
      </c>
      <c r="F538" s="66" t="n"/>
      <c r="G538" s="66">
        <f>E538+F538</f>
        <v/>
      </c>
      <c r="H538" s="66" t="inlineStr">
        <is>
          <t>Выплачено</t>
        </is>
      </c>
      <c r="I538" s="66" t="inlineStr">
        <is>
          <t>Ок</t>
        </is>
      </c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>
      <c r="A539" s="5" t="n"/>
      <c r="B539" s="98" t="n">
        <v>45967</v>
      </c>
      <c r="C539" s="66" t="inlineStr">
        <is>
          <t>Зарплата недельная</t>
        </is>
      </c>
      <c r="D539" s="66" t="inlineStr">
        <is>
          <t>Лагманщики</t>
        </is>
      </c>
      <c r="E539" s="100" t="n"/>
      <c r="F539" s="66" t="n">
        <v>400000</v>
      </c>
      <c r="G539" s="66">
        <f>E539+F539</f>
        <v/>
      </c>
      <c r="H539" s="66" t="inlineStr">
        <is>
          <t>Выплачено</t>
        </is>
      </c>
      <c r="I539" s="66" t="inlineStr">
        <is>
          <t>Ок</t>
        </is>
      </c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>
      <c r="A540" s="5" t="n"/>
      <c r="B540" s="98" t="n">
        <v>45967</v>
      </c>
      <c r="C540" s="66" t="inlineStr">
        <is>
          <t>Global Halal</t>
        </is>
      </c>
      <c r="D540" s="66" t="inlineStr">
        <is>
          <t>предоплата за курицу</t>
        </is>
      </c>
      <c r="E540" s="100" t="n">
        <v>2000000</v>
      </c>
      <c r="F540" s="66" t="n"/>
      <c r="G540" s="66">
        <f>E540+F540</f>
        <v/>
      </c>
      <c r="H540" s="66" t="inlineStr">
        <is>
          <t>Выплачено</t>
        </is>
      </c>
      <c r="I540" s="66" t="inlineStr">
        <is>
          <t>Ок</t>
        </is>
      </c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>
      <c r="A541" s="5" t="n"/>
      <c r="B541" s="98" t="n">
        <v>45967</v>
      </c>
      <c r="C541" s="66" t="inlineStr">
        <is>
          <t>Ахмерова</t>
        </is>
      </c>
      <c r="D541" s="66" t="inlineStr">
        <is>
          <t>ПЭТ бутылки</t>
        </is>
      </c>
      <c r="E541" s="100" t="n">
        <v>88200</v>
      </c>
      <c r="F541" s="66" t="n"/>
      <c r="G541" s="66">
        <f>E541+F541</f>
        <v/>
      </c>
      <c r="H541" s="66" t="inlineStr">
        <is>
          <t>Выплачено</t>
        </is>
      </c>
      <c r="I541" s="66" t="inlineStr">
        <is>
          <t>Ок</t>
        </is>
      </c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>
      <c r="A542" s="5" t="n"/>
      <c r="B542" s="98" t="n">
        <v>45967</v>
      </c>
      <c r="C542" s="66" t="inlineStr">
        <is>
          <t xml:space="preserve">ИП FS </t>
        </is>
      </c>
      <c r="D542" s="66" t="n"/>
      <c r="E542" s="100" t="n">
        <v>45000</v>
      </c>
      <c r="F542" s="66" t="n"/>
      <c r="G542" s="66">
        <f>E542+F542</f>
        <v/>
      </c>
      <c r="H542" s="66" t="inlineStr">
        <is>
          <t>Выплачено</t>
        </is>
      </c>
      <c r="I542" s="66" t="inlineStr">
        <is>
          <t>Ок</t>
        </is>
      </c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>
      <c r="A543" s="5" t="n"/>
      <c r="B543" s="98" t="n">
        <v>45967</v>
      </c>
      <c r="C543" s="57" t="inlineStr">
        <is>
          <t>MEGA SERVICE</t>
        </is>
      </c>
      <c r="D543" s="66" t="inlineStr">
        <is>
          <t xml:space="preserve">Ремонт весы </t>
        </is>
      </c>
      <c r="E543" s="100" t="n">
        <v>28000</v>
      </c>
      <c r="F543" s="66" t="n"/>
      <c r="G543" s="66">
        <f>E543+F543</f>
        <v/>
      </c>
      <c r="H543" s="66" t="inlineStr">
        <is>
          <t>Выплачено</t>
        </is>
      </c>
      <c r="I543" s="66" t="inlineStr">
        <is>
          <t>Ок</t>
        </is>
      </c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>
      <c r="A544" s="5" t="n"/>
      <c r="B544" s="98" t="n">
        <v>45968</v>
      </c>
      <c r="C544" s="66" t="inlineStr">
        <is>
          <t>Вон С.</t>
        </is>
      </c>
      <c r="D544" s="66" t="inlineStr">
        <is>
          <t>Оплата поставщикам за сырье</t>
        </is>
      </c>
      <c r="E544" s="100" t="n">
        <v>7637800</v>
      </c>
      <c r="F544" s="66" t="n"/>
      <c r="G544" s="66">
        <f>E544+F544</f>
        <v/>
      </c>
      <c r="H544" s="66" t="inlineStr">
        <is>
          <t>Выплачено</t>
        </is>
      </c>
      <c r="I544" s="66" t="inlineStr">
        <is>
          <t>Ок</t>
        </is>
      </c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>
      <c r="A545" s="5" t="n"/>
      <c r="B545" s="98" t="n">
        <v>45968</v>
      </c>
      <c r="C545" s="66" t="n"/>
      <c r="D545" s="66" t="inlineStr">
        <is>
          <t>Уволенные</t>
        </is>
      </c>
      <c r="E545" s="100" t="n"/>
      <c r="F545" s="66" t="n">
        <v>2427574</v>
      </c>
      <c r="G545" s="66">
        <f>E545+F545</f>
        <v/>
      </c>
      <c r="H545" s="66" t="inlineStr">
        <is>
          <t>Выплачено</t>
        </is>
      </c>
      <c r="I545" s="66" t="inlineStr">
        <is>
          <t>Ок</t>
        </is>
      </c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>
      <c r="A546" s="5" t="n"/>
      <c r="B546" s="98" t="n">
        <v>45968</v>
      </c>
      <c r="C546" s="66" t="n"/>
      <c r="D546" s="66" t="inlineStr">
        <is>
          <t>ЗП на карты</t>
        </is>
      </c>
      <c r="E546" s="100" t="n">
        <v>14189700</v>
      </c>
      <c r="F546" s="66" t="n"/>
      <c r="G546" s="66">
        <f>E546+F546</f>
        <v/>
      </c>
      <c r="H546" s="66" t="inlineStr">
        <is>
          <t>Выплачено</t>
        </is>
      </c>
      <c r="I546" s="66" t="inlineStr">
        <is>
          <t>Ок</t>
        </is>
      </c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>
      <c r="A547" s="5" t="n"/>
      <c r="B547" s="98" t="n">
        <v>45968</v>
      </c>
      <c r="C547" s="66" t="inlineStr">
        <is>
          <t>Plus Status</t>
        </is>
      </c>
      <c r="D547" s="66" t="inlineStr">
        <is>
          <t>транспортные Москва-Алматы</t>
        </is>
      </c>
      <c r="E547" s="100" t="n">
        <v>400000</v>
      </c>
      <c r="F547" s="66" t="n"/>
      <c r="G547" s="66">
        <f>E547+F547</f>
        <v/>
      </c>
      <c r="H547" s="66" t="inlineStr">
        <is>
          <t>Выплачено</t>
        </is>
      </c>
      <c r="I547" s="66" t="inlineStr">
        <is>
          <t>Ок</t>
        </is>
      </c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>
      <c r="A548" s="5" t="n"/>
      <c r="B548" s="98" t="n">
        <v>45968</v>
      </c>
      <c r="C548" s="66" t="inlineStr">
        <is>
          <t>Админ.расходы ПРОЧИЕ</t>
        </is>
      </c>
      <c r="D548" s="66" t="inlineStr">
        <is>
          <t xml:space="preserve">В г. Астана едут Маньшева О.С. Вон С </t>
        </is>
      </c>
      <c r="E548" s="100" t="n"/>
      <c r="F548" s="66" t="n">
        <v>149000</v>
      </c>
      <c r="G548" s="66">
        <f>E548+F548</f>
        <v/>
      </c>
      <c r="H548" s="66" t="inlineStr">
        <is>
          <t>Выплачено</t>
        </is>
      </c>
      <c r="I548" s="66" t="inlineStr">
        <is>
          <t>Ок</t>
        </is>
      </c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>
      <c r="A549" s="5" t="n"/>
      <c r="B549" s="98" t="n">
        <v>45968</v>
      </c>
      <c r="C549" s="66" t="inlineStr">
        <is>
          <t xml:space="preserve">Налог </t>
        </is>
      </c>
      <c r="D549" s="66" t="inlineStr">
        <is>
          <t>НДС</t>
        </is>
      </c>
      <c r="E549" s="100" t="n">
        <v>78640</v>
      </c>
      <c r="F549" s="66" t="n"/>
      <c r="G549" s="66">
        <f>E549+F549</f>
        <v/>
      </c>
      <c r="H549" s="66" t="inlineStr">
        <is>
          <t>Выплачено</t>
        </is>
      </c>
      <c r="I549" s="66" t="inlineStr">
        <is>
          <t>Ок</t>
        </is>
      </c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>
      <c r="A550" s="5" t="n"/>
      <c r="B550" s="98" t="n">
        <v>45969</v>
      </c>
      <c r="C550" s="66" t="inlineStr">
        <is>
          <t>Вон С</t>
        </is>
      </c>
      <c r="D550" s="66" t="inlineStr">
        <is>
          <t>Оплата поставщикам за сырье</t>
        </is>
      </c>
      <c r="E550" s="100" t="n">
        <v>5762957</v>
      </c>
      <c r="F550" s="66" t="n"/>
      <c r="G550" s="66">
        <f>E550+F550</f>
        <v/>
      </c>
      <c r="H550" s="66" t="inlineStr">
        <is>
          <t>Выплачено</t>
        </is>
      </c>
      <c r="I550" s="66" t="inlineStr">
        <is>
          <t>Ок</t>
        </is>
      </c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>
      <c r="A551" s="5" t="n"/>
      <c r="B551" s="98" t="n">
        <v>45971</v>
      </c>
      <c r="C551" s="66" t="inlineStr">
        <is>
          <t>ИП Ахмерова</t>
        </is>
      </c>
      <c r="D551" s="66" t="inlineStr">
        <is>
          <t>ПЭТ бутылки</t>
        </is>
      </c>
      <c r="E551" s="100" t="n">
        <v>205800</v>
      </c>
      <c r="F551" s="66" t="n"/>
      <c r="G551" s="66">
        <f>E551+F551</f>
        <v/>
      </c>
      <c r="H551" s="66" t="inlineStr">
        <is>
          <t>Выплачено</t>
        </is>
      </c>
      <c r="I551" s="66" t="inlineStr">
        <is>
          <t>Ок</t>
        </is>
      </c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>
      <c r="A552" s="5" t="n"/>
      <c r="B552" s="98" t="n">
        <v>45971</v>
      </c>
      <c r="C552" s="66" t="inlineStr">
        <is>
          <t>Шымкентмай</t>
        </is>
      </c>
      <c r="D552" s="66" t="inlineStr">
        <is>
          <t>масло подсолнечное</t>
        </is>
      </c>
      <c r="E552" s="100" t="n">
        <v>592000</v>
      </c>
      <c r="F552" s="66" t="n"/>
      <c r="G552" s="66">
        <f>E552+F552</f>
        <v/>
      </c>
      <c r="H552" s="66" t="inlineStr">
        <is>
          <t>Выплачено</t>
        </is>
      </c>
      <c r="I552" s="66" t="inlineStr">
        <is>
          <t>Ок</t>
        </is>
      </c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>
      <c r="A553" s="5" t="n"/>
      <c r="B553" s="98" t="n">
        <v>45971</v>
      </c>
      <c r="C553" s="66" t="inlineStr">
        <is>
          <t>ВМ Логистик</t>
        </is>
      </c>
      <c r="D553" s="66" t="inlineStr">
        <is>
          <t>смесь для фарша</t>
        </is>
      </c>
      <c r="E553" s="100" t="n">
        <v>183000</v>
      </c>
      <c r="F553" s="66" t="n"/>
      <c r="G553" s="66">
        <f>E553+F553</f>
        <v/>
      </c>
      <c r="H553" s="66" t="inlineStr">
        <is>
          <t>Выплачено</t>
        </is>
      </c>
      <c r="I553" s="66" t="inlineStr">
        <is>
          <t>Ок</t>
        </is>
      </c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>
      <c r="A554" s="5" t="n"/>
      <c r="B554" s="98" t="n">
        <v>45971</v>
      </c>
      <c r="C554" s="66" t="inlineStr">
        <is>
          <t>Караван</t>
        </is>
      </c>
      <c r="D554" s="66" t="inlineStr">
        <is>
          <t>сухари</t>
        </is>
      </c>
      <c r="E554" s="100" t="n">
        <v>28032</v>
      </c>
      <c r="F554" s="66" t="n"/>
      <c r="G554" s="66">
        <f>E554+F554</f>
        <v/>
      </c>
      <c r="H554" s="66" t="inlineStr">
        <is>
          <t>Выплачено</t>
        </is>
      </c>
      <c r="I554" s="66" t="inlineStr">
        <is>
          <t>Ок</t>
        </is>
      </c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>
      <c r="A555" s="5" t="n"/>
      <c r="B555" s="98" t="n">
        <v>45971</v>
      </c>
      <c r="C555" s="66" t="inlineStr">
        <is>
          <t>Лейму Казахстан</t>
        </is>
      </c>
      <c r="D555" s="66" t="inlineStr">
        <is>
          <t>мука, семена льна</t>
        </is>
      </c>
      <c r="E555" s="100" t="n">
        <v>61250</v>
      </c>
      <c r="F555" s="66" t="n"/>
      <c r="G555" s="66">
        <f>E555+F555</f>
        <v/>
      </c>
      <c r="H555" s="66" t="inlineStr">
        <is>
          <t>Выплачено</t>
        </is>
      </c>
      <c r="I555" s="66" t="inlineStr">
        <is>
          <t>Ок</t>
        </is>
      </c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>
      <c r="A556" s="5" t="n"/>
      <c r="B556" s="98" t="n">
        <v>45971</v>
      </c>
      <c r="C556" s="66" t="inlineStr">
        <is>
          <t>Медхелп</t>
        </is>
      </c>
      <c r="D556" s="66" t="inlineStr">
        <is>
          <t>халаты, маски</t>
        </is>
      </c>
      <c r="E556" s="100" t="n">
        <v>35400</v>
      </c>
      <c r="F556" s="66" t="n"/>
      <c r="G556" s="66">
        <f>E556+F556</f>
        <v/>
      </c>
      <c r="H556" s="66" t="inlineStr">
        <is>
          <t>Выплачено</t>
        </is>
      </c>
      <c r="I556" s="66" t="inlineStr">
        <is>
          <t>Ок</t>
        </is>
      </c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>
      <c r="A557" s="5" t="n"/>
      <c r="B557" s="98" t="n">
        <v>45971</v>
      </c>
      <c r="C557" s="66" t="inlineStr">
        <is>
          <t>Орими СА</t>
        </is>
      </c>
      <c r="D557" s="66" t="inlineStr">
        <is>
          <t>чай</t>
        </is>
      </c>
      <c r="E557" s="100" t="n">
        <v>175464</v>
      </c>
      <c r="F557" s="66" t="n"/>
      <c r="G557" s="66">
        <f>E557+F557</f>
        <v/>
      </c>
      <c r="H557" s="66" t="inlineStr">
        <is>
          <t>Выплачено</t>
        </is>
      </c>
      <c r="I557" s="66" t="inlineStr">
        <is>
          <t>Ок</t>
        </is>
      </c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>
      <c r="A558" s="5" t="n"/>
      <c r="B558" s="98" t="n">
        <v>45972</v>
      </c>
      <c r="C558" s="66" t="inlineStr">
        <is>
          <t>Вон С</t>
        </is>
      </c>
      <c r="D558" s="66" t="inlineStr">
        <is>
          <t>Оплата поставщикам за сырье</t>
        </is>
      </c>
      <c r="E558" s="100" t="n">
        <v>2021120</v>
      </c>
      <c r="F558" s="66" t="n"/>
      <c r="G558" s="66">
        <f>E558+F558</f>
        <v/>
      </c>
      <c r="H558" s="66" t="inlineStr">
        <is>
          <t>Выплачено</t>
        </is>
      </c>
      <c r="I558" s="66" t="inlineStr">
        <is>
          <t>Ок</t>
        </is>
      </c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>
      <c r="A559" s="5" t="n"/>
      <c r="B559" s="98" t="n">
        <v>45972</v>
      </c>
      <c r="C559" s="66" t="inlineStr">
        <is>
          <t>Маньшева О.</t>
        </is>
      </c>
      <c r="D559" s="66" t="inlineStr">
        <is>
          <t>интерактивная доска погашение долга</t>
        </is>
      </c>
      <c r="E559" s="100" t="n"/>
      <c r="F559" s="66" t="n">
        <v>828010</v>
      </c>
      <c r="G559" s="66">
        <f>E559+F559</f>
        <v/>
      </c>
      <c r="H559" s="66" t="inlineStr">
        <is>
          <t>Выплачено</t>
        </is>
      </c>
      <c r="I559" s="66" t="inlineStr">
        <is>
          <t>Ок</t>
        </is>
      </c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>
      <c r="A560" s="5" t="n"/>
      <c r="B560" s="98" t="n">
        <v>45972</v>
      </c>
      <c r="C560" s="66" t="inlineStr">
        <is>
          <t>Plus Status</t>
        </is>
      </c>
      <c r="D560" s="66" t="inlineStr">
        <is>
          <t>транспортные Москва-Алматы</t>
        </is>
      </c>
      <c r="E560" s="100" t="n">
        <v>450000</v>
      </c>
      <c r="F560" s="66" t="n"/>
      <c r="G560" s="66">
        <f>E560+F560</f>
        <v/>
      </c>
      <c r="H560" s="66" t="inlineStr">
        <is>
          <t>Выплачено</t>
        </is>
      </c>
      <c r="I560" s="66" t="inlineStr">
        <is>
          <t>Ок</t>
        </is>
      </c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>
      <c r="A561" s="5" t="n"/>
      <c r="B561" s="98" t="n">
        <v>45973</v>
      </c>
      <c r="C561" s="66" t="inlineStr">
        <is>
          <t>Вон С</t>
        </is>
      </c>
      <c r="D561" s="66" t="inlineStr">
        <is>
          <t>Оплата поставщикам за сырье</t>
        </is>
      </c>
      <c r="E561" s="100" t="n">
        <v>6006199</v>
      </c>
      <c r="F561" s="66" t="n"/>
      <c r="G561" s="66">
        <f>E561+F561</f>
        <v/>
      </c>
      <c r="H561" s="66" t="inlineStr">
        <is>
          <t>Выплачено</t>
        </is>
      </c>
      <c r="I561" s="66" t="inlineStr">
        <is>
          <t>Ок</t>
        </is>
      </c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>
      <c r="A562" s="5" t="n"/>
      <c r="B562" s="40" t="n">
        <v>45973</v>
      </c>
      <c r="C562" s="73" t="inlineStr">
        <is>
          <t>Мукашева Мира</t>
        </is>
      </c>
      <c r="D562" s="73" t="inlineStr">
        <is>
          <t>Public Health иследование 4 пищи</t>
        </is>
      </c>
      <c r="E562" s="112" t="n">
        <v>76100</v>
      </c>
      <c r="F562" s="73" t="n"/>
      <c r="G562" s="73">
        <f>E562+F562</f>
        <v/>
      </c>
      <c r="H562" s="66" t="inlineStr">
        <is>
          <t>Выплачено</t>
        </is>
      </c>
      <c r="I562" s="66" t="inlineStr">
        <is>
          <t>Ок</t>
        </is>
      </c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>
      <c r="A563" s="5" t="n"/>
      <c r="B563" s="40" t="n">
        <v>45973</v>
      </c>
      <c r="C563" s="73" t="inlineStr">
        <is>
          <t xml:space="preserve">Ли Станислав </t>
        </is>
      </c>
      <c r="D563" s="73" t="inlineStr">
        <is>
          <t>Подотчет сырье</t>
        </is>
      </c>
      <c r="E563" s="112" t="n"/>
      <c r="F563" s="73" t="n">
        <v>300000</v>
      </c>
      <c r="G563" s="73">
        <f>E563+F563</f>
        <v/>
      </c>
      <c r="H563" s="66" t="inlineStr">
        <is>
          <t>Выплачено</t>
        </is>
      </c>
      <c r="I563" s="66" t="inlineStr">
        <is>
          <t>Ок</t>
        </is>
      </c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>
      <c r="A564" s="5" t="n"/>
      <c r="B564" s="40" t="n">
        <v>45973</v>
      </c>
      <c r="C564" s="73" t="inlineStr">
        <is>
          <t>Алексеевское</t>
        </is>
      </c>
      <c r="D564" s="73" t="inlineStr">
        <is>
          <t>Мусор</t>
        </is>
      </c>
      <c r="E564" s="112" t="n">
        <v>100000</v>
      </c>
      <c r="F564" s="73" t="n"/>
      <c r="G564" s="73">
        <f>E564+F564</f>
        <v/>
      </c>
      <c r="H564" s="66" t="inlineStr">
        <is>
          <t>К оплате</t>
        </is>
      </c>
      <c r="I564" s="66" t="inlineStr">
        <is>
          <t>Ок</t>
        </is>
      </c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>
      <c r="A565" s="5" t="n"/>
      <c r="B565" s="40" t="n">
        <v>45973</v>
      </c>
      <c r="C565" s="73" t="inlineStr">
        <is>
          <t>Аренда квартиры</t>
        </is>
      </c>
      <c r="D565" s="73" t="n"/>
      <c r="E565" s="112" t="n"/>
      <c r="F565" s="73" t="n">
        <v>350000</v>
      </c>
      <c r="G565" s="73">
        <f>E565+F565</f>
        <v/>
      </c>
      <c r="H565" s="66" t="inlineStr">
        <is>
          <t>Выплачено</t>
        </is>
      </c>
      <c r="I565" s="66" t="inlineStr">
        <is>
          <t>Ок</t>
        </is>
      </c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>
      <c r="A566" s="5" t="n"/>
      <c r="B566" s="40" t="n">
        <v>45973</v>
      </c>
      <c r="C566" s="73" t="inlineStr">
        <is>
          <t>Status Plus</t>
        </is>
      </c>
      <c r="D566" s="73" t="inlineStr">
        <is>
          <t>Логистика 3 транш оборудование с Москвы</t>
        </is>
      </c>
      <c r="E566" s="112" t="n">
        <v>450000</v>
      </c>
      <c r="F566" s="73" t="n"/>
      <c r="G566" s="73">
        <f>E566+F566</f>
        <v/>
      </c>
      <c r="H566" s="66" t="inlineStr">
        <is>
          <t>Выплачено</t>
        </is>
      </c>
      <c r="I566" s="66" t="inlineStr">
        <is>
          <t>Ок</t>
        </is>
      </c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>
      <c r="A567" s="5" t="n"/>
      <c r="B567" s="98" t="n">
        <v>45974</v>
      </c>
      <c r="C567" s="66" t="inlineStr">
        <is>
          <t>Зарплата недельная</t>
        </is>
      </c>
      <c r="D567" s="66" t="inlineStr">
        <is>
          <t>Лагманщики</t>
        </is>
      </c>
      <c r="E567" s="100" t="n"/>
      <c r="F567" s="66" t="n">
        <v>400000</v>
      </c>
      <c r="G567" s="66">
        <f>E567+F567</f>
        <v/>
      </c>
      <c r="H567" s="66" t="inlineStr">
        <is>
          <t>Выплачено</t>
        </is>
      </c>
      <c r="I567" s="66" t="inlineStr">
        <is>
          <t>Ок</t>
        </is>
      </c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>
      <c r="A568" s="5" t="n"/>
      <c r="B568" s="98" t="n">
        <v>45974</v>
      </c>
      <c r="C568" s="66" t="inlineStr">
        <is>
          <t xml:space="preserve">Ли Станислав </t>
        </is>
      </c>
      <c r="D568" s="66" t="inlineStr">
        <is>
          <t>Подотчет сырье</t>
        </is>
      </c>
      <c r="E568" s="100" t="n"/>
      <c r="F568" s="66" t="n">
        <v>300000</v>
      </c>
      <c r="G568" s="66">
        <f>E568+F568</f>
        <v/>
      </c>
      <c r="H568" s="66" t="inlineStr">
        <is>
          <t>Выплачено</t>
        </is>
      </c>
      <c r="I568" s="66" t="inlineStr">
        <is>
          <t>Ок</t>
        </is>
      </c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>
      <c r="A569" s="5" t="n"/>
      <c r="B569" s="98" t="n">
        <v>45974</v>
      </c>
      <c r="C569" s="66" t="inlineStr">
        <is>
          <t>Шевчук Василий</t>
        </is>
      </c>
      <c r="D569" s="66" t="inlineStr">
        <is>
          <t>Ассоциация овтоматической инд.GS1 Kazakhstan (Штрих коды)</t>
        </is>
      </c>
      <c r="E569" s="100" t="n">
        <v>173008</v>
      </c>
      <c r="F569" s="66" t="n"/>
      <c r="G569" s="66">
        <f>E569+F569</f>
        <v/>
      </c>
      <c r="H569" s="66" t="inlineStr">
        <is>
          <t>Выплачено</t>
        </is>
      </c>
      <c r="I569" s="66" t="inlineStr">
        <is>
          <t>Ок</t>
        </is>
      </c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>
      <c r="A570" s="5" t="n"/>
      <c r="B570" s="98" t="n">
        <v>45974</v>
      </c>
      <c r="C570" s="66" t="n"/>
      <c r="D570" s="66" t="inlineStr">
        <is>
          <t>ЗП произв-во</t>
        </is>
      </c>
      <c r="E570" s="100" t="n"/>
      <c r="F570" s="66" t="n">
        <v>10000000</v>
      </c>
      <c r="G570" s="66">
        <f>E570+F570</f>
        <v/>
      </c>
      <c r="H570" s="66" t="inlineStr">
        <is>
          <t>Отложено</t>
        </is>
      </c>
      <c r="I570" s="66" t="inlineStr">
        <is>
          <t>Ок</t>
        </is>
      </c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>
      <c r="A571" s="5" t="n"/>
      <c r="B571" s="98" t="n">
        <v>45974</v>
      </c>
      <c r="C571" s="66" t="inlineStr">
        <is>
          <t>Вон С</t>
        </is>
      </c>
      <c r="D571" s="66" t="inlineStr">
        <is>
          <t>Оплата поставщикам за сырье</t>
        </is>
      </c>
      <c r="E571" s="100" t="n">
        <v>6506018</v>
      </c>
      <c r="F571" s="66" t="n"/>
      <c r="G571" s="66">
        <f>E571+F571</f>
        <v/>
      </c>
      <c r="H571" s="66" t="inlineStr">
        <is>
          <t>Выплачено</t>
        </is>
      </c>
      <c r="I571" s="66" t="inlineStr">
        <is>
          <t>Ок</t>
        </is>
      </c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>
      <c r="A572" s="5" t="n"/>
      <c r="B572" s="98" t="n">
        <v>45974</v>
      </c>
      <c r="C572" s="66" t="inlineStr">
        <is>
          <t>ИП Богомол</t>
        </is>
      </c>
      <c r="D572" s="66" t="inlineStr">
        <is>
          <t>охрана за октябрь</t>
        </is>
      </c>
      <c r="E572" s="100" t="n">
        <v>600240</v>
      </c>
      <c r="F572" s="66" t="n"/>
      <c r="G572" s="66">
        <f>E572+F572</f>
        <v/>
      </c>
      <c r="H572" s="66" t="inlineStr">
        <is>
          <t>Выплачено</t>
        </is>
      </c>
      <c r="I572" s="66" t="inlineStr">
        <is>
          <t>Ок</t>
        </is>
      </c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>
      <c r="A573" s="5" t="n"/>
      <c r="B573" s="98" t="n">
        <v>45975</v>
      </c>
      <c r="C573" s="66" t="inlineStr">
        <is>
          <t>Вон С</t>
        </is>
      </c>
      <c r="D573" s="66" t="inlineStr">
        <is>
          <t>Оплата поставщикам за сырье</t>
        </is>
      </c>
      <c r="E573" s="100" t="n">
        <v>21288977</v>
      </c>
      <c r="F573" s="66" t="n"/>
      <c r="G573" s="66">
        <f>E573+F573</f>
        <v/>
      </c>
      <c r="H573" s="66" t="inlineStr">
        <is>
          <t>Выплачено</t>
        </is>
      </c>
      <c r="I573" s="66" t="inlineStr">
        <is>
          <t>Ок</t>
        </is>
      </c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>
      <c r="A574" s="5" t="n"/>
      <c r="B574" s="98" t="n">
        <v>45975</v>
      </c>
      <c r="C574" s="66" t="n"/>
      <c r="D574" s="66" t="inlineStr">
        <is>
          <t xml:space="preserve">уволеный </t>
        </is>
      </c>
      <c r="E574" s="100" t="n"/>
      <c r="F574" s="66" t="n"/>
      <c r="G574" s="66">
        <f>E574+F574</f>
        <v/>
      </c>
      <c r="H574" s="66" t="inlineStr">
        <is>
          <t>К оплате</t>
        </is>
      </c>
      <c r="I574" s="66" t="inlineStr">
        <is>
          <t>Ок</t>
        </is>
      </c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>
      <c r="A575" s="5" t="n"/>
      <c r="B575" s="98" t="n">
        <v>45978</v>
      </c>
      <c r="C575" s="66" t="n"/>
      <c r="D575" s="66" t="inlineStr">
        <is>
          <t>ЗП произв-во</t>
        </is>
      </c>
      <c r="E575" s="100" t="n"/>
      <c r="F575" s="66" t="n">
        <v>17818000</v>
      </c>
      <c r="G575" s="66">
        <f>E575+F575</f>
        <v/>
      </c>
      <c r="H575" s="66" t="inlineStr">
        <is>
          <t>Выплачено</t>
        </is>
      </c>
      <c r="I575" s="66" t="inlineStr">
        <is>
          <t>Ок</t>
        </is>
      </c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>
      <c r="A576" s="5" t="n"/>
      <c r="B576" s="98" t="n">
        <v>45978</v>
      </c>
      <c r="C576" s="66" t="n"/>
      <c r="D576" s="66" t="inlineStr">
        <is>
          <t>аренда квартиры</t>
        </is>
      </c>
      <c r="E576" s="100" t="n"/>
      <c r="F576" s="66" t="n">
        <v>350000</v>
      </c>
      <c r="G576" s="66">
        <f>E576+F576</f>
        <v/>
      </c>
      <c r="H576" s="66" t="inlineStr">
        <is>
          <t>Выплачено</t>
        </is>
      </c>
      <c r="I576" s="66" t="inlineStr">
        <is>
          <t>Ок</t>
        </is>
      </c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>
      <c r="A577" s="5" t="n"/>
      <c r="B577" s="98" t="n">
        <v>45978</v>
      </c>
      <c r="C577" s="66" t="inlineStr">
        <is>
          <t>ИП Махаметова</t>
        </is>
      </c>
      <c r="D577" s="66" t="inlineStr">
        <is>
          <t>рис предоплата</t>
        </is>
      </c>
      <c r="E577" s="100" t="n">
        <v>360000</v>
      </c>
      <c r="F577" s="66" t="n"/>
      <c r="G577" s="66">
        <f>E577+F577</f>
        <v/>
      </c>
      <c r="H577" s="66" t="inlineStr">
        <is>
          <t>Выплачено</t>
        </is>
      </c>
      <c r="I577" s="66" t="inlineStr">
        <is>
          <t>Ок</t>
        </is>
      </c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>
      <c r="A578" s="5" t="n"/>
      <c r="B578" s="98" t="n">
        <v>45978</v>
      </c>
      <c r="C578" s="66" t="inlineStr">
        <is>
          <t>DG distribution</t>
        </is>
      </c>
      <c r="D578" s="66" t="inlineStr">
        <is>
          <t>сахар ванильный</t>
        </is>
      </c>
      <c r="E578" s="100" t="n">
        <v>149400</v>
      </c>
      <c r="F578" s="66" t="n"/>
      <c r="G578" s="66">
        <f>E578+F578</f>
        <v/>
      </c>
      <c r="H578" s="66" t="inlineStr">
        <is>
          <t>Выплачено</t>
        </is>
      </c>
      <c r="I578" s="66" t="inlineStr">
        <is>
          <t>Ок</t>
        </is>
      </c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>
      <c r="A579" s="5" t="n"/>
      <c r="B579" s="98" t="n">
        <v>45978</v>
      </c>
      <c r="C579" s="66" t="inlineStr">
        <is>
          <t>Аяла</t>
        </is>
      </c>
      <c r="D579" s="66" t="inlineStr">
        <is>
          <t>творог</t>
        </is>
      </c>
      <c r="E579" s="100" t="n">
        <v>285000</v>
      </c>
      <c r="F579" s="66" t="n"/>
      <c r="G579" s="66">
        <f>E579+F579</f>
        <v/>
      </c>
      <c r="H579" s="66" t="inlineStr">
        <is>
          <t>Выплачено</t>
        </is>
      </c>
      <c r="I579" s="66" t="inlineStr">
        <is>
          <t>Ок</t>
        </is>
      </c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>
      <c r="A580" s="5" t="n"/>
      <c r="B580" s="98" t="n">
        <v>45979</v>
      </c>
      <c r="C580" s="66" t="inlineStr">
        <is>
          <t>Вон С</t>
        </is>
      </c>
      <c r="D580" s="66" t="inlineStr">
        <is>
          <t>Оплата поставщикам за сырье</t>
        </is>
      </c>
      <c r="E580" s="100">
        <f>19017484+60000</f>
        <v/>
      </c>
      <c r="F580" s="66" t="n"/>
      <c r="G580" s="66">
        <f>E580+F580</f>
        <v/>
      </c>
      <c r="H580" s="66" t="inlineStr">
        <is>
          <t>Выплачено</t>
        </is>
      </c>
      <c r="I580" s="66" t="inlineStr">
        <is>
          <t>Ок</t>
        </is>
      </c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>
      <c r="A581" s="5" t="n"/>
      <c r="B581" s="98" t="n">
        <v>45979</v>
      </c>
      <c r="C581" s="66" t="inlineStr">
        <is>
          <t>Экспресс-сервис</t>
        </is>
      </c>
      <c r="D581" s="66" t="inlineStr">
        <is>
          <t>Аренда помещения</t>
        </is>
      </c>
      <c r="E581" s="100" t="n">
        <v>6050000</v>
      </c>
      <c r="F581" s="66" t="n"/>
      <c r="G581" s="66">
        <f>E581+F581</f>
        <v/>
      </c>
      <c r="H581" s="66" t="inlineStr">
        <is>
          <t>Выплачено</t>
        </is>
      </c>
      <c r="I581" s="66" t="inlineStr">
        <is>
          <t>Ок</t>
        </is>
      </c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>
      <c r="A582" s="5" t="n"/>
      <c r="B582" s="98" t="n">
        <v>45979</v>
      </c>
      <c r="C582" s="66" t="inlineStr">
        <is>
          <t xml:space="preserve">Ли Станислав </t>
        </is>
      </c>
      <c r="D582" s="66" t="inlineStr">
        <is>
          <t>Подотчет сырье</t>
        </is>
      </c>
      <c r="E582" s="100" t="n"/>
      <c r="F582" s="66" t="n">
        <v>600000</v>
      </c>
      <c r="G582" s="66">
        <f>E582+F582</f>
        <v/>
      </c>
      <c r="H582" s="66" t="inlineStr">
        <is>
          <t>Выплачено</t>
        </is>
      </c>
      <c r="I582" s="66" t="inlineStr">
        <is>
          <t>Ок</t>
        </is>
      </c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>
      <c r="A583" s="5" t="n"/>
      <c r="B583" s="98" t="n">
        <v>45979</v>
      </c>
      <c r="C583" s="66" t="inlineStr">
        <is>
          <t xml:space="preserve">Гузя </t>
        </is>
      </c>
      <c r="D583" s="66" t="inlineStr">
        <is>
          <t xml:space="preserve">служебку </t>
        </is>
      </c>
      <c r="E583" s="100" t="n"/>
      <c r="F583" s="66" t="n">
        <v>140305</v>
      </c>
      <c r="G583" s="66">
        <f>E583+F583</f>
        <v/>
      </c>
      <c r="H583" s="66" t="inlineStr">
        <is>
          <t>Выплачено</t>
        </is>
      </c>
      <c r="I583" s="66" t="inlineStr">
        <is>
          <t>Ок</t>
        </is>
      </c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>
      <c r="A584" s="5" t="n"/>
      <c r="B584" s="98" t="n">
        <v>45980</v>
      </c>
      <c r="C584" s="66" t="inlineStr">
        <is>
          <t xml:space="preserve">Ли Станислав </t>
        </is>
      </c>
      <c r="D584" s="66" t="inlineStr">
        <is>
          <t>Подотчет сырье</t>
        </is>
      </c>
      <c r="E584" s="100" t="n"/>
      <c r="F584" s="66" t="n">
        <v>500000</v>
      </c>
      <c r="G584" s="66">
        <f>E584+F584</f>
        <v/>
      </c>
      <c r="H584" s="66" t="inlineStr">
        <is>
          <t>Отложено</t>
        </is>
      </c>
      <c r="I584" s="66" t="inlineStr">
        <is>
          <t>Ок</t>
        </is>
      </c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>
      <c r="A585" s="5" t="n"/>
      <c r="B585" s="98" t="n">
        <v>45980</v>
      </c>
      <c r="C585" s="66" t="inlineStr">
        <is>
          <t>Грин Хаус</t>
        </is>
      </c>
      <c r="D585" s="66" t="n"/>
      <c r="E585" s="100" t="n">
        <v>18340</v>
      </c>
      <c r="F585" s="66" t="n"/>
      <c r="G585" s="66">
        <f>E585+F585</f>
        <v/>
      </c>
      <c r="H585" s="66" t="inlineStr">
        <is>
          <t>Выплачено</t>
        </is>
      </c>
      <c r="I585" s="66" t="inlineStr">
        <is>
          <t>Ок</t>
        </is>
      </c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>
      <c r="A586" s="5" t="n"/>
      <c r="B586" s="98" t="n">
        <v>45980</v>
      </c>
      <c r="C586" s="66" t="inlineStr">
        <is>
          <t>Инарин</t>
        </is>
      </c>
      <c r="D586" s="66" t="inlineStr">
        <is>
          <t>соусы</t>
        </is>
      </c>
      <c r="E586" s="100" t="n">
        <v>225540</v>
      </c>
      <c r="F586" s="66" t="n"/>
      <c r="G586" s="66">
        <f>E586+F586</f>
        <v/>
      </c>
      <c r="H586" s="66" t="inlineStr">
        <is>
          <t>Выплачено</t>
        </is>
      </c>
      <c r="I586" s="66" t="inlineStr">
        <is>
          <t>Ок</t>
        </is>
      </c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>
      <c r="A587" s="5" t="n"/>
      <c r="B587" s="98" t="n">
        <v>45980</v>
      </c>
      <c r="C587" s="66" t="inlineStr">
        <is>
          <t>Вон С</t>
        </is>
      </c>
      <c r="D587" s="66" t="inlineStr">
        <is>
          <t>Оплата поставщикам за сырье</t>
        </is>
      </c>
      <c r="E587" s="100" t="n">
        <v>2040096</v>
      </c>
      <c r="F587" s="66" t="n"/>
      <c r="G587" s="66">
        <f>E587+F587</f>
        <v/>
      </c>
      <c r="H587" s="66" t="inlineStr">
        <is>
          <t>Выплачено</t>
        </is>
      </c>
      <c r="I587" s="66" t="inlineStr">
        <is>
          <t>Ок</t>
        </is>
      </c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>
      <c r="A588" s="5" t="n"/>
      <c r="B588" s="98" t="n">
        <v>45982</v>
      </c>
      <c r="C588" s="66" t="inlineStr">
        <is>
          <t>Вон С</t>
        </is>
      </c>
      <c r="D588" s="66" t="inlineStr">
        <is>
          <t>Оплата поставщикам за сырье</t>
        </is>
      </c>
      <c r="E588" s="100" t="n">
        <v>15651366</v>
      </c>
      <c r="F588" s="66" t="n"/>
      <c r="G588" s="66">
        <f>E588+F588</f>
        <v/>
      </c>
      <c r="H588" s="66" t="inlineStr">
        <is>
          <t>Выплачено</t>
        </is>
      </c>
      <c r="I588" s="66" t="inlineStr">
        <is>
          <t>Ок</t>
        </is>
      </c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>
      <c r="A589" s="5" t="n"/>
      <c r="B589" s="98" t="n">
        <v>45982</v>
      </c>
      <c r="C589" s="66" t="inlineStr">
        <is>
          <t>НУ</t>
        </is>
      </c>
      <c r="D589" s="66" t="inlineStr">
        <is>
          <t>Налоги по ЗП</t>
        </is>
      </c>
      <c r="E589" s="100" t="n">
        <v>8762645</v>
      </c>
      <c r="F589" s="66" t="n"/>
      <c r="G589" s="66">
        <f>E589+F589</f>
        <v/>
      </c>
      <c r="H589" s="66" t="inlineStr">
        <is>
          <t>Выплачено</t>
        </is>
      </c>
      <c r="I589" s="66" t="inlineStr">
        <is>
          <t>Ок</t>
        </is>
      </c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>
      <c r="A590" s="5" t="n"/>
      <c r="B590" s="98" t="n">
        <v>45982</v>
      </c>
      <c r="C590" s="66" t="inlineStr">
        <is>
          <t>Демьянов</t>
        </is>
      </c>
      <c r="D590" s="66" t="inlineStr">
        <is>
          <t>услуги логистики</t>
        </is>
      </c>
      <c r="E590" s="100" t="n">
        <v>935000</v>
      </c>
      <c r="F590" s="66" t="n"/>
      <c r="G590" s="66">
        <f>E590+F590</f>
        <v/>
      </c>
      <c r="H590" s="66" t="inlineStr">
        <is>
          <t>Выплачено</t>
        </is>
      </c>
      <c r="I590" s="66" t="inlineStr">
        <is>
          <t>Ок</t>
        </is>
      </c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>
      <c r="A591" s="5" t="n"/>
      <c r="B591" s="98" t="n">
        <v>45982</v>
      </c>
      <c r="C591" s="66" t="inlineStr">
        <is>
          <t>Хон В.</t>
        </is>
      </c>
      <c r="D591" s="66" t="inlineStr">
        <is>
          <t>за корпорат.почту согласно СЗ</t>
        </is>
      </c>
      <c r="E591" s="100" t="n"/>
      <c r="F591" s="66" t="n">
        <v>107910</v>
      </c>
      <c r="G591" s="66">
        <f>E591+F591</f>
        <v/>
      </c>
      <c r="H591" s="66" t="inlineStr">
        <is>
          <t>Выплачено</t>
        </is>
      </c>
      <c r="I591" s="66" t="inlineStr">
        <is>
          <t>Ок</t>
        </is>
      </c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>
      <c r="A592" s="5" t="n"/>
      <c r="B592" s="98" t="n">
        <v>45985</v>
      </c>
      <c r="C592" s="66" t="inlineStr">
        <is>
          <t>Халал чикен</t>
        </is>
      </c>
      <c r="D592" s="66" t="inlineStr">
        <is>
          <t>филе бедра</t>
        </is>
      </c>
      <c r="E592" s="100" t="n">
        <v>392000</v>
      </c>
      <c r="F592" s="66" t="n"/>
      <c r="G592" s="66">
        <f>E592+F592</f>
        <v/>
      </c>
      <c r="H592" s="66" t="inlineStr">
        <is>
          <t>Выплачено</t>
        </is>
      </c>
      <c r="I592" s="66" t="inlineStr">
        <is>
          <t>Ок</t>
        </is>
      </c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>
      <c r="A593" s="5" t="n"/>
      <c r="B593" s="98" t="n">
        <v>45985</v>
      </c>
      <c r="C593" s="66" t="inlineStr">
        <is>
          <t>Вон С</t>
        </is>
      </c>
      <c r="D593" s="66" t="inlineStr">
        <is>
          <t>Оплата поставщикам за сырье</t>
        </is>
      </c>
      <c r="E593" s="100" t="n">
        <v>2229338</v>
      </c>
      <c r="F593" s="66" t="n"/>
      <c r="G593" s="66">
        <f>E593+F593</f>
        <v/>
      </c>
      <c r="H593" s="66" t="inlineStr">
        <is>
          <t>Выплачено</t>
        </is>
      </c>
      <c r="I593" s="66" t="inlineStr">
        <is>
          <t>Ок</t>
        </is>
      </c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>
      <c r="A594" s="5" t="n"/>
      <c r="B594" s="98" t="n">
        <v>45985</v>
      </c>
      <c r="C594" s="66" t="inlineStr">
        <is>
          <t>ФудМастер</t>
        </is>
      </c>
      <c r="D594" s="66" t="n"/>
      <c r="E594" s="100" t="n">
        <v>19426</v>
      </c>
      <c r="F594" s="66" t="n"/>
      <c r="G594" s="66">
        <f>E594+F594</f>
        <v/>
      </c>
      <c r="H594" s="66" t="inlineStr">
        <is>
          <t>Выплачено</t>
        </is>
      </c>
      <c r="I594" s="66" t="inlineStr">
        <is>
          <t>Ок</t>
        </is>
      </c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>
      <c r="A595" s="5" t="n"/>
      <c r="B595" s="98" t="n">
        <v>45986</v>
      </c>
      <c r="C595" s="66" t="inlineStr">
        <is>
          <t>НУ</t>
        </is>
      </c>
      <c r="D595" s="66" t="inlineStr">
        <is>
          <t>НДС</t>
        </is>
      </c>
      <c r="E595" s="100" t="n">
        <v>16274569</v>
      </c>
      <c r="F595" s="66" t="n"/>
      <c r="G595" s="66">
        <f>E595+F595</f>
        <v/>
      </c>
      <c r="H595" s="66" t="inlineStr">
        <is>
          <t>Выплачено</t>
        </is>
      </c>
      <c r="I595" s="66" t="inlineStr">
        <is>
          <t>Ок</t>
        </is>
      </c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>
      <c r="A596" s="5" t="n"/>
      <c r="B596" s="98" t="n">
        <v>45986</v>
      </c>
      <c r="C596" s="66" t="inlineStr">
        <is>
          <t>Вон С</t>
        </is>
      </c>
      <c r="D596" s="66" t="inlineStr">
        <is>
          <t>Оплата поставщикам за сырье</t>
        </is>
      </c>
      <c r="E596" s="100" t="n">
        <v>8035255</v>
      </c>
      <c r="F596" s="66" t="n"/>
      <c r="G596" s="66">
        <f>E596+F596</f>
        <v/>
      </c>
      <c r="H596" s="66" t="inlineStr">
        <is>
          <t>Выплачено</t>
        </is>
      </c>
      <c r="I596" s="66" t="inlineStr">
        <is>
          <t>Ок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>
      <c r="A597" s="5" t="n"/>
      <c r="B597" s="98" t="n">
        <v>45986</v>
      </c>
      <c r="C597" s="66" t="inlineStr">
        <is>
          <t>Халал чикен</t>
        </is>
      </c>
      <c r="D597" s="66" t="inlineStr">
        <is>
          <t>филе бедра</t>
        </is>
      </c>
      <c r="E597" s="100" t="n">
        <v>392000</v>
      </c>
      <c r="F597" s="66" t="n"/>
      <c r="G597" s="66">
        <f>E597+F597</f>
        <v/>
      </c>
      <c r="H597" s="66" t="inlineStr">
        <is>
          <t>Выплачено</t>
        </is>
      </c>
      <c r="I597" s="66" t="inlineStr">
        <is>
          <t>Ок</t>
        </is>
      </c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>
      <c r="A598" s="5" t="n"/>
      <c r="B598" s="98" t="n">
        <v>45986</v>
      </c>
      <c r="C598" s="66" t="inlineStr">
        <is>
          <t>Ли Станислав</t>
        </is>
      </c>
      <c r="D598" s="66" t="inlineStr">
        <is>
          <t>Подотчет сырье</t>
        </is>
      </c>
      <c r="E598" s="100" t="n"/>
      <c r="F598" s="66" t="n">
        <v>500000</v>
      </c>
      <c r="G598" s="66">
        <f>E598+F598</f>
        <v/>
      </c>
      <c r="H598" s="66" t="inlineStr">
        <is>
          <t>Выплачено</t>
        </is>
      </c>
      <c r="I598" s="66" t="inlineStr">
        <is>
          <t>Ок</t>
        </is>
      </c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>
      <c r="A599" s="5" t="n"/>
      <c r="B599" s="98" t="n">
        <v>45986</v>
      </c>
      <c r="C599" s="66" t="n"/>
      <c r="D599" s="66" t="inlineStr">
        <is>
          <t>ЗП</t>
        </is>
      </c>
      <c r="E599" s="100" t="n"/>
      <c r="F599" s="66" t="n">
        <v>4550317</v>
      </c>
      <c r="G599" s="66">
        <f>E599+F599</f>
        <v/>
      </c>
      <c r="H599" s="66" t="inlineStr">
        <is>
          <t>Выплачено</t>
        </is>
      </c>
      <c r="I599" s="66" t="inlineStr">
        <is>
          <t>Ок</t>
        </is>
      </c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>
      <c r="A600" s="5" t="n"/>
      <c r="B600" s="98" t="n">
        <v>45987</v>
      </c>
      <c r="C600" s="66" t="inlineStr">
        <is>
          <t>Халал чикен</t>
        </is>
      </c>
      <c r="D600" s="66" t="inlineStr">
        <is>
          <t>филе бедра</t>
        </is>
      </c>
      <c r="E600" s="100" t="n">
        <v>392000</v>
      </c>
      <c r="F600" s="66" t="n"/>
      <c r="G600" s="66">
        <f>E600+F600</f>
        <v/>
      </c>
      <c r="H600" s="66" t="inlineStr">
        <is>
          <t>Выплачено</t>
        </is>
      </c>
      <c r="I600" s="66" t="inlineStr">
        <is>
          <t>Ок</t>
        </is>
      </c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>
      <c r="A601" s="5" t="n"/>
      <c r="B601" s="98" t="n">
        <v>45987</v>
      </c>
      <c r="C601" s="66" t="inlineStr">
        <is>
          <t>Шымкентмай</t>
        </is>
      </c>
      <c r="D601" s="66" t="inlineStr">
        <is>
          <t>масло подсолнечное</t>
        </is>
      </c>
      <c r="E601" s="100" t="n">
        <v>592000</v>
      </c>
      <c r="F601" s="66" t="n"/>
      <c r="G601" s="66">
        <f>E601+F601</f>
        <v/>
      </c>
      <c r="H601" s="66" t="inlineStr">
        <is>
          <t>Выплачено</t>
        </is>
      </c>
      <c r="I601" s="66" t="inlineStr">
        <is>
          <t>Ок</t>
        </is>
      </c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>
      <c r="A602" s="5" t="n"/>
      <c r="B602" s="98" t="n">
        <v>45987</v>
      </c>
      <c r="C602" s="66" t="inlineStr">
        <is>
          <t xml:space="preserve">ИП Ахмерова </t>
        </is>
      </c>
      <c r="D602" s="66" t="inlineStr">
        <is>
          <t>ПЭТ бутылки</t>
        </is>
      </c>
      <c r="E602" s="100" t="n">
        <v>102900</v>
      </c>
      <c r="F602" s="66" t="n"/>
      <c r="G602" s="66">
        <f>E602+F602</f>
        <v/>
      </c>
      <c r="H602" s="66" t="inlineStr">
        <is>
          <t>Выплачено</t>
        </is>
      </c>
      <c r="I602" s="66" t="inlineStr">
        <is>
          <t>Ок</t>
        </is>
      </c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>
      <c r="A603" s="5" t="n"/>
      <c r="B603" s="98" t="n">
        <v>45987</v>
      </c>
      <c r="C603" s="66" t="inlineStr">
        <is>
          <t>Ли Станислав</t>
        </is>
      </c>
      <c r="D603" s="66" t="inlineStr">
        <is>
          <t>Подотчет сырье</t>
        </is>
      </c>
      <c r="E603" s="100" t="n"/>
      <c r="F603" s="66" t="n">
        <v>500000</v>
      </c>
      <c r="G603" s="66">
        <f>E603+F603</f>
        <v/>
      </c>
      <c r="H603" s="66" t="inlineStr">
        <is>
          <t>Выплачено</t>
        </is>
      </c>
      <c r="I603" s="66" t="inlineStr">
        <is>
          <t>Ок</t>
        </is>
      </c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>
      <c r="A604" s="5" t="n"/>
      <c r="B604" s="98" t="n">
        <v>45987</v>
      </c>
      <c r="C604" s="66" t="n"/>
      <c r="D604" s="91" t="inlineStr">
        <is>
          <t>реабилитации Мухтаровой Арайлым</t>
        </is>
      </c>
      <c r="E604" s="100" t="n">
        <v>280000</v>
      </c>
      <c r="F604" s="66" t="n"/>
      <c r="G604" s="66">
        <f>E604+F604</f>
        <v/>
      </c>
      <c r="H604" s="66" t="inlineStr">
        <is>
          <t>Выплачено</t>
        </is>
      </c>
      <c r="I604" s="66" t="inlineStr">
        <is>
          <t>Ок</t>
        </is>
      </c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>
      <c r="A605" s="5" t="n"/>
      <c r="B605" s="98" t="n">
        <v>45987</v>
      </c>
      <c r="C605" s="66" t="inlineStr">
        <is>
          <t xml:space="preserve">Марат </t>
        </is>
      </c>
      <c r="D605" s="66" t="inlineStr">
        <is>
          <t xml:space="preserve">Вернал </t>
        </is>
      </c>
      <c r="E605" s="100" t="n">
        <v>159900</v>
      </c>
      <c r="F605" s="66" t="n"/>
      <c r="G605" s="66">
        <f>E605+F605</f>
        <v/>
      </c>
      <c r="H605" s="66" t="inlineStr">
        <is>
          <t>Выплачено</t>
        </is>
      </c>
      <c r="I605" s="66" t="inlineStr">
        <is>
          <t>Ок</t>
        </is>
      </c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>
      <c r="A606" s="5" t="n"/>
      <c r="B606" s="98" t="n">
        <v>45987</v>
      </c>
      <c r="C606" s="66" t="inlineStr">
        <is>
          <t xml:space="preserve">Марат </t>
        </is>
      </c>
      <c r="D606" s="66" t="inlineStr">
        <is>
          <t xml:space="preserve">Вернал </t>
        </is>
      </c>
      <c r="E606" s="100" t="n">
        <v>161490</v>
      </c>
      <c r="F606" s="66" t="n"/>
      <c r="G606" s="66">
        <f>E606+F606</f>
        <v/>
      </c>
      <c r="H606" s="66" t="inlineStr">
        <is>
          <t>Выплачено</t>
        </is>
      </c>
      <c r="I606" s="66" t="inlineStr">
        <is>
          <t>Ок</t>
        </is>
      </c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>
      <c r="A607" s="5" t="n"/>
      <c r="B607" s="98" t="n">
        <v>45987</v>
      </c>
      <c r="C607" s="66" t="inlineStr">
        <is>
          <t xml:space="preserve">Марат </t>
        </is>
      </c>
      <c r="D607" s="66" t="inlineStr">
        <is>
          <t xml:space="preserve">ИП Decorshop форма </t>
        </is>
      </c>
      <c r="E607" s="100" t="n">
        <v>38000</v>
      </c>
      <c r="F607" s="66" t="n"/>
      <c r="G607" s="66">
        <f>E607+F607</f>
        <v/>
      </c>
      <c r="H607" s="66" t="inlineStr">
        <is>
          <t>Выплачено</t>
        </is>
      </c>
      <c r="I607" s="66" t="inlineStr">
        <is>
          <t>Ок</t>
        </is>
      </c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>
      <c r="A608" s="5" t="n"/>
      <c r="B608" s="98" t="n">
        <v>45987</v>
      </c>
      <c r="C608" s="66" t="inlineStr">
        <is>
          <t xml:space="preserve">Марат </t>
        </is>
      </c>
      <c r="D608" s="66" t="inlineStr">
        <is>
          <t xml:space="preserve">ТОО Асыл САУАП продукты </t>
        </is>
      </c>
      <c r="E608" s="100" t="n">
        <v>102200</v>
      </c>
      <c r="F608" s="66" t="n"/>
      <c r="G608" s="66">
        <f>E608+F608</f>
        <v/>
      </c>
      <c r="H608" s="66" t="inlineStr">
        <is>
          <t>Выплачено</t>
        </is>
      </c>
      <c r="I608" s="66" t="inlineStr">
        <is>
          <t>Ок</t>
        </is>
      </c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>
      <c r="A609" s="5" t="n"/>
      <c r="B609" s="98" t="n">
        <v>45987</v>
      </c>
      <c r="C609" s="66" t="inlineStr">
        <is>
          <t xml:space="preserve">Вон С </t>
        </is>
      </c>
      <c r="D609" s="66" t="inlineStr">
        <is>
          <t>Оплата поставщикам за сырье</t>
        </is>
      </c>
      <c r="E609" s="100" t="n">
        <v>1819800</v>
      </c>
      <c r="F609" s="66" t="n"/>
      <c r="G609" s="66">
        <f>E609+F609</f>
        <v/>
      </c>
      <c r="H609" s="66" t="inlineStr">
        <is>
          <t>Выплачено</t>
        </is>
      </c>
      <c r="I609" s="66" t="inlineStr">
        <is>
          <t>Ок</t>
        </is>
      </c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>
      <c r="A610" s="5" t="n"/>
      <c r="B610" s="98" t="n">
        <v>45988</v>
      </c>
      <c r="C610" s="66" t="inlineStr">
        <is>
          <t>Экспресс сервис</t>
        </is>
      </c>
      <c r="D610" s="66" t="inlineStr">
        <is>
          <t>комуслуги завод</t>
        </is>
      </c>
      <c r="E610" s="100" t="n">
        <v>8166860</v>
      </c>
      <c r="F610" s="66" t="n"/>
      <c r="G610" s="66">
        <f>E610+F610</f>
        <v/>
      </c>
      <c r="H610" s="66" t="inlineStr">
        <is>
          <t>Выплачено</t>
        </is>
      </c>
      <c r="I610" s="66" t="inlineStr">
        <is>
          <t>Ок</t>
        </is>
      </c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>
      <c r="A611" s="5" t="n"/>
      <c r="B611" s="98" t="n">
        <v>45988</v>
      </c>
      <c r="C611" s="66" t="inlineStr">
        <is>
          <t xml:space="preserve">Мира </t>
        </is>
      </c>
      <c r="D611" s="92" t="inlineStr">
        <is>
          <t>Public Health Inspection</t>
        </is>
      </c>
      <c r="E611" s="100" t="n">
        <v>109600</v>
      </c>
      <c r="F611" s="66" t="n"/>
      <c r="G611" s="66">
        <f>E611+F611</f>
        <v/>
      </c>
      <c r="H611" s="66" t="inlineStr">
        <is>
          <t>Выплачено</t>
        </is>
      </c>
      <c r="I611" s="66" t="inlineStr">
        <is>
          <t>Ок</t>
        </is>
      </c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>
      <c r="A612" s="5" t="n"/>
      <c r="B612" s="98" t="n">
        <v>45989</v>
      </c>
      <c r="C612" s="66" t="inlineStr">
        <is>
          <t>Ли Станислав</t>
        </is>
      </c>
      <c r="D612" s="66" t="inlineStr">
        <is>
          <t>Подотчет сырье</t>
        </is>
      </c>
      <c r="E612" s="100" t="n"/>
      <c r="F612" s="66" t="n">
        <v>600000</v>
      </c>
      <c r="G612" s="66">
        <f>E612+F612</f>
        <v/>
      </c>
      <c r="H612" s="66" t="inlineStr">
        <is>
          <t>Выплачено</t>
        </is>
      </c>
      <c r="I612" s="66" t="inlineStr">
        <is>
          <t>Ок</t>
        </is>
      </c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>
      <c r="A613" s="5" t="n"/>
      <c r="B613" s="98" t="n">
        <v>45988</v>
      </c>
      <c r="C613" s="66" t="inlineStr">
        <is>
          <t>Зарплата недельная</t>
        </is>
      </c>
      <c r="D613" s="66" t="inlineStr">
        <is>
          <t>Лагманщики</t>
        </is>
      </c>
      <c r="E613" s="100" t="n"/>
      <c r="F613" s="66" t="n">
        <v>400000</v>
      </c>
      <c r="G613" s="66">
        <f>E613+F613</f>
        <v/>
      </c>
      <c r="H613" s="66" t="inlineStr">
        <is>
          <t>Выплачено</t>
        </is>
      </c>
      <c r="I613" s="66" t="inlineStr">
        <is>
          <t>Ок</t>
        </is>
      </c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>
      <c r="A614" s="5" t="n"/>
      <c r="B614" s="93" t="n">
        <v>45989</v>
      </c>
      <c r="C614" s="95" t="inlineStr">
        <is>
          <t>НДС</t>
        </is>
      </c>
      <c r="D614" s="95" t="inlineStr">
        <is>
          <t>Импорт НДС на пончиковый аппарат</t>
        </is>
      </c>
      <c r="E614" s="94" t="n">
        <v>681271</v>
      </c>
      <c r="F614" s="95" t="n"/>
      <c r="G614" s="95">
        <f>E614+F614</f>
        <v/>
      </c>
      <c r="H614" s="66" t="inlineStr">
        <is>
          <t>Выплачено</t>
        </is>
      </c>
      <c r="I614" s="66" t="inlineStr">
        <is>
          <t>Ок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>
      <c r="A615" s="5" t="n"/>
      <c r="B615" s="93" t="n">
        <v>45989</v>
      </c>
      <c r="C615" s="95" t="n"/>
      <c r="D615" s="95" t="inlineStr">
        <is>
          <t xml:space="preserve">Уволенные рассчет  зп АУП </t>
        </is>
      </c>
      <c r="E615" s="94" t="n"/>
      <c r="F615" s="95" t="n">
        <v>3486579</v>
      </c>
      <c r="G615" s="95">
        <f>E615+F615</f>
        <v/>
      </c>
      <c r="H615" s="66" t="inlineStr">
        <is>
          <t>Выплачено</t>
        </is>
      </c>
      <c r="I615" s="66" t="inlineStr">
        <is>
          <t>Ок</t>
        </is>
      </c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>
      <c r="A616" s="5" t="n"/>
      <c r="B616" s="93" t="n">
        <v>45989</v>
      </c>
      <c r="C616" s="95" t="inlineStr">
        <is>
          <t xml:space="preserve">Хон Вадим </t>
        </is>
      </c>
      <c r="D616" s="96" t="inlineStr">
        <is>
          <t xml:space="preserve">Услуга доступа к платформе Docrobot согласно тарифному пакету </t>
        </is>
      </c>
      <c r="E616" s="94" t="n"/>
      <c r="F616" s="95" t="n">
        <v>90000</v>
      </c>
      <c r="G616" s="95">
        <f>E616+F616</f>
        <v/>
      </c>
      <c r="H616" s="66" t="inlineStr">
        <is>
          <t>Выплачено</t>
        </is>
      </c>
      <c r="I616" s="66" t="inlineStr">
        <is>
          <t>Ок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>
      <c r="A617" s="5" t="n"/>
      <c r="B617" s="93" t="n">
        <v>45989</v>
      </c>
      <c r="C617" s="95" t="inlineStr">
        <is>
          <t>Гузя</t>
        </is>
      </c>
      <c r="D617" s="95" t="inlineStr">
        <is>
          <t>Расходы на такси сотрудником ,на вывоз мусора территории</t>
        </is>
      </c>
      <c r="E617" s="94" t="n"/>
      <c r="F617" s="95">
        <f>13800+40000</f>
        <v/>
      </c>
      <c r="G617" s="95">
        <f>E617+F617</f>
        <v/>
      </c>
      <c r="H617" s="66" t="inlineStr">
        <is>
          <t>Выплачено</t>
        </is>
      </c>
      <c r="I617" s="66" t="inlineStr">
        <is>
          <t>Ок</t>
        </is>
      </c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 s="1127">
      <c r="A618" s="5" t="n"/>
      <c r="B618" s="93" t="n">
        <v>45995</v>
      </c>
      <c r="C618" s="95" t="inlineStr">
        <is>
          <t xml:space="preserve">Хон Вадим </t>
        </is>
      </c>
      <c r="D618" s="97" t="inlineStr">
        <is>
          <t>за комплектующие для Бухгалтерии:</t>
        </is>
      </c>
      <c r="E618" s="94" t="n"/>
      <c r="F618" s="95" t="n">
        <v>79177</v>
      </c>
      <c r="G618" s="95">
        <f>E618+F618</f>
        <v/>
      </c>
      <c r="H618" s="66" t="inlineStr">
        <is>
          <t>Выплачено</t>
        </is>
      </c>
      <c r="I618" s="66" t="inlineStr">
        <is>
          <t>Ок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>
      <c r="A619" s="5" t="n"/>
      <c r="B619" s="93" t="n">
        <v>45989</v>
      </c>
      <c r="C619" s="95" t="n"/>
      <c r="D619" s="95" t="inlineStr">
        <is>
          <t>PRODVIG ИП фэйс айд</t>
        </is>
      </c>
      <c r="E619" s="94" t="n">
        <v>40472</v>
      </c>
      <c r="F619" s="95" t="n"/>
      <c r="G619" s="95">
        <f>E619+F619</f>
        <v/>
      </c>
      <c r="H619" s="66" t="inlineStr">
        <is>
          <t>Выплачено</t>
        </is>
      </c>
      <c r="I619" s="66" t="inlineStr">
        <is>
          <t>Ок</t>
        </is>
      </c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>
      <c r="A620" s="5" t="n"/>
      <c r="B620" s="98" t="n">
        <v>45989</v>
      </c>
      <c r="C620" s="66" t="inlineStr">
        <is>
          <t xml:space="preserve">Вон С </t>
        </is>
      </c>
      <c r="D620" s="66" t="inlineStr">
        <is>
          <t>Оплата поставщикам за сырье</t>
        </is>
      </c>
      <c r="E620" s="100" t="n">
        <v>17225212</v>
      </c>
      <c r="F620" s="66" t="n"/>
      <c r="G620" s="66">
        <f>E620+F620</f>
        <v/>
      </c>
      <c r="H620" s="66" t="inlineStr">
        <is>
          <t>Выплачено</t>
        </is>
      </c>
      <c r="I620" s="66" t="inlineStr">
        <is>
          <t>Ок</t>
        </is>
      </c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 s="1127">
      <c r="A621" s="5" t="n"/>
      <c r="B621" s="98" t="n"/>
      <c r="C621" s="66" t="inlineStr">
        <is>
          <t xml:space="preserve">Вон С </t>
        </is>
      </c>
      <c r="D621" s="99" t="inlineStr">
        <is>
          <t>для изготовления трапов из нержавеющей</t>
        </is>
      </c>
      <c r="E621" s="100" t="n"/>
      <c r="F621" s="66" t="n">
        <v>470000</v>
      </c>
      <c r="G621" s="66">
        <f>E621+F621</f>
        <v/>
      </c>
      <c r="H621" s="66" t="inlineStr">
        <is>
          <t>К оплате</t>
        </is>
      </c>
      <c r="I621" s="66" t="inlineStr">
        <is>
          <t>Ок</t>
        </is>
      </c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>
      <c r="A622" s="5" t="n"/>
      <c r="B622" s="98" t="n">
        <v>45989</v>
      </c>
      <c r="C622" s="66" t="inlineStr">
        <is>
          <t xml:space="preserve">Марат </t>
        </is>
      </c>
      <c r="D622" s="57" t="inlineStr">
        <is>
          <t>ИП «SATTVA» согласно СЗ для ПП</t>
        </is>
      </c>
      <c r="E622" s="100" t="n">
        <v>138600</v>
      </c>
      <c r="F622" s="66" t="n"/>
      <c r="G622" s="66">
        <f>E622+F622</f>
        <v/>
      </c>
      <c r="H622" s="66" t="inlineStr">
        <is>
          <t>Выплачено</t>
        </is>
      </c>
      <c r="I622" s="66" t="inlineStr">
        <is>
          <t>Ок</t>
        </is>
      </c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>
      <c r="A623" s="5" t="n"/>
      <c r="B623" s="98" t="n">
        <v>45992</v>
      </c>
      <c r="C623" s="66" t="n"/>
      <c r="D623" s="66" t="inlineStr">
        <is>
          <t>Предоплата за лифт</t>
        </is>
      </c>
      <c r="E623" s="100" t="n">
        <v>3010000</v>
      </c>
      <c r="F623" s="66" t="n"/>
      <c r="G623" s="66">
        <f>E623+F623</f>
        <v/>
      </c>
      <c r="H623" s="66" t="inlineStr">
        <is>
          <t>Выплачено</t>
        </is>
      </c>
      <c r="I623" s="66" t="inlineStr">
        <is>
          <t>Ок</t>
        </is>
      </c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>
      <c r="A624" s="5" t="n"/>
      <c r="B624" s="98" t="n">
        <v>45992</v>
      </c>
      <c r="C624" s="66" t="inlineStr">
        <is>
          <t>Шымкентмай</t>
        </is>
      </c>
      <c r="D624" s="66" t="inlineStr">
        <is>
          <t>масло подсолнечное</t>
        </is>
      </c>
      <c r="E624" s="100" t="n">
        <v>592000</v>
      </c>
      <c r="F624" s="66" t="n"/>
      <c r="G624" s="66">
        <f>E624+F624</f>
        <v/>
      </c>
      <c r="H624" s="66" t="inlineStr">
        <is>
          <t>Выплачено</t>
        </is>
      </c>
      <c r="I624" s="66" t="inlineStr">
        <is>
          <t>Ок</t>
        </is>
      </c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>
      <c r="A625" s="5" t="n"/>
      <c r="B625" s="98" t="n">
        <v>45993</v>
      </c>
      <c r="C625" s="66" t="inlineStr">
        <is>
          <t>Ихсан</t>
        </is>
      </c>
      <c r="D625" s="66" t="inlineStr">
        <is>
          <t>газ</t>
        </is>
      </c>
      <c r="E625" s="100" t="n">
        <v>1340000</v>
      </c>
      <c r="F625" s="66" t="n"/>
      <c r="G625" s="66">
        <f>E625+F625</f>
        <v/>
      </c>
      <c r="H625" s="66" t="inlineStr">
        <is>
          <t>Выплачено</t>
        </is>
      </c>
      <c r="I625" s="66" t="inlineStr">
        <is>
          <t>Ок</t>
        </is>
      </c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>
      <c r="A626" s="5" t="n"/>
      <c r="B626" s="98" t="n">
        <v>45993</v>
      </c>
      <c r="C626" s="66" t="inlineStr">
        <is>
          <t>Вон С.</t>
        </is>
      </c>
      <c r="D626" s="66" t="inlineStr">
        <is>
          <t>за продукты, запчасти согласно СЗ</t>
        </is>
      </c>
      <c r="E626" s="100" t="n"/>
      <c r="F626" s="66" t="n">
        <v>700000</v>
      </c>
      <c r="G626" s="66">
        <f>E626+F626</f>
        <v/>
      </c>
      <c r="H626" s="66" t="inlineStr">
        <is>
          <t>Выплачено</t>
        </is>
      </c>
      <c r="I626" s="66" t="inlineStr">
        <is>
          <t>Ок</t>
        </is>
      </c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>
      <c r="A627" s="5" t="n"/>
      <c r="B627" s="98" t="n">
        <v>45993</v>
      </c>
      <c r="C627" s="66" t="inlineStr">
        <is>
          <t>Ли Станислав</t>
        </is>
      </c>
      <c r="D627" s="66" t="inlineStr">
        <is>
          <t>Подотчет сырье</t>
        </is>
      </c>
      <c r="E627" s="100" t="n"/>
      <c r="F627" s="66" t="n">
        <v>500000</v>
      </c>
      <c r="G627" s="66">
        <f>E627+F627</f>
        <v/>
      </c>
      <c r="H627" s="66" t="inlineStr">
        <is>
          <t>Выплачено</t>
        </is>
      </c>
      <c r="I627" s="66" t="inlineStr">
        <is>
          <t>Ок</t>
        </is>
      </c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>
      <c r="A628" s="5" t="n"/>
      <c r="B628" s="98" t="n">
        <v>45993</v>
      </c>
      <c r="C628" s="66" t="inlineStr">
        <is>
          <t>Марат</t>
        </is>
      </c>
      <c r="D628" s="66" t="inlineStr">
        <is>
          <t>Закуп инвентаря, канцтоваров и аптечки</t>
        </is>
      </c>
      <c r="E628" s="100" t="n"/>
      <c r="F628" s="66" t="n">
        <v>340000</v>
      </c>
      <c r="G628" s="66">
        <f>E628+F628</f>
        <v/>
      </c>
      <c r="H628" s="66" t="inlineStr">
        <is>
          <t>Выплачено</t>
        </is>
      </c>
      <c r="I628" s="66" t="inlineStr">
        <is>
          <t>Ок</t>
        </is>
      </c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>
      <c r="A629" s="5" t="n"/>
      <c r="B629" s="98" t="n">
        <v>45993</v>
      </c>
      <c r="C629" s="66" t="inlineStr">
        <is>
          <t xml:space="preserve">Вон С </t>
        </is>
      </c>
      <c r="D629" s="66" t="inlineStr">
        <is>
          <t>Оплата поставщикам за сырье</t>
        </is>
      </c>
      <c r="E629" s="100" t="n">
        <v>12246414</v>
      </c>
      <c r="F629" s="66" t="n"/>
      <c r="G629" s="66">
        <f>E629+F629</f>
        <v/>
      </c>
      <c r="H629" s="66" t="inlineStr">
        <is>
          <t>Выплачено</t>
        </is>
      </c>
      <c r="I629" s="66" t="inlineStr">
        <is>
          <t>Ок</t>
        </is>
      </c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>
      <c r="A630" s="5" t="n"/>
      <c r="B630" s="98" t="n">
        <v>45993</v>
      </c>
      <c r="C630" s="66" t="inlineStr">
        <is>
          <t>Инарин</t>
        </is>
      </c>
      <c r="D630" s="66" t="n"/>
      <c r="E630" s="100" t="n">
        <v>170820</v>
      </c>
      <c r="F630" s="66" t="n"/>
      <c r="G630" s="66">
        <f>E630+F630</f>
        <v/>
      </c>
      <c r="H630" s="66" t="inlineStr">
        <is>
          <t>Выплачено</t>
        </is>
      </c>
      <c r="I630" s="66" t="inlineStr">
        <is>
          <t>Ок</t>
        </is>
      </c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>
      <c r="A631" s="5" t="n"/>
      <c r="B631" s="98" t="n">
        <v>45993</v>
      </c>
      <c r="C631" s="66" t="inlineStr">
        <is>
          <t>Эрик</t>
        </is>
      </c>
      <c r="D631" s="66" t="n"/>
      <c r="E631" s="100" t="n"/>
      <c r="F631" s="66" t="n">
        <v>655745</v>
      </c>
      <c r="G631" s="66">
        <f>E631+F631</f>
        <v/>
      </c>
      <c r="H631" s="66" t="inlineStr">
        <is>
          <t>Выплачено</t>
        </is>
      </c>
      <c r="I631" s="66" t="inlineStr">
        <is>
          <t>Ок</t>
        </is>
      </c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>
      <c r="A632" s="5" t="n"/>
      <c r="B632" s="98" t="n">
        <v>45994</v>
      </c>
      <c r="C632" s="66" t="inlineStr">
        <is>
          <t xml:space="preserve">Вон С </t>
        </is>
      </c>
      <c r="D632" s="66" t="inlineStr">
        <is>
          <t>Оплата поставщикам за сырье</t>
        </is>
      </c>
      <c r="E632" s="100" t="n">
        <v>6237797</v>
      </c>
      <c r="F632" s="66" t="n"/>
      <c r="G632" s="66">
        <f>E632+F632</f>
        <v/>
      </c>
      <c r="H632" s="66" t="inlineStr">
        <is>
          <t>Выплачено</t>
        </is>
      </c>
      <c r="I632" s="66" t="inlineStr">
        <is>
          <t>Ок</t>
        </is>
      </c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>
      <c r="A633" s="5" t="n"/>
      <c r="B633" s="98" t="n">
        <v>45994</v>
      </c>
      <c r="C633" s="57" t="inlineStr">
        <is>
          <t>Э-КОМ ПРАЙМ»</t>
        </is>
      </c>
      <c r="D633" s="57" t="inlineStr">
        <is>
          <t>Услуга доступа к платформе Docrobot согласно тарифному пакету -</t>
        </is>
      </c>
      <c r="E633" s="100" t="n">
        <v>90000</v>
      </c>
      <c r="F633" s="66" t="n"/>
      <c r="G633" s="66">
        <f>E633+F633</f>
        <v/>
      </c>
      <c r="H633" s="66" t="inlineStr">
        <is>
          <t>Отложено</t>
        </is>
      </c>
      <c r="I633" s="66" t="inlineStr">
        <is>
          <t>Ок</t>
        </is>
      </c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>
      <c r="A634" s="5" t="n"/>
      <c r="B634" s="98" t="n">
        <v>45994</v>
      </c>
      <c r="C634" s="66" t="inlineStr">
        <is>
          <t xml:space="preserve">ЗП </t>
        </is>
      </c>
      <c r="D634" s="66" t="inlineStr">
        <is>
          <t xml:space="preserve">Олеся М за октябрь </t>
        </is>
      </c>
      <c r="E634" s="100" t="n"/>
      <c r="F634" s="66" t="n">
        <v>2964000</v>
      </c>
      <c r="G634" s="66">
        <f>E634+F634</f>
        <v/>
      </c>
      <c r="H634" s="66" t="inlineStr">
        <is>
          <t>Выплачено</t>
        </is>
      </c>
      <c r="I634" s="66" t="inlineStr">
        <is>
          <t>Ок</t>
        </is>
      </c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>
      <c r="A635" s="5" t="n"/>
      <c r="B635" s="98" t="n">
        <v>45994</v>
      </c>
      <c r="C635" s="66" t="n"/>
      <c r="D635" s="66" t="inlineStr">
        <is>
          <t xml:space="preserve">Мед тараз </t>
        </is>
      </c>
      <c r="E635" s="100" t="n"/>
      <c r="F635" s="66" t="n">
        <v>523800</v>
      </c>
      <c r="G635" s="66">
        <f>E635+F635</f>
        <v/>
      </c>
      <c r="H635" s="66" t="inlineStr">
        <is>
          <t>Выплачено</t>
        </is>
      </c>
      <c r="I635" s="66" t="inlineStr">
        <is>
          <t>Ок</t>
        </is>
      </c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>
      <c r="A636" s="5" t="n"/>
      <c r="B636" s="98" t="n">
        <v>45995</v>
      </c>
      <c r="C636" s="66" t="inlineStr">
        <is>
          <t>Зарплата недельная</t>
        </is>
      </c>
      <c r="D636" s="66" t="inlineStr">
        <is>
          <t>Лагманщики</t>
        </is>
      </c>
      <c r="E636" s="100" t="n"/>
      <c r="F636" s="66" t="n">
        <v>400000</v>
      </c>
      <c r="G636" s="66">
        <f>E636+F636</f>
        <v/>
      </c>
      <c r="H636" s="66" t="inlineStr">
        <is>
          <t>Выплачено</t>
        </is>
      </c>
      <c r="I636" s="66" t="inlineStr">
        <is>
          <t>Ок</t>
        </is>
      </c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>
      <c r="A637" s="5" t="n"/>
      <c r="B637" s="98" t="n">
        <v>45995</v>
      </c>
      <c r="C637" s="43" t="inlineStr">
        <is>
          <t>Демьянов</t>
        </is>
      </c>
      <c r="D637" s="43" t="inlineStr">
        <is>
          <t>Логистика (доставка)</t>
        </is>
      </c>
      <c r="E637" s="100" t="n">
        <v>1500000</v>
      </c>
      <c r="F637" s="66" t="n"/>
      <c r="G637" s="66">
        <f>E637+F637</f>
        <v/>
      </c>
      <c r="H637" s="66" t="inlineStr">
        <is>
          <t>Выплачено</t>
        </is>
      </c>
      <c r="I637" s="66" t="inlineStr">
        <is>
          <t>Ок</t>
        </is>
      </c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>
      <c r="A638" s="5" t="n"/>
      <c r="B638" s="98" t="n">
        <v>45996</v>
      </c>
      <c r="C638" s="66" t="inlineStr">
        <is>
          <t>Служба безопасности "НОРД-СБ"</t>
        </is>
      </c>
      <c r="D638" s="66" t="inlineStr">
        <is>
          <t>Услуга охраны</t>
        </is>
      </c>
      <c r="E638" s="100" t="n">
        <v>3794400</v>
      </c>
      <c r="F638" s="66" t="n"/>
      <c r="G638" s="66">
        <f>E638+F638</f>
        <v/>
      </c>
      <c r="H638" s="66" t="inlineStr">
        <is>
          <t>Выплачено</t>
        </is>
      </c>
      <c r="I638" s="66" t="inlineStr">
        <is>
          <t>Ок</t>
        </is>
      </c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>
      <c r="A639" s="5" t="n"/>
      <c r="B639" s="98" t="n">
        <v>45995</v>
      </c>
      <c r="C639" s="66" t="inlineStr">
        <is>
          <t>Ли Станислав</t>
        </is>
      </c>
      <c r="D639" s="66" t="inlineStr">
        <is>
          <t>Подотчет сырье</t>
        </is>
      </c>
      <c r="E639" s="100" t="n"/>
      <c r="F639" s="66" t="n">
        <v>600000</v>
      </c>
      <c r="G639" s="66">
        <f>E639+F639</f>
        <v/>
      </c>
      <c r="H639" s="66" t="inlineStr">
        <is>
          <t>Выплачено</t>
        </is>
      </c>
      <c r="I639" s="66" t="inlineStr">
        <is>
          <t>Ок</t>
        </is>
      </c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>
      <c r="A640" s="5" t="n"/>
      <c r="B640" s="98" t="n">
        <v>45996</v>
      </c>
      <c r="C640" s="66" t="inlineStr">
        <is>
          <t>ЗП официально</t>
        </is>
      </c>
      <c r="D640" s="66" t="inlineStr">
        <is>
          <t>на карточку</t>
        </is>
      </c>
      <c r="E640" s="100" t="n"/>
      <c r="F640" s="66" t="n"/>
      <c r="G640" s="66">
        <f>E640+F640</f>
        <v/>
      </c>
      <c r="H640" s="66" t="inlineStr">
        <is>
          <t>Отложено</t>
        </is>
      </c>
      <c r="I640" s="66" t="inlineStr">
        <is>
          <t>Ок</t>
        </is>
      </c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>
      <c r="A641" s="5" t="n"/>
      <c r="B641" s="98" t="n">
        <v>45996</v>
      </c>
      <c r="C641" s="66" t="inlineStr">
        <is>
          <t xml:space="preserve">Вон С </t>
        </is>
      </c>
      <c r="D641" s="66" t="inlineStr">
        <is>
          <t>Оплата поставщикам за сырье</t>
        </is>
      </c>
      <c r="E641" s="100" t="n">
        <v>13362290</v>
      </c>
      <c r="F641" s="66" t="n"/>
      <c r="G641" s="66">
        <f>E641+F641</f>
        <v/>
      </c>
      <c r="H641" s="66" t="inlineStr">
        <is>
          <t>Выплачено</t>
        </is>
      </c>
      <c r="I641" s="66" t="inlineStr">
        <is>
          <t>Ок</t>
        </is>
      </c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>
      <c r="A642" s="5" t="n"/>
      <c r="B642" s="98" t="n">
        <v>45996</v>
      </c>
      <c r="C642" s="66" t="inlineStr">
        <is>
          <t xml:space="preserve">Мира </t>
        </is>
      </c>
      <c r="D642" s="66" t="inlineStr">
        <is>
          <t>Public Health Inspection ТОО самоконтроль</t>
        </is>
      </c>
      <c r="E642" s="100" t="n">
        <v>52450</v>
      </c>
      <c r="F642" s="66" t="n"/>
      <c r="G642" s="66">
        <f>E642+F642</f>
        <v/>
      </c>
      <c r="H642" s="66" t="inlineStr">
        <is>
          <t>Выплачено</t>
        </is>
      </c>
      <c r="I642" s="66" t="inlineStr">
        <is>
          <t>Ок</t>
        </is>
      </c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>
      <c r="A643" s="5" t="n"/>
      <c r="B643" s="98" t="n">
        <v>45999</v>
      </c>
      <c r="C643" s="66" t="n"/>
      <c r="D643" s="66" t="inlineStr">
        <is>
          <t>ЗП на карты</t>
        </is>
      </c>
      <c r="E643" s="100" t="n">
        <v>15978852.06</v>
      </c>
      <c r="F643" s="66" t="n"/>
      <c r="G643" s="66">
        <f>E643+F643</f>
        <v/>
      </c>
      <c r="H643" s="66" t="inlineStr">
        <is>
          <t>Выплачено</t>
        </is>
      </c>
      <c r="I643" s="66" t="inlineStr">
        <is>
          <t>Ок</t>
        </is>
      </c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>
      <c r="A644" s="5" t="n"/>
      <c r="B644" s="98" t="n">
        <v>45999</v>
      </c>
      <c r="C644" s="66" t="inlineStr">
        <is>
          <t>Кристалл полимер</t>
        </is>
      </c>
      <c r="D644" s="66" t="inlineStr">
        <is>
          <t>сода каустическая</t>
        </is>
      </c>
      <c r="E644" s="100" t="n">
        <v>8500</v>
      </c>
      <c r="F644" s="66" t="n"/>
      <c r="G644" s="66">
        <f>E644+F644</f>
        <v/>
      </c>
      <c r="H644" s="66" t="inlineStr">
        <is>
          <t>Выплачено</t>
        </is>
      </c>
      <c r="I644" s="66" t="inlineStr">
        <is>
          <t>Ок</t>
        </is>
      </c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>
      <c r="A645" s="5" t="n"/>
      <c r="B645" s="98" t="n">
        <v>45999</v>
      </c>
      <c r="C645" s="66" t="inlineStr">
        <is>
          <t>Комплекс Снаб</t>
        </is>
      </c>
      <c r="D645" s="66" t="inlineStr">
        <is>
          <t>тряпки</t>
        </is>
      </c>
      <c r="E645" s="100" t="n">
        <v>18350</v>
      </c>
      <c r="F645" s="66" t="n"/>
      <c r="G645" s="66">
        <f>E645+F645</f>
        <v/>
      </c>
      <c r="H645" s="66" t="inlineStr">
        <is>
          <t>Выплачено</t>
        </is>
      </c>
      <c r="I645" s="66" t="inlineStr">
        <is>
          <t>Ок</t>
        </is>
      </c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>
      <c r="A646" s="5" t="n"/>
      <c r="B646" s="98" t="n">
        <v>45999</v>
      </c>
      <c r="C646" s="66" t="inlineStr">
        <is>
          <t>Даумак</t>
        </is>
      </c>
      <c r="D646" s="66" t="inlineStr">
        <is>
          <t>фартуки</t>
        </is>
      </c>
      <c r="E646" s="100" t="n">
        <v>31920</v>
      </c>
      <c r="F646" s="66" t="n"/>
      <c r="G646" s="66">
        <f>E646+F646</f>
        <v/>
      </c>
      <c r="H646" s="66" t="inlineStr">
        <is>
          <t>Выплачено</t>
        </is>
      </c>
      <c r="I646" s="66" t="inlineStr">
        <is>
          <t>Ок</t>
        </is>
      </c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>
      <c r="A647" s="5" t="n"/>
      <c r="B647" s="98" t="n">
        <v>45999</v>
      </c>
      <c r="C647" s="43" t="inlineStr">
        <is>
          <t>Демьянов</t>
        </is>
      </c>
      <c r="D647" s="43" t="inlineStr">
        <is>
          <t>Логистика (доставка)</t>
        </is>
      </c>
      <c r="E647" s="100" t="n">
        <v>500000</v>
      </c>
      <c r="F647" s="66" t="n"/>
      <c r="G647" s="66">
        <f>E647+F647</f>
        <v/>
      </c>
      <c r="H647" s="66" t="inlineStr">
        <is>
          <t>Выплачено</t>
        </is>
      </c>
      <c r="I647" s="66" t="inlineStr">
        <is>
          <t>Ок</t>
        </is>
      </c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>
      <c r="A648" s="5" t="n"/>
      <c r="B648" s="98" t="n">
        <v>45999</v>
      </c>
      <c r="C648" s="66" t="inlineStr">
        <is>
          <t xml:space="preserve">Вон С </t>
        </is>
      </c>
      <c r="D648" s="66" t="inlineStr">
        <is>
          <t>Оплата поставщикам за сырье</t>
        </is>
      </c>
      <c r="E648" s="100" t="n">
        <v>2203465</v>
      </c>
      <c r="F648" s="66" t="n"/>
      <c r="G648" s="66">
        <f>E648+F648</f>
        <v/>
      </c>
      <c r="H648" s="66" t="inlineStr">
        <is>
          <t>Выплачено</t>
        </is>
      </c>
      <c r="I648" s="66" t="inlineStr">
        <is>
          <t>Ок</t>
        </is>
      </c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>
      <c r="A649" s="5" t="n"/>
      <c r="B649" s="98" t="n">
        <v>46000</v>
      </c>
      <c r="C649" s="66" t="inlineStr">
        <is>
          <t xml:space="preserve">Вон С </t>
        </is>
      </c>
      <c r="D649" s="66" t="inlineStr">
        <is>
          <t>Оплата поставщикам за сырье</t>
        </is>
      </c>
      <c r="E649" s="100" t="n">
        <v>17025165</v>
      </c>
      <c r="F649" s="66" t="n"/>
      <c r="G649" s="66">
        <f>E649+F649</f>
        <v/>
      </c>
      <c r="H649" s="66" t="inlineStr">
        <is>
          <t>Выплачено</t>
        </is>
      </c>
      <c r="I649" s="66" t="inlineStr">
        <is>
          <t>Ок</t>
        </is>
      </c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>
      <c r="A650" s="5" t="n"/>
      <c r="B650" s="98" t="n">
        <v>46000</v>
      </c>
      <c r="C650" s="66" t="n"/>
      <c r="D650" s="66" t="inlineStr">
        <is>
          <t>Бонус Тоймарт</t>
        </is>
      </c>
      <c r="E650" s="100" t="n"/>
      <c r="F650" s="66" t="n">
        <v>410310</v>
      </c>
      <c r="G650" s="66">
        <f>E650+F650</f>
        <v/>
      </c>
      <c r="H650" s="66" t="inlineStr">
        <is>
          <t>Выплачено</t>
        </is>
      </c>
      <c r="I650" s="66" t="inlineStr">
        <is>
          <t>Ок</t>
        </is>
      </c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>
      <c r="A651" s="5" t="n"/>
      <c r="B651" s="98" t="n">
        <v>46000</v>
      </c>
      <c r="C651" s="66" t="inlineStr">
        <is>
          <t>Ли Станислав</t>
        </is>
      </c>
      <c r="D651" s="66" t="inlineStr">
        <is>
          <t>Подотчет сырье</t>
        </is>
      </c>
      <c r="E651" s="100" t="n"/>
      <c r="F651" s="66" t="n">
        <v>500000</v>
      </c>
      <c r="G651" s="66">
        <f>E651+F651</f>
        <v/>
      </c>
      <c r="H651" s="66" t="inlineStr">
        <is>
          <t>Выплачено</t>
        </is>
      </c>
      <c r="I651" s="66" t="inlineStr">
        <is>
          <t>Ок</t>
        </is>
      </c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>
      <c r="A652" s="5" t="n"/>
      <c r="B652" s="98" t="n">
        <v>46001</v>
      </c>
      <c r="C652" s="66" t="inlineStr">
        <is>
          <t>Ли Станислав</t>
        </is>
      </c>
      <c r="D652" s="66" t="inlineStr">
        <is>
          <t>Подотчет сырье</t>
        </is>
      </c>
      <c r="E652" s="100" t="n"/>
      <c r="F652" s="66" t="n">
        <v>500000</v>
      </c>
      <c r="G652" s="66">
        <f>E652+F652</f>
        <v/>
      </c>
      <c r="H652" s="66" t="inlineStr">
        <is>
          <t>Выплачено</t>
        </is>
      </c>
      <c r="I652" s="66" t="inlineStr">
        <is>
          <t>Ок</t>
        </is>
      </c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>
      <c r="A653" s="5" t="n"/>
      <c r="B653" s="98" t="n">
        <v>46001</v>
      </c>
      <c r="C653" s="66" t="inlineStr">
        <is>
          <t>М Парго</t>
        </is>
      </c>
      <c r="D653" s="66" t="inlineStr">
        <is>
          <t>маринад</t>
        </is>
      </c>
      <c r="E653" s="100" t="n">
        <v>137280</v>
      </c>
      <c r="F653" s="66" t="n"/>
      <c r="G653" s="66">
        <f>E653+F653</f>
        <v/>
      </c>
      <c r="H653" s="66" t="inlineStr">
        <is>
          <t>Выплачено</t>
        </is>
      </c>
      <c r="I653" s="66" t="inlineStr">
        <is>
          <t>Ок</t>
        </is>
      </c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>
      <c r="A654" s="5" t="n"/>
      <c r="B654" s="98" t="n">
        <v>46001</v>
      </c>
      <c r="C654" s="66" t="inlineStr">
        <is>
          <t>Фудмастер, Зымыран ИП</t>
        </is>
      </c>
      <c r="D654" s="66" t="n"/>
      <c r="E654" s="100" t="n">
        <v>315472</v>
      </c>
      <c r="F654" s="66" t="n"/>
      <c r="G654" s="66">
        <f>E654+F654</f>
        <v/>
      </c>
      <c r="H654" s="66" t="inlineStr">
        <is>
          <t>Выплачено</t>
        </is>
      </c>
      <c r="I654" s="66" t="inlineStr">
        <is>
          <t>Ок</t>
        </is>
      </c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>
      <c r="A655" s="5" t="n"/>
      <c r="B655" s="98" t="n">
        <v>46002</v>
      </c>
      <c r="C655" s="66" t="inlineStr">
        <is>
          <t>Эрико</t>
        </is>
      </c>
      <c r="D655" s="66" t="inlineStr">
        <is>
          <t>этикетки</t>
        </is>
      </c>
      <c r="E655" s="100" t="n">
        <v>87000</v>
      </c>
      <c r="F655" s="66" t="n"/>
      <c r="G655" s="66">
        <f>E655+F655</f>
        <v/>
      </c>
      <c r="H655" s="66" t="inlineStr">
        <is>
          <t>Выплачено</t>
        </is>
      </c>
      <c r="I655" s="66" t="inlineStr">
        <is>
          <t>Ок</t>
        </is>
      </c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>
      <c r="A656" s="5" t="n"/>
      <c r="B656" s="98" t="n">
        <v>46002</v>
      </c>
      <c r="C656" s="101" t="inlineStr">
        <is>
          <t>КазФрост Сервис"</t>
        </is>
      </c>
      <c r="D656" s="66" t="inlineStr">
        <is>
          <t>ролик на дверь холод.</t>
        </is>
      </c>
      <c r="E656" s="100" t="n">
        <v>75800</v>
      </c>
      <c r="F656" s="66" t="n"/>
      <c r="G656" s="66">
        <f>E656+F656</f>
        <v/>
      </c>
      <c r="H656" s="66" t="inlineStr">
        <is>
          <t>Выплачено</t>
        </is>
      </c>
      <c r="I656" s="66" t="inlineStr">
        <is>
          <t>Ок</t>
        </is>
      </c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>
      <c r="A657" s="5" t="n"/>
      <c r="B657" s="98" t="n">
        <v>46002</v>
      </c>
      <c r="C657" s="66" t="inlineStr">
        <is>
          <t>Ким Виталий в п/о</t>
        </is>
      </c>
      <c r="D657" s="66" t="inlineStr">
        <is>
          <t>оплата перевозки лотков в Китай согласно СЗ</t>
        </is>
      </c>
      <c r="E657" s="100" t="n"/>
      <c r="F657" s="66" t="n">
        <v>15000</v>
      </c>
      <c r="G657" s="66">
        <f>E657+F657</f>
        <v/>
      </c>
      <c r="H657" s="66" t="inlineStr">
        <is>
          <t>Выплачено</t>
        </is>
      </c>
      <c r="I657" s="66" t="inlineStr">
        <is>
          <t>Ок</t>
        </is>
      </c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>
      <c r="A658" s="5" t="n"/>
      <c r="B658" s="98" t="n">
        <v>46002</v>
      </c>
      <c r="C658" s="66" t="inlineStr">
        <is>
          <t>Магнум</t>
        </is>
      </c>
      <c r="D658" s="66" t="inlineStr">
        <is>
          <t>рис</t>
        </is>
      </c>
      <c r="E658" s="100" t="n">
        <v>94275</v>
      </c>
      <c r="F658" s="66" t="n"/>
      <c r="G658" s="66">
        <f>E658+F658</f>
        <v/>
      </c>
      <c r="H658" s="66" t="inlineStr">
        <is>
          <t>Выплачено</t>
        </is>
      </c>
      <c r="I658" s="66" t="inlineStr">
        <is>
          <t>Ок</t>
        </is>
      </c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>
      <c r="A659" s="5" t="n"/>
      <c r="B659" s="98" t="n">
        <v>46002</v>
      </c>
      <c r="C659" s="66" t="inlineStr">
        <is>
          <t>ИП Махаметова</t>
        </is>
      </c>
      <c r="D659" s="66" t="inlineStr">
        <is>
          <t>рис</t>
        </is>
      </c>
      <c r="E659" s="100" t="n">
        <v>35000</v>
      </c>
      <c r="F659" s="66" t="n"/>
      <c r="G659" s="66">
        <f>E659+F659</f>
        <v/>
      </c>
      <c r="H659" s="66" t="inlineStr">
        <is>
          <t>Выплачено</t>
        </is>
      </c>
      <c r="I659" s="66" t="inlineStr">
        <is>
          <t>Ок</t>
        </is>
      </c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>
      <c r="A660" s="5" t="n"/>
      <c r="B660" s="98" t="n">
        <v>46002</v>
      </c>
      <c r="C660" s="66" t="inlineStr">
        <is>
          <t>Ли Станислав</t>
        </is>
      </c>
      <c r="D660" s="66" t="inlineStr">
        <is>
          <t>Подотчет сырье</t>
        </is>
      </c>
      <c r="E660" s="100" t="n"/>
      <c r="F660" s="66" t="n">
        <v>600000</v>
      </c>
      <c r="G660" s="66">
        <f>E660+F660</f>
        <v/>
      </c>
      <c r="H660" s="66" t="inlineStr">
        <is>
          <t>Выплачено</t>
        </is>
      </c>
      <c r="I660" s="66" t="inlineStr">
        <is>
          <t>Ок</t>
        </is>
      </c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>
      <c r="A661" s="5" t="n"/>
      <c r="B661" s="98" t="n">
        <v>46002</v>
      </c>
      <c r="C661" s="66" t="inlineStr">
        <is>
          <t>Зарплата недельная</t>
        </is>
      </c>
      <c r="D661" s="66" t="inlineStr">
        <is>
          <t>Лагманщики</t>
        </is>
      </c>
      <c r="E661" s="100" t="n"/>
      <c r="F661" s="66" t="n">
        <v>400000</v>
      </c>
      <c r="G661" s="66">
        <f>E661+F661</f>
        <v/>
      </c>
      <c r="H661" s="66" t="inlineStr">
        <is>
          <t>Выплачено</t>
        </is>
      </c>
      <c r="I661" s="66" t="inlineStr">
        <is>
          <t>Ок</t>
        </is>
      </c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>
      <c r="A662" s="5" t="n"/>
      <c r="B662" s="77" t="n">
        <v>46003</v>
      </c>
      <c r="C662" s="80" t="inlineStr">
        <is>
          <t>Ли Станислав</t>
        </is>
      </c>
      <c r="D662" s="80" t="inlineStr">
        <is>
          <t>Подотчет сырье</t>
        </is>
      </c>
      <c r="E662" s="102" t="n"/>
      <c r="F662" s="80" t="n">
        <v>500000</v>
      </c>
      <c r="G662" s="80">
        <f>E662+F662</f>
        <v/>
      </c>
      <c r="H662" s="66" t="inlineStr">
        <is>
          <t>Выплачено</t>
        </is>
      </c>
      <c r="I662" s="66" t="inlineStr">
        <is>
          <t>Ок</t>
        </is>
      </c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>
      <c r="A663" s="5" t="n"/>
      <c r="B663" s="98" t="n">
        <v>46003</v>
      </c>
      <c r="C663" s="66" t="inlineStr">
        <is>
          <t xml:space="preserve">Вон С </t>
        </is>
      </c>
      <c r="D663" s="66" t="inlineStr">
        <is>
          <t>Оплата поставщикам за сырье</t>
        </is>
      </c>
      <c r="E663" s="100" t="n">
        <v>11543239</v>
      </c>
      <c r="F663" s="66" t="n"/>
      <c r="G663" s="66">
        <f>E663+F663</f>
        <v/>
      </c>
      <c r="H663" s="66" t="inlineStr">
        <is>
          <t>Выплачено</t>
        </is>
      </c>
      <c r="I663" s="66" t="inlineStr">
        <is>
          <t>Ок</t>
        </is>
      </c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>
      <c r="A664" s="5" t="n"/>
      <c r="B664" s="98" t="n">
        <v>46006</v>
      </c>
      <c r="C664" s="66" t="inlineStr">
        <is>
          <t>Ли Станислав</t>
        </is>
      </c>
      <c r="D664" s="66" t="inlineStr">
        <is>
          <t>Подотчет сырье</t>
        </is>
      </c>
      <c r="E664" s="100" t="n"/>
      <c r="F664" s="66" t="n">
        <v>300000</v>
      </c>
      <c r="G664" s="66">
        <f>E664+F664</f>
        <v/>
      </c>
      <c r="H664" s="66" t="inlineStr">
        <is>
          <t>К оплате</t>
        </is>
      </c>
      <c r="I664" s="66" t="inlineStr">
        <is>
          <t>Ок</t>
        </is>
      </c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>
      <c r="A665" s="5" t="n"/>
      <c r="B665" s="98" t="n">
        <v>46006</v>
      </c>
      <c r="C665" s="66" t="inlineStr">
        <is>
          <t>Aitas</t>
        </is>
      </c>
      <c r="D665" s="66" t="inlineStr">
        <is>
          <t>филе</t>
        </is>
      </c>
      <c r="E665" s="100" t="n">
        <v>1100000</v>
      </c>
      <c r="F665" s="66" t="n"/>
      <c r="G665" s="66">
        <f>E665+F665</f>
        <v/>
      </c>
      <c r="H665" s="66" t="inlineStr">
        <is>
          <t>Выплачено</t>
        </is>
      </c>
      <c r="I665" s="66" t="inlineStr">
        <is>
          <t>Ок</t>
        </is>
      </c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>
      <c r="A666" s="5" t="n"/>
      <c r="B666" s="98" t="n">
        <v>46006</v>
      </c>
      <c r="C666" s="66" t="inlineStr">
        <is>
          <t xml:space="preserve">Вон С </t>
        </is>
      </c>
      <c r="D666" s="66" t="inlineStr">
        <is>
          <t>Прочистка канализации по СЗ</t>
        </is>
      </c>
      <c r="E666" s="100" t="n"/>
      <c r="F666" s="66" t="n">
        <v>40000</v>
      </c>
      <c r="G666" s="66">
        <f>E666+F666</f>
        <v/>
      </c>
      <c r="H666" s="66" t="inlineStr">
        <is>
          <t>Выплачено</t>
        </is>
      </c>
      <c r="I666" s="66" t="inlineStr">
        <is>
          <t>Ок</t>
        </is>
      </c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>
      <c r="A667" s="5" t="n"/>
      <c r="B667" s="98" t="n">
        <v>46006</v>
      </c>
      <c r="C667" s="66" t="inlineStr">
        <is>
          <t xml:space="preserve">Марат </t>
        </is>
      </c>
      <c r="D667" s="66" t="inlineStr">
        <is>
          <t xml:space="preserve">Ахмерова </t>
        </is>
      </c>
      <c r="E667" s="100" t="n">
        <v>176400</v>
      </c>
      <c r="F667" s="66" t="n"/>
      <c r="G667" s="66">
        <f>E667+F667</f>
        <v/>
      </c>
      <c r="H667" s="66" t="inlineStr">
        <is>
          <t>Выплачено</t>
        </is>
      </c>
      <c r="I667" s="66" t="inlineStr">
        <is>
          <t>Ок</t>
        </is>
      </c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>
      <c r="A668" s="5" t="n"/>
      <c r="B668" s="98" t="n">
        <v>46006</v>
      </c>
      <c r="C668" s="66" t="inlineStr">
        <is>
          <t xml:space="preserve">Хон Вадим </t>
        </is>
      </c>
      <c r="D668" s="103" t="inlineStr">
        <is>
          <t>ТОО "Компания Э-КОМ ПРАЙМ</t>
        </is>
      </c>
      <c r="E668" s="100" t="n">
        <v>120000</v>
      </c>
      <c r="F668" s="66" t="n"/>
      <c r="G668" s="66">
        <f>E668+F668</f>
        <v/>
      </c>
      <c r="H668" s="66" t="inlineStr">
        <is>
          <t>Выплачено</t>
        </is>
      </c>
      <c r="I668" s="66" t="inlineStr">
        <is>
          <t>Ок</t>
        </is>
      </c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>
      <c r="A669" s="5" t="n"/>
      <c r="B669" s="98" t="n">
        <v>46006</v>
      </c>
      <c r="C669" s="66" t="inlineStr">
        <is>
          <t>Магнум</t>
        </is>
      </c>
      <c r="D669" s="66" t="inlineStr">
        <is>
          <t>рис</t>
        </is>
      </c>
      <c r="E669" s="100" t="n">
        <v>184500</v>
      </c>
      <c r="F669" s="66" t="n"/>
      <c r="G669" s="66">
        <f>E669+F669</f>
        <v/>
      </c>
      <c r="H669" s="66" t="inlineStr">
        <is>
          <t>Выплачено</t>
        </is>
      </c>
      <c r="I669" s="66" t="inlineStr">
        <is>
          <t>Ок</t>
        </is>
      </c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>
      <c r="A670" s="5" t="n"/>
      <c r="B670" s="98" t="n">
        <v>46006</v>
      </c>
      <c r="C670" s="43" t="inlineStr">
        <is>
          <t>Демьянов</t>
        </is>
      </c>
      <c r="D670" s="43" t="inlineStr">
        <is>
          <t>Логистика (доставка)</t>
        </is>
      </c>
      <c r="E670" s="100" t="n">
        <v>500000</v>
      </c>
      <c r="F670" s="66" t="n"/>
      <c r="G670" s="66">
        <f>E670+F670</f>
        <v/>
      </c>
      <c r="H670" s="66" t="inlineStr">
        <is>
          <t>Выплачено</t>
        </is>
      </c>
      <c r="I670" s="66" t="inlineStr">
        <is>
          <t>Ок</t>
        </is>
      </c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>
      <c r="A671" s="5" t="n"/>
      <c r="B671" s="98" t="n">
        <v>46006</v>
      </c>
      <c r="C671" s="66" t="inlineStr">
        <is>
          <t xml:space="preserve">Вон С </t>
        </is>
      </c>
      <c r="D671" s="66" t="inlineStr">
        <is>
          <t>Возмещение за курицу согласно СЗ</t>
        </is>
      </c>
      <c r="E671" s="100" t="n"/>
      <c r="F671" s="66" t="n">
        <v>368175</v>
      </c>
      <c r="G671" s="66">
        <f>E671+F671</f>
        <v/>
      </c>
      <c r="H671" s="66" t="inlineStr">
        <is>
          <t>Выплачено</t>
        </is>
      </c>
      <c r="I671" s="66" t="inlineStr">
        <is>
          <t>Ок</t>
        </is>
      </c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>
      <c r="A672" s="5" t="n"/>
      <c r="B672" s="98" t="n">
        <v>46006</v>
      </c>
      <c r="C672" s="66" t="inlineStr">
        <is>
          <t xml:space="preserve">Вон С </t>
        </is>
      </c>
      <c r="D672" s="66" t="inlineStr">
        <is>
          <t>на запчасти согласно СЗ</t>
        </is>
      </c>
      <c r="E672" s="100" t="n"/>
      <c r="F672" s="66" t="n">
        <v>300000</v>
      </c>
      <c r="G672" s="66">
        <f>E672+F672</f>
        <v/>
      </c>
      <c r="H672" s="66" t="inlineStr">
        <is>
          <t>Выплачено</t>
        </is>
      </c>
      <c r="I672" s="66" t="inlineStr">
        <is>
          <t>Ок</t>
        </is>
      </c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>
      <c r="A673" s="5" t="n"/>
      <c r="B673" s="98" t="n">
        <v>46006</v>
      </c>
      <c r="C673" s="66" t="inlineStr">
        <is>
          <t xml:space="preserve">Вон С </t>
        </is>
      </c>
      <c r="D673" s="66" t="inlineStr">
        <is>
          <t xml:space="preserve">Проживание отделочников в комнате по СЗ на 1 мес кристал </t>
        </is>
      </c>
      <c r="E673" s="100" t="n"/>
      <c r="F673" s="66" t="n">
        <v>50000</v>
      </c>
      <c r="G673" s="66">
        <f>E673+F673</f>
        <v/>
      </c>
      <c r="H673" s="66" t="inlineStr">
        <is>
          <t>К оплате</t>
        </is>
      </c>
      <c r="I673" s="66" t="inlineStr">
        <is>
          <t>Ок</t>
        </is>
      </c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>
      <c r="A674" s="5" t="n"/>
      <c r="B674" s="98" t="n">
        <v>46006</v>
      </c>
      <c r="C674" s="57" t="inlineStr">
        <is>
          <t>Public Health Inspection</t>
        </is>
      </c>
      <c r="D674" s="66" t="inlineStr">
        <is>
          <t>санитарнобиолог.исследования салата</t>
        </is>
      </c>
      <c r="E674" s="100" t="n">
        <v>12800</v>
      </c>
      <c r="F674" s="66" t="n"/>
      <c r="G674" s="66">
        <f>E674+F674</f>
        <v/>
      </c>
      <c r="H674" s="66" t="inlineStr">
        <is>
          <t>Выплачено</t>
        </is>
      </c>
      <c r="I674" s="66" t="inlineStr">
        <is>
          <t>Ок</t>
        </is>
      </c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>
      <c r="A675" s="5" t="n"/>
      <c r="B675" s="104" t="n">
        <v>46007</v>
      </c>
      <c r="C675" s="106" t="inlineStr">
        <is>
          <t xml:space="preserve">Зарплата </t>
        </is>
      </c>
      <c r="D675" s="106" t="inlineStr">
        <is>
          <t xml:space="preserve">производства </t>
        </is>
      </c>
      <c r="E675" s="106" t="n"/>
      <c r="F675" s="106" t="n">
        <v>12374500</v>
      </c>
      <c r="G675" s="106">
        <f>E675+F675</f>
        <v/>
      </c>
      <c r="H675" s="106" t="inlineStr">
        <is>
          <t>Выплачено</t>
        </is>
      </c>
      <c r="I675" s="66" t="inlineStr">
        <is>
          <t>Ок</t>
        </is>
      </c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>
      <c r="A676" s="5" t="n"/>
      <c r="B676" s="104" t="n">
        <v>46007</v>
      </c>
      <c r="C676" s="106" t="inlineStr">
        <is>
          <t xml:space="preserve">Квартира </t>
        </is>
      </c>
      <c r="D676" s="106" t="inlineStr">
        <is>
          <t xml:space="preserve">Сон Сергей и Желтоксан </t>
        </is>
      </c>
      <c r="E676" s="106" t="n"/>
      <c r="F676" s="106" t="n">
        <v>700000</v>
      </c>
      <c r="G676" s="106" t="n">
        <v>700000</v>
      </c>
      <c r="H676" s="106" t="inlineStr">
        <is>
          <t>Выплачено</t>
        </is>
      </c>
      <c r="I676" s="66" t="inlineStr">
        <is>
          <t>Ок</t>
        </is>
      </c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>
      <c r="A677" s="5" t="n"/>
      <c r="B677" s="58" t="n">
        <v>46008</v>
      </c>
      <c r="C677" s="109" t="inlineStr">
        <is>
          <t xml:space="preserve">Вон С </t>
        </is>
      </c>
      <c r="D677" s="108" t="inlineStr">
        <is>
          <t>ИП TULPAR MOTOR</t>
        </is>
      </c>
      <c r="E677" s="109" t="n">
        <v>112000</v>
      </c>
      <c r="F677" s="109" t="n"/>
      <c r="G677" s="109">
        <f>E677+F677</f>
        <v/>
      </c>
      <c r="H677" s="109" t="inlineStr">
        <is>
          <t>К оплате</t>
        </is>
      </c>
      <c r="I677" s="66" t="inlineStr">
        <is>
          <t>Ок</t>
        </is>
      </c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>
      <c r="A678" s="5" t="n"/>
      <c r="B678" s="58" t="n">
        <v>46008</v>
      </c>
      <c r="C678" s="109" t="inlineStr">
        <is>
          <t xml:space="preserve">Вон С </t>
        </is>
      </c>
      <c r="D678" s="110" t="inlineStr">
        <is>
          <t>для покупки орешницы Garden ZH-2311</t>
        </is>
      </c>
      <c r="E678" s="109" t="n"/>
      <c r="F678" s="109" t="n">
        <v>98000</v>
      </c>
      <c r="G678" s="109">
        <f>E678+F678</f>
        <v/>
      </c>
      <c r="H678" s="109" t="inlineStr">
        <is>
          <t>Выплачено</t>
        </is>
      </c>
      <c r="I678" s="66" t="inlineStr">
        <is>
          <t>Ок</t>
        </is>
      </c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>
      <c r="A679" s="5" t="n"/>
      <c r="B679" s="40" t="n">
        <v>46008</v>
      </c>
      <c r="C679" s="66" t="inlineStr">
        <is>
          <t xml:space="preserve">Вон С </t>
        </is>
      </c>
      <c r="D679" s="66" t="inlineStr">
        <is>
          <t>Оплата поставщикам за сырье</t>
        </is>
      </c>
      <c r="E679" s="112" t="n">
        <v>8791511</v>
      </c>
      <c r="F679" s="73" t="n"/>
      <c r="G679" s="111">
        <f>E679+F679</f>
        <v/>
      </c>
      <c r="H679" s="73" t="inlineStr">
        <is>
          <t>Выплачено</t>
        </is>
      </c>
      <c r="I679" s="66" t="inlineStr">
        <is>
          <t>Ок</t>
        </is>
      </c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>
      <c r="A680" s="5" t="n"/>
      <c r="B680" s="40" t="n">
        <v>46009</v>
      </c>
      <c r="C680" s="66" t="inlineStr">
        <is>
          <t xml:space="preserve">Вон С </t>
        </is>
      </c>
      <c r="D680" s="66" t="inlineStr">
        <is>
          <t>Оплата поставщикам за сырье</t>
        </is>
      </c>
      <c r="E680" s="112" t="n">
        <v>9130595</v>
      </c>
      <c r="F680" s="73" t="n"/>
      <c r="G680" s="111">
        <f>E680+F680</f>
        <v/>
      </c>
      <c r="H680" s="73" t="inlineStr">
        <is>
          <t>Выплачено</t>
        </is>
      </c>
      <c r="I680" s="66" t="inlineStr">
        <is>
          <t>Ок</t>
        </is>
      </c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>
      <c r="A681" s="5" t="n"/>
      <c r="B681" s="40" t="n">
        <v>46009</v>
      </c>
      <c r="C681" s="73" t="inlineStr">
        <is>
          <t>Магнум</t>
        </is>
      </c>
      <c r="D681" s="73" t="inlineStr">
        <is>
          <t>рис</t>
        </is>
      </c>
      <c r="E681" s="112" t="n">
        <v>369000</v>
      </c>
      <c r="F681" s="73" t="n"/>
      <c r="G681" s="111">
        <f>E681+F681</f>
        <v/>
      </c>
      <c r="H681" s="73" t="inlineStr">
        <is>
          <t>Выплачено</t>
        </is>
      </c>
      <c r="I681" s="66" t="inlineStr">
        <is>
          <t>Ок</t>
        </is>
      </c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>
      <c r="A682" s="5" t="n"/>
      <c r="B682" s="40" t="n">
        <v>46009</v>
      </c>
      <c r="C682" s="73" t="inlineStr">
        <is>
          <t>Декоршоп</t>
        </is>
      </c>
      <c r="D682" s="73" t="inlineStr">
        <is>
          <t>подложка</t>
        </is>
      </c>
      <c r="E682" s="112" t="n">
        <v>35500</v>
      </c>
      <c r="F682" s="73" t="n"/>
      <c r="G682" s="111">
        <f>E682+F682</f>
        <v/>
      </c>
      <c r="H682" s="73" t="inlineStr">
        <is>
          <t>Выплачено</t>
        </is>
      </c>
      <c r="I682" s="66" t="inlineStr">
        <is>
          <t>Ок</t>
        </is>
      </c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>
      <c r="A683" s="5" t="n"/>
      <c r="B683" s="40" t="n">
        <v>46010</v>
      </c>
      <c r="C683" s="43" t="inlineStr">
        <is>
          <t>Демьянов</t>
        </is>
      </c>
      <c r="D683" s="43" t="inlineStr">
        <is>
          <t>Логистика (доставка)</t>
        </is>
      </c>
      <c r="E683" s="100" t="n">
        <v>1000000</v>
      </c>
      <c r="F683" s="73" t="n"/>
      <c r="G683" s="111">
        <f>E683+F683</f>
        <v/>
      </c>
      <c r="H683" s="73" t="inlineStr">
        <is>
          <t>Выплачено</t>
        </is>
      </c>
      <c r="I683" s="66" t="inlineStr">
        <is>
          <t>Ок</t>
        </is>
      </c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>
      <c r="A684" s="5" t="n"/>
      <c r="B684" s="40" t="n">
        <v>46010</v>
      </c>
      <c r="C684" s="73" t="n"/>
      <c r="D684" s="73" t="inlineStr">
        <is>
          <t>корпоратив</t>
        </is>
      </c>
      <c r="E684" s="112" t="n">
        <v>1631700</v>
      </c>
      <c r="F684" s="73" t="n"/>
      <c r="G684" s="111">
        <f>E684+F684</f>
        <v/>
      </c>
      <c r="H684" s="73" t="inlineStr">
        <is>
          <t>Выплачено</t>
        </is>
      </c>
      <c r="I684" s="66" t="inlineStr">
        <is>
          <t>Ок</t>
        </is>
      </c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>
      <c r="A685" s="5" t="n"/>
      <c r="B685" s="40" t="n">
        <v>46010</v>
      </c>
      <c r="C685" s="66" t="inlineStr">
        <is>
          <t xml:space="preserve">Вон С </t>
        </is>
      </c>
      <c r="D685" s="66" t="inlineStr">
        <is>
          <t>Оплата поставщикам за сырье</t>
        </is>
      </c>
      <c r="E685" s="112" t="n">
        <v>4455299</v>
      </c>
      <c r="F685" s="73" t="n"/>
      <c r="G685" s="111">
        <f>E685+F685</f>
        <v/>
      </c>
      <c r="H685" s="73" t="inlineStr">
        <is>
          <t>Выплачено</t>
        </is>
      </c>
      <c r="I685" s="66" t="inlineStr">
        <is>
          <t>Ок</t>
        </is>
      </c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>
      <c r="A686" s="5" t="n"/>
      <c r="B686" s="40" t="n">
        <v>46013</v>
      </c>
      <c r="C686" s="73" t="inlineStr">
        <is>
          <t>Ли Станислав</t>
        </is>
      </c>
      <c r="D686" s="73" t="inlineStr">
        <is>
          <t>Подотчет сырье</t>
        </is>
      </c>
      <c r="E686" s="112" t="n"/>
      <c r="F686" s="73" t="n">
        <v>500000</v>
      </c>
      <c r="G686" s="111">
        <f>E686+F686</f>
        <v/>
      </c>
      <c r="H686" s="73" t="inlineStr">
        <is>
          <t>Выплачено</t>
        </is>
      </c>
      <c r="I686" s="66" t="inlineStr">
        <is>
          <t>Ок</t>
        </is>
      </c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>
      <c r="A687" s="5" t="n"/>
      <c r="B687" s="40" t="n">
        <v>46013</v>
      </c>
      <c r="C687" s="113" t="inlineStr">
        <is>
          <t>"Буран Бойлер"</t>
        </is>
      </c>
      <c r="D687" s="73" t="inlineStr">
        <is>
          <t>Мотор на газ.горелку</t>
        </is>
      </c>
      <c r="E687" s="112" t="n">
        <v>154000</v>
      </c>
      <c r="F687" s="73" t="n"/>
      <c r="G687" s="111">
        <f>E687+F687</f>
        <v/>
      </c>
      <c r="H687" s="73" t="inlineStr">
        <is>
          <t>Выплачено</t>
        </is>
      </c>
      <c r="I687" s="66" t="inlineStr">
        <is>
          <t>Ок</t>
        </is>
      </c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>
      <c r="A688" s="5" t="n"/>
      <c r="B688" s="40" t="n">
        <v>46013</v>
      </c>
      <c r="C688" s="73" t="inlineStr">
        <is>
          <t>Шымкентмай</t>
        </is>
      </c>
      <c r="D688" s="73" t="inlineStr">
        <is>
          <t>масло подсолн.</t>
        </is>
      </c>
      <c r="E688" s="112" t="n">
        <v>444000</v>
      </c>
      <c r="F688" s="73" t="n"/>
      <c r="G688" s="111">
        <f>E688+F688</f>
        <v/>
      </c>
      <c r="H688" s="73" t="inlineStr">
        <is>
          <t>Выплачено</t>
        </is>
      </c>
      <c r="I688" s="66" t="inlineStr">
        <is>
          <t>Ок</t>
        </is>
      </c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>
      <c r="A689" s="5" t="n"/>
      <c r="B689" s="40" t="n">
        <v>46013</v>
      </c>
      <c r="C689" s="73" t="inlineStr">
        <is>
          <t>Исмагулов ИП</t>
        </is>
      </c>
      <c r="D689" s="73" t="inlineStr">
        <is>
          <t>мука, сахар</t>
        </is>
      </c>
      <c r="E689" s="112" t="n">
        <v>718000</v>
      </c>
      <c r="F689" s="73" t="n"/>
      <c r="G689" s="111">
        <f>E689+F689</f>
        <v/>
      </c>
      <c r="H689" s="73" t="inlineStr">
        <is>
          <t>Выплачено</t>
        </is>
      </c>
      <c r="I689" s="66" t="inlineStr">
        <is>
          <t>Ок</t>
        </is>
      </c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>
      <c r="A690" s="5" t="n"/>
      <c r="B690" s="40" t="n">
        <v>46013</v>
      </c>
      <c r="C690" s="73" t="inlineStr">
        <is>
          <t>Бестселлер фуд</t>
        </is>
      </c>
      <c r="D690" s="73" t="inlineStr">
        <is>
          <t>сыр</t>
        </is>
      </c>
      <c r="E690" s="112" t="n">
        <v>321035</v>
      </c>
      <c r="F690" s="73" t="n"/>
      <c r="G690" s="111">
        <f>E690+F690</f>
        <v/>
      </c>
      <c r="H690" s="73" t="inlineStr">
        <is>
          <t>Выплачено</t>
        </is>
      </c>
      <c r="I690" s="66" t="inlineStr">
        <is>
          <t>Ок</t>
        </is>
      </c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>
      <c r="A691" s="5" t="n"/>
      <c r="B691" s="40" t="n">
        <v>46013</v>
      </c>
      <c r="C691" s="73" t="inlineStr">
        <is>
          <t>Ахмерова ИП</t>
        </is>
      </c>
      <c r="D691" s="73" t="inlineStr">
        <is>
          <t>ПЭТ бутылки</t>
        </is>
      </c>
      <c r="E691" s="112" t="n">
        <v>132300</v>
      </c>
      <c r="F691" s="73" t="n"/>
      <c r="G691" s="111">
        <f>E691+F691</f>
        <v/>
      </c>
      <c r="H691" s="73" t="inlineStr">
        <is>
          <t>Выплачено</t>
        </is>
      </c>
      <c r="I691" s="66" t="inlineStr">
        <is>
          <t>Ок</t>
        </is>
      </c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>
      <c r="A692" s="5" t="n"/>
      <c r="B692" s="40" t="n">
        <v>46013</v>
      </c>
      <c r="C692" s="73" t="inlineStr">
        <is>
          <t>TGR Company</t>
        </is>
      </c>
      <c r="D692" s="73" t="inlineStr">
        <is>
          <t>емкость и крышка полимерная</t>
        </is>
      </c>
      <c r="E692" s="112" t="n">
        <v>30000</v>
      </c>
      <c r="F692" s="73" t="n"/>
      <c r="G692" s="111">
        <f>E692+F692</f>
        <v/>
      </c>
      <c r="H692" s="73" t="inlineStr">
        <is>
          <t>Выплачено</t>
        </is>
      </c>
      <c r="I692" s="66" t="inlineStr">
        <is>
          <t>Ок</t>
        </is>
      </c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>
      <c r="A693" s="5" t="n"/>
      <c r="B693" s="40" t="n">
        <v>46014</v>
      </c>
      <c r="C693" s="43" t="inlineStr">
        <is>
          <t>Демьянов</t>
        </is>
      </c>
      <c r="D693" s="43" t="inlineStr">
        <is>
          <t>Логистика (доставка)</t>
        </is>
      </c>
      <c r="E693" s="112" t="n">
        <v>1500000</v>
      </c>
      <c r="F693" s="73" t="n"/>
      <c r="G693" s="111">
        <f>E693+F693</f>
        <v/>
      </c>
      <c r="H693" s="73" t="inlineStr">
        <is>
          <t>Выплачено</t>
        </is>
      </c>
      <c r="I693" s="66" t="inlineStr">
        <is>
          <t>Ок</t>
        </is>
      </c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>
      <c r="A694" s="5" t="n"/>
      <c r="B694" s="40" t="n">
        <v>46014</v>
      </c>
      <c r="C694" s="73" t="inlineStr">
        <is>
          <t>Рокос</t>
        </is>
      </c>
      <c r="D694" s="73" t="inlineStr">
        <is>
          <t>сыр</t>
        </is>
      </c>
      <c r="E694" s="112" t="n">
        <v>194682</v>
      </c>
      <c r="F694" s="73" t="n"/>
      <c r="G694" s="111">
        <f>E694+F694</f>
        <v/>
      </c>
      <c r="H694" s="73" t="inlineStr">
        <is>
          <t>Выплачено</t>
        </is>
      </c>
      <c r="I694" s="66" t="inlineStr">
        <is>
          <t>Ок</t>
        </is>
      </c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>
      <c r="A695" s="5" t="n"/>
      <c r="B695" s="40" t="n">
        <v>46014</v>
      </c>
      <c r="C695" s="73" t="inlineStr">
        <is>
          <t>Тобулова Д.</t>
        </is>
      </c>
      <c r="D695" s="73" t="inlineStr">
        <is>
          <t>на подарки детям по СЗ</t>
        </is>
      </c>
      <c r="E695" s="112" t="n"/>
      <c r="F695" s="73" t="n">
        <v>392000</v>
      </c>
      <c r="G695" s="111">
        <f>E695+F695</f>
        <v/>
      </c>
      <c r="H695" s="73" t="inlineStr">
        <is>
          <t>Выплачено</t>
        </is>
      </c>
      <c r="I695" s="66" t="inlineStr">
        <is>
          <t>Ок</t>
        </is>
      </c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>
      <c r="A696" s="5" t="n"/>
      <c r="B696" s="40" t="n">
        <v>46014</v>
      </c>
      <c r="C696" s="66" t="inlineStr">
        <is>
          <t xml:space="preserve">Вон С </t>
        </is>
      </c>
      <c r="D696" s="66" t="inlineStr">
        <is>
          <t>Оплата поставщикам за сырье</t>
        </is>
      </c>
      <c r="E696" s="112" t="n">
        <v>7743976</v>
      </c>
      <c r="F696" s="73" t="n"/>
      <c r="G696" s="111">
        <f>E696+F696</f>
        <v/>
      </c>
      <c r="H696" s="73" t="inlineStr">
        <is>
          <t>Выплачено</t>
        </is>
      </c>
      <c r="I696" s="66" t="inlineStr">
        <is>
          <t>Ок</t>
        </is>
      </c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>
      <c r="A697" s="5" t="n"/>
      <c r="B697" s="40" t="n">
        <v>46015</v>
      </c>
      <c r="C697" s="73" t="inlineStr">
        <is>
          <t>НУ</t>
        </is>
      </c>
      <c r="D697" s="73" t="inlineStr">
        <is>
          <t>налоги по ЗП</t>
        </is>
      </c>
      <c r="E697" s="112" t="n">
        <v>9055250</v>
      </c>
      <c r="F697" s="73" t="n"/>
      <c r="G697" s="111">
        <f>E697+F697</f>
        <v/>
      </c>
      <c r="H697" s="73" t="inlineStr">
        <is>
          <t>Выплачено</t>
        </is>
      </c>
      <c r="I697" s="66" t="inlineStr">
        <is>
          <t>Ок</t>
        </is>
      </c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>
      <c r="A698" s="5" t="n"/>
      <c r="B698" s="40" t="n">
        <v>46015</v>
      </c>
      <c r="C698" s="73" t="inlineStr">
        <is>
          <t>HRC ТОО</t>
        </is>
      </c>
      <c r="D698" s="73" t="inlineStr">
        <is>
          <t>бытовя химия</t>
        </is>
      </c>
      <c r="E698" s="112" t="n">
        <v>125128</v>
      </c>
      <c r="F698" s="73" t="n"/>
      <c r="G698" s="111">
        <f>E698+F698</f>
        <v/>
      </c>
      <c r="H698" s="73" t="inlineStr">
        <is>
          <t>Отложено</t>
        </is>
      </c>
      <c r="I698" s="66" t="inlineStr">
        <is>
          <t>Ок</t>
        </is>
      </c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>
      <c r="A699" s="5" t="n"/>
      <c r="B699" s="40" t="n">
        <v>46015</v>
      </c>
      <c r="C699" s="73" t="n"/>
      <c r="D699" s="73" t="inlineStr">
        <is>
          <t>Доплата за корпоратив по СЗ</t>
        </is>
      </c>
      <c r="E699" s="112" t="n">
        <v>165880</v>
      </c>
      <c r="F699" s="73" t="n"/>
      <c r="G699" s="111">
        <f>E699+F699</f>
        <v/>
      </c>
      <c r="H699" s="73" t="inlineStr">
        <is>
          <t>Выплачено</t>
        </is>
      </c>
      <c r="I699" s="66" t="inlineStr">
        <is>
          <t>Ок</t>
        </is>
      </c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>
      <c r="A700" s="5" t="n"/>
      <c r="B700" s="40" t="n">
        <v>46016</v>
      </c>
      <c r="C700" s="73" t="inlineStr">
        <is>
          <t>Вон С.</t>
        </is>
      </c>
      <c r="D700" s="73" t="inlineStr">
        <is>
          <t>в п/о на ТМЦ</t>
        </is>
      </c>
      <c r="E700" s="112" t="n"/>
      <c r="F700" s="73" t="n">
        <v>400000</v>
      </c>
      <c r="G700" s="111">
        <f>E700+F700</f>
        <v/>
      </c>
      <c r="H700" s="73" t="inlineStr">
        <is>
          <t>Выплачено</t>
        </is>
      </c>
      <c r="I700" s="66" t="inlineStr">
        <is>
          <t>Ок</t>
        </is>
      </c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>
      <c r="A701" s="5" t="n"/>
      <c r="B701" s="40" t="n">
        <v>46016</v>
      </c>
      <c r="D701" s="73" t="inlineStr">
        <is>
          <t>Олеся М</t>
        </is>
      </c>
      <c r="E701" s="112" t="n"/>
      <c r="F701" s="73" t="n">
        <v>350000</v>
      </c>
      <c r="G701" s="111">
        <f>E701+F701</f>
        <v/>
      </c>
      <c r="H701" s="73" t="inlineStr">
        <is>
          <t>Выплачено</t>
        </is>
      </c>
      <c r="I701" s="66" t="inlineStr">
        <is>
          <t>Ок</t>
        </is>
      </c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>
      <c r="A702" s="5" t="n"/>
      <c r="B702" s="40" t="n">
        <v>46020</v>
      </c>
      <c r="C702" s="73" t="inlineStr">
        <is>
          <t>APF service</t>
        </is>
      </c>
      <c r="D702" s="73" t="inlineStr">
        <is>
          <t xml:space="preserve">вывоз ТБО  </t>
        </is>
      </c>
      <c r="E702" s="112" t="n">
        <v>1000890</v>
      </c>
      <c r="F702" s="73" t="n"/>
      <c r="G702" s="111">
        <f>E702+F702</f>
        <v/>
      </c>
      <c r="H702" s="73" t="inlineStr">
        <is>
          <t>Выплачено</t>
        </is>
      </c>
      <c r="I702" s="66" t="inlineStr">
        <is>
          <t>Ок</t>
        </is>
      </c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>
      <c r="A703" s="5" t="n"/>
      <c r="B703" s="40" t="n">
        <v>46020</v>
      </c>
      <c r="C703" s="73" t="n"/>
      <c r="D703" s="73" t="inlineStr">
        <is>
          <t>авансы на карты</t>
        </is>
      </c>
      <c r="E703" s="112" t="n">
        <v>1500000</v>
      </c>
      <c r="F703" s="73" t="n"/>
      <c r="G703" s="111">
        <f>E703+F703</f>
        <v/>
      </c>
      <c r="H703" s="73" t="inlineStr">
        <is>
          <t>Выплачено</t>
        </is>
      </c>
      <c r="I703" s="66" t="inlineStr">
        <is>
          <t>Ок</t>
        </is>
      </c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>
      <c r="A704" s="5" t="n"/>
      <c r="B704" s="40" t="n">
        <v>46020</v>
      </c>
      <c r="C704" s="73" t="inlineStr">
        <is>
          <t>ИП Лисовик</t>
        </is>
      </c>
      <c r="D704" s="73" t="inlineStr">
        <is>
          <t>масло для оборудования</t>
        </is>
      </c>
      <c r="E704" s="112" t="n">
        <v>200000</v>
      </c>
      <c r="F704" s="73" t="n"/>
      <c r="G704" s="111">
        <f>E704+F704</f>
        <v/>
      </c>
      <c r="H704" s="73" t="inlineStr">
        <is>
          <t>Выплачено</t>
        </is>
      </c>
      <c r="I704" s="66" t="inlineStr">
        <is>
          <t>Ок</t>
        </is>
      </c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>
      <c r="A705" s="5" t="n"/>
      <c r="B705" s="40" t="n">
        <v>46020</v>
      </c>
      <c r="C705" s="57" t="inlineStr">
        <is>
          <t>ТОО "Disys"</t>
        </is>
      </c>
      <c r="D705" s="73" t="inlineStr">
        <is>
          <t>интеграция 1С</t>
        </is>
      </c>
      <c r="E705" s="112" t="n">
        <v>316500</v>
      </c>
      <c r="F705" s="73" t="n"/>
      <c r="G705" s="111">
        <f>E705+F705</f>
        <v/>
      </c>
      <c r="H705" s="73" t="inlineStr">
        <is>
          <t>Отложено</t>
        </is>
      </c>
      <c r="I705" s="66" t="inlineStr">
        <is>
          <t>Ок</t>
        </is>
      </c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>
      <c r="A706" s="5" t="n"/>
      <c r="B706" s="40" t="n">
        <v>46020</v>
      </c>
      <c r="C706" s="73" t="inlineStr">
        <is>
          <t>Глобал Халал курица</t>
        </is>
      </c>
      <c r="D706" s="73" t="n"/>
      <c r="E706" s="112" t="n">
        <v>1406300</v>
      </c>
      <c r="F706" s="73" t="n"/>
      <c r="G706" s="111">
        <f>E706+F706</f>
        <v/>
      </c>
      <c r="H706" s="73" t="inlineStr">
        <is>
          <t>Выплачено</t>
        </is>
      </c>
      <c r="I706" s="66" t="inlineStr">
        <is>
          <t>Ок</t>
        </is>
      </c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>
      <c r="A707" s="5" t="n"/>
      <c r="B707" s="40" t="n">
        <v>46020</v>
      </c>
      <c r="C707" s="73" t="inlineStr">
        <is>
          <t>Вон С.</t>
        </is>
      </c>
      <c r="D707" s="73" t="inlineStr">
        <is>
          <t>на закуп</t>
        </is>
      </c>
      <c r="E707" s="112" t="n"/>
      <c r="F707" s="73" t="n">
        <v>1000000</v>
      </c>
      <c r="G707" s="111">
        <f>E707+F707</f>
        <v/>
      </c>
      <c r="H707" s="73" t="inlineStr">
        <is>
          <t>Выплачено</t>
        </is>
      </c>
      <c r="I707" s="66" t="inlineStr">
        <is>
          <t>Ок</t>
        </is>
      </c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>
      <c r="A708" s="5" t="n"/>
      <c r="B708" s="40" t="n">
        <v>46020</v>
      </c>
      <c r="C708" s="73" t="inlineStr">
        <is>
          <t>Магнум</t>
        </is>
      </c>
      <c r="D708" s="73" t="inlineStr">
        <is>
          <t>рис</t>
        </is>
      </c>
      <c r="E708" s="112" t="n">
        <v>369000</v>
      </c>
      <c r="F708" s="73" t="n"/>
      <c r="G708" s="111">
        <f>E708+F708</f>
        <v/>
      </c>
      <c r="H708" s="73" t="inlineStr">
        <is>
          <t>Выплачено</t>
        </is>
      </c>
      <c r="I708" s="66" t="inlineStr">
        <is>
          <t>Ок</t>
        </is>
      </c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>
      <c r="A709" s="5" t="n"/>
      <c r="B709" s="40" t="n">
        <v>46020</v>
      </c>
      <c r="C709" s="73" t="inlineStr">
        <is>
          <t>Декоршоп</t>
        </is>
      </c>
      <c r="D709" s="73" t="inlineStr">
        <is>
          <t>подложка</t>
        </is>
      </c>
      <c r="E709" s="112" t="n">
        <v>31200</v>
      </c>
      <c r="F709" s="73" t="n"/>
      <c r="G709" s="111">
        <f>E709+F709</f>
        <v/>
      </c>
      <c r="H709" s="73" t="inlineStr">
        <is>
          <t>Выплачено</t>
        </is>
      </c>
      <c r="I709" s="66" t="inlineStr">
        <is>
          <t>Ок</t>
        </is>
      </c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>
      <c r="A710" s="5" t="n"/>
      <c r="B710" s="40" t="n">
        <v>46020</v>
      </c>
      <c r="C710" s="73" t="inlineStr">
        <is>
          <t>Вон С.</t>
        </is>
      </c>
      <c r="D710" s="73" t="inlineStr">
        <is>
          <t>Оплата поставщикам за сырье</t>
        </is>
      </c>
      <c r="E710" s="112" t="n">
        <v>1600000</v>
      </c>
      <c r="F710" s="73" t="n"/>
      <c r="G710" s="111">
        <f>E710+F710</f>
        <v/>
      </c>
      <c r="H710" s="73" t="inlineStr">
        <is>
          <t>Выплачено</t>
        </is>
      </c>
      <c r="I710" s="66" t="inlineStr">
        <is>
          <t>Ок</t>
        </is>
      </c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>
      <c r="A711" s="5" t="n"/>
      <c r="B711" s="40" t="n">
        <v>46020</v>
      </c>
      <c r="C711" s="73" t="inlineStr">
        <is>
          <t>Ли Станислав</t>
        </is>
      </c>
      <c r="D711" s="73" t="inlineStr">
        <is>
          <t>Подотчет сырье</t>
        </is>
      </c>
      <c r="E711" s="112" t="n"/>
      <c r="F711" s="73" t="n">
        <v>500000</v>
      </c>
      <c r="G711" s="111">
        <f>E711+F711</f>
        <v/>
      </c>
      <c r="H711" s="73" t="inlineStr">
        <is>
          <t>Выплачено</t>
        </is>
      </c>
      <c r="I711" s="66" t="inlineStr">
        <is>
          <t>Ок</t>
        </is>
      </c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>
      <c r="A712" s="5" t="n"/>
      <c r="B712" s="40" t="n">
        <v>46021</v>
      </c>
      <c r="C712" s="73" t="inlineStr">
        <is>
          <t>ИП Сапакова</t>
        </is>
      </c>
      <c r="D712" s="73" t="inlineStr">
        <is>
          <t>Погашение кредита и%</t>
        </is>
      </c>
      <c r="E712" s="112" t="n"/>
      <c r="F712" s="73" t="n">
        <v>1562500</v>
      </c>
      <c r="G712" s="111">
        <f>E712+F712</f>
        <v/>
      </c>
      <c r="H712" s="73" t="inlineStr">
        <is>
          <t>Выплачено</t>
        </is>
      </c>
      <c r="I712" s="66" t="inlineStr">
        <is>
          <t>Ок</t>
        </is>
      </c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>
      <c r="A713" s="5" t="n"/>
      <c r="B713" s="40" t="n">
        <v>46020</v>
      </c>
      <c r="C713" s="73" t="inlineStr">
        <is>
          <t xml:space="preserve">Экспрес </t>
        </is>
      </c>
      <c r="D713" s="73" t="inlineStr">
        <is>
          <t>комуналка</t>
        </is>
      </c>
      <c r="E713" s="112" t="n">
        <v>6802042</v>
      </c>
      <c r="F713" s="73" t="n"/>
      <c r="G713" s="111">
        <f>E713+F713</f>
        <v/>
      </c>
      <c r="H713" s="73" t="inlineStr">
        <is>
          <t>Выплачено</t>
        </is>
      </c>
      <c r="I713" s="66" t="inlineStr">
        <is>
          <t>Ок</t>
        </is>
      </c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>
      <c r="A714" s="5" t="n"/>
      <c r="B714" s="40" t="n">
        <v>46021</v>
      </c>
      <c r="C714" s="73" t="inlineStr">
        <is>
          <t>Ли Станислав</t>
        </is>
      </c>
      <c r="D714" s="73" t="inlineStr">
        <is>
          <t>Подотчет сырье</t>
        </is>
      </c>
      <c r="E714" s="112" t="n"/>
      <c r="F714" s="73" t="n">
        <v>500000</v>
      </c>
      <c r="G714" s="111">
        <f>E714+F714</f>
        <v/>
      </c>
      <c r="H714" s="73" t="inlineStr">
        <is>
          <t>Выплачено</t>
        </is>
      </c>
      <c r="I714" s="66" t="inlineStr">
        <is>
          <t>Ок</t>
        </is>
      </c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>
      <c r="A715" s="5" t="n"/>
      <c r="B715" s="40" t="n">
        <v>46021</v>
      </c>
      <c r="C715" s="73" t="inlineStr">
        <is>
          <t>Вон С.</t>
        </is>
      </c>
      <c r="D715" s="73" t="inlineStr">
        <is>
          <t>Оплата поставщикам за сырье</t>
        </is>
      </c>
      <c r="E715" s="112" t="n">
        <v>11452056</v>
      </c>
      <c r="F715" s="73" t="n"/>
      <c r="G715" s="111">
        <f>E715+F715</f>
        <v/>
      </c>
      <c r="H715" s="73" t="inlineStr">
        <is>
          <t>Выплачено</t>
        </is>
      </c>
      <c r="I715" s="66" t="inlineStr">
        <is>
          <t>Ок</t>
        </is>
      </c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>
      <c r="A716" s="5" t="n"/>
      <c r="B716" s="40" t="n">
        <v>46021</v>
      </c>
      <c r="C716" s="43" t="inlineStr">
        <is>
          <t>Демьянов</t>
        </is>
      </c>
      <c r="D716" s="43" t="inlineStr">
        <is>
          <t>Логистика (доставка)</t>
        </is>
      </c>
      <c r="E716" s="112" t="n">
        <v>1000000</v>
      </c>
      <c r="F716" s="73" t="n"/>
      <c r="G716" s="111">
        <f>E716+F716</f>
        <v/>
      </c>
      <c r="H716" s="73" t="inlineStr">
        <is>
          <t>Выплачено</t>
        </is>
      </c>
      <c r="I716" s="66" t="inlineStr">
        <is>
          <t>Ок</t>
        </is>
      </c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>
      <c r="A717" s="5" t="n"/>
      <c r="B717" s="40" t="n">
        <v>46021</v>
      </c>
      <c r="C717" s="73" t="inlineStr">
        <is>
          <t>ТОО Экологического Проектирования"</t>
        </is>
      </c>
      <c r="D717" s="73" t="n"/>
      <c r="E717" s="112" t="n">
        <v>55000</v>
      </c>
      <c r="F717" s="73" t="n"/>
      <c r="G717" s="111">
        <f>E717+F717</f>
        <v/>
      </c>
      <c r="H717" s="73" t="inlineStr">
        <is>
          <t>Выплачено</t>
        </is>
      </c>
      <c r="I717" s="66" t="inlineStr">
        <is>
          <t>Ок</t>
        </is>
      </c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>
      <c r="A718" s="5" t="n"/>
      <c r="B718" s="40" t="n">
        <v>46027</v>
      </c>
      <c r="C718" s="57" t="inlineStr">
        <is>
          <t>ИП PRODVIG</t>
        </is>
      </c>
      <c r="D718" s="73" t="inlineStr">
        <is>
          <t>2 лицензии чатап</t>
        </is>
      </c>
      <c r="E718" s="112" t="n">
        <v>35000</v>
      </c>
      <c r="F718" s="73" t="n"/>
      <c r="G718" s="111">
        <f>E718+F718</f>
        <v/>
      </c>
      <c r="H718" s="73" t="inlineStr">
        <is>
          <t>Выплачено</t>
        </is>
      </c>
      <c r="I718" s="66" t="inlineStr">
        <is>
          <t>Ок</t>
        </is>
      </c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>
      <c r="A719" s="5" t="n"/>
      <c r="B719" s="40" t="n">
        <v>46027</v>
      </c>
      <c r="C719" s="57" t="inlineStr">
        <is>
          <t>"YAND coM PANY"</t>
        </is>
      </c>
      <c r="D719" s="73" t="inlineStr">
        <is>
          <t>дератизация</t>
        </is>
      </c>
      <c r="E719" s="112" t="n">
        <v>139000</v>
      </c>
      <c r="F719" s="73" t="n"/>
      <c r="G719" s="111">
        <f>E719+F719</f>
        <v/>
      </c>
      <c r="H719" s="73" t="inlineStr">
        <is>
          <t>Выплачено</t>
        </is>
      </c>
      <c r="I719" s="66" t="inlineStr">
        <is>
          <t>Ок</t>
        </is>
      </c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>
      <c r="A720" s="5" t="n"/>
      <c r="B720" s="40" t="n">
        <v>46027</v>
      </c>
      <c r="C720" s="73" t="inlineStr">
        <is>
          <t>Ли Станислав</t>
        </is>
      </c>
      <c r="D720" s="73" t="inlineStr">
        <is>
          <t>Подотчет сырье</t>
        </is>
      </c>
      <c r="E720" s="112" t="n"/>
      <c r="F720" s="73" t="n">
        <v>500000</v>
      </c>
      <c r="G720" s="111">
        <f>E720+F720</f>
        <v/>
      </c>
      <c r="H720" s="73" t="inlineStr">
        <is>
          <t>Выплачено</t>
        </is>
      </c>
      <c r="I720" s="66" t="inlineStr">
        <is>
          <t>Ок</t>
        </is>
      </c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>
      <c r="A721" s="5" t="n"/>
      <c r="B721" s="40" t="n">
        <v>46027</v>
      </c>
      <c r="C721" s="73" t="inlineStr">
        <is>
          <t>Кафе Софт KZ ТОО айко программа</t>
        </is>
      </c>
      <c r="D721" s="73" t="n"/>
      <c r="E721" s="112" t="n">
        <v>77360</v>
      </c>
      <c r="F721" s="73" t="n"/>
      <c r="G721" s="111">
        <f>E721+F721</f>
        <v/>
      </c>
      <c r="H721" s="73" t="inlineStr">
        <is>
          <t>Выплачено</t>
        </is>
      </c>
      <c r="I721" s="66" t="inlineStr">
        <is>
          <t>Ок</t>
        </is>
      </c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>
      <c r="A722" s="5" t="n"/>
      <c r="B722" s="40" t="n">
        <v>46027</v>
      </c>
      <c r="C722" s="73" t="inlineStr">
        <is>
          <t>Access Group ТОО интернет (NLS)</t>
        </is>
      </c>
      <c r="D722" s="73" t="n"/>
      <c r="E722" s="112" t="n">
        <v>82240</v>
      </c>
      <c r="F722" s="73" t="n"/>
      <c r="G722" s="111">
        <f>E722+F722</f>
        <v/>
      </c>
      <c r="H722" s="73" t="inlineStr">
        <is>
          <t>Выплачено</t>
        </is>
      </c>
      <c r="I722" s="66" t="inlineStr">
        <is>
          <t>Ок</t>
        </is>
      </c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>
      <c r="A723" s="5" t="n"/>
      <c r="B723" s="40" t="n">
        <v>46027</v>
      </c>
      <c r="C723" s="73" t="inlineStr">
        <is>
          <t>Вон С.</t>
        </is>
      </c>
      <c r="D723" s="73" t="inlineStr">
        <is>
          <t>Оплата поставщикам за сырье</t>
        </is>
      </c>
      <c r="E723" s="112" t="n">
        <v>2935778</v>
      </c>
      <c r="F723" s="73" t="n"/>
      <c r="G723" s="111">
        <f>E723+F723</f>
        <v/>
      </c>
      <c r="H723" s="73" t="inlineStr">
        <is>
          <t>Выплачено</t>
        </is>
      </c>
      <c r="I723" s="66" t="inlineStr">
        <is>
          <t>Ок</t>
        </is>
      </c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>
      <c r="A724" s="5" t="n"/>
      <c r="B724" s="40" t="n">
        <v>46027</v>
      </c>
      <c r="C724" s="92" t="inlineStr">
        <is>
          <t>SADASKO SERVICE</t>
        </is>
      </c>
      <c r="D724" s="73" t="inlineStr">
        <is>
          <t xml:space="preserve">масло </t>
        </is>
      </c>
      <c r="E724" s="112" t="n">
        <v>656000</v>
      </c>
      <c r="F724" s="73" t="n"/>
      <c r="G724" s="111">
        <f>E724+F724</f>
        <v/>
      </c>
      <c r="H724" s="73" t="inlineStr">
        <is>
          <t>Выплачено</t>
        </is>
      </c>
      <c r="I724" s="66" t="inlineStr">
        <is>
          <t>Ок</t>
        </is>
      </c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>
      <c r="A725" s="5" t="n"/>
      <c r="B725" s="40" t="n">
        <v>46027</v>
      </c>
      <c r="C725" s="73" t="inlineStr">
        <is>
          <t>Янс</t>
        </is>
      </c>
      <c r="D725" s="73" t="inlineStr">
        <is>
          <t>пакеты</t>
        </is>
      </c>
      <c r="E725" s="112" t="n">
        <v>110000</v>
      </c>
      <c r="F725" s="73" t="n"/>
      <c r="G725" s="111">
        <f>E725+F725</f>
        <v/>
      </c>
      <c r="H725" s="73" t="inlineStr">
        <is>
          <t>Выплачено</t>
        </is>
      </c>
      <c r="I725" s="66" t="inlineStr">
        <is>
          <t>Ок</t>
        </is>
      </c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>
      <c r="A726" s="5" t="n"/>
      <c r="B726" s="40" t="n">
        <v>46028</v>
      </c>
      <c r="C726" s="73" t="inlineStr">
        <is>
          <t>Эрик</t>
        </is>
      </c>
      <c r="D726" s="73" t="n"/>
      <c r="E726" s="112" t="n"/>
      <c r="F726" s="73" t="n">
        <v>733035</v>
      </c>
      <c r="G726" s="111">
        <f>E726+F726</f>
        <v/>
      </c>
      <c r="H726" s="73" t="inlineStr">
        <is>
          <t>Выплачено</t>
        </is>
      </c>
      <c r="I726" s="66" t="inlineStr">
        <is>
          <t>Ок</t>
        </is>
      </c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>
      <c r="A727" s="5" t="n"/>
      <c r="B727" s="40" t="n">
        <v>46028</v>
      </c>
      <c r="C727" s="73" t="n"/>
      <c r="D727" s="73" t="inlineStr">
        <is>
          <t>Бонус Той март</t>
        </is>
      </c>
      <c r="E727" s="112" t="n"/>
      <c r="F727" s="73" t="n">
        <v>475424</v>
      </c>
      <c r="G727" s="111">
        <f>E727+F727</f>
        <v/>
      </c>
      <c r="H727" s="73" t="inlineStr">
        <is>
          <t>Выплачено</t>
        </is>
      </c>
      <c r="I727" s="66" t="inlineStr">
        <is>
          <t>Ок</t>
        </is>
      </c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>
      <c r="A728" s="5" t="n"/>
      <c r="B728" s="40" t="n">
        <v>46028</v>
      </c>
      <c r="C728" s="73" t="inlineStr">
        <is>
          <t>Ли Станислав</t>
        </is>
      </c>
      <c r="D728" s="73" t="inlineStr">
        <is>
          <t>Подотчет сырье</t>
        </is>
      </c>
      <c r="E728" s="112" t="n"/>
      <c r="F728" s="73" t="n">
        <v>500000</v>
      </c>
      <c r="G728" s="111">
        <f>E728+F728</f>
        <v/>
      </c>
      <c r="H728" s="73" t="inlineStr">
        <is>
          <t>Выплачено</t>
        </is>
      </c>
      <c r="I728" s="66" t="inlineStr">
        <is>
          <t>Ок</t>
        </is>
      </c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>
      <c r="A729" s="5" t="n"/>
      <c r="B729" s="40" t="n">
        <v>46028</v>
      </c>
      <c r="C729" s="73" t="inlineStr">
        <is>
          <t>Малышев А</t>
        </is>
      </c>
      <c r="D729" s="73" t="inlineStr">
        <is>
          <t xml:space="preserve">За косметку НГ  Яндекс, Роял петроил, Казак оил. </t>
        </is>
      </c>
      <c r="E729" s="112" t="n"/>
      <c r="F729" s="73" t="n">
        <v>145443</v>
      </c>
      <c r="G729" s="111">
        <f>E729+F729</f>
        <v/>
      </c>
      <c r="H729" s="73" t="inlineStr">
        <is>
          <t>Выплачено</t>
        </is>
      </c>
      <c r="I729" s="66" t="inlineStr">
        <is>
          <t>Ок</t>
        </is>
      </c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>
      <c r="A730" s="5" t="n"/>
      <c r="B730" s="40" t="n">
        <v>46028</v>
      </c>
      <c r="C730" s="73" t="inlineStr">
        <is>
          <t>Хон В</t>
        </is>
      </c>
      <c r="D730" s="73" t="inlineStr">
        <is>
          <t>Покупки принтера в диспетчерский отдел:</t>
        </is>
      </c>
      <c r="E730" s="112" t="n">
        <v>207490</v>
      </c>
      <c r="F730" s="73" t="n"/>
      <c r="G730" s="111">
        <f>E730+F730</f>
        <v/>
      </c>
      <c r="H730" s="73" t="inlineStr">
        <is>
          <t>Выплачено</t>
        </is>
      </c>
      <c r="I730" s="66" t="inlineStr">
        <is>
          <t>Ок</t>
        </is>
      </c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>
      <c r="A731" s="5" t="n"/>
      <c r="B731" s="40" t="n">
        <v>46028</v>
      </c>
      <c r="C731" s="73" t="inlineStr">
        <is>
          <t>Вон С.</t>
        </is>
      </c>
      <c r="D731" s="73" t="inlineStr">
        <is>
          <t>Оплата поставщикам за сырье</t>
        </is>
      </c>
      <c r="E731" s="112" t="n">
        <v>14233116</v>
      </c>
      <c r="F731" s="73" t="n"/>
      <c r="G731" s="111">
        <f>E731+F731</f>
        <v/>
      </c>
      <c r="H731" s="73" t="inlineStr">
        <is>
          <t>Выплачено</t>
        </is>
      </c>
      <c r="I731" s="66" t="inlineStr">
        <is>
          <t>Ок</t>
        </is>
      </c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>
      <c r="A732" s="5" t="n"/>
      <c r="B732" s="40" t="n">
        <v>46028</v>
      </c>
      <c r="C732" s="73" t="inlineStr">
        <is>
          <t xml:space="preserve">Динара </t>
        </is>
      </c>
      <c r="D732" s="57" t="inlineStr">
        <is>
          <t>TOO «ENBEK GROUP KAZAKHSTAN»</t>
        </is>
      </c>
      <c r="E732" s="112" t="n">
        <v>207000</v>
      </c>
      <c r="F732" s="73" t="n"/>
      <c r="G732" s="111">
        <f>E732+F732</f>
        <v/>
      </c>
      <c r="H732" s="73" t="inlineStr">
        <is>
          <t>Выплачено</t>
        </is>
      </c>
      <c r="I732" s="66" t="inlineStr">
        <is>
          <t>Ок</t>
        </is>
      </c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>
      <c r="A733" s="5" t="n"/>
      <c r="B733" s="40" t="n">
        <v>46028</v>
      </c>
      <c r="C733" s="73" t="inlineStr">
        <is>
          <t>Норд</t>
        </is>
      </c>
      <c r="D733" s="73" t="inlineStr">
        <is>
          <t>СБ охрана</t>
        </is>
      </c>
      <c r="E733" s="112" t="n">
        <v>3974400</v>
      </c>
      <c r="F733" s="73" t="n"/>
      <c r="G733" s="111">
        <f>E733+F733</f>
        <v/>
      </c>
      <c r="H733" s="73" t="inlineStr">
        <is>
          <t>Выплачено</t>
        </is>
      </c>
      <c r="I733" s="66" t="inlineStr">
        <is>
          <t>Ок</t>
        </is>
      </c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>
      <c r="A734" s="5" t="n"/>
      <c r="B734" s="40" t="n">
        <v>46029</v>
      </c>
      <c r="C734" s="73" t="inlineStr">
        <is>
          <t>Ли Станислав</t>
        </is>
      </c>
      <c r="D734" s="73" t="inlineStr">
        <is>
          <t>Подотчет сырье</t>
        </is>
      </c>
      <c r="E734" s="112" t="n"/>
      <c r="F734" s="73" t="n">
        <v>500000</v>
      </c>
      <c r="G734" s="111">
        <f>E734+F734</f>
        <v/>
      </c>
      <c r="H734" s="73" t="inlineStr">
        <is>
          <t>Выплачено</t>
        </is>
      </c>
      <c r="I734" s="66" t="inlineStr">
        <is>
          <t>Ок</t>
        </is>
      </c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>
      <c r="A735" s="5" t="n"/>
      <c r="B735" s="40" t="n">
        <v>46030</v>
      </c>
      <c r="C735" s="73" t="n"/>
      <c r="D735" s="73" t="inlineStr">
        <is>
          <t>ЗП на карты</t>
        </is>
      </c>
      <c r="E735" s="112" t="n">
        <v>15661334</v>
      </c>
      <c r="F735" s="73" t="n"/>
      <c r="G735" s="111">
        <f>E735+F735</f>
        <v/>
      </c>
      <c r="H735" s="73" t="inlineStr">
        <is>
          <t>Выплачено</t>
        </is>
      </c>
      <c r="I735" s="66" t="inlineStr">
        <is>
          <t>Ок</t>
        </is>
      </c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 s="1127">
      <c r="A736" s="5" t="n"/>
      <c r="B736" s="40" t="n">
        <v>46030</v>
      </c>
      <c r="C736" s="114" t="inlineStr">
        <is>
          <t>KazBeef ProcessingТОО</t>
        </is>
      </c>
      <c r="D736" s="73" t="inlineStr">
        <is>
          <t>по гарант.письму</t>
        </is>
      </c>
      <c r="E736" s="112" t="n">
        <v>2000000</v>
      </c>
      <c r="F736" s="73" t="n"/>
      <c r="G736" s="111">
        <f>E736+F736</f>
        <v/>
      </c>
      <c r="H736" s="73" t="inlineStr">
        <is>
          <t>Выплачено</t>
        </is>
      </c>
      <c r="I736" s="66" t="inlineStr">
        <is>
          <t>Ок</t>
        </is>
      </c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 s="1127">
      <c r="A737" s="5" t="n"/>
      <c r="B737" s="40" t="n">
        <v>46030</v>
      </c>
      <c r="C737" s="114" t="inlineStr">
        <is>
          <t>Global Halal Food ТОО птица</t>
        </is>
      </c>
      <c r="D737" s="73" t="inlineStr">
        <is>
          <t>по гарант.письму</t>
        </is>
      </c>
      <c r="E737" s="112" t="n">
        <v>2769800</v>
      </c>
      <c r="F737" s="73" t="n"/>
      <c r="G737" s="111">
        <f>E737+F737</f>
        <v/>
      </c>
      <c r="H737" s="73" t="inlineStr">
        <is>
          <t>Выплачено</t>
        </is>
      </c>
      <c r="I737" s="66" t="inlineStr">
        <is>
          <t>Ок</t>
        </is>
      </c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 s="1127">
      <c r="A738" s="5" t="n"/>
      <c r="B738" s="40" t="n">
        <v>46030</v>
      </c>
      <c r="C738" s="115" t="inlineStr">
        <is>
          <t>Aitas meat distribution ТОО</t>
        </is>
      </c>
      <c r="D738" s="73" t="inlineStr">
        <is>
          <t>по гарант.письму</t>
        </is>
      </c>
      <c r="E738" s="112" t="n">
        <v>2406569</v>
      </c>
      <c r="F738" s="73" t="n"/>
      <c r="G738" s="111">
        <f>E738+F738</f>
        <v/>
      </c>
      <c r="H738" s="73" t="inlineStr">
        <is>
          <t>Выплачено</t>
        </is>
      </c>
      <c r="I738" s="66" t="inlineStr">
        <is>
          <t>Ок</t>
        </is>
      </c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 s="1127">
      <c r="A739" s="5" t="n"/>
      <c r="B739" s="40" t="n">
        <v>46030</v>
      </c>
      <c r="C739" s="114" t="inlineStr">
        <is>
          <t>Евразиан Фудс Корпорэйшн АО</t>
        </is>
      </c>
      <c r="D739" s="73" t="inlineStr">
        <is>
          <t>по гарант.письму</t>
        </is>
      </c>
      <c r="E739" s="112" t="n">
        <v>1618468</v>
      </c>
      <c r="F739" s="73" t="n"/>
      <c r="G739" s="111">
        <f>E739+F739</f>
        <v/>
      </c>
      <c r="H739" s="73" t="inlineStr">
        <is>
          <t>Выплачено</t>
        </is>
      </c>
      <c r="I739" s="66" t="inlineStr">
        <is>
          <t>Ок</t>
        </is>
      </c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>
      <c r="A740" s="5" t="n"/>
      <c r="B740" s="40" t="n">
        <v>46030</v>
      </c>
      <c r="C740" s="73" t="inlineStr">
        <is>
          <t>Ли Станислав</t>
        </is>
      </c>
      <c r="D740" s="73" t="inlineStr">
        <is>
          <t>Подотчет сырье</t>
        </is>
      </c>
      <c r="E740" s="112" t="n"/>
      <c r="F740" s="73" t="n">
        <v>600000</v>
      </c>
      <c r="G740" s="111">
        <f>E740+F740</f>
        <v/>
      </c>
      <c r="H740" s="73" t="inlineStr">
        <is>
          <t>Выплачено</t>
        </is>
      </c>
      <c r="I740" s="66" t="inlineStr">
        <is>
          <t>Ок</t>
        </is>
      </c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>
      <c r="A741" s="5" t="n"/>
      <c r="B741" s="40" t="n">
        <v>46030</v>
      </c>
      <c r="C741" s="43" t="inlineStr">
        <is>
          <t>Демьянов</t>
        </is>
      </c>
      <c r="D741" s="43" t="inlineStr">
        <is>
          <t>Логистика (доставка)</t>
        </is>
      </c>
      <c r="E741" s="112" t="n">
        <v>2500000</v>
      </c>
      <c r="F741" s="73" t="n"/>
      <c r="G741" s="111">
        <f>E741+F741</f>
        <v/>
      </c>
      <c r="H741" s="73" t="inlineStr">
        <is>
          <t>Выплачено</t>
        </is>
      </c>
      <c r="I741" s="66" t="inlineStr">
        <is>
          <t>Ок</t>
        </is>
      </c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>
      <c r="A742" s="5" t="n"/>
      <c r="B742" s="40" t="n">
        <v>46030</v>
      </c>
      <c r="C742" s="73" t="inlineStr">
        <is>
          <t>Парус</t>
        </is>
      </c>
      <c r="D742" s="73" t="inlineStr">
        <is>
          <t>крышка, гофродно</t>
        </is>
      </c>
      <c r="E742" s="112" t="n">
        <v>122400</v>
      </c>
      <c r="F742" s="73" t="n"/>
      <c r="G742" s="111">
        <f>E742+F742</f>
        <v/>
      </c>
      <c r="H742" s="73" t="inlineStr">
        <is>
          <t>Выплачено</t>
        </is>
      </c>
      <c r="I742" s="66" t="inlineStr">
        <is>
          <t>Ок</t>
        </is>
      </c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>
      <c r="A743" s="5" t="n"/>
      <c r="B743" s="40" t="n">
        <v>46030</v>
      </c>
      <c r="C743" s="73" t="inlineStr">
        <is>
          <t>Фудтехника</t>
        </is>
      </c>
      <c r="D743" s="73" t="inlineStr">
        <is>
          <t>смеси</t>
        </is>
      </c>
      <c r="E743" s="112" t="n">
        <v>48000</v>
      </c>
      <c r="F743" s="73" t="n"/>
      <c r="G743" s="111">
        <f>E743+F743</f>
        <v/>
      </c>
      <c r="H743" s="73" t="inlineStr">
        <is>
          <t>Выплачено</t>
        </is>
      </c>
      <c r="I743" s="66" t="inlineStr">
        <is>
          <t>Ок</t>
        </is>
      </c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>
      <c r="A744" s="5" t="n"/>
      <c r="B744" s="40" t="n">
        <v>46031</v>
      </c>
      <c r="C744" s="73" t="inlineStr">
        <is>
          <t>Вон С.</t>
        </is>
      </c>
      <c r="D744" s="73" t="inlineStr">
        <is>
          <t>Оплата поставщикам за сырье</t>
        </is>
      </c>
      <c r="E744" s="112" t="n">
        <v>15290407</v>
      </c>
      <c r="F744" s="73" t="n"/>
      <c r="G744" s="111">
        <f>E744+F744</f>
        <v/>
      </c>
      <c r="H744" s="73" t="inlineStr">
        <is>
          <t>Выплачено</t>
        </is>
      </c>
      <c r="I744" s="66" t="inlineStr">
        <is>
          <t>Ок</t>
        </is>
      </c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>
      <c r="A745" s="5" t="n"/>
      <c r="B745" s="40" t="n">
        <v>46031</v>
      </c>
      <c r="C745" s="73" t="inlineStr">
        <is>
          <t xml:space="preserve">Уволенный  </t>
        </is>
      </c>
      <c r="D745" s="73" t="n"/>
      <c r="E745" s="112" t="n"/>
      <c r="F745" s="73" t="n">
        <v>2500000</v>
      </c>
      <c r="G745" s="111">
        <f>E745+F745</f>
        <v/>
      </c>
      <c r="H745" s="73" t="inlineStr">
        <is>
          <t>Выплачено</t>
        </is>
      </c>
      <c r="I745" s="66" t="inlineStr">
        <is>
          <t>Ок</t>
        </is>
      </c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>
      <c r="A746" s="5" t="n"/>
      <c r="B746" s="40" t="n">
        <v>46031</v>
      </c>
      <c r="C746" s="57" t="inlineStr">
        <is>
          <t>ИП PRODVIG</t>
        </is>
      </c>
      <c r="D746" s="73" t="inlineStr">
        <is>
          <t>Лицензия  битрикс</t>
        </is>
      </c>
      <c r="E746" s="112" t="n">
        <v>220400</v>
      </c>
      <c r="F746" s="73" t="n"/>
      <c r="G746" s="111">
        <f>E746+F746</f>
        <v/>
      </c>
      <c r="H746" s="73" t="inlineStr">
        <is>
          <t>Выплачено</t>
        </is>
      </c>
      <c r="I746" s="66" t="inlineStr">
        <is>
          <t>Ок</t>
        </is>
      </c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>
      <c r="A747" s="5" t="n"/>
      <c r="B747" s="93" t="n">
        <v>46034</v>
      </c>
      <c r="C747" s="95" t="inlineStr">
        <is>
          <t>налог</t>
        </is>
      </c>
      <c r="D747" s="95" t="inlineStr">
        <is>
          <t>зарплатный (отчет закрыть надо)</t>
        </is>
      </c>
      <c r="E747" s="94" t="n">
        <v>8586147</v>
      </c>
      <c r="F747" s="95" t="n"/>
      <c r="G747" s="116">
        <f>E747+F747</f>
        <v/>
      </c>
      <c r="H747" s="73" t="inlineStr">
        <is>
          <t>Выплачено</t>
        </is>
      </c>
      <c r="I747" s="66" t="inlineStr">
        <is>
          <t>Ок</t>
        </is>
      </c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>
      <c r="A748" s="5" t="n"/>
      <c r="B748" s="40" t="n">
        <v>46034</v>
      </c>
      <c r="C748" s="73" t="inlineStr">
        <is>
          <t>Магнум</t>
        </is>
      </c>
      <c r="D748" s="73" t="inlineStr">
        <is>
          <t>рис</t>
        </is>
      </c>
      <c r="E748" s="112" t="n">
        <v>382000</v>
      </c>
      <c r="F748" s="73" t="n"/>
      <c r="G748" s="111">
        <f>E748+F748</f>
        <v/>
      </c>
      <c r="H748" s="73" t="inlineStr">
        <is>
          <t>Выплачено</t>
        </is>
      </c>
      <c r="I748" s="66" t="inlineStr">
        <is>
          <t>Ок</t>
        </is>
      </c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>
      <c r="A749" s="5" t="n"/>
      <c r="B749" s="40" t="n">
        <v>46034</v>
      </c>
      <c r="C749" s="73" t="inlineStr">
        <is>
          <t>Вон С.</t>
        </is>
      </c>
      <c r="D749" s="73" t="inlineStr">
        <is>
          <t>в п/о на закуп</t>
        </is>
      </c>
      <c r="E749" s="112" t="n"/>
      <c r="F749" s="73" t="n">
        <v>400000</v>
      </c>
      <c r="G749" s="111">
        <f>E749+F749</f>
        <v/>
      </c>
      <c r="H749" s="73" t="inlineStr">
        <is>
          <t>Выплачено</t>
        </is>
      </c>
      <c r="I749" s="66" t="inlineStr">
        <is>
          <t>Ок</t>
        </is>
      </c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>
      <c r="A750" s="5" t="n"/>
      <c r="B750" s="40" t="n">
        <v>46034</v>
      </c>
      <c r="C750" s="73" t="inlineStr">
        <is>
          <t>Шымкентмай</t>
        </is>
      </c>
      <c r="D750" s="73" t="inlineStr">
        <is>
          <t>масло подсолнечное</t>
        </is>
      </c>
      <c r="E750" s="112" t="n">
        <v>468000</v>
      </c>
      <c r="F750" s="73" t="n"/>
      <c r="G750" s="111">
        <f>E750+F750</f>
        <v/>
      </c>
      <c r="H750" s="73" t="inlineStr">
        <is>
          <t>Выплачено</t>
        </is>
      </c>
      <c r="I750" s="66" t="inlineStr">
        <is>
          <t>Ок</t>
        </is>
      </c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>
      <c r="A751" s="5" t="n"/>
      <c r="B751" s="40" t="n">
        <v>46034</v>
      </c>
      <c r="C751" s="73" t="inlineStr">
        <is>
          <t xml:space="preserve">Грин Хаус </t>
        </is>
      </c>
      <c r="D751" s="73" t="inlineStr">
        <is>
          <t>сухарики по акту сверки</t>
        </is>
      </c>
      <c r="E751" s="112" t="n">
        <v>18800</v>
      </c>
      <c r="F751" s="73" t="n"/>
      <c r="G751" s="111">
        <f>E751+F751</f>
        <v/>
      </c>
      <c r="H751" s="73" t="inlineStr">
        <is>
          <t>Выплачено</t>
        </is>
      </c>
      <c r="I751" s="66" t="inlineStr">
        <is>
          <t>Ок</t>
        </is>
      </c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>
      <c r="A752" s="5" t="n"/>
      <c r="B752" s="40" t="n">
        <v>46034</v>
      </c>
      <c r="C752" s="73" t="inlineStr">
        <is>
          <t>Караван</t>
        </is>
      </c>
      <c r="D752" s="73" t="inlineStr">
        <is>
          <t>сливки</t>
        </is>
      </c>
      <c r="E752" s="112" t="n">
        <v>14496</v>
      </c>
      <c r="F752" s="73" t="n"/>
      <c r="G752" s="111">
        <f>E752+F752</f>
        <v/>
      </c>
      <c r="H752" s="73" t="inlineStr">
        <is>
          <t>Выплачено</t>
        </is>
      </c>
      <c r="I752" s="66" t="inlineStr">
        <is>
          <t>Ок</t>
        </is>
      </c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>
      <c r="A753" s="5" t="n"/>
      <c r="B753" s="40" t="n">
        <v>46034</v>
      </c>
      <c r="C753" s="73" t="inlineStr">
        <is>
          <t xml:space="preserve">ЗП </t>
        </is>
      </c>
      <c r="D753" s="73" t="n"/>
      <c r="E753" s="112" t="n"/>
      <c r="F753" s="73" t="n">
        <v>3297000</v>
      </c>
      <c r="G753" s="111">
        <f>E753+F753</f>
        <v/>
      </c>
      <c r="H753" s="73" t="inlineStr">
        <is>
          <t>Выплачено</t>
        </is>
      </c>
      <c r="I753" s="66" t="inlineStr">
        <is>
          <t>Ок</t>
        </is>
      </c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>
      <c r="A754" s="5" t="n"/>
      <c r="B754" s="40" t="n">
        <v>46035</v>
      </c>
      <c r="C754" s="73" t="inlineStr">
        <is>
          <t>Ли Станислав</t>
        </is>
      </c>
      <c r="D754" s="73" t="inlineStr">
        <is>
          <t>Подотчет сырье</t>
        </is>
      </c>
      <c r="E754" s="112" t="n"/>
      <c r="F754" s="73" t="n">
        <v>500000</v>
      </c>
      <c r="G754" s="111">
        <f>E754+F754</f>
        <v/>
      </c>
      <c r="H754" s="73" t="inlineStr">
        <is>
          <t>Выплачено</t>
        </is>
      </c>
      <c r="I754" s="66" t="inlineStr">
        <is>
          <t>Ок</t>
        </is>
      </c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>
      <c r="A755" s="5" t="n"/>
      <c r="B755" s="40" t="n">
        <v>46036</v>
      </c>
      <c r="C755" s="73" t="inlineStr">
        <is>
          <t>Вон С.</t>
        </is>
      </c>
      <c r="D755" s="73" t="inlineStr">
        <is>
          <t>Оплата поставщикам за сырье</t>
        </is>
      </c>
      <c r="E755" s="112" t="n">
        <v>12204115</v>
      </c>
      <c r="F755" s="73" t="n"/>
      <c r="G755" s="111">
        <f>E755+F755</f>
        <v/>
      </c>
      <c r="H755" s="73" t="inlineStr">
        <is>
          <t>Выплачено</t>
        </is>
      </c>
      <c r="I755" s="66" t="inlineStr">
        <is>
          <t>Ок</t>
        </is>
      </c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>
      <c r="A756" s="5" t="n"/>
      <c r="B756" s="40" t="n">
        <v>46035</v>
      </c>
      <c r="C756" s="43" t="inlineStr">
        <is>
          <t>Демьянов</t>
        </is>
      </c>
      <c r="D756" s="43" t="inlineStr">
        <is>
          <t>Логистика (доставка)</t>
        </is>
      </c>
      <c r="E756" s="112" t="n">
        <v>500000</v>
      </c>
      <c r="F756" s="73" t="n"/>
      <c r="G756" s="111">
        <f>E756+F756</f>
        <v/>
      </c>
      <c r="H756" s="73" t="inlineStr">
        <is>
          <t>Отложено</t>
        </is>
      </c>
      <c r="I756" s="66" t="inlineStr">
        <is>
          <t>Ок</t>
        </is>
      </c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>
      <c r="A757" s="5" t="n"/>
      <c r="B757" s="40" t="n">
        <v>46036</v>
      </c>
      <c r="C757" s="73" t="inlineStr">
        <is>
          <t>Дезресурс</t>
        </is>
      </c>
      <c r="D757" s="73" t="inlineStr">
        <is>
          <t>вывоз биоотходов</t>
        </is>
      </c>
      <c r="E757" s="112" t="n">
        <v>14000</v>
      </c>
      <c r="F757" s="73" t="n"/>
      <c r="G757" s="111">
        <f>E757+F757</f>
        <v/>
      </c>
      <c r="H757" s="73" t="inlineStr">
        <is>
          <t>Выплачено</t>
        </is>
      </c>
      <c r="I757" s="66" t="inlineStr">
        <is>
          <t>Ок</t>
        </is>
      </c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>
      <c r="A758" s="5" t="n"/>
      <c r="B758" s="40" t="n">
        <v>46036</v>
      </c>
      <c r="C758" s="73" t="inlineStr">
        <is>
          <t>Ли Станислав</t>
        </is>
      </c>
      <c r="D758" s="73" t="inlineStr">
        <is>
          <t>Подотчет сырье</t>
        </is>
      </c>
      <c r="E758" s="112" t="n"/>
      <c r="F758" s="73" t="n">
        <v>500000</v>
      </c>
      <c r="G758" s="111">
        <f>E758+F758</f>
        <v/>
      </c>
      <c r="H758" s="73" t="inlineStr">
        <is>
          <t>Выплачено</t>
        </is>
      </c>
      <c r="I758" s="66" t="inlineStr">
        <is>
          <t>Ок</t>
        </is>
      </c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>
      <c r="A759" s="5" t="n"/>
      <c r="B759" s="40" t="n">
        <v>46036</v>
      </c>
      <c r="C759" s="73" t="n"/>
      <c r="D759" s="73" t="inlineStr">
        <is>
          <t>ЗП пр-во</t>
        </is>
      </c>
      <c r="E759" s="112" t="n"/>
      <c r="F759" s="73" t="n">
        <v>11320112</v>
      </c>
      <c r="G759" s="111">
        <f>E759+F759</f>
        <v/>
      </c>
      <c r="H759" s="73" t="inlineStr">
        <is>
          <t>Выплачено</t>
        </is>
      </c>
      <c r="I759" s="66" t="inlineStr">
        <is>
          <t>Ок</t>
        </is>
      </c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>
      <c r="A760" s="5" t="n"/>
      <c r="B760" s="40" t="n">
        <v>46037</v>
      </c>
      <c r="C760" s="73" t="inlineStr">
        <is>
          <t>Ли Станислав</t>
        </is>
      </c>
      <c r="D760" s="73" t="inlineStr">
        <is>
          <t>Подотчет сырье</t>
        </is>
      </c>
      <c r="E760" s="112" t="n"/>
      <c r="F760" s="73" t="n">
        <v>600000</v>
      </c>
      <c r="G760" s="111">
        <f>E760+F760</f>
        <v/>
      </c>
      <c r="H760" s="73" t="inlineStr">
        <is>
          <t>Выплачено</t>
        </is>
      </c>
      <c r="I760" s="66" t="inlineStr">
        <is>
          <t>Ок</t>
        </is>
      </c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>
      <c r="A761" s="5" t="n"/>
      <c r="B761" s="40" t="n">
        <v>46037</v>
      </c>
      <c r="C761" s="73" t="inlineStr">
        <is>
          <t>Шымкентмай</t>
        </is>
      </c>
      <c r="D761" s="73" t="inlineStr">
        <is>
          <t>масло подсолнечное</t>
        </is>
      </c>
      <c r="E761" s="112" t="n">
        <v>468000</v>
      </c>
      <c r="F761" s="73" t="n"/>
      <c r="G761" s="111">
        <f>E761+F761</f>
        <v/>
      </c>
      <c r="H761" s="73" t="inlineStr">
        <is>
          <t>Выплачено</t>
        </is>
      </c>
      <c r="I761" s="66" t="inlineStr">
        <is>
          <t>Ок</t>
        </is>
      </c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>
      <c r="A762" s="5" t="n"/>
      <c r="B762" s="40" t="n">
        <v>46037</v>
      </c>
      <c r="C762" s="73" t="inlineStr">
        <is>
          <t>Вон С.</t>
        </is>
      </c>
      <c r="D762" s="73" t="inlineStr">
        <is>
          <t>Оплата поставщикам за сырье</t>
        </is>
      </c>
      <c r="E762" s="112" t="n">
        <v>5141131</v>
      </c>
      <c r="F762" s="73" t="n"/>
      <c r="G762" s="111">
        <f>E762+F762</f>
        <v/>
      </c>
      <c r="H762" s="73" t="inlineStr">
        <is>
          <t>Выплачено</t>
        </is>
      </c>
      <c r="I762" s="66" t="inlineStr">
        <is>
          <t>Ок</t>
        </is>
      </c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>
      <c r="A763" s="5" t="n"/>
      <c r="B763" s="40" t="n">
        <v>46037</v>
      </c>
      <c r="C763" s="73" t="inlineStr">
        <is>
          <t xml:space="preserve">Сон С </t>
        </is>
      </c>
      <c r="D763" s="73" t="inlineStr">
        <is>
          <t xml:space="preserve">квартира </t>
        </is>
      </c>
      <c r="E763" s="112" t="n"/>
      <c r="F763" s="73" t="n">
        <v>350000</v>
      </c>
      <c r="G763" s="111">
        <f>E763+F763</f>
        <v/>
      </c>
      <c r="H763" s="73" t="inlineStr">
        <is>
          <t>Выплачено</t>
        </is>
      </c>
      <c r="I763" s="66" t="inlineStr">
        <is>
          <t>Ок</t>
        </is>
      </c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>
      <c r="A764" s="5" t="n"/>
      <c r="B764" s="40" t="n">
        <v>46037</v>
      </c>
      <c r="C764" s="73" t="inlineStr">
        <is>
          <t xml:space="preserve">Желтоксан </t>
        </is>
      </c>
      <c r="D764" s="73" t="inlineStr">
        <is>
          <t xml:space="preserve">квартира </t>
        </is>
      </c>
      <c r="E764" s="112" t="n"/>
      <c r="F764" s="73" t="n">
        <v>400000</v>
      </c>
      <c r="G764" s="111">
        <f>E764+F764</f>
        <v/>
      </c>
      <c r="H764" s="73" t="inlineStr">
        <is>
          <t>Выплачено</t>
        </is>
      </c>
      <c r="I764" s="66" t="inlineStr">
        <is>
          <t>Ок</t>
        </is>
      </c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>
      <c r="A765" s="5" t="n"/>
      <c r="B765" s="117" t="n">
        <v>45672</v>
      </c>
      <c r="C765" s="73" t="inlineStr">
        <is>
          <t>Демьянов</t>
        </is>
      </c>
      <c r="D765" s="73" t="inlineStr">
        <is>
          <t>Логистика (доставка)</t>
        </is>
      </c>
      <c r="E765" s="112" t="n">
        <v>1000000</v>
      </c>
      <c r="F765" s="73" t="n"/>
      <c r="G765" s="111">
        <f>E765+F765</f>
        <v/>
      </c>
      <c r="H765" s="73" t="inlineStr">
        <is>
          <t>Выплачено</t>
        </is>
      </c>
      <c r="I765" s="66" t="inlineStr">
        <is>
          <t>Ок</t>
        </is>
      </c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>
      <c r="A766" s="5" t="n"/>
      <c r="B766" s="40" t="n">
        <v>46038</v>
      </c>
      <c r="C766" s="73" t="inlineStr">
        <is>
          <t>Вон С.</t>
        </is>
      </c>
      <c r="D766" s="73" t="inlineStr">
        <is>
          <t>Оплата поставщикам за сырье</t>
        </is>
      </c>
      <c r="E766" s="112" t="n">
        <v>4687001</v>
      </c>
      <c r="F766" s="73" t="n"/>
      <c r="G766" s="111">
        <f>E766+F766</f>
        <v/>
      </c>
      <c r="H766" s="73" t="inlineStr">
        <is>
          <t>Выплачено</t>
        </is>
      </c>
      <c r="I766" s="66" t="inlineStr">
        <is>
          <t>Ок</t>
        </is>
      </c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>
      <c r="A767" s="5" t="n"/>
      <c r="B767" s="40" t="n"/>
      <c r="C767" s="73" t="n"/>
      <c r="D767" s="73" t="n"/>
      <c r="E767" s="112" t="n"/>
      <c r="F767" s="73" t="n"/>
      <c r="G767" s="111">
        <f>E767+F767</f>
        <v/>
      </c>
      <c r="H767" s="73" t="inlineStr">
        <is>
          <t>К оплате</t>
        </is>
      </c>
      <c r="I767" s="66" t="inlineStr">
        <is>
          <t>Ок</t>
        </is>
      </c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>
      <c r="A768" s="5" t="n"/>
      <c r="B768" s="40" t="n">
        <v>46041</v>
      </c>
      <c r="C768" s="73" t="inlineStr">
        <is>
          <t>ТОО Торговый Дизайн (Вон С)</t>
        </is>
      </c>
      <c r="D768" s="57" t="inlineStr">
        <is>
          <t xml:space="preserve">Переключатель мощности четырехпозиционный ПМ-4  </t>
        </is>
      </c>
      <c r="E768" s="112" t="n">
        <v>92000</v>
      </c>
      <c r="F768" s="73" t="n"/>
      <c r="G768" s="111">
        <f>E768+F768</f>
        <v/>
      </c>
      <c r="H768" s="73" t="inlineStr">
        <is>
          <t>Выплачено</t>
        </is>
      </c>
      <c r="I768" s="66" t="inlineStr">
        <is>
          <t>Ок</t>
        </is>
      </c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>
      <c r="A769" s="5" t="n"/>
      <c r="B769" s="40" t="n">
        <v>46041</v>
      </c>
      <c r="C769" s="73" t="inlineStr">
        <is>
          <t>ТОО Титан-Азия (Вон С)</t>
        </is>
      </c>
      <c r="D769" s="73" t="inlineStr">
        <is>
          <t xml:space="preserve">Конфорка электиричечекая </t>
        </is>
      </c>
      <c r="E769" s="112" t="n">
        <v>286000</v>
      </c>
      <c r="F769" s="73" t="n"/>
      <c r="G769" s="111">
        <f>E769+F769</f>
        <v/>
      </c>
      <c r="H769" s="73" t="inlineStr">
        <is>
          <t>Выплачено</t>
        </is>
      </c>
      <c r="I769" s="66" t="inlineStr">
        <is>
          <t>Ок</t>
        </is>
      </c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>
      <c r="A770" s="5" t="n"/>
      <c r="B770" s="40" t="n">
        <v>46041</v>
      </c>
      <c r="C770" s="73" t="inlineStr">
        <is>
          <t>Экспрес-сервис</t>
        </is>
      </c>
      <c r="D770" s="73" t="inlineStr">
        <is>
          <t>Аренда</t>
        </is>
      </c>
      <c r="E770" s="112" t="n">
        <v>6050000</v>
      </c>
      <c r="F770" s="73" t="n"/>
      <c r="G770" s="111">
        <f>E770+F770</f>
        <v/>
      </c>
      <c r="H770" s="73" t="inlineStr">
        <is>
          <t>Выплачено</t>
        </is>
      </c>
      <c r="I770" s="66" t="inlineStr">
        <is>
          <t>Ок</t>
        </is>
      </c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>
      <c r="A771" s="5" t="n"/>
      <c r="B771" s="93" t="n">
        <v>46038</v>
      </c>
      <c r="C771" s="73" t="inlineStr">
        <is>
          <t>Lift Market (Вон С)</t>
        </is>
      </c>
      <c r="D771" s="73" t="inlineStr">
        <is>
          <t>Ремонт лифта 15%</t>
        </is>
      </c>
      <c r="E771" s="112" t="n">
        <v>645000</v>
      </c>
      <c r="F771" s="73" t="n"/>
      <c r="G771" s="111">
        <f>E771+F771</f>
        <v/>
      </c>
      <c r="H771" s="73" t="inlineStr">
        <is>
          <t>Выплачено</t>
        </is>
      </c>
      <c r="I771" s="66" t="inlineStr">
        <is>
          <t>Ок</t>
        </is>
      </c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>
      <c r="A772" s="5" t="n"/>
      <c r="B772" s="40" t="n">
        <v>46041</v>
      </c>
      <c r="C772" s="73" t="inlineStr">
        <is>
          <t>Промышленные Механизмы (Жасулан)</t>
        </is>
      </c>
      <c r="D772" s="73" t="inlineStr">
        <is>
          <t>Подшипник</t>
        </is>
      </c>
      <c r="E772" s="112" t="n">
        <v>6000</v>
      </c>
      <c r="F772" s="73" t="n"/>
      <c r="G772" s="111">
        <f>E772+F772</f>
        <v/>
      </c>
      <c r="H772" s="73" t="inlineStr">
        <is>
          <t>Выплачено</t>
        </is>
      </c>
      <c r="I772" s="66" t="inlineStr">
        <is>
          <t>Ок</t>
        </is>
      </c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>
      <c r="A773" s="5" t="n"/>
      <c r="B773" s="40" t="n">
        <v>46041</v>
      </c>
      <c r="C773" s="73" t="inlineStr">
        <is>
          <t>VI VITA (Динара)</t>
        </is>
      </c>
      <c r="D773" s="73" t="inlineStr">
        <is>
          <t>Реабилитация Мухтаровой Арайлым</t>
        </is>
      </c>
      <c r="E773" s="112" t="n">
        <v>420000</v>
      </c>
      <c r="F773" s="73" t="n"/>
      <c r="G773" s="111">
        <f>E773+F773</f>
        <v/>
      </c>
      <c r="H773" s="73" t="inlineStr">
        <is>
          <t>Выплачено</t>
        </is>
      </c>
      <c r="I773" s="66" t="inlineStr">
        <is>
          <t>Ок</t>
        </is>
      </c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>
      <c r="A774" s="5" t="n"/>
      <c r="B774" s="40" t="n">
        <v>46041</v>
      </c>
      <c r="C774" s="73" t="inlineStr">
        <is>
          <t>Служебка (Вон С)</t>
        </is>
      </c>
      <c r="D774" s="73" t="inlineStr">
        <is>
          <t>Оплата трапа из нерж.стали с России</t>
        </is>
      </c>
      <c r="E774" s="112" t="n"/>
      <c r="F774" s="73" t="n">
        <v>195000</v>
      </c>
      <c r="G774" s="111">
        <f>E774+F774</f>
        <v/>
      </c>
      <c r="H774" s="73" t="inlineStr">
        <is>
          <t>Выплачено</t>
        </is>
      </c>
      <c r="I774" s="66" t="inlineStr">
        <is>
          <t>Ок</t>
        </is>
      </c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>
      <c r="A775" s="5" t="n"/>
      <c r="B775" s="40" t="n">
        <v>46041</v>
      </c>
      <c r="C775" s="120" t="inlineStr">
        <is>
          <t>ИП Ахмерова</t>
        </is>
      </c>
      <c r="D775" s="73" t="inlineStr">
        <is>
          <t>ПЭТ бутылки</t>
        </is>
      </c>
      <c r="E775" s="112" t="n">
        <v>55080</v>
      </c>
      <c r="F775" s="73" t="n"/>
      <c r="G775" s="111">
        <f>E775+F775</f>
        <v/>
      </c>
      <c r="H775" s="73" t="inlineStr">
        <is>
          <t>Выплачено</t>
        </is>
      </c>
      <c r="I775" s="66" t="inlineStr">
        <is>
          <t>Ок</t>
        </is>
      </c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>
      <c r="A776" s="5" t="n"/>
      <c r="B776" s="40" t="n">
        <v>46041</v>
      </c>
      <c r="C776" s="113" t="inlineStr">
        <is>
          <t>ТОО"КапиталПрофСнаб"</t>
        </is>
      </c>
      <c r="D776" s="73" t="inlineStr">
        <is>
          <t>салфетки диспенсерные</t>
        </is>
      </c>
      <c r="E776" s="112" t="n">
        <v>36840</v>
      </c>
      <c r="F776" s="73" t="n"/>
      <c r="G776" s="111">
        <f>E776+F776</f>
        <v/>
      </c>
      <c r="H776" s="73" t="inlineStr">
        <is>
          <t>Выплачено</t>
        </is>
      </c>
      <c r="I776" s="66" t="inlineStr">
        <is>
          <t>Ок</t>
        </is>
      </c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>
      <c r="A777" s="5" t="n"/>
      <c r="B777" s="40" t="n">
        <v>46041</v>
      </c>
      <c r="C777" s="73" t="n"/>
      <c r="D777" s="73" t="inlineStr">
        <is>
          <t>ЗП пр-во</t>
        </is>
      </c>
      <c r="E777" s="112" t="n"/>
      <c r="F777" s="73" t="n">
        <v>8815000</v>
      </c>
      <c r="G777" s="111">
        <f>E777+F777</f>
        <v/>
      </c>
      <c r="H777" s="73" t="inlineStr">
        <is>
          <t>Выплачено</t>
        </is>
      </c>
      <c r="I777" s="66" t="inlineStr">
        <is>
          <t>Ок</t>
        </is>
      </c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>
      <c r="A778" s="5" t="n"/>
      <c r="B778" s="40" t="n">
        <v>46041</v>
      </c>
      <c r="C778" s="119" t="inlineStr">
        <is>
          <t>ИП "INTELLPACK"</t>
        </is>
      </c>
      <c r="D778" s="73" t="inlineStr">
        <is>
          <t>пленка ПВХ</t>
        </is>
      </c>
      <c r="E778" s="112" t="n">
        <v>125070</v>
      </c>
      <c r="F778" s="73" t="n"/>
      <c r="G778" s="111">
        <f>E778+F778</f>
        <v/>
      </c>
      <c r="H778" s="73" t="inlineStr">
        <is>
          <t>Выплачено</t>
        </is>
      </c>
      <c r="I778" s="66" t="inlineStr">
        <is>
          <t>Ок</t>
        </is>
      </c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>
      <c r="A779" s="5" t="n"/>
      <c r="B779" s="40" t="n">
        <v>46041</v>
      </c>
      <c r="C779" s="120" t="inlineStr">
        <is>
          <t>"Medhelp"ИП</t>
        </is>
      </c>
      <c r="D779" s="73" t="inlineStr">
        <is>
          <t xml:space="preserve">салфетки </t>
        </is>
      </c>
      <c r="E779" s="112" t="n">
        <v>34200</v>
      </c>
      <c r="F779" s="73" t="n"/>
      <c r="G779" s="111">
        <f>E779+F779</f>
        <v/>
      </c>
      <c r="H779" s="73" t="inlineStr">
        <is>
          <t>Выплачено</t>
        </is>
      </c>
      <c r="I779" s="66" t="inlineStr">
        <is>
          <t>Ок</t>
        </is>
      </c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>
      <c r="A780" s="5" t="n"/>
      <c r="B780" s="40" t="n">
        <v>46041</v>
      </c>
      <c r="C780" s="73" t="inlineStr">
        <is>
          <t>Ли Станислав</t>
        </is>
      </c>
      <c r="D780" s="73" t="inlineStr">
        <is>
          <t>Подотчет сырье</t>
        </is>
      </c>
      <c r="E780" s="112" t="n"/>
      <c r="F780" s="73" t="n">
        <v>500000</v>
      </c>
      <c r="G780" s="111">
        <f>E780+F780</f>
        <v/>
      </c>
      <c r="H780" s="73" t="inlineStr">
        <is>
          <t>Выплачено</t>
        </is>
      </c>
      <c r="I780" s="66" t="inlineStr">
        <is>
          <t>Ок</t>
        </is>
      </c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>
      <c r="A781" s="5" t="n"/>
      <c r="B781" s="40" t="n">
        <v>46041</v>
      </c>
      <c r="C781" s="73" t="inlineStr">
        <is>
          <t>TGR Company</t>
        </is>
      </c>
      <c r="D781" s="73" t="inlineStr">
        <is>
          <t>салфетки для диспенсера</t>
        </is>
      </c>
      <c r="E781" s="112" t="n">
        <v>15912</v>
      </c>
      <c r="F781" s="73" t="n"/>
      <c r="G781" s="111">
        <f>E781+F781</f>
        <v/>
      </c>
      <c r="H781" s="73" t="inlineStr">
        <is>
          <t>Выплачено</t>
        </is>
      </c>
      <c r="I781" s="66" t="inlineStr">
        <is>
          <t>Ок</t>
        </is>
      </c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>
      <c r="A782" s="5" t="n"/>
      <c r="B782" s="40" t="n">
        <v>46041</v>
      </c>
      <c r="C782" s="73" t="inlineStr">
        <is>
          <t>Шымкентмай</t>
        </is>
      </c>
      <c r="D782" s="73" t="inlineStr">
        <is>
          <t>масло подсолнечное</t>
        </is>
      </c>
      <c r="E782" s="112" t="n">
        <v>468000</v>
      </c>
      <c r="F782" s="73" t="n"/>
      <c r="G782" s="111">
        <f>E782+F782</f>
        <v/>
      </c>
      <c r="H782" s="73" t="inlineStr">
        <is>
          <t>Выплачено</t>
        </is>
      </c>
      <c r="I782" s="66" t="inlineStr">
        <is>
          <t>Ок</t>
        </is>
      </c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>
      <c r="A783" s="5" t="n"/>
      <c r="B783" s="40" t="n">
        <v>46042</v>
      </c>
      <c r="C783" s="113" t="inlineStr">
        <is>
          <t>"ГринПак"</t>
        </is>
      </c>
      <c r="D783" s="73" t="inlineStr">
        <is>
          <t>пакеты</t>
        </is>
      </c>
      <c r="E783" s="112" t="n">
        <v>21500</v>
      </c>
      <c r="F783" s="73" t="n"/>
      <c r="G783" s="111">
        <f>E783+F783</f>
        <v/>
      </c>
      <c r="H783" s="73" t="inlineStr">
        <is>
          <t>Выплачено</t>
        </is>
      </c>
      <c r="I783" s="66" t="inlineStr">
        <is>
          <t>Ок</t>
        </is>
      </c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>
      <c r="A784" s="5" t="n"/>
      <c r="B784" s="40" t="n">
        <v>46042</v>
      </c>
      <c r="C784" s="119" t="inlineStr">
        <is>
          <t>ИП "Platinum Sharks 2.0"</t>
        </is>
      </c>
      <c r="D784" s="73" t="inlineStr">
        <is>
          <t>хозтовары</t>
        </is>
      </c>
      <c r="E784" s="112" t="n">
        <v>47870</v>
      </c>
      <c r="F784" s="73" t="n"/>
      <c r="G784" s="111">
        <f>E784+F784</f>
        <v/>
      </c>
      <c r="H784" s="73" t="inlineStr">
        <is>
          <t>Выплачено</t>
        </is>
      </c>
      <c r="I784" s="66" t="inlineStr">
        <is>
          <t>Ок</t>
        </is>
      </c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>
      <c r="A785" s="5" t="n"/>
      <c r="B785" s="40" t="n">
        <v>46042</v>
      </c>
      <c r="C785" s="121" t="inlineStr">
        <is>
          <t>Ойшынов.Ж.Ж</t>
        </is>
      </c>
      <c r="D785" s="73" t="inlineStr">
        <is>
          <t xml:space="preserve">По служебка  выполненных ремонтных работ </t>
        </is>
      </c>
      <c r="E785" s="112" t="n"/>
      <c r="F785" s="73" t="n">
        <v>415000</v>
      </c>
      <c r="G785" s="111">
        <f>E785+F785</f>
        <v/>
      </c>
      <c r="H785" s="73" t="inlineStr">
        <is>
          <t>К оплате</t>
        </is>
      </c>
      <c r="I785" s="66" t="inlineStr">
        <is>
          <t>Ок</t>
        </is>
      </c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>
      <c r="A786" s="5" t="n"/>
      <c r="B786" s="40" t="n">
        <v>46042</v>
      </c>
      <c r="C786" s="73" t="inlineStr">
        <is>
          <t>Ли Станислав</t>
        </is>
      </c>
      <c r="D786" s="73" t="inlineStr">
        <is>
          <t>Подотчет сырье</t>
        </is>
      </c>
      <c r="E786" s="112" t="n"/>
      <c r="F786" s="73" t="n">
        <v>500000</v>
      </c>
      <c r="G786" s="111">
        <f>E786+F786</f>
        <v/>
      </c>
      <c r="H786" s="73" t="inlineStr">
        <is>
          <t>Выплачено</t>
        </is>
      </c>
      <c r="I786" s="66" t="inlineStr">
        <is>
          <t>Ок</t>
        </is>
      </c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>
      <c r="A787" s="5" t="n"/>
      <c r="B787" s="40" t="n">
        <v>46042</v>
      </c>
      <c r="C787" s="73" t="n"/>
      <c r="D787" s="73" t="inlineStr">
        <is>
          <t>ЗП пр-во</t>
        </is>
      </c>
      <c r="E787" s="112" t="n"/>
      <c r="F787" s="73" t="n">
        <v>3000000</v>
      </c>
      <c r="G787" s="111">
        <f>E787+F787</f>
        <v/>
      </c>
      <c r="H787" s="73" t="inlineStr">
        <is>
          <t>Выплачено</t>
        </is>
      </c>
      <c r="I787" s="66" t="inlineStr">
        <is>
          <t>Ок</t>
        </is>
      </c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>
      <c r="A788" s="5" t="n"/>
      <c r="B788" s="40" t="n">
        <v>46042</v>
      </c>
      <c r="C788" s="73" t="inlineStr">
        <is>
          <t>Lirumax</t>
        </is>
      </c>
      <c r="D788" s="73" t="inlineStr">
        <is>
          <t>вода Тассай</t>
        </is>
      </c>
      <c r="E788" s="112" t="n">
        <v>86100</v>
      </c>
      <c r="F788" s="73" t="n"/>
      <c r="G788" s="111">
        <f>E788+F788</f>
        <v/>
      </c>
      <c r="H788" s="73" t="inlineStr">
        <is>
          <t>Выплачено</t>
        </is>
      </c>
      <c r="I788" s="66" t="inlineStr">
        <is>
          <t>Ок</t>
        </is>
      </c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>
      <c r="A789" s="5" t="n"/>
      <c r="B789" s="40" t="n">
        <v>46042</v>
      </c>
      <c r="C789" s="73" t="inlineStr">
        <is>
          <t>Вон С.</t>
        </is>
      </c>
      <c r="D789" s="73" t="inlineStr">
        <is>
          <t xml:space="preserve">Оплата поставщикам за сырье     20.01.  и 21.01 оплатила </t>
        </is>
      </c>
      <c r="E789" s="112" t="n">
        <v>17094938</v>
      </c>
      <c r="F789" s="73" t="n"/>
      <c r="G789" s="111">
        <f>E789+F789</f>
        <v/>
      </c>
      <c r="H789" s="73" t="inlineStr">
        <is>
          <t>Выплачено</t>
        </is>
      </c>
      <c r="I789" s="66" t="inlineStr">
        <is>
          <t>Ок</t>
        </is>
      </c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>
      <c r="A790" s="5" t="n"/>
      <c r="B790" s="40" t="n">
        <v>46043</v>
      </c>
      <c r="C790" s="73" t="inlineStr">
        <is>
          <t>АрманСу</t>
        </is>
      </c>
      <c r="D790" s="73" t="inlineStr">
        <is>
          <t>вода питьевая</t>
        </is>
      </c>
      <c r="E790" s="112" t="n">
        <v>110000</v>
      </c>
      <c r="F790" s="73" t="n"/>
      <c r="G790" s="111">
        <f>E790+F790</f>
        <v/>
      </c>
      <c r="H790" s="73" t="inlineStr">
        <is>
          <t>Выплачено</t>
        </is>
      </c>
      <c r="I790" s="66" t="inlineStr">
        <is>
          <t>Ок</t>
        </is>
      </c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>
      <c r="A791" s="5" t="n"/>
      <c r="B791" s="40" t="n">
        <v>46043</v>
      </c>
      <c r="C791" s="73" t="inlineStr">
        <is>
          <t>Ли Станислав</t>
        </is>
      </c>
      <c r="D791" s="73" t="inlineStr">
        <is>
          <t>Подотчет сырье</t>
        </is>
      </c>
      <c r="E791" s="112" t="n"/>
      <c r="F791" s="73" t="n">
        <v>500000</v>
      </c>
      <c r="G791" s="111">
        <f>E791+F791</f>
        <v/>
      </c>
      <c r="H791" s="73" t="inlineStr">
        <is>
          <t>Выплачено</t>
        </is>
      </c>
      <c r="I791" s="66" t="inlineStr">
        <is>
          <t>Ок</t>
        </is>
      </c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>
      <c r="A792" s="5" t="n"/>
      <c r="B792" s="40" t="n">
        <v>46043</v>
      </c>
      <c r="C792" s="113" t="inlineStr">
        <is>
          <t>Сагденов А.С.</t>
        </is>
      </c>
      <c r="D792" s="73" t="inlineStr">
        <is>
          <t>противень, инвентарь</t>
        </is>
      </c>
      <c r="E792" s="112" t="n">
        <v>92848</v>
      </c>
      <c r="F792" s="73" t="n"/>
      <c r="G792" s="111">
        <f>E792+F792</f>
        <v/>
      </c>
      <c r="H792" s="73" t="inlineStr">
        <is>
          <t>Выплачено</t>
        </is>
      </c>
      <c r="I792" s="66" t="inlineStr">
        <is>
          <t>Ок</t>
        </is>
      </c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>
      <c r="A793" s="5" t="n"/>
      <c r="B793" s="40" t="n">
        <v>46043</v>
      </c>
      <c r="C793" s="73" t="n"/>
      <c r="D793" s="73" t="inlineStr">
        <is>
          <t>ЗП пр-во</t>
        </is>
      </c>
      <c r="E793" s="112" t="n"/>
      <c r="F793" s="73" t="n">
        <v>2679000</v>
      </c>
      <c r="G793" s="111">
        <f>E793+F793</f>
        <v/>
      </c>
      <c r="H793" s="73" t="inlineStr">
        <is>
          <t>Выплачено</t>
        </is>
      </c>
      <c r="I793" s="66" t="inlineStr">
        <is>
          <t>Ок</t>
        </is>
      </c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>
      <c r="A794" s="5" t="n"/>
      <c r="B794" s="40" t="n">
        <v>46043</v>
      </c>
      <c r="C794" s="113" t="inlineStr">
        <is>
          <t>КапиталПрофСнаб</t>
        </is>
      </c>
      <c r="D794" s="73" t="inlineStr">
        <is>
          <t>салфетки диспенсерные</t>
        </is>
      </c>
      <c r="E794" s="112" t="n">
        <v>70000</v>
      </c>
      <c r="F794" s="73" t="n"/>
      <c r="G794" s="111">
        <f>E794+F794</f>
        <v/>
      </c>
      <c r="H794" s="73" t="inlineStr">
        <is>
          <t>Выплачено</t>
        </is>
      </c>
      <c r="I794" s="66" t="inlineStr">
        <is>
          <t>Ок</t>
        </is>
      </c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>
      <c r="A795" s="5" t="n"/>
      <c r="B795" s="40" t="n">
        <v>46044</v>
      </c>
      <c r="C795" s="73" t="inlineStr">
        <is>
          <t>ИП Болатбаева К Б</t>
        </is>
      </c>
      <c r="D795" s="122" t="inlineStr">
        <is>
          <t>Спец.одежда для работников склада</t>
        </is>
      </c>
      <c r="E795" s="112" t="n">
        <v>51000</v>
      </c>
      <c r="F795" s="73" t="n"/>
      <c r="G795" s="111">
        <f>E795+F795</f>
        <v/>
      </c>
      <c r="H795" s="73" t="inlineStr">
        <is>
          <t>Выплачено</t>
        </is>
      </c>
      <c r="I795" s="66" t="inlineStr">
        <is>
          <t>Ок</t>
        </is>
      </c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>
      <c r="A796" s="5" t="n"/>
      <c r="B796" s="40" t="n">
        <v>46044</v>
      </c>
      <c r="C796" s="123" t="inlineStr">
        <is>
          <t>CIS market (Си Ай Эс маркет)</t>
        </is>
      </c>
      <c r="D796" s="73" t="inlineStr">
        <is>
          <t>ароматизатор пищевой</t>
        </is>
      </c>
      <c r="E796" s="112" t="n">
        <v>240200</v>
      </c>
      <c r="F796" s="73" t="n"/>
      <c r="G796" s="111">
        <f>E796+F796</f>
        <v/>
      </c>
      <c r="H796" s="73" t="inlineStr">
        <is>
          <t>Отложено</t>
        </is>
      </c>
      <c r="I796" s="66" t="inlineStr">
        <is>
          <t>Ок</t>
        </is>
      </c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>
      <c r="A797" s="5" t="n"/>
      <c r="B797" s="40" t="n">
        <v>46044</v>
      </c>
      <c r="C797" s="73" t="inlineStr">
        <is>
          <t>TGR Compay</t>
        </is>
      </c>
      <c r="D797" s="73" t="inlineStr">
        <is>
          <t>стаканы и крышки</t>
        </is>
      </c>
      <c r="E797" s="112" t="n">
        <v>68000</v>
      </c>
      <c r="F797" s="73" t="n"/>
      <c r="G797" s="111">
        <f>E797+F797</f>
        <v/>
      </c>
      <c r="H797" s="73" t="inlineStr">
        <is>
          <t>Выплачено</t>
        </is>
      </c>
      <c r="I797" s="66" t="inlineStr">
        <is>
          <t>Ок</t>
        </is>
      </c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>
      <c r="A798" s="5" t="n"/>
      <c r="B798" s="40" t="n">
        <v>46044</v>
      </c>
      <c r="C798" s="73" t="n"/>
      <c r="D798" s="122" t="inlineStr">
        <is>
          <t>Подотчет сырье</t>
        </is>
      </c>
      <c r="E798" s="112" t="n"/>
      <c r="F798" s="73" t="n">
        <v>600000</v>
      </c>
      <c r="G798" s="111">
        <f>E798+F798</f>
        <v/>
      </c>
      <c r="H798" s="73" t="inlineStr">
        <is>
          <t>Выплачено</t>
        </is>
      </c>
      <c r="I798" s="66" t="inlineStr">
        <is>
          <t>Ок</t>
        </is>
      </c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>
      <c r="A799" s="5" t="n"/>
      <c r="B799" s="40" t="n">
        <v>46044</v>
      </c>
      <c r="C799" s="73" t="inlineStr">
        <is>
          <t>Протэк</t>
        </is>
      </c>
      <c r="D799" s="73" t="inlineStr">
        <is>
          <t>лотки, контейнеры</t>
        </is>
      </c>
      <c r="E799" s="112" t="n">
        <v>2974320</v>
      </c>
      <c r="F799" s="73" t="n"/>
      <c r="G799" s="111">
        <f>E799+F799</f>
        <v/>
      </c>
      <c r="H799" s="73" t="inlineStr">
        <is>
          <t>Выплачено</t>
        </is>
      </c>
      <c r="I799" s="66" t="inlineStr">
        <is>
          <t>Ок</t>
        </is>
      </c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>
      <c r="A800" s="5" t="n"/>
      <c r="B800" s="40" t="n">
        <v>46045</v>
      </c>
      <c r="C800" s="73" t="n"/>
      <c r="D800" s="73" t="inlineStr">
        <is>
          <t>ЗП</t>
        </is>
      </c>
      <c r="E800" s="112" t="n"/>
      <c r="F800" s="73" t="n">
        <v>5648164</v>
      </c>
      <c r="G800" s="111">
        <f>E800+F800</f>
        <v/>
      </c>
      <c r="H800" s="73" t="inlineStr">
        <is>
          <t>Выплачено</t>
        </is>
      </c>
      <c r="I800" s="66" t="inlineStr">
        <is>
          <t>Ок</t>
        </is>
      </c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>
      <c r="A801" s="5" t="n"/>
      <c r="B801" s="40" t="n">
        <v>46045</v>
      </c>
      <c r="C801" s="73" t="inlineStr">
        <is>
          <t>Вон С.</t>
        </is>
      </c>
      <c r="D801" s="73" t="inlineStr">
        <is>
          <t>Оплата поставщикам за сырье</t>
        </is>
      </c>
      <c r="E801" s="112" t="n">
        <v>11054648</v>
      </c>
      <c r="F801" s="73" t="n"/>
      <c r="G801" s="111">
        <f>E801+F801</f>
        <v/>
      </c>
      <c r="H801" s="73" t="inlineStr">
        <is>
          <t>Выплачено</t>
        </is>
      </c>
      <c r="I801" s="66" t="inlineStr">
        <is>
          <t>Ок</t>
        </is>
      </c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>
      <c r="A802" s="5" t="n"/>
      <c r="B802" s="40" t="n">
        <v>46048</v>
      </c>
      <c r="C802" s="25" t="inlineStr">
        <is>
          <t>"Public Health Inspection"</t>
        </is>
      </c>
      <c r="D802" s="57" t="inlineStr">
        <is>
          <t>производственный лабораторный самоконтроль с выдачей протокола за 1-квартал 2026</t>
        </is>
      </c>
      <c r="E802" s="112" t="n">
        <v>88300</v>
      </c>
      <c r="F802" s="73" t="n"/>
      <c r="G802" s="111">
        <f>E802+F802</f>
        <v/>
      </c>
      <c r="H802" s="73" t="inlineStr">
        <is>
          <t>Выплачено</t>
        </is>
      </c>
      <c r="I802" s="66" t="inlineStr">
        <is>
          <t>Ок</t>
        </is>
      </c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>
      <c r="A803" s="5" t="n"/>
      <c r="B803" s="40" t="n">
        <v>46048</v>
      </c>
      <c r="C803" s="57" t="inlineStr">
        <is>
          <t>"AMP Printology"</t>
        </is>
      </c>
      <c r="D803" s="73" t="inlineStr">
        <is>
          <t>заправка картриджей</t>
        </is>
      </c>
      <c r="E803" s="112" t="n">
        <v>25000</v>
      </c>
      <c r="F803" s="73" t="n"/>
      <c r="G803" s="111">
        <f>E803+F803</f>
        <v/>
      </c>
      <c r="H803" s="73" t="inlineStr">
        <is>
          <t>Выплачено</t>
        </is>
      </c>
      <c r="I803" s="66" t="inlineStr">
        <is>
          <t>Ок</t>
        </is>
      </c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>
      <c r="A804" s="5" t="n"/>
      <c r="B804" s="40" t="n">
        <v>46048</v>
      </c>
      <c r="C804" s="57" t="inlineStr">
        <is>
          <t>"AMP Printology"</t>
        </is>
      </c>
      <c r="D804" s="73" t="inlineStr">
        <is>
          <t>заправка картриджей</t>
        </is>
      </c>
      <c r="E804" s="112" t="n">
        <v>24300</v>
      </c>
      <c r="F804" s="73" t="n"/>
      <c r="G804" s="111">
        <f>E804+F804</f>
        <v/>
      </c>
      <c r="H804" s="73" t="inlineStr">
        <is>
          <t>Выплачено</t>
        </is>
      </c>
      <c r="I804" s="66" t="inlineStr">
        <is>
          <t>Ок</t>
        </is>
      </c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>
      <c r="A805" s="5" t="n"/>
      <c r="B805" s="40" t="n">
        <v>46048</v>
      </c>
      <c r="C805" s="73" t="inlineStr">
        <is>
          <t>TGR Compay</t>
        </is>
      </c>
      <c r="D805" s="73" t="inlineStr">
        <is>
          <t>контейнер, салатница</t>
        </is>
      </c>
      <c r="E805" s="112" t="n">
        <v>121800</v>
      </c>
      <c r="F805" s="73" t="n"/>
      <c r="G805" s="111">
        <f>E805+F805</f>
        <v/>
      </c>
      <c r="H805" s="73" t="inlineStr">
        <is>
          <t>Выплачено</t>
        </is>
      </c>
      <c r="I805" s="66" t="inlineStr">
        <is>
          <t>Ок</t>
        </is>
      </c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>
      <c r="A806" s="5" t="n"/>
      <c r="B806" s="40" t="n">
        <v>46048</v>
      </c>
      <c r="C806" s="73" t="inlineStr">
        <is>
          <t>Ли Станислав</t>
        </is>
      </c>
      <c r="D806" s="73" t="inlineStr">
        <is>
          <t>Подотчет сырье</t>
        </is>
      </c>
      <c r="E806" s="112" t="n"/>
      <c r="F806" s="73" t="n">
        <v>500000</v>
      </c>
      <c r="G806" s="111">
        <f>E806+F806</f>
        <v/>
      </c>
      <c r="H806" s="73" t="inlineStr">
        <is>
          <t>Выплачено</t>
        </is>
      </c>
      <c r="I806" s="66" t="inlineStr">
        <is>
          <t>Ок</t>
        </is>
      </c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>
      <c r="A807" s="5" t="n"/>
      <c r="B807" s="40" t="n">
        <v>46048</v>
      </c>
      <c r="C807" s="57" t="n"/>
      <c r="D807" s="73" t="inlineStr">
        <is>
          <t>Авансы на карты</t>
        </is>
      </c>
      <c r="E807" s="112" t="n">
        <v>1720000</v>
      </c>
      <c r="F807" s="73" t="n"/>
      <c r="G807" s="111">
        <f>E807+F807</f>
        <v/>
      </c>
      <c r="H807" s="73" t="inlineStr">
        <is>
          <t>Выплачено</t>
        </is>
      </c>
      <c r="I807" s="66" t="inlineStr">
        <is>
          <t>Ок</t>
        </is>
      </c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>
      <c r="A808" s="5" t="n"/>
      <c r="B808" s="40" t="n">
        <v>46048</v>
      </c>
      <c r="C808" s="73" t="inlineStr">
        <is>
          <t>TGR Compay</t>
        </is>
      </c>
      <c r="D808" s="73" t="inlineStr">
        <is>
          <t>крышка и емкость полимерная</t>
        </is>
      </c>
      <c r="E808" s="112" t="n">
        <v>31800</v>
      </c>
      <c r="F808" s="73" t="n"/>
      <c r="G808" s="111">
        <f>E808+F808</f>
        <v/>
      </c>
      <c r="H808" s="73" t="inlineStr">
        <is>
          <t>Выплачено</t>
        </is>
      </c>
      <c r="I808" s="66" t="inlineStr">
        <is>
          <t>Ок</t>
        </is>
      </c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>
      <c r="A809" s="5" t="n"/>
      <c r="B809" s="40" t="n">
        <v>46048</v>
      </c>
      <c r="C809" s="73" t="inlineStr">
        <is>
          <t>Шымкентмай</t>
        </is>
      </c>
      <c r="D809" s="73" t="inlineStr">
        <is>
          <t>масло подсолнечное</t>
        </is>
      </c>
      <c r="E809" s="112" t="n">
        <v>468000</v>
      </c>
      <c r="F809" s="73" t="n"/>
      <c r="G809" s="111">
        <f>E809+F809</f>
        <v/>
      </c>
      <c r="H809" s="73" t="inlineStr">
        <is>
          <t>Выплачено</t>
        </is>
      </c>
      <c r="I809" s="66" t="inlineStr">
        <is>
          <t>Ок</t>
        </is>
      </c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>
      <c r="A810" s="5" t="n"/>
      <c r="B810" s="40" t="n">
        <v>46048</v>
      </c>
      <c r="C810" s="124" t="inlineStr">
        <is>
          <t>ТОО "KARAVAN (КАРАВАН)</t>
        </is>
      </c>
      <c r="D810" s="73" t="inlineStr">
        <is>
          <t>сухари</t>
        </is>
      </c>
      <c r="E810" s="112" t="n">
        <v>14496</v>
      </c>
      <c r="F810" s="73" t="n"/>
      <c r="G810" s="111">
        <f>E810+F810</f>
        <v/>
      </c>
      <c r="H810" s="73" t="inlineStr">
        <is>
          <t>Выплачено</t>
        </is>
      </c>
      <c r="I810" s="66" t="inlineStr">
        <is>
          <t>Ок</t>
        </is>
      </c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>
      <c r="A811" s="5" t="n"/>
      <c r="B811" s="40" t="n">
        <v>46048</v>
      </c>
      <c r="C811" s="73" t="inlineStr">
        <is>
          <t>Вон С.</t>
        </is>
      </c>
      <c r="D811" s="73" t="inlineStr">
        <is>
          <t>в подотчет на запчасти</t>
        </is>
      </c>
      <c r="E811" s="112" t="n"/>
      <c r="F811" s="73" t="n">
        <v>300000</v>
      </c>
      <c r="G811" s="111">
        <f>E811+F811</f>
        <v/>
      </c>
      <c r="H811" s="73" t="inlineStr">
        <is>
          <t>Выплачено</t>
        </is>
      </c>
      <c r="I811" s="66" t="inlineStr">
        <is>
          <t>Ок</t>
        </is>
      </c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>
      <c r="A812" s="5" t="n"/>
      <c r="B812" s="40" t="n">
        <v>46048</v>
      </c>
      <c r="C812" s="73" t="inlineStr">
        <is>
          <t>Фудмастер Трейд</t>
        </is>
      </c>
      <c r="D812" s="73" t="inlineStr">
        <is>
          <t>сметана</t>
        </is>
      </c>
      <c r="E812" s="112" t="n">
        <v>37952</v>
      </c>
      <c r="F812" s="73" t="n"/>
      <c r="G812" s="111">
        <f>E812+F812</f>
        <v/>
      </c>
      <c r="H812" s="73" t="inlineStr">
        <is>
          <t>Выплачено</t>
        </is>
      </c>
      <c r="I812" s="66" t="inlineStr">
        <is>
          <t>Ок</t>
        </is>
      </c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>
      <c r="A813" s="5" t="n"/>
      <c r="B813" s="40" t="n">
        <v>46048</v>
      </c>
      <c r="C813" s="120" t="inlineStr">
        <is>
          <t>ИП Ахмерова Ф.И</t>
        </is>
      </c>
      <c r="D813" s="73" t="inlineStr">
        <is>
          <t>ПЭТ бутылки</t>
        </is>
      </c>
      <c r="E813" s="112" t="n">
        <v>45900</v>
      </c>
      <c r="F813" s="73" t="n"/>
      <c r="G813" s="111">
        <f>E813+F813</f>
        <v/>
      </c>
      <c r="H813" s="73" t="inlineStr">
        <is>
          <t>Выплачено</t>
        </is>
      </c>
      <c r="I813" s="66" t="inlineStr">
        <is>
          <t>Ок</t>
        </is>
      </c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>
      <c r="A814" s="5" t="n"/>
      <c r="B814" s="40" t="n">
        <v>46048</v>
      </c>
      <c r="C814" s="113" t="inlineStr">
        <is>
          <t>ТОО "КазАгроПромТрейд"</t>
        </is>
      </c>
      <c r="D814" s="73" t="inlineStr">
        <is>
          <t>рис</t>
        </is>
      </c>
      <c r="E814" s="112" t="n">
        <v>179075</v>
      </c>
      <c r="F814" s="73" t="n"/>
      <c r="G814" s="111">
        <f>E814+F814</f>
        <v/>
      </c>
      <c r="H814" s="73" t="inlineStr">
        <is>
          <t>Выплачено</t>
        </is>
      </c>
      <c r="I814" s="66" t="inlineStr">
        <is>
          <t>Ок</t>
        </is>
      </c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>
      <c r="A815" s="5" t="n"/>
      <c r="B815" s="40" t="n">
        <v>46049</v>
      </c>
      <c r="C815" s="73" t="inlineStr">
        <is>
          <t>Вон С.</t>
        </is>
      </c>
      <c r="D815" s="73" t="inlineStr">
        <is>
          <t>Оплата поставщикам за сырье</t>
        </is>
      </c>
      <c r="E815" s="112" t="n">
        <v>18062400</v>
      </c>
      <c r="F815" s="73" t="n"/>
      <c r="G815" s="111">
        <f>E815+F815</f>
        <v/>
      </c>
      <c r="H815" s="73" t="inlineStr">
        <is>
          <t>Выплачено</t>
        </is>
      </c>
      <c r="I815" s="66" t="inlineStr">
        <is>
          <t>Ок</t>
        </is>
      </c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>
      <c r="A816" s="5" t="n"/>
      <c r="B816" s="40" t="n">
        <v>46049</v>
      </c>
      <c r="C816" s="73" t="inlineStr">
        <is>
          <t>Ли Станислав</t>
        </is>
      </c>
      <c r="D816" s="73" t="inlineStr">
        <is>
          <t>Подотчет сырье</t>
        </is>
      </c>
      <c r="E816" s="112" t="n"/>
      <c r="F816" s="73" t="n">
        <v>500000</v>
      </c>
      <c r="G816" s="111">
        <f>E816+F816</f>
        <v/>
      </c>
      <c r="H816" s="73" t="inlineStr">
        <is>
          <t>Выплачено</t>
        </is>
      </c>
      <c r="I816" s="66" t="inlineStr">
        <is>
          <t>Ок</t>
        </is>
      </c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>
      <c r="A817" s="5" t="n"/>
      <c r="B817" s="40" t="n">
        <v>46049</v>
      </c>
      <c r="C817" s="90" t="inlineStr">
        <is>
          <t>"YANS" (ЯНС),</t>
        </is>
      </c>
      <c r="D817" s="73" t="inlineStr">
        <is>
          <t>деревян.вилки</t>
        </is>
      </c>
      <c r="E817" s="112" t="n">
        <v>110000</v>
      </c>
      <c r="F817" s="73" t="n"/>
      <c r="G817" s="111">
        <f>E817+F817</f>
        <v/>
      </c>
      <c r="H817" s="73" t="inlineStr">
        <is>
          <t>Выплачено</t>
        </is>
      </c>
      <c r="I817" s="66" t="inlineStr">
        <is>
          <t>Ок</t>
        </is>
      </c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>
      <c r="A818" s="5" t="n"/>
      <c r="B818" s="40" t="n">
        <v>46050</v>
      </c>
      <c r="C818" s="73" t="inlineStr">
        <is>
          <t>Амувакиров А</t>
        </is>
      </c>
      <c r="D818" s="73" t="inlineStr">
        <is>
          <t>оплата корпоративной почты</t>
        </is>
      </c>
      <c r="E818" s="112" t="n"/>
      <c r="F818" s="73" t="n">
        <v>109000</v>
      </c>
      <c r="G818" s="111">
        <f>E818+F818</f>
        <v/>
      </c>
      <c r="H818" s="73" t="inlineStr">
        <is>
          <t>К оплате</t>
        </is>
      </c>
      <c r="I818" s="66" t="inlineStr">
        <is>
          <t>Ок</t>
        </is>
      </c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>
      <c r="A819" s="5" t="n"/>
      <c r="B819" s="40" t="n">
        <v>46050</v>
      </c>
      <c r="C819" s="66" t="inlineStr">
        <is>
          <t>Экспресс сервис</t>
        </is>
      </c>
      <c r="D819" s="66" t="inlineStr">
        <is>
          <t>коммунальные услуги</t>
        </is>
      </c>
      <c r="E819" s="112" t="n">
        <v>8158572</v>
      </c>
      <c r="F819" s="73" t="n"/>
      <c r="G819" s="111">
        <f>E819+F819</f>
        <v/>
      </c>
      <c r="H819" s="73" t="inlineStr">
        <is>
          <t>Выплачено</t>
        </is>
      </c>
      <c r="I819" s="66" t="inlineStr">
        <is>
          <t>Ок</t>
        </is>
      </c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>
      <c r="A820" s="5" t="n"/>
      <c r="B820" s="40" t="n">
        <v>46050</v>
      </c>
      <c r="C820" s="73" t="inlineStr">
        <is>
          <t xml:space="preserve">Квартира </t>
        </is>
      </c>
      <c r="D820" s="73" t="inlineStr">
        <is>
          <t>Олеся  С</t>
        </is>
      </c>
      <c r="E820" s="112" t="n"/>
      <c r="F820" s="73" t="n">
        <v>350000</v>
      </c>
      <c r="G820" s="111">
        <f>E820+F820</f>
        <v/>
      </c>
      <c r="H820" s="73" t="inlineStr">
        <is>
          <t>Выплачено</t>
        </is>
      </c>
      <c r="I820" s="66" t="inlineStr">
        <is>
          <t>Ок</t>
        </is>
      </c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>
      <c r="A821" s="5" t="n"/>
      <c r="B821" s="40" t="n">
        <v>46050</v>
      </c>
      <c r="C821" s="73" t="inlineStr">
        <is>
          <t>Ли Станислав</t>
        </is>
      </c>
      <c r="D821" s="73" t="inlineStr">
        <is>
          <t>Подотчет сырье</t>
        </is>
      </c>
      <c r="E821" s="112" t="n"/>
      <c r="F821" s="73" t="n">
        <v>500000</v>
      </c>
      <c r="G821" s="111">
        <f>E821+F821</f>
        <v/>
      </c>
      <c r="H821" s="73" t="inlineStr">
        <is>
          <t>Выплачено</t>
        </is>
      </c>
      <c r="I821" s="66" t="inlineStr">
        <is>
          <t>Ок</t>
        </is>
      </c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>
      <c r="A822" s="5" t="n"/>
      <c r="B822" s="40" t="n">
        <v>46050</v>
      </c>
      <c r="C822" s="73" t="n"/>
      <c r="D822" s="73" t="inlineStr">
        <is>
          <t xml:space="preserve">Аванс нал </t>
        </is>
      </c>
      <c r="E822" s="112" t="n"/>
      <c r="F822" s="73" t="n">
        <v>900000</v>
      </c>
      <c r="G822" s="111">
        <f>E822+F822</f>
        <v/>
      </c>
      <c r="H822" s="73" t="inlineStr">
        <is>
          <t>Выплачено</t>
        </is>
      </c>
      <c r="I822" s="66" t="inlineStr">
        <is>
          <t>Ок</t>
        </is>
      </c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>
      <c r="A823" s="5" t="n"/>
      <c r="B823" s="40" t="n">
        <v>46050</v>
      </c>
      <c r="C823" s="73" t="n"/>
      <c r="D823" s="73" t="inlineStr">
        <is>
          <t>прочистка жироуловителя согласно СЗ</t>
        </is>
      </c>
      <c r="E823" s="112" t="n"/>
      <c r="F823" s="73" t="n">
        <v>50000</v>
      </c>
      <c r="G823" s="111">
        <f>E823+F823</f>
        <v/>
      </c>
      <c r="H823" s="73" t="inlineStr">
        <is>
          <t>Выплачено</t>
        </is>
      </c>
      <c r="I823" s="66" t="inlineStr">
        <is>
          <t>Ок</t>
        </is>
      </c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>
      <c r="A824" s="5" t="n"/>
      <c r="B824" s="40" t="n">
        <v>46051</v>
      </c>
      <c r="C824" s="73" t="inlineStr">
        <is>
          <t>Ли Станислав</t>
        </is>
      </c>
      <c r="D824" s="73" t="inlineStr">
        <is>
          <t>Подотчет сырье</t>
        </is>
      </c>
      <c r="E824" s="112" t="n"/>
      <c r="F824" s="73" t="n">
        <v>600000</v>
      </c>
      <c r="G824" s="111">
        <f>E824+F824</f>
        <v/>
      </c>
      <c r="H824" s="73" t="inlineStr">
        <is>
          <t>Выплачено</t>
        </is>
      </c>
      <c r="I824" s="66" t="inlineStr">
        <is>
          <t>Ок</t>
        </is>
      </c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>
      <c r="A825" s="5" t="n"/>
      <c r="B825" s="40" t="n">
        <v>46051</v>
      </c>
      <c r="C825" s="456" t="inlineStr">
        <is>
          <t>Зарплата недельная</t>
        </is>
      </c>
      <c r="D825" s="456" t="inlineStr">
        <is>
          <t xml:space="preserve">Лагманщики и аванс </t>
        </is>
      </c>
      <c r="F825" s="73" t="n">
        <v>661000</v>
      </c>
      <c r="G825" s="111">
        <f>E824+F825</f>
        <v/>
      </c>
      <c r="H825" s="73" t="inlineStr">
        <is>
          <t>Выплачено</t>
        </is>
      </c>
      <c r="I825" s="66" t="inlineStr">
        <is>
          <t>Ок</t>
        </is>
      </c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>
      <c r="A826" s="5" t="n"/>
      <c r="B826" s="40" t="n">
        <v>46051</v>
      </c>
      <c r="C826" s="73" t="n"/>
      <c r="D826" s="73" t="inlineStr">
        <is>
          <t>Пополнение счета ИП Сапакова допл.на погашение кредита</t>
        </is>
      </c>
      <c r="E826" s="112" t="n"/>
      <c r="F826" s="73" t="n">
        <v>250000</v>
      </c>
      <c r="G826" s="111">
        <f>E826+F826</f>
        <v/>
      </c>
      <c r="H826" s="73" t="inlineStr">
        <is>
          <t>Выплачено</t>
        </is>
      </c>
      <c r="I826" s="66" t="inlineStr">
        <is>
          <t>Ок</t>
        </is>
      </c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>
      <c r="A827" s="5" t="n"/>
      <c r="B827" s="40" t="n">
        <v>46051</v>
      </c>
      <c r="C827" s="125" t="inlineStr">
        <is>
          <t>CIS market (Си Ай Эс маркет)</t>
        </is>
      </c>
      <c r="D827" s="126" t="inlineStr">
        <is>
          <t>Смесь для приготовления маффинов</t>
        </is>
      </c>
      <c r="E827" s="112" t="n">
        <v>610500</v>
      </c>
      <c r="F827" s="73" t="n"/>
      <c r="G827" s="111">
        <f>E827+F827</f>
        <v/>
      </c>
      <c r="H827" s="73" t="inlineStr">
        <is>
          <t>Выплачено</t>
        </is>
      </c>
      <c r="I827" s="66" t="inlineStr">
        <is>
          <t>Ок</t>
        </is>
      </c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>
      <c r="A828" s="5" t="n"/>
      <c r="B828" s="40" t="n">
        <v>46051</v>
      </c>
      <c r="C828" s="57" t="inlineStr">
        <is>
          <t xml:space="preserve">Жансултан </t>
        </is>
      </c>
      <c r="D828" s="57" t="inlineStr">
        <is>
          <t>ТОО НХЛ-Агро Казахстан</t>
        </is>
      </c>
      <c r="E828" s="112" t="n">
        <v>146600</v>
      </c>
      <c r="F828" s="73" t="n"/>
      <c r="G828" s="111">
        <f>E828+F828</f>
        <v/>
      </c>
      <c r="H828" s="73" t="inlineStr">
        <is>
          <t>Выплачено</t>
        </is>
      </c>
      <c r="I828" s="66" t="inlineStr">
        <is>
          <t>Ок</t>
        </is>
      </c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>
      <c r="A829" s="5" t="n"/>
      <c r="B829" s="40" t="n">
        <v>46051</v>
      </c>
      <c r="C829" s="123" t="inlineStr">
        <is>
          <t>CIS market (Си Ай Эс маркет)</t>
        </is>
      </c>
      <c r="D829" s="126" t="inlineStr">
        <is>
          <t>Ароматизатор пищевой «Апельсин 10.02.537»</t>
        </is>
      </c>
      <c r="E829" s="112" t="n">
        <v>124900</v>
      </c>
      <c r="F829" s="73" t="n"/>
      <c r="G829" s="111">
        <f>E829+F829</f>
        <v/>
      </c>
      <c r="H829" s="73" t="inlineStr">
        <is>
          <t>Выплачено</t>
        </is>
      </c>
      <c r="I829" s="66" t="inlineStr">
        <is>
          <t>Ок</t>
        </is>
      </c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>
      <c r="A830" s="5" t="n"/>
      <c r="B830" s="40" t="n">
        <v>46051</v>
      </c>
      <c r="C830" s="73" t="inlineStr">
        <is>
          <t>Food Company 2015</t>
        </is>
      </c>
      <c r="D830" s="73" t="inlineStr">
        <is>
          <t>сметана</t>
        </is>
      </c>
      <c r="E830" s="112" t="n">
        <v>136440</v>
      </c>
      <c r="F830" s="73" t="n"/>
      <c r="G830" s="111">
        <f>E830+F830</f>
        <v/>
      </c>
      <c r="H830" s="73" t="inlineStr">
        <is>
          <t>Выплачено</t>
        </is>
      </c>
      <c r="I830" s="66" t="inlineStr">
        <is>
          <t>Ок</t>
        </is>
      </c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>
      <c r="A831" s="5" t="n"/>
      <c r="B831" s="40" t="n">
        <v>46051</v>
      </c>
      <c r="C831" s="120" t="inlineStr">
        <is>
          <t>ИП Ахмерова Ф.И.</t>
        </is>
      </c>
      <c r="D831" s="73" t="inlineStr">
        <is>
          <t>ПЭТ бутылки</t>
        </is>
      </c>
      <c r="E831" s="112" t="n">
        <v>45900</v>
      </c>
      <c r="F831" s="73" t="n"/>
      <c r="G831" s="111">
        <f>E831+F831</f>
        <v/>
      </c>
      <c r="H831" s="73" t="inlineStr">
        <is>
          <t>Выплачено</t>
        </is>
      </c>
      <c r="I831" s="66" t="inlineStr">
        <is>
          <t>Ок</t>
        </is>
      </c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>
      <c r="A832" s="5" t="n"/>
      <c r="B832" s="40" t="n">
        <v>46052</v>
      </c>
      <c r="C832" s="73" t="inlineStr">
        <is>
          <t>Вон С.</t>
        </is>
      </c>
      <c r="D832" s="73" t="inlineStr">
        <is>
          <t>Оплата поставщикам за сырье</t>
        </is>
      </c>
      <c r="E832" s="112" t="n">
        <v>9912656</v>
      </c>
      <c r="F832" s="73" t="n"/>
      <c r="G832" s="111">
        <f>E832+F832</f>
        <v/>
      </c>
      <c r="H832" s="73" t="inlineStr">
        <is>
          <t>Выплачено</t>
        </is>
      </c>
      <c r="I832" s="66" t="inlineStr">
        <is>
          <t>Ок</t>
        </is>
      </c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>
      <c r="A833" s="5" t="n"/>
      <c r="B833" s="93" t="n">
        <v>46055</v>
      </c>
      <c r="C833" s="73" t="inlineStr">
        <is>
          <t>НУ</t>
        </is>
      </c>
      <c r="D833" s="73" t="inlineStr">
        <is>
          <t>НДС</t>
        </is>
      </c>
      <c r="E833" s="112" t="n">
        <v>3500000</v>
      </c>
      <c r="F833" s="73" t="n"/>
      <c r="G833" s="111">
        <f>E833+F833</f>
        <v/>
      </c>
      <c r="H833" s="73" t="inlineStr">
        <is>
          <t>Выплачено</t>
        </is>
      </c>
      <c r="I833" s="66" t="inlineStr">
        <is>
          <t>Ок</t>
        </is>
      </c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>
      <c r="A834" s="5" t="n"/>
      <c r="B834" s="40" t="n">
        <v>46052</v>
      </c>
      <c r="C834" s="73" t="inlineStr">
        <is>
          <t xml:space="preserve">Уволенный </t>
        </is>
      </c>
      <c r="D834" s="73" t="n"/>
      <c r="E834" s="112" t="n"/>
      <c r="F834" s="73" t="n">
        <v>1370682</v>
      </c>
      <c r="G834" s="111">
        <f>E834+F834</f>
        <v/>
      </c>
      <c r="H834" s="73" t="inlineStr">
        <is>
          <t>Выплачено</t>
        </is>
      </c>
      <c r="I834" s="66" t="inlineStr">
        <is>
          <t>Ок</t>
        </is>
      </c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>
      <c r="A835" s="5" t="n"/>
      <c r="B835" s="40" t="n">
        <v>46052</v>
      </c>
      <c r="C835" s="73" t="inlineStr">
        <is>
          <t xml:space="preserve">Инарин </t>
        </is>
      </c>
      <c r="D835" s="73" t="n"/>
      <c r="E835" s="112" t="n">
        <v>42600</v>
      </c>
      <c r="F835" s="73" t="n"/>
      <c r="G835" s="111">
        <f>E835+F835</f>
        <v/>
      </c>
      <c r="H835" s="73" t="inlineStr">
        <is>
          <t>Выплачено</t>
        </is>
      </c>
      <c r="I835" s="66" t="inlineStr">
        <is>
          <t>Ок</t>
        </is>
      </c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>
      <c r="A836" s="5" t="n"/>
      <c r="B836" s="93" t="n">
        <v>46055</v>
      </c>
      <c r="C836" s="73" t="inlineStr">
        <is>
          <t>Лейму Казахстан</t>
        </is>
      </c>
      <c r="D836" s="73" t="inlineStr">
        <is>
          <t>мука ржаная, семена льна</t>
        </is>
      </c>
      <c r="E836" s="112" t="n">
        <v>54500</v>
      </c>
      <c r="F836" s="73" t="n"/>
      <c r="G836" s="111">
        <f>E836+F836</f>
        <v/>
      </c>
      <c r="H836" s="73" t="inlineStr">
        <is>
          <t>Выплачено</t>
        </is>
      </c>
      <c r="I836" s="66" t="inlineStr">
        <is>
          <t>Ок</t>
        </is>
      </c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>
      <c r="A837" s="5" t="n"/>
      <c r="B837" s="93" t="n">
        <v>46055</v>
      </c>
      <c r="C837" s="113" t="inlineStr">
        <is>
          <t>"Medhelp"</t>
        </is>
      </c>
      <c r="D837" s="73" t="inlineStr">
        <is>
          <t>халаты, маски одноразовые</t>
        </is>
      </c>
      <c r="E837" s="112" t="n">
        <v>32900</v>
      </c>
      <c r="F837" s="73" t="n"/>
      <c r="G837" s="111">
        <f>E837+F837</f>
        <v/>
      </c>
      <c r="H837" s="73" t="inlineStr">
        <is>
          <t>Выплачено</t>
        </is>
      </c>
      <c r="I837" s="66" t="inlineStr">
        <is>
          <t>Ок</t>
        </is>
      </c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>
      <c r="A838" s="5" t="n"/>
      <c r="B838" s="40" t="n">
        <v>46055</v>
      </c>
      <c r="C838" s="73" t="inlineStr">
        <is>
          <t>Шымкентмай</t>
        </is>
      </c>
      <c r="D838" s="73" t="inlineStr">
        <is>
          <t>масло подсолнечное</t>
        </is>
      </c>
      <c r="E838" s="112" t="n">
        <v>468000</v>
      </c>
      <c r="F838" s="73" t="n"/>
      <c r="G838" s="111">
        <f>E838+F838</f>
        <v/>
      </c>
      <c r="H838" s="73" t="inlineStr">
        <is>
          <t>Выплачено</t>
        </is>
      </c>
      <c r="I838" s="66" t="inlineStr">
        <is>
          <t>Ок</t>
        </is>
      </c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>
      <c r="A839" s="5" t="n"/>
      <c r="B839" s="40" t="n">
        <v>46055</v>
      </c>
      <c r="C839" s="73" t="inlineStr">
        <is>
          <t>ТОО Караван</t>
        </is>
      </c>
      <c r="D839" s="73" t="inlineStr">
        <is>
          <t>сухарики</t>
        </is>
      </c>
      <c r="E839" s="112" t="n">
        <v>19328</v>
      </c>
      <c r="F839" s="73" t="n"/>
      <c r="G839" s="111">
        <f>E839+F839</f>
        <v/>
      </c>
      <c r="H839" s="73" t="inlineStr">
        <is>
          <t>Выплачено</t>
        </is>
      </c>
      <c r="I839" s="66" t="inlineStr">
        <is>
          <t>Ок</t>
        </is>
      </c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>
      <c r="A840" s="5" t="n"/>
      <c r="B840" s="40" t="n">
        <v>46055</v>
      </c>
      <c r="C840" s="120" t="inlineStr">
        <is>
          <t>ИП Ахмерова Ф.И</t>
        </is>
      </c>
      <c r="D840" s="73" t="inlineStr">
        <is>
          <t>ПЭТ бутылки</t>
        </is>
      </c>
      <c r="E840" s="112" t="n">
        <v>55080</v>
      </c>
      <c r="F840" s="73" t="n"/>
      <c r="G840" s="111">
        <f>E840+F840</f>
        <v/>
      </c>
      <c r="H840" s="73" t="inlineStr">
        <is>
          <t>Выплачено</t>
        </is>
      </c>
      <c r="I840" s="66" t="inlineStr">
        <is>
          <t>Ок</t>
        </is>
      </c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>
      <c r="A841" s="5" t="n"/>
      <c r="B841" s="40" t="n">
        <v>46055</v>
      </c>
      <c r="C841" s="73" t="n"/>
      <c r="D841" s="73" t="inlineStr">
        <is>
          <t>ЗП</t>
        </is>
      </c>
      <c r="E841" s="112" t="n"/>
      <c r="F841" s="73" t="n">
        <v>5174000</v>
      </c>
      <c r="G841" s="111">
        <f>E841+F841</f>
        <v/>
      </c>
      <c r="H841" s="73" t="inlineStr">
        <is>
          <t>Выплачено</t>
        </is>
      </c>
      <c r="I841" s="66" t="inlineStr">
        <is>
          <t>Ок</t>
        </is>
      </c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>
      <c r="A842" s="5" t="n"/>
      <c r="B842" s="40" t="n">
        <v>46055</v>
      </c>
      <c r="C842" s="73" t="inlineStr">
        <is>
          <t>ИП GLOBAL</t>
        </is>
      </c>
      <c r="D842" s="73" t="inlineStr">
        <is>
          <t>Обустройство слаботочных систем</t>
        </is>
      </c>
      <c r="E842" s="112" t="n">
        <v>200000</v>
      </c>
      <c r="F842" s="73" t="n"/>
      <c r="G842" s="111">
        <f>E842+F842</f>
        <v/>
      </c>
      <c r="H842" s="73" t="inlineStr">
        <is>
          <t>Выплачено</t>
        </is>
      </c>
      <c r="I842" s="66" t="inlineStr">
        <is>
          <t>Ок</t>
        </is>
      </c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>
      <c r="A843" s="5" t="n"/>
      <c r="B843" s="40" t="n">
        <v>46055</v>
      </c>
      <c r="C843" s="73" t="inlineStr">
        <is>
          <t>Кафе Софт KZ ТОО айко программа</t>
        </is>
      </c>
      <c r="D843" s="73" t="n"/>
      <c r="E843" s="112" t="n">
        <v>77360</v>
      </c>
      <c r="F843" s="73" t="n"/>
      <c r="G843" s="111">
        <f>E843+F843</f>
        <v/>
      </c>
      <c r="H843" s="73" t="inlineStr">
        <is>
          <t>Выплачено</t>
        </is>
      </c>
      <c r="I843" s="66" t="inlineStr">
        <is>
          <t>Ок</t>
        </is>
      </c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>
      <c r="A844" s="5" t="n"/>
      <c r="B844" s="40" t="n">
        <v>46055</v>
      </c>
      <c r="C844" s="73" t="inlineStr">
        <is>
          <t>Access Group ТОО интернет (NLS)</t>
        </is>
      </c>
      <c r="D844" s="73" t="n"/>
      <c r="E844" s="112" t="n">
        <v>82240</v>
      </c>
      <c r="F844" s="73" t="n"/>
      <c r="G844" s="111">
        <f>E844+F844</f>
        <v/>
      </c>
      <c r="H844" s="73" t="inlineStr">
        <is>
          <t>Выплачено</t>
        </is>
      </c>
      <c r="I844" s="66" t="inlineStr">
        <is>
          <t>Ок</t>
        </is>
      </c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>
      <c r="A845" s="5" t="n"/>
      <c r="B845" s="40" t="n">
        <v>46056</v>
      </c>
      <c r="C845" s="73" t="inlineStr">
        <is>
          <t>Вон С.</t>
        </is>
      </c>
      <c r="D845" s="73" t="inlineStr">
        <is>
          <t>Оплата поставщикам за сырье</t>
        </is>
      </c>
      <c r="E845" s="112" t="n">
        <v>16963315</v>
      </c>
      <c r="F845" s="73" t="n"/>
      <c r="G845" s="111">
        <f>E845+F845</f>
        <v/>
      </c>
      <c r="H845" s="73" t="inlineStr">
        <is>
          <t>Выплачено</t>
        </is>
      </c>
      <c r="I845" s="66" t="inlineStr">
        <is>
          <t>Ок</t>
        </is>
      </c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>
      <c r="A846" s="5" t="n"/>
      <c r="B846" s="40" t="n">
        <v>46056</v>
      </c>
      <c r="C846" s="73" t="inlineStr">
        <is>
          <t>Ли Станислав</t>
        </is>
      </c>
      <c r="D846" s="73" t="inlineStr">
        <is>
          <t>Подотчет сырье</t>
        </is>
      </c>
      <c r="E846" s="112" t="n"/>
      <c r="F846" s="73" t="n">
        <v>500000</v>
      </c>
      <c r="G846" s="111">
        <f>E846+F846</f>
        <v/>
      </c>
      <c r="H846" s="73" t="inlineStr">
        <is>
          <t>Выплачено</t>
        </is>
      </c>
      <c r="I846" s="66" t="inlineStr">
        <is>
          <t>Ок</t>
        </is>
      </c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>
      <c r="A847" s="5" t="n"/>
      <c r="B847" s="40" t="n">
        <v>46056</v>
      </c>
      <c r="C847" s="73" t="n"/>
      <c r="D847" s="73" t="inlineStr">
        <is>
          <t>вывоз мусора</t>
        </is>
      </c>
      <c r="E847" s="112" t="n">
        <v>720720</v>
      </c>
      <c r="F847" s="73" t="n"/>
      <c r="G847" s="111">
        <f>E847+F847</f>
        <v/>
      </c>
      <c r="H847" s="73" t="inlineStr">
        <is>
          <t>Выплачено</t>
        </is>
      </c>
      <c r="I847" s="66" t="inlineStr">
        <is>
          <t>Ок</t>
        </is>
      </c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>
      <c r="A848" s="5" t="n"/>
      <c r="B848" s="40" t="n">
        <v>46056</v>
      </c>
      <c r="C848" s="73" t="inlineStr">
        <is>
          <t>Маханов М.</t>
        </is>
      </c>
      <c r="D848" s="73" t="inlineStr">
        <is>
          <t>ГСМ Маханов по СЗ</t>
        </is>
      </c>
      <c r="E848" s="112" t="n"/>
      <c r="F848" s="73" t="n">
        <v>18073</v>
      </c>
      <c r="G848" s="111">
        <f>E848+F848</f>
        <v/>
      </c>
      <c r="H848" s="73" t="inlineStr">
        <is>
          <t>Выплачено</t>
        </is>
      </c>
      <c r="I848" s="66" t="inlineStr">
        <is>
          <t>Ок</t>
        </is>
      </c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>
      <c r="A849" s="5" t="n"/>
      <c r="B849" s="40" t="n">
        <v>46057</v>
      </c>
      <c r="C849" s="57" t="inlineStr">
        <is>
          <t>ИП "AMP Printology</t>
        </is>
      </c>
      <c r="D849" s="73" t="inlineStr">
        <is>
          <t>тонер, картридж</t>
        </is>
      </c>
      <c r="E849" s="112" t="n">
        <v>10000</v>
      </c>
      <c r="F849" s="73" t="n"/>
      <c r="G849" s="111">
        <f>E849+F849</f>
        <v/>
      </c>
      <c r="H849" s="73" t="inlineStr">
        <is>
          <t>Выплачено</t>
        </is>
      </c>
      <c r="I849" s="66" t="inlineStr">
        <is>
          <t>Ок</t>
        </is>
      </c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>
      <c r="A850" s="5" t="n"/>
      <c r="B850" s="40" t="n">
        <v>46057</v>
      </c>
      <c r="C850" s="57" t="inlineStr">
        <is>
          <t>ИП "AMP Printology</t>
        </is>
      </c>
      <c r="D850" s="73" t="inlineStr">
        <is>
          <t>тонер, картридж</t>
        </is>
      </c>
      <c r="E850" s="112" t="n">
        <v>25200</v>
      </c>
      <c r="F850" s="73" t="n"/>
      <c r="G850" s="111">
        <f>E850+F850</f>
        <v/>
      </c>
      <c r="H850" s="73" t="inlineStr">
        <is>
          <t>Выплачено</t>
        </is>
      </c>
      <c r="I850" s="66" t="inlineStr">
        <is>
          <t>Ок</t>
        </is>
      </c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>
      <c r="A851" s="5" t="n"/>
      <c r="B851" s="40" t="n">
        <v>46057</v>
      </c>
      <c r="C851" s="73" t="inlineStr">
        <is>
          <t>Ли Станислав</t>
        </is>
      </c>
      <c r="D851" s="73" t="inlineStr">
        <is>
          <t>Подотчет сырье</t>
        </is>
      </c>
      <c r="E851" s="112" t="n"/>
      <c r="F851" s="73" t="n">
        <v>500000</v>
      </c>
      <c r="G851" s="111">
        <f>E851+F851</f>
        <v/>
      </c>
      <c r="H851" s="73" t="inlineStr">
        <is>
          <t>Выплачено</t>
        </is>
      </c>
      <c r="I851" s="66" t="inlineStr">
        <is>
          <t>Ок</t>
        </is>
      </c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>
      <c r="A852" s="5" t="n"/>
      <c r="B852" s="40" t="n">
        <v>46057</v>
      </c>
      <c r="C852" s="57" t="inlineStr">
        <is>
          <t>Служба безопасности "НОРД-СБ</t>
        </is>
      </c>
      <c r="D852" s="73" t="n"/>
      <c r="E852" s="112" t="n">
        <v>4087110</v>
      </c>
      <c r="F852" s="73" t="n"/>
      <c r="G852" s="111">
        <f>E852+F852</f>
        <v/>
      </c>
      <c r="H852" s="73" t="inlineStr">
        <is>
          <t>Выплачено</t>
        </is>
      </c>
      <c r="I852" s="66" t="inlineStr">
        <is>
          <t>Ок</t>
        </is>
      </c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>
      <c r="A853" s="5" t="n"/>
      <c r="B853" s="40" t="n">
        <v>46057</v>
      </c>
      <c r="C853" s="73" t="inlineStr">
        <is>
          <t>Аяла</t>
        </is>
      </c>
      <c r="D853" s="73" t="inlineStr">
        <is>
          <t>творог</t>
        </is>
      </c>
      <c r="E853" s="112" t="n">
        <v>178500</v>
      </c>
      <c r="F853" s="73" t="n"/>
      <c r="G853" s="111">
        <f>E853+F853</f>
        <v/>
      </c>
      <c r="H853" s="73" t="inlineStr">
        <is>
          <t>Выплачено</t>
        </is>
      </c>
      <c r="I853" s="66" t="inlineStr">
        <is>
          <t>Ок</t>
        </is>
      </c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>
      <c r="A854" s="5" t="n"/>
      <c r="B854" s="40" t="n">
        <v>46057</v>
      </c>
      <c r="C854" s="73" t="inlineStr">
        <is>
          <t>Intellpack</t>
        </is>
      </c>
      <c r="D854" s="73" t="n"/>
      <c r="E854" s="112" t="n">
        <v>125070</v>
      </c>
      <c r="F854" s="73" t="n"/>
      <c r="G854" s="111">
        <f>E854+F854</f>
        <v/>
      </c>
      <c r="H854" s="73" t="inlineStr">
        <is>
          <t>Выплачено</t>
        </is>
      </c>
      <c r="I854" s="66" t="inlineStr">
        <is>
          <t>Ок</t>
        </is>
      </c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>
      <c r="A855" s="5" t="n"/>
      <c r="B855" s="40" t="n">
        <v>46057</v>
      </c>
      <c r="C855" s="73" t="inlineStr">
        <is>
          <t>Парус</t>
        </is>
      </c>
      <c r="D855" s="73" t="inlineStr">
        <is>
          <t>крышки</t>
        </is>
      </c>
      <c r="E855" s="112" t="n">
        <v>52010</v>
      </c>
      <c r="F855" s="73" t="n"/>
      <c r="G855" s="111">
        <f>E855+F855</f>
        <v/>
      </c>
      <c r="H855" s="73" t="inlineStr">
        <is>
          <t>Выплачено</t>
        </is>
      </c>
      <c r="I855" s="66" t="inlineStr">
        <is>
          <t>Ок</t>
        </is>
      </c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>
      <c r="A856" s="5" t="n"/>
      <c r="B856" s="40" t="n">
        <v>46057</v>
      </c>
      <c r="C856" s="57" t="inlineStr">
        <is>
          <t>ИП Succes</t>
        </is>
      </c>
      <c r="D856" s="57" t="inlineStr">
        <is>
          <t>овощи</t>
        </is>
      </c>
      <c r="E856" s="112" t="n">
        <v>4002075</v>
      </c>
      <c r="F856" s="73" t="n"/>
      <c r="G856" s="111">
        <f>E856+F856</f>
        <v/>
      </c>
      <c r="H856" s="73" t="inlineStr">
        <is>
          <t>Выплачено</t>
        </is>
      </c>
      <c r="I856" s="66" t="inlineStr">
        <is>
          <t>Ок</t>
        </is>
      </c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>
      <c r="A857" s="5" t="n"/>
      <c r="B857" s="40" t="n">
        <v>46057</v>
      </c>
      <c r="C857" s="73" t="inlineStr">
        <is>
          <t xml:space="preserve">Демьянов </t>
        </is>
      </c>
      <c r="D857" s="73" t="inlineStr">
        <is>
          <t>логистика по СЗ</t>
        </is>
      </c>
      <c r="E857" s="112" t="n">
        <v>1500000</v>
      </c>
      <c r="F857" s="73" t="n"/>
      <c r="G857" s="111">
        <f>E857+F857</f>
        <v/>
      </c>
      <c r="H857" s="73" t="inlineStr">
        <is>
          <t>Выплачено</t>
        </is>
      </c>
      <c r="I857" s="66" t="inlineStr">
        <is>
          <t>Ок</t>
        </is>
      </c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>
      <c r="A858" s="5" t="n"/>
      <c r="B858" s="40" t="n">
        <v>46057</v>
      </c>
      <c r="C858" s="57" t="inlineStr">
        <is>
          <t>Грин Хаус</t>
        </is>
      </c>
      <c r="D858" s="57" t="inlineStr">
        <is>
          <t>сливки</t>
        </is>
      </c>
      <c r="E858" s="112" t="n">
        <v>29862</v>
      </c>
      <c r="F858" s="73" t="n"/>
      <c r="G858" s="111">
        <f>E858+F858</f>
        <v/>
      </c>
      <c r="H858" s="73" t="inlineStr">
        <is>
          <t>Выплачено</t>
        </is>
      </c>
      <c r="I858" s="66" t="inlineStr">
        <is>
          <t>Ок</t>
        </is>
      </c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>
      <c r="A859" s="5" t="n"/>
      <c r="B859" s="40" t="n">
        <v>45693</v>
      </c>
      <c r="C859" s="57" t="inlineStr">
        <is>
          <t>ИП PRODVIG</t>
        </is>
      </c>
      <c r="D859" s="57" t="inlineStr">
        <is>
          <t>Лицензия</t>
        </is>
      </c>
      <c r="E859" s="112" t="n">
        <v>220400</v>
      </c>
      <c r="F859" s="73" t="n"/>
      <c r="G859" s="111">
        <f>E859+F859</f>
        <v/>
      </c>
      <c r="H859" s="73" t="inlineStr">
        <is>
          <t>Выплачено</t>
        </is>
      </c>
      <c r="I859" s="66" t="inlineStr">
        <is>
          <t>Ок</t>
        </is>
      </c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>
      <c r="A860" s="5" t="n"/>
      <c r="B860" s="40" t="n">
        <v>46058</v>
      </c>
      <c r="C860" s="73" t="inlineStr">
        <is>
          <t>Зарплата недельная</t>
        </is>
      </c>
      <c r="D860" s="73" t="inlineStr">
        <is>
          <t>Лагманщики</t>
        </is>
      </c>
      <c r="E860" s="112" t="n"/>
      <c r="F860" s="73" t="n">
        <v>400000</v>
      </c>
      <c r="G860" s="111">
        <f>E860+F860</f>
        <v/>
      </c>
      <c r="H860" s="73" t="inlineStr">
        <is>
          <t>Выплачено</t>
        </is>
      </c>
      <c r="I860" s="66" t="inlineStr">
        <is>
          <t>Ок</t>
        </is>
      </c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>
      <c r="A861" s="5" t="n"/>
      <c r="B861" s="40" t="n">
        <v>46058</v>
      </c>
      <c r="C861" s="73" t="inlineStr">
        <is>
          <t>Ли Станислав</t>
        </is>
      </c>
      <c r="D861" s="73" t="inlineStr">
        <is>
          <t>Подотчет сырье</t>
        </is>
      </c>
      <c r="E861" s="112" t="n"/>
      <c r="F861" s="73" t="n">
        <v>600000</v>
      </c>
      <c r="G861" s="111">
        <f>E861+F861</f>
        <v/>
      </c>
      <c r="H861" s="73" t="inlineStr">
        <is>
          <t>Выплачено</t>
        </is>
      </c>
      <c r="I861" s="66" t="inlineStr">
        <is>
          <t>Ок</t>
        </is>
      </c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>
      <c r="A862" s="5" t="n"/>
      <c r="B862" s="40" t="n">
        <v>46058</v>
      </c>
      <c r="C862" s="73" t="inlineStr">
        <is>
          <t>Вон С</t>
        </is>
      </c>
      <c r="D862" s="73" t="inlineStr">
        <is>
          <t xml:space="preserve">на закуп </t>
        </is>
      </c>
      <c r="E862" s="112" t="n"/>
      <c r="F862" s="73" t="n">
        <v>300000</v>
      </c>
      <c r="G862" s="111">
        <f>E862+F862</f>
        <v/>
      </c>
      <c r="H862" s="73" t="inlineStr">
        <is>
          <t>Выплачено</t>
        </is>
      </c>
      <c r="I862" s="66" t="inlineStr">
        <is>
          <t>Ок</t>
        </is>
      </c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>
      <c r="A863" s="5" t="n"/>
      <c r="B863" s="40" t="n">
        <v>46058</v>
      </c>
      <c r="C863" s="127" t="inlineStr">
        <is>
          <t>"Фудтехника"</t>
        </is>
      </c>
      <c r="D863" s="128" t="inlineStr">
        <is>
          <t>Закваска активная "Proson Rustic"</t>
        </is>
      </c>
      <c r="E863" s="112" t="n">
        <v>350000</v>
      </c>
      <c r="F863" s="73" t="n"/>
      <c r="G863" s="111">
        <f>E863+F863</f>
        <v/>
      </c>
      <c r="H863" s="73" t="inlineStr">
        <is>
          <t>Выплачено</t>
        </is>
      </c>
      <c r="I863" s="66" t="inlineStr">
        <is>
          <t>Ок</t>
        </is>
      </c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>
      <c r="A864" s="5" t="n"/>
      <c r="B864" s="40" t="n">
        <v>46058</v>
      </c>
      <c r="C864" s="73" t="inlineStr">
        <is>
          <t>Рэд Тим</t>
        </is>
      </c>
      <c r="D864" s="73" t="inlineStr">
        <is>
          <t>напитки ч/з "На районе"</t>
        </is>
      </c>
      <c r="E864" s="112" t="n"/>
      <c r="F864" s="73" t="n">
        <v>356712</v>
      </c>
      <c r="G864" s="111">
        <f>E864+F864</f>
        <v/>
      </c>
      <c r="H864" s="73" t="inlineStr">
        <is>
          <t>Выплачено</t>
        </is>
      </c>
      <c r="I864" s="66" t="inlineStr">
        <is>
          <t>Ок</t>
        </is>
      </c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>
      <c r="A865" s="5" t="n"/>
      <c r="B865" s="40" t="n">
        <v>46058</v>
      </c>
      <c r="C865" s="73" t="inlineStr">
        <is>
          <t>Халал Даму</t>
        </is>
      </c>
      <c r="D865" s="73" t="inlineStr">
        <is>
          <t>услуги по сертификации продукции</t>
        </is>
      </c>
      <c r="E865" s="112" t="n">
        <v>50000</v>
      </c>
      <c r="F865" s="73" t="n"/>
      <c r="G865" s="111">
        <f>E865+F865</f>
        <v/>
      </c>
      <c r="H865" s="73" t="inlineStr">
        <is>
          <t>Выплачено</t>
        </is>
      </c>
      <c r="I865" s="66" t="inlineStr">
        <is>
          <t>Ок</t>
        </is>
      </c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>
      <c r="A866" s="5" t="n"/>
      <c r="B866" s="40" t="n">
        <v>46059</v>
      </c>
      <c r="C866" s="73" t="inlineStr">
        <is>
          <t>Вон С.</t>
        </is>
      </c>
      <c r="D866" s="73" t="inlineStr">
        <is>
          <t>Оплата поставщикам за сырье</t>
        </is>
      </c>
      <c r="E866" s="112" t="n">
        <v>15968425</v>
      </c>
      <c r="F866" s="73" t="n"/>
      <c r="G866" s="111">
        <f>E866+F866</f>
        <v/>
      </c>
      <c r="H866" s="73" t="inlineStr">
        <is>
          <t>Выплачено</t>
        </is>
      </c>
      <c r="I866" s="66" t="inlineStr">
        <is>
          <t>Ок</t>
        </is>
      </c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>
      <c r="A867" s="5" t="n"/>
      <c r="B867" s="40" t="n">
        <v>46059</v>
      </c>
      <c r="C867" s="73" t="inlineStr">
        <is>
          <t>Ли Станислав</t>
        </is>
      </c>
      <c r="D867" s="73" t="inlineStr">
        <is>
          <t>Подотчет сырье</t>
        </is>
      </c>
      <c r="E867" s="112" t="n"/>
      <c r="F867" s="73" t="n">
        <v>500000</v>
      </c>
      <c r="G867" s="111">
        <f>E867+F867</f>
        <v/>
      </c>
      <c r="H867" s="73" t="inlineStr">
        <is>
          <t>Выплачено</t>
        </is>
      </c>
      <c r="I867" s="66" t="inlineStr">
        <is>
          <t>Ок</t>
        </is>
      </c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>
      <c r="A868" s="5" t="n"/>
      <c r="B868" s="40" t="n">
        <v>46059</v>
      </c>
      <c r="C868" s="73" t="inlineStr">
        <is>
          <t>увольнный</t>
        </is>
      </c>
      <c r="D868" s="73" t="n"/>
      <c r="E868" s="112" t="n"/>
      <c r="F868" s="73" t="n">
        <v>1484561</v>
      </c>
      <c r="G868" s="111">
        <f>E868+F868</f>
        <v/>
      </c>
      <c r="H868" s="73" t="inlineStr">
        <is>
          <t>Выплачено</t>
        </is>
      </c>
      <c r="I868" s="66" t="inlineStr">
        <is>
          <t>Ок</t>
        </is>
      </c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>
      <c r="A869" s="5" t="n"/>
      <c r="B869" s="40" t="n">
        <v>46059</v>
      </c>
      <c r="C869" s="73" t="inlineStr">
        <is>
          <t>ИП PRODVIG</t>
        </is>
      </c>
      <c r="D869" s="73" t="inlineStr">
        <is>
          <t>Лицензия</t>
        </is>
      </c>
      <c r="E869" s="112" t="n">
        <v>40600</v>
      </c>
      <c r="F869" s="73" t="n"/>
      <c r="G869" s="111">
        <f>E869+F869</f>
        <v/>
      </c>
      <c r="H869" s="73" t="inlineStr">
        <is>
          <t>Выплачено</t>
        </is>
      </c>
      <c r="I869" s="66" t="inlineStr">
        <is>
          <t>Ок</t>
        </is>
      </c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>
      <c r="A870" s="5" t="n"/>
      <c r="B870" s="40" t="n">
        <v>46062</v>
      </c>
      <c r="C870" s="73" t="inlineStr">
        <is>
          <t>Калдыбаевой</t>
        </is>
      </c>
      <c r="D870" s="73" t="inlineStr">
        <is>
          <t xml:space="preserve">ЧП выдавали  13.02.2026 </t>
        </is>
      </c>
      <c r="E870" s="112" t="n"/>
      <c r="F870" s="73" t="n">
        <v>1050000</v>
      </c>
      <c r="G870" s="111">
        <f>E870+F870</f>
        <v/>
      </c>
      <c r="H870" s="73" t="inlineStr">
        <is>
          <t>Выплачено</t>
        </is>
      </c>
      <c r="I870" s="66" t="inlineStr">
        <is>
          <t>Ок</t>
        </is>
      </c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>
      <c r="A871" s="5" t="n"/>
      <c r="B871" s="40" t="n">
        <v>46062</v>
      </c>
      <c r="C871" s="73" t="inlineStr">
        <is>
          <t>Ахмерова ИП</t>
        </is>
      </c>
      <c r="D871" s="73" t="inlineStr">
        <is>
          <t>ПЭТ бутылки</t>
        </is>
      </c>
      <c r="E871" s="112" t="n">
        <v>55080</v>
      </c>
      <c r="F871" s="73" t="n"/>
      <c r="G871" s="111">
        <f>E871+F871</f>
        <v/>
      </c>
      <c r="H871" s="73" t="inlineStr">
        <is>
          <t>Выплачено</t>
        </is>
      </c>
      <c r="I871" s="66" t="inlineStr">
        <is>
          <t>Ок</t>
        </is>
      </c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>
      <c r="A872" s="5" t="n"/>
      <c r="B872" s="40" t="n">
        <v>46062</v>
      </c>
      <c r="C872" s="73" t="inlineStr">
        <is>
          <t>TGR Company</t>
        </is>
      </c>
      <c r="D872" s="73" t="inlineStr">
        <is>
          <t>крышка, фольга</t>
        </is>
      </c>
      <c r="E872" s="112" t="n">
        <v>70350</v>
      </c>
      <c r="F872" s="73" t="n"/>
      <c r="G872" s="111">
        <f>E872+F872</f>
        <v/>
      </c>
      <c r="H872" s="73" t="inlineStr">
        <is>
          <t>Выплачено</t>
        </is>
      </c>
      <c r="I872" s="66" t="inlineStr">
        <is>
          <t>Ок</t>
        </is>
      </c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>
      <c r="A873" s="5" t="n"/>
      <c r="B873" s="40" t="n">
        <v>46062</v>
      </c>
      <c r="C873" s="129" t="inlineStr">
        <is>
          <t>"Фортресс</t>
        </is>
      </c>
      <c r="D873" s="73" t="inlineStr">
        <is>
          <t>коробка предоплата 50%</t>
        </is>
      </c>
      <c r="E873" s="112" t="n">
        <v>200000</v>
      </c>
      <c r="F873" s="73" t="n"/>
      <c r="G873" s="111">
        <f>E873+F873</f>
        <v/>
      </c>
      <c r="H873" s="73" t="inlineStr">
        <is>
          <t>Выплачено</t>
        </is>
      </c>
      <c r="I873" s="66" t="inlineStr">
        <is>
          <t>Ок</t>
        </is>
      </c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>
      <c r="A874" s="5" t="n"/>
      <c r="B874" s="40" t="n">
        <v>46062</v>
      </c>
      <c r="C874" s="130" t="inlineStr">
        <is>
          <t>Орими Са</t>
        </is>
      </c>
      <c r="D874" s="73" t="inlineStr">
        <is>
          <t>чай</t>
        </is>
      </c>
      <c r="E874" s="112" t="n">
        <v>224224</v>
      </c>
      <c r="F874" s="73" t="n"/>
      <c r="G874" s="111">
        <f>E874+F874</f>
        <v/>
      </c>
      <c r="H874" s="73" t="inlineStr">
        <is>
          <t>Выплачено</t>
        </is>
      </c>
      <c r="I874" s="66" t="inlineStr">
        <is>
          <t>Ок</t>
        </is>
      </c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>
      <c r="A875" s="5" t="n"/>
      <c r="B875" s="40" t="n">
        <v>46062</v>
      </c>
      <c r="C875" s="131" t="inlineStr">
        <is>
          <t>ТОО "KARAVAN (КАРАВАН)</t>
        </is>
      </c>
      <c r="D875" s="73" t="inlineStr">
        <is>
          <t>сухарики</t>
        </is>
      </c>
      <c r="E875" s="112" t="n">
        <v>14496</v>
      </c>
      <c r="F875" s="73" t="n"/>
      <c r="G875" s="111">
        <f>E875+F875</f>
        <v/>
      </c>
      <c r="H875" s="73" t="inlineStr">
        <is>
          <t>Выплачено</t>
        </is>
      </c>
      <c r="I875" s="66" t="inlineStr">
        <is>
          <t>Ок</t>
        </is>
      </c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>
      <c r="A876" s="5" t="n"/>
      <c r="B876" s="40" t="n">
        <v>46062</v>
      </c>
      <c r="C876" s="746" t="inlineStr">
        <is>
          <t>"Public Health Inspection"</t>
        </is>
      </c>
      <c r="D876" s="73" t="inlineStr">
        <is>
          <t>микробиолог.исследование 1 блюда</t>
        </is>
      </c>
      <c r="E876" s="112" t="n">
        <v>12800</v>
      </c>
      <c r="F876" s="73" t="n"/>
      <c r="G876" s="111">
        <f>E876+F876</f>
        <v/>
      </c>
      <c r="H876" s="73" t="inlineStr">
        <is>
          <t>Выплачено</t>
        </is>
      </c>
      <c r="I876" s="66" t="inlineStr">
        <is>
          <t>Ок</t>
        </is>
      </c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>
      <c r="A877" s="5" t="n"/>
      <c r="B877" s="40" t="n">
        <v>46062</v>
      </c>
      <c r="C877" s="746" t="inlineStr">
        <is>
          <t>Lift Market (Лифт Маркет)"</t>
        </is>
      </c>
      <c r="D877" s="73" t="inlineStr">
        <is>
          <t>за работы согласно АВР</t>
        </is>
      </c>
      <c r="E877" s="112" t="n">
        <v>645000</v>
      </c>
      <c r="F877" s="73" t="n"/>
      <c r="G877" s="111">
        <f>E877+F877</f>
        <v/>
      </c>
      <c r="H877" s="73" t="inlineStr">
        <is>
          <t>Выплачено</t>
        </is>
      </c>
      <c r="I877" s="66" t="inlineStr">
        <is>
          <t>Ок</t>
        </is>
      </c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>
      <c r="A878" s="5" t="n"/>
      <c r="B878" s="40" t="n">
        <v>46062</v>
      </c>
      <c r="C878" s="746" t="inlineStr">
        <is>
          <t>YдND сомPANY",</t>
        </is>
      </c>
      <c r="D878" s="73" t="inlineStr">
        <is>
          <t>дератизация</t>
        </is>
      </c>
      <c r="E878" s="112" t="n">
        <v>139000</v>
      </c>
      <c r="F878" s="73" t="n"/>
      <c r="G878" s="111">
        <f>E878+F878</f>
        <v/>
      </c>
      <c r="H878" s="73" t="inlineStr">
        <is>
          <t>Выплачено</t>
        </is>
      </c>
      <c r="I878" s="66" t="inlineStr">
        <is>
          <t>Ок</t>
        </is>
      </c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>
      <c r="A879" s="5" t="n"/>
      <c r="B879" s="40" t="n">
        <v>46062</v>
      </c>
      <c r="C879" s="73" t="n"/>
      <c r="D879" s="73" t="inlineStr">
        <is>
          <t>ЗП на карты</t>
        </is>
      </c>
      <c r="E879" s="112" t="n">
        <v>14636253</v>
      </c>
      <c r="F879" s="73" t="n"/>
      <c r="G879" s="111">
        <f>E879+F879</f>
        <v/>
      </c>
      <c r="H879" s="73" t="inlineStr">
        <is>
          <t>Выплачено</t>
        </is>
      </c>
      <c r="I879" s="66" t="inlineStr">
        <is>
          <t>Ок</t>
        </is>
      </c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>
      <c r="A880" s="5" t="n"/>
      <c r="B880" s="40" t="n">
        <v>46063</v>
      </c>
      <c r="C880" s="73" t="inlineStr">
        <is>
          <t>Вон С.</t>
        </is>
      </c>
      <c r="D880" s="73" t="inlineStr">
        <is>
          <t>Оплата поставщикам за сырье</t>
        </is>
      </c>
      <c r="E880" s="112" t="n">
        <v>11979264</v>
      </c>
      <c r="F880" s="73" t="n"/>
      <c r="G880" s="111">
        <f>E880+F880</f>
        <v/>
      </c>
      <c r="H880" s="73" t="inlineStr">
        <is>
          <t>Выплачено</t>
        </is>
      </c>
      <c r="I880" s="66" t="inlineStr">
        <is>
          <t>Ок</t>
        </is>
      </c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>
      <c r="A881" s="5" t="n"/>
      <c r="B881" s="40" t="n">
        <v>46063</v>
      </c>
      <c r="C881" s="73" t="inlineStr">
        <is>
          <t>Ли Станислав</t>
        </is>
      </c>
      <c r="D881" s="73" t="inlineStr">
        <is>
          <t>Подотчет сырье</t>
        </is>
      </c>
      <c r="E881" s="112" t="n"/>
      <c r="F881" s="73" t="n">
        <v>500000</v>
      </c>
      <c r="G881" s="111">
        <f>E881+F881</f>
        <v/>
      </c>
      <c r="H881" s="73" t="inlineStr">
        <is>
          <t>Отложено</t>
        </is>
      </c>
      <c r="I881" s="66" t="inlineStr">
        <is>
          <t>Ок</t>
        </is>
      </c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>
      <c r="A882" s="5" t="n"/>
      <c r="B882" s="40" t="n">
        <v>46064</v>
      </c>
      <c r="C882" s="119" t="inlineStr">
        <is>
          <t>"YANS" (ЯНС)</t>
        </is>
      </c>
      <c r="D882" s="73" t="inlineStr">
        <is>
          <t>деревян.вилка</t>
        </is>
      </c>
      <c r="E882" s="112" t="n">
        <v>110000</v>
      </c>
      <c r="F882" s="73" t="n"/>
      <c r="G882" s="111">
        <f>E882+F882</f>
        <v/>
      </c>
      <c r="H882" s="73" t="inlineStr">
        <is>
          <t>Выплачено</t>
        </is>
      </c>
      <c r="I882" s="66" t="inlineStr">
        <is>
          <t>Ок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>
      <c r="A883" s="5" t="n"/>
      <c r="B883" s="40" t="n">
        <v>46064</v>
      </c>
      <c r="C883" s="73" t="inlineStr">
        <is>
          <t>ИП Крафт</t>
        </is>
      </c>
      <c r="D883" s="73" t="inlineStr">
        <is>
          <t>балаклава</t>
        </is>
      </c>
      <c r="E883" s="112" t="n">
        <v>132000</v>
      </c>
      <c r="F883" s="73" t="n"/>
      <c r="G883" s="111">
        <f>E883+F883</f>
        <v/>
      </c>
      <c r="H883" s="73" t="inlineStr">
        <is>
          <t>Выплачено</t>
        </is>
      </c>
      <c r="I883" s="66" t="inlineStr">
        <is>
          <t>Ок</t>
        </is>
      </c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>
      <c r="A884" s="5" t="n"/>
      <c r="B884" s="40" t="n">
        <v>46064</v>
      </c>
      <c r="C884" s="73" t="inlineStr">
        <is>
          <t>Вон С.</t>
        </is>
      </c>
      <c r="D884" s="73" t="inlineStr">
        <is>
          <t>Оплата поставщикам за сырье</t>
        </is>
      </c>
      <c r="E884" s="112" t="n">
        <v>2350000</v>
      </c>
      <c r="F884" s="73" t="n"/>
      <c r="G884" s="111">
        <f>E884+F884</f>
        <v/>
      </c>
      <c r="H884" s="73" t="inlineStr">
        <is>
          <t>Выплачено</t>
        </is>
      </c>
      <c r="I884" s="66" t="inlineStr">
        <is>
          <t>Ок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>
      <c r="A885" s="5" t="n"/>
      <c r="B885" s="40" t="n">
        <v>46064</v>
      </c>
      <c r="C885" s="73" t="n"/>
      <c r="D885" s="73" t="inlineStr">
        <is>
          <t>Бонус Тоймарт за янв.26</t>
        </is>
      </c>
      <c r="E885" s="112" t="n"/>
      <c r="F885" s="73" t="n">
        <v>366541</v>
      </c>
      <c r="G885" s="111">
        <f>E885+F885</f>
        <v/>
      </c>
      <c r="H885" s="73" t="inlineStr">
        <is>
          <t>Выплачено</t>
        </is>
      </c>
      <c r="I885" s="66" t="inlineStr">
        <is>
          <t>Ок</t>
        </is>
      </c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>
      <c r="A886" s="5" t="n"/>
      <c r="B886" s="40" t="n">
        <v>46064</v>
      </c>
      <c r="C886" s="73" t="inlineStr">
        <is>
          <t>Ли Станислав</t>
        </is>
      </c>
      <c r="D886" s="73" t="inlineStr">
        <is>
          <t>Подотчет сырье (за 10.02.   и 11.02)</t>
        </is>
      </c>
      <c r="E886" s="112" t="n"/>
      <c r="F886" s="73" t="n">
        <v>1000000</v>
      </c>
      <c r="G886" s="111">
        <f>E886+F886</f>
        <v/>
      </c>
      <c r="H886" s="73" t="inlineStr">
        <is>
          <t>Выплачено</t>
        </is>
      </c>
      <c r="I886" s="66" t="inlineStr">
        <is>
          <t>Ок</t>
        </is>
      </c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>
      <c r="A887" s="5" t="n"/>
      <c r="B887" s="40" t="n">
        <v>46064</v>
      </c>
      <c r="C887" s="73" t="inlineStr">
        <is>
          <t>Шымкентмай</t>
        </is>
      </c>
      <c r="D887" s="73" t="inlineStr">
        <is>
          <t>масло подсолнечное</t>
        </is>
      </c>
      <c r="E887" s="112" t="n">
        <v>446400</v>
      </c>
      <c r="F887" s="73" t="n"/>
      <c r="G887" s="111">
        <f>E887+F887</f>
        <v/>
      </c>
      <c r="H887" s="73" t="inlineStr">
        <is>
          <t>Выплачено</t>
        </is>
      </c>
      <c r="I887" s="66" t="inlineStr">
        <is>
          <t>Ок</t>
        </is>
      </c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>
      <c r="A888" s="5" t="n"/>
      <c r="B888" s="40" t="n">
        <v>46065</v>
      </c>
      <c r="C888" s="73" t="inlineStr">
        <is>
          <t>Ли Станислав</t>
        </is>
      </c>
      <c r="D888" s="73" t="inlineStr">
        <is>
          <t xml:space="preserve">Подотчет сырье </t>
        </is>
      </c>
      <c r="E888" s="112" t="n"/>
      <c r="F888" s="73" t="n"/>
      <c r="G888" s="111">
        <f>E888+F888</f>
        <v/>
      </c>
      <c r="H888" s="73" t="inlineStr">
        <is>
          <t>Отложено</t>
        </is>
      </c>
      <c r="I888" s="66" t="inlineStr">
        <is>
          <t>Ок</t>
        </is>
      </c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>
      <c r="A889" s="5" t="n"/>
      <c r="B889" s="40" t="n">
        <v>46065</v>
      </c>
      <c r="C889" s="73" t="inlineStr">
        <is>
          <t>Зарплата недельная</t>
        </is>
      </c>
      <c r="D889" s="73" t="inlineStr">
        <is>
          <t>Лагманщики</t>
        </is>
      </c>
      <c r="E889" s="112" t="n"/>
      <c r="F889" s="73" t="n">
        <v>306000</v>
      </c>
      <c r="G889" s="111">
        <f>E889+F889</f>
        <v/>
      </c>
      <c r="H889" s="73" t="inlineStr">
        <is>
          <t>К оплате</t>
        </is>
      </c>
      <c r="I889" s="66" t="inlineStr">
        <is>
          <t>Ок</t>
        </is>
      </c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>
      <c r="A890" s="5" t="n"/>
      <c r="B890" s="40" t="n">
        <v>46065</v>
      </c>
      <c r="C890" s="73" t="inlineStr">
        <is>
          <t>Парус</t>
        </is>
      </c>
      <c r="D890" s="73" t="inlineStr">
        <is>
          <t>коробки</t>
        </is>
      </c>
      <c r="E890" s="112" t="n">
        <v>16500</v>
      </c>
      <c r="F890" s="73" t="n"/>
      <c r="G890" s="111">
        <f>E890+F890</f>
        <v/>
      </c>
      <c r="H890" s="73" t="inlineStr">
        <is>
          <t>Выплачено</t>
        </is>
      </c>
      <c r="I890" s="66" t="inlineStr">
        <is>
          <t>Ок</t>
        </is>
      </c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>
      <c r="A891" s="5" t="n"/>
      <c r="B891" s="40" t="n">
        <v>46065</v>
      </c>
      <c r="C891" s="73" t="n"/>
      <c r="D891" s="73" t="inlineStr">
        <is>
          <t>Оплата по исполнит.листам</t>
        </is>
      </c>
      <c r="E891" s="112" t="n">
        <v>800000</v>
      </c>
      <c r="F891" s="73" t="n"/>
      <c r="G891" s="111">
        <f>E891+F891</f>
        <v/>
      </c>
      <c r="H891" s="73" t="inlineStr">
        <is>
          <t>Выплачено</t>
        </is>
      </c>
      <c r="I891" s="66" t="inlineStr">
        <is>
          <t>Ок</t>
        </is>
      </c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>
      <c r="A892" s="5" t="n"/>
      <c r="B892" s="40" t="n">
        <v>46065</v>
      </c>
      <c r="C892" s="113" t="inlineStr">
        <is>
          <t>КазEвроСпецСнаб</t>
        </is>
      </c>
      <c r="D892" s="128" t="inlineStr">
        <is>
          <t>Комплексная пищевая добавка</t>
        </is>
      </c>
      <c r="E892" s="112" t="n">
        <v>139000</v>
      </c>
      <c r="F892" s="73" t="n"/>
      <c r="G892" s="111">
        <f>E892+F892</f>
        <v/>
      </c>
      <c r="H892" s="73" t="inlineStr">
        <is>
          <t>Выплачено</t>
        </is>
      </c>
      <c r="I892" s="66" t="inlineStr">
        <is>
          <t>Ок</t>
        </is>
      </c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>
      <c r="A893" s="5" t="n"/>
      <c r="B893" s="40" t="n">
        <v>46065</v>
      </c>
      <c r="C893" s="73" t="inlineStr">
        <is>
          <t>Имак Фуд</t>
        </is>
      </c>
      <c r="D893" s="73" t="inlineStr">
        <is>
          <t>крахмальная патока</t>
        </is>
      </c>
      <c r="E893" s="112" t="n">
        <v>21000</v>
      </c>
      <c r="F893" s="73" t="n"/>
      <c r="G893" s="111">
        <f>E893+F893</f>
        <v/>
      </c>
      <c r="H893" s="73" t="inlineStr">
        <is>
          <t>Отложено</t>
        </is>
      </c>
      <c r="I893" s="66" t="inlineStr">
        <is>
          <t>Ок</t>
        </is>
      </c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>
      <c r="A894" s="5" t="n"/>
      <c r="B894" s="40" t="n">
        <v>46066</v>
      </c>
      <c r="C894" s="73" t="inlineStr">
        <is>
          <t>Ли Станислав</t>
        </is>
      </c>
      <c r="D894" s="73" t="inlineStr">
        <is>
          <t xml:space="preserve">Подотчет сырье </t>
        </is>
      </c>
      <c r="E894" s="112" t="n"/>
      <c r="F894" s="73" t="n">
        <v>600000</v>
      </c>
      <c r="G894" s="111">
        <f>E894+F894</f>
        <v/>
      </c>
      <c r="H894" s="73" t="inlineStr">
        <is>
          <t>Выплачено</t>
        </is>
      </c>
      <c r="I894" s="66" t="inlineStr">
        <is>
          <t>Ок</t>
        </is>
      </c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>
      <c r="A895" s="5" t="n"/>
      <c r="B895" s="40" t="n">
        <v>46066</v>
      </c>
      <c r="C895" s="73" t="inlineStr">
        <is>
          <t>Вон С.</t>
        </is>
      </c>
      <c r="D895" s="73" t="inlineStr">
        <is>
          <t>Оплата поставщикам за сырье</t>
        </is>
      </c>
      <c r="E895" s="112" t="n">
        <v>17112637</v>
      </c>
      <c r="F895" s="73" t="n"/>
      <c r="G895" s="111">
        <f>E895+F895</f>
        <v/>
      </c>
      <c r="H895" s="73" t="inlineStr">
        <is>
          <t>Выплачено</t>
        </is>
      </c>
      <c r="I895" s="66" t="inlineStr">
        <is>
          <t>Ок</t>
        </is>
      </c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>
      <c r="A896" s="5" t="n"/>
      <c r="B896" s="40" t="n">
        <v>46066</v>
      </c>
      <c r="C896" s="73" t="n"/>
      <c r="D896" s="73" t="inlineStr">
        <is>
          <t>Уволенные расчет и ЗП Вон С</t>
        </is>
      </c>
      <c r="E896" s="112" t="n"/>
      <c r="F896" s="73" t="n">
        <v>2227599</v>
      </c>
      <c r="G896" s="111">
        <f>E896+F896</f>
        <v/>
      </c>
      <c r="H896" s="73" t="inlineStr">
        <is>
          <t>Выплачено</t>
        </is>
      </c>
      <c r="I896" s="66" t="inlineStr">
        <is>
          <t>Ок</t>
        </is>
      </c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>
      <c r="A897" s="5" t="n"/>
      <c r="B897" s="40" t="n">
        <v>46066</v>
      </c>
      <c r="C897" s="73" t="inlineStr">
        <is>
          <t>Вон С.</t>
        </is>
      </c>
      <c r="D897" s="73" t="inlineStr">
        <is>
          <t>Оплата поставщикам за сырье</t>
        </is>
      </c>
      <c r="E897" s="112" t="n">
        <v>9905400</v>
      </c>
      <c r="F897" s="73" t="n"/>
      <c r="G897" s="111">
        <f>E897+F897</f>
        <v/>
      </c>
      <c r="H897" s="73" t="inlineStr">
        <is>
          <t>Выплачено</t>
        </is>
      </c>
      <c r="I897" s="66" t="inlineStr">
        <is>
          <t>Ок</t>
        </is>
      </c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>
      <c r="A898" s="5" t="n"/>
      <c r="B898" s="40" t="n">
        <v>46069</v>
      </c>
      <c r="C898" s="73" t="inlineStr">
        <is>
          <t>Маханов М.</t>
        </is>
      </c>
      <c r="D898" s="73" t="inlineStr">
        <is>
          <t>Оплата поставщикам за сырье</t>
        </is>
      </c>
      <c r="E898" s="112" t="n">
        <v>3002319</v>
      </c>
      <c r="F898" s="73" t="n"/>
      <c r="G898" s="111">
        <f>E898+F898</f>
        <v/>
      </c>
      <c r="H898" s="73" t="inlineStr">
        <is>
          <t>Выплачено</t>
        </is>
      </c>
      <c r="I898" s="66" t="inlineStr">
        <is>
          <t>Ок</t>
        </is>
      </c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>
      <c r="A899" s="5" t="n"/>
      <c r="B899" s="40" t="n">
        <v>46069</v>
      </c>
      <c r="C899" s="73" t="inlineStr">
        <is>
          <t>Маханов М.</t>
        </is>
      </c>
      <c r="D899" s="73" t="inlineStr">
        <is>
          <t>Оплата поставщикам за сырье(овощники)</t>
        </is>
      </c>
      <c r="E899" s="112" t="n">
        <v>7018433</v>
      </c>
      <c r="F899" s="73" t="n"/>
      <c r="G899" s="111">
        <f>E899+F899</f>
        <v/>
      </c>
      <c r="H899" s="73" t="inlineStr">
        <is>
          <t>Выплачено</t>
        </is>
      </c>
      <c r="I899" s="66" t="inlineStr">
        <is>
          <t>Ок</t>
        </is>
      </c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>
      <c r="A900" s="5" t="n"/>
      <c r="B900" s="40" t="n">
        <v>46069</v>
      </c>
      <c r="C900" s="73" t="inlineStr">
        <is>
          <t>Ли Станислав</t>
        </is>
      </c>
      <c r="D900" s="73" t="inlineStr">
        <is>
          <t xml:space="preserve">Подотчет сырье </t>
        </is>
      </c>
      <c r="E900" s="112" t="n"/>
      <c r="F900" s="73" t="n">
        <v>500000</v>
      </c>
      <c r="G900" s="111">
        <f>E900+F900</f>
        <v/>
      </c>
      <c r="H900" s="73" t="inlineStr">
        <is>
          <t>Выплачено</t>
        </is>
      </c>
      <c r="I900" s="66" t="inlineStr">
        <is>
          <t>Ок</t>
        </is>
      </c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>
      <c r="A901" s="5" t="n"/>
      <c r="B901" s="40" t="n">
        <v>46069</v>
      </c>
      <c r="C901" s="113" t="inlineStr">
        <is>
          <t>КапиталПрофСнаб</t>
        </is>
      </c>
      <c r="D901" s="73" t="inlineStr">
        <is>
          <t>салфетки диспенсерные</t>
        </is>
      </c>
      <c r="E901" s="112" t="n">
        <v>70000</v>
      </c>
      <c r="F901" s="73" t="n"/>
      <c r="G901" s="111">
        <f>E901+F901</f>
        <v/>
      </c>
      <c r="H901" s="73" t="inlineStr">
        <is>
          <t>Выплачено</t>
        </is>
      </c>
      <c r="I901" s="66" t="inlineStr">
        <is>
          <t>Ок</t>
        </is>
      </c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>
      <c r="A902" s="5" t="n"/>
      <c r="B902" s="40" t="n">
        <v>46069</v>
      </c>
      <c r="C902" s="73" t="inlineStr">
        <is>
          <t>ВМ Логистик</t>
        </is>
      </c>
      <c r="D902" s="73" t="inlineStr">
        <is>
          <t>смесь для фарша</t>
        </is>
      </c>
      <c r="E902" s="112" t="n">
        <v>368160</v>
      </c>
      <c r="F902" s="73" t="n"/>
      <c r="G902" s="111">
        <f>E902+F902</f>
        <v/>
      </c>
      <c r="H902" s="73" t="inlineStr">
        <is>
          <t>Выплачено</t>
        </is>
      </c>
      <c r="I902" s="66" t="inlineStr">
        <is>
          <t>Ок</t>
        </is>
      </c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>
      <c r="A903" s="5" t="n"/>
      <c r="B903" s="40" t="n">
        <v>46069</v>
      </c>
      <c r="C903" s="73" t="inlineStr">
        <is>
          <t>Лейму Казахстан</t>
        </is>
      </c>
      <c r="D903" s="73" t="inlineStr">
        <is>
          <t>мука, семена льна</t>
        </is>
      </c>
      <c r="E903" s="112" t="n">
        <v>228800</v>
      </c>
      <c r="F903" s="73" t="n"/>
      <c r="G903" s="111">
        <f>E903+F903</f>
        <v/>
      </c>
      <c r="H903" s="73" t="inlineStr">
        <is>
          <t>Выплачено</t>
        </is>
      </c>
      <c r="I903" s="66" t="inlineStr">
        <is>
          <t>Ок</t>
        </is>
      </c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>
      <c r="A904" s="5" t="n"/>
      <c r="B904" s="40" t="n">
        <v>46069</v>
      </c>
      <c r="C904" s="73" t="inlineStr">
        <is>
          <t>Champello ТОО</t>
        </is>
      </c>
      <c r="D904" s="73" t="inlineStr">
        <is>
          <t>грибы</t>
        </is>
      </c>
      <c r="E904" s="112" t="n">
        <v>545280</v>
      </c>
      <c r="F904" s="73" t="n"/>
      <c r="G904" s="111">
        <f>E904+F904</f>
        <v/>
      </c>
      <c r="H904" s="73" t="inlineStr">
        <is>
          <t>Выплачено</t>
        </is>
      </c>
      <c r="I904" s="66" t="inlineStr">
        <is>
          <t>Ок</t>
        </is>
      </c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>
      <c r="A905" s="5" t="n"/>
      <c r="B905" s="40" t="n">
        <v>46069</v>
      </c>
      <c r="C905" s="73" t="inlineStr">
        <is>
          <t xml:space="preserve">квартира </t>
        </is>
      </c>
      <c r="D905" s="73" t="inlineStr">
        <is>
          <t xml:space="preserve">Сергей С иЖелтоксан </t>
        </is>
      </c>
      <c r="E905" s="112" t="n"/>
      <c r="F905" s="73" t="n">
        <v>700000</v>
      </c>
      <c r="G905" s="111">
        <f>E905+F905</f>
        <v/>
      </c>
      <c r="H905" s="73" t="inlineStr">
        <is>
          <t>Выплачено</t>
        </is>
      </c>
      <c r="I905" s="66" t="inlineStr">
        <is>
          <t>Ок</t>
        </is>
      </c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>
      <c r="A906" s="5" t="n"/>
      <c r="B906" s="40" t="n">
        <v>46069</v>
      </c>
      <c r="C906" s="73" t="inlineStr">
        <is>
          <t>Демьянов</t>
        </is>
      </c>
      <c r="D906" s="73" t="inlineStr">
        <is>
          <t>логистика</t>
        </is>
      </c>
      <c r="E906" s="112" t="n">
        <v>1000000</v>
      </c>
      <c r="F906" s="73" t="n"/>
      <c r="G906" s="111">
        <f>E906+F906</f>
        <v/>
      </c>
      <c r="H906" s="73" t="inlineStr">
        <is>
          <t>Выплачено</t>
        </is>
      </c>
      <c r="I906" s="66" t="inlineStr">
        <is>
          <t>Ок</t>
        </is>
      </c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>
      <c r="A907" s="5" t="n"/>
      <c r="B907" s="40" t="n">
        <v>46069</v>
      </c>
      <c r="C907" s="73" t="inlineStr">
        <is>
          <t>Имак Фуд</t>
        </is>
      </c>
      <c r="D907" s="73" t="inlineStr">
        <is>
          <t>крахмальная патока</t>
        </is>
      </c>
      <c r="E907" s="112" t="n">
        <v>21000</v>
      </c>
      <c r="F907" s="73" t="n"/>
      <c r="G907" s="111">
        <f>E907+F907</f>
        <v/>
      </c>
      <c r="H907" s="73" t="inlineStr">
        <is>
          <t>Выплачено</t>
        </is>
      </c>
      <c r="I907" s="66" t="inlineStr">
        <is>
          <t>Ок</t>
        </is>
      </c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>
      <c r="A908" s="5" t="n"/>
      <c r="B908" s="40" t="n">
        <v>46070</v>
      </c>
      <c r="C908" s="73" t="inlineStr">
        <is>
          <t>Ли Станислав</t>
        </is>
      </c>
      <c r="D908" s="73" t="inlineStr">
        <is>
          <t xml:space="preserve">Подотчет сырье </t>
        </is>
      </c>
      <c r="E908" s="112" t="n"/>
      <c r="F908" s="73" t="n">
        <v>500000</v>
      </c>
      <c r="G908" s="111">
        <f>E908+F908</f>
        <v/>
      </c>
      <c r="H908" s="73" t="inlineStr">
        <is>
          <t>Выплачено</t>
        </is>
      </c>
      <c r="I908" s="66" t="inlineStr">
        <is>
          <t>Ок</t>
        </is>
      </c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>
      <c r="A909" s="5" t="n"/>
      <c r="B909" s="40" t="n">
        <v>46071</v>
      </c>
      <c r="C909" s="73" t="inlineStr">
        <is>
          <t>Маханов М.</t>
        </is>
      </c>
      <c r="D909" s="73" t="inlineStr">
        <is>
          <t>Оплата поставщикам за сырье</t>
        </is>
      </c>
      <c r="E909" s="112" t="n">
        <v>11637862</v>
      </c>
      <c r="F909" s="73" t="n"/>
      <c r="G909" s="111">
        <f>E909+F909</f>
        <v/>
      </c>
      <c r="H909" s="73" t="inlineStr">
        <is>
          <t>Выплачено</t>
        </is>
      </c>
      <c r="I909" s="66" t="inlineStr">
        <is>
          <t>Ок</t>
        </is>
      </c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>
      <c r="A910" s="5" t="n"/>
      <c r="B910" s="40" t="n">
        <v>46071</v>
      </c>
      <c r="C910" s="120" t="inlineStr">
        <is>
          <t>ИП Ахмерова Ф.И</t>
        </is>
      </c>
      <c r="D910" s="73" t="inlineStr">
        <is>
          <t>ПЭТ бутылки</t>
        </is>
      </c>
      <c r="E910" s="112" t="n">
        <v>64560</v>
      </c>
      <c r="F910" s="73" t="n"/>
      <c r="G910" s="111">
        <f>E910+F910</f>
        <v/>
      </c>
      <c r="H910" s="73" t="inlineStr">
        <is>
          <t>Выплачено</t>
        </is>
      </c>
      <c r="I910" s="66" t="inlineStr">
        <is>
          <t>Ок</t>
        </is>
      </c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>
      <c r="A911" s="5" t="n"/>
      <c r="B911" s="40" t="n">
        <v>46071</v>
      </c>
      <c r="C911" s="57" t="inlineStr">
        <is>
          <t>AMP Printology</t>
        </is>
      </c>
      <c r="D911" s="73" t="inlineStr">
        <is>
          <t>заправка картриджей</t>
        </is>
      </c>
      <c r="E911" s="112" t="n">
        <v>29650</v>
      </c>
      <c r="F911" s="73" t="n"/>
      <c r="G911" s="111">
        <f>E911+F911</f>
        <v/>
      </c>
      <c r="H911" s="73" t="inlineStr">
        <is>
          <t>Отложено</t>
        </is>
      </c>
      <c r="I911" s="66" t="inlineStr">
        <is>
          <t>Ок</t>
        </is>
      </c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>
      <c r="A912" s="5" t="n"/>
      <c r="B912" s="40" t="n">
        <v>46072</v>
      </c>
      <c r="C912" s="73" t="inlineStr">
        <is>
          <t>Маханов М.</t>
        </is>
      </c>
      <c r="D912" s="73" t="inlineStr">
        <is>
          <t>Оплата поставщикам за сырье</t>
        </is>
      </c>
      <c r="E912" s="112" t="n">
        <v>3580670</v>
      </c>
      <c r="F912" s="73" t="n"/>
      <c r="G912" s="111">
        <f>E912+F912</f>
        <v/>
      </c>
      <c r="H912" s="73" t="inlineStr">
        <is>
          <t>Выплачено</t>
        </is>
      </c>
      <c r="I912" s="66" t="inlineStr">
        <is>
          <t>Ок</t>
        </is>
      </c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>
      <c r="A913" s="5" t="n"/>
      <c r="B913" s="40" t="n">
        <v>46071</v>
      </c>
      <c r="C913" s="73" t="inlineStr">
        <is>
          <t>Экспрес-сервис</t>
        </is>
      </c>
      <c r="D913" s="73" t="inlineStr">
        <is>
          <t>Аренда</t>
        </is>
      </c>
      <c r="E913" s="112" t="n">
        <v>6050000</v>
      </c>
      <c r="F913" s="73" t="n"/>
      <c r="G913" s="111">
        <f>E913+F913</f>
        <v/>
      </c>
      <c r="H913" s="73" t="inlineStr">
        <is>
          <t>Выплачено</t>
        </is>
      </c>
      <c r="I913" s="66" t="inlineStr">
        <is>
          <t>Ок</t>
        </is>
      </c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>
      <c r="A914" s="5" t="n"/>
      <c r="B914" s="40" t="n">
        <v>46071</v>
      </c>
      <c r="C914" s="73" t="n"/>
      <c r="D914" s="73" t="inlineStr">
        <is>
          <t>ЗП пр-во</t>
        </is>
      </c>
      <c r="E914" s="112" t="n"/>
      <c r="F914" s="73" t="n">
        <v>4766000</v>
      </c>
      <c r="G914" s="111">
        <f>E914+F914</f>
        <v/>
      </c>
      <c r="H914" s="73" t="inlineStr">
        <is>
          <t>Выплачено</t>
        </is>
      </c>
      <c r="I914" s="66" t="inlineStr">
        <is>
          <t>Ок</t>
        </is>
      </c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>
      <c r="A915" s="5" t="n"/>
      <c r="B915" s="40" t="n">
        <v>46071</v>
      </c>
      <c r="C915" s="73" t="inlineStr">
        <is>
          <t>Ли Станислав</t>
        </is>
      </c>
      <c r="D915" s="73" t="inlineStr">
        <is>
          <t xml:space="preserve">Подотчет сырье </t>
        </is>
      </c>
      <c r="E915" s="112" t="n"/>
      <c r="F915" s="73" t="n">
        <v>500000</v>
      </c>
      <c r="G915" s="111">
        <f>E915+F915</f>
        <v/>
      </c>
      <c r="H915" s="73" t="inlineStr">
        <is>
          <t>Выплачено</t>
        </is>
      </c>
      <c r="I915" s="66" t="inlineStr">
        <is>
          <t>Ок</t>
        </is>
      </c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>
      <c r="A916" s="5" t="n"/>
      <c r="B916" s="40" t="n">
        <v>46072</v>
      </c>
      <c r="C916" s="73" t="inlineStr">
        <is>
          <t>Ли Станислав</t>
        </is>
      </c>
      <c r="D916" s="73" t="inlineStr">
        <is>
          <t xml:space="preserve">Подотчет сырье </t>
        </is>
      </c>
      <c r="E916" s="112" t="n"/>
      <c r="F916" s="73" t="n">
        <v>600000</v>
      </c>
      <c r="G916" s="111">
        <f>E916+F916</f>
        <v/>
      </c>
      <c r="H916" s="73" t="inlineStr">
        <is>
          <t>Выплачено</t>
        </is>
      </c>
      <c r="I916" s="66" t="inlineStr">
        <is>
          <t>Ок</t>
        </is>
      </c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>
      <c r="A917" s="5" t="n"/>
      <c r="B917" s="40" t="n">
        <v>46072</v>
      </c>
      <c r="C917" s="73" t="inlineStr">
        <is>
          <t>НУ</t>
        </is>
      </c>
      <c r="D917" s="73" t="inlineStr">
        <is>
          <t>НДС 4 кв-л</t>
        </is>
      </c>
      <c r="E917" s="112" t="n">
        <v>3800000</v>
      </c>
      <c r="F917" s="73" t="n"/>
      <c r="G917" s="111">
        <f>E917+F917</f>
        <v/>
      </c>
      <c r="H917" s="73" t="inlineStr">
        <is>
          <t>Выплачено</t>
        </is>
      </c>
      <c r="I917" s="66" t="inlineStr">
        <is>
          <t>Ок</t>
        </is>
      </c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>
      <c r="A918" s="5" t="n"/>
      <c r="B918" s="40" t="n">
        <v>46072</v>
      </c>
      <c r="C918" s="73" t="inlineStr">
        <is>
          <t>AMP Printology</t>
        </is>
      </c>
      <c r="D918" s="73" t="inlineStr">
        <is>
          <t>заправка картриджей</t>
        </is>
      </c>
      <c r="E918" s="112" t="n">
        <v>29650</v>
      </c>
      <c r="F918" s="73" t="n"/>
      <c r="G918" s="111">
        <f>E918+F918</f>
        <v/>
      </c>
      <c r="H918" s="73" t="inlineStr">
        <is>
          <t>Выплачено</t>
        </is>
      </c>
      <c r="I918" s="66" t="inlineStr">
        <is>
          <t>Ок</t>
        </is>
      </c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>
      <c r="A919" s="5" t="n"/>
      <c r="B919" s="40" t="n">
        <v>46073</v>
      </c>
      <c r="C919" s="73" t="inlineStr">
        <is>
          <t>Маханов М.</t>
        </is>
      </c>
      <c r="D919" s="73" t="inlineStr">
        <is>
          <t>Оплата поставщикам за сырье</t>
        </is>
      </c>
      <c r="E919" s="112" t="n">
        <v>8741090</v>
      </c>
      <c r="F919" s="73" t="n"/>
      <c r="G919" s="111">
        <f>E919+F919</f>
        <v/>
      </c>
      <c r="H919" s="73" t="inlineStr">
        <is>
          <t>Выплачено</t>
        </is>
      </c>
      <c r="I919" s="66" t="inlineStr">
        <is>
          <t>Ок</t>
        </is>
      </c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>
      <c r="A920" s="5" t="n"/>
      <c r="B920" s="40" t="n">
        <v>46077</v>
      </c>
      <c r="C920" s="73" t="n"/>
      <c r="D920" s="73" t="inlineStr">
        <is>
          <t>по исполнит.листам</t>
        </is>
      </c>
      <c r="E920" s="112" t="n">
        <v>850000</v>
      </c>
      <c r="F920" s="73" t="n"/>
      <c r="G920" s="111">
        <f>E920+F920</f>
        <v/>
      </c>
      <c r="H920" s="73" t="inlineStr">
        <is>
          <t>Выплачено</t>
        </is>
      </c>
      <c r="I920" s="66" t="inlineStr">
        <is>
          <t>Ок</t>
        </is>
      </c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>
      <c r="A921" s="5" t="n"/>
      <c r="B921" s="40" t="n">
        <v>46076</v>
      </c>
      <c r="C921" s="73" t="inlineStr">
        <is>
          <t>Шымкентмай</t>
        </is>
      </c>
      <c r="D921" s="73" t="inlineStr">
        <is>
          <t>масло подсолнечное</t>
        </is>
      </c>
      <c r="E921" s="112" t="n">
        <v>446400</v>
      </c>
      <c r="F921" s="73" t="n"/>
      <c r="G921" s="111">
        <f>E921+F921</f>
        <v/>
      </c>
      <c r="H921" s="73" t="inlineStr">
        <is>
          <t>Выплачено</t>
        </is>
      </c>
      <c r="I921" s="66" t="inlineStr">
        <is>
          <t>Ок</t>
        </is>
      </c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>
      <c r="A922" s="5" t="n"/>
      <c r="B922" s="40" t="n">
        <v>46076</v>
      </c>
      <c r="C922" s="113" t="inlineStr">
        <is>
          <t>Medhelp</t>
        </is>
      </c>
      <c r="D922" s="73" t="inlineStr">
        <is>
          <t>салфетки, маски</t>
        </is>
      </c>
      <c r="E922" s="112" t="n">
        <v>30380</v>
      </c>
      <c r="F922" s="73" t="n"/>
      <c r="G922" s="111">
        <f>E922+F922</f>
        <v/>
      </c>
      <c r="H922" s="73" t="inlineStr">
        <is>
          <t>Выплачено</t>
        </is>
      </c>
      <c r="I922" s="66" t="inlineStr">
        <is>
          <t>Ок</t>
        </is>
      </c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>
      <c r="A923" s="5" t="n"/>
      <c r="B923" s="40" t="n">
        <v>46076</v>
      </c>
      <c r="C923" s="57" t="inlineStr">
        <is>
          <t>Компания Э-КОМ ПРАЙМ</t>
        </is>
      </c>
      <c r="D923" s="73" t="inlineStr">
        <is>
          <t>услуга доступа к программе</t>
        </is>
      </c>
      <c r="E923" s="112" t="n">
        <v>90000</v>
      </c>
      <c r="F923" s="73" t="n"/>
      <c r="G923" s="111">
        <f>E923+F923</f>
        <v/>
      </c>
      <c r="H923" s="73" t="inlineStr">
        <is>
          <t>Выплачено</t>
        </is>
      </c>
      <c r="I923" s="66" t="inlineStr">
        <is>
          <t>Ок</t>
        </is>
      </c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>
      <c r="A924" s="5" t="n"/>
      <c r="B924" s="40" t="n">
        <v>46076</v>
      </c>
      <c r="C924" s="73" t="inlineStr">
        <is>
          <t>Маханов М.</t>
        </is>
      </c>
      <c r="D924" s="73" t="inlineStr">
        <is>
          <t>Закуп сырья на пр-во</t>
        </is>
      </c>
      <c r="E924" s="112" t="n"/>
      <c r="F924" s="73" t="n">
        <v>69000</v>
      </c>
      <c r="G924" s="111">
        <f>E924+F924</f>
        <v/>
      </c>
      <c r="H924" s="73" t="inlineStr">
        <is>
          <t>Выплачено</t>
        </is>
      </c>
      <c r="I924" s="66" t="inlineStr">
        <is>
          <t>Ок</t>
        </is>
      </c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>
      <c r="A925" s="5" t="n"/>
      <c r="B925" s="40" t="n">
        <v>46076</v>
      </c>
      <c r="C925" s="73" t="inlineStr">
        <is>
          <t>Маханов М.</t>
        </is>
      </c>
      <c r="D925" s="73" t="inlineStr">
        <is>
          <t>Оплата поставщикам за сырье</t>
        </is>
      </c>
      <c r="E925" s="112" t="n">
        <v>3245566</v>
      </c>
      <c r="F925" s="73" t="n"/>
      <c r="G925" s="111">
        <f>E925+F925</f>
        <v/>
      </c>
      <c r="H925" s="73" t="inlineStr">
        <is>
          <t>Выплачено</t>
        </is>
      </c>
      <c r="I925" s="66" t="inlineStr">
        <is>
          <t>Ок</t>
        </is>
      </c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>
      <c r="A926" s="5" t="n"/>
      <c r="B926" s="40" t="n">
        <v>46077</v>
      </c>
      <c r="C926" s="73" t="inlineStr">
        <is>
          <t>НУ</t>
        </is>
      </c>
      <c r="D926" s="73" t="inlineStr">
        <is>
          <t>Налог по ЗП</t>
        </is>
      </c>
      <c r="E926" s="112" t="n">
        <v>8578000</v>
      </c>
      <c r="F926" s="73" t="n"/>
      <c r="G926" s="111">
        <f>E926+F926</f>
        <v/>
      </c>
      <c r="H926" s="73" t="inlineStr">
        <is>
          <t>Выплачено</t>
        </is>
      </c>
      <c r="I926" s="66" t="inlineStr">
        <is>
          <t>Ок</t>
        </is>
      </c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>
      <c r="A927" s="5" t="n"/>
      <c r="B927" s="40" t="n">
        <v>46077</v>
      </c>
      <c r="C927" s="73" t="inlineStr">
        <is>
          <t>Ли Станислав</t>
        </is>
      </c>
      <c r="D927" s="73" t="inlineStr">
        <is>
          <t xml:space="preserve">Подотчет сырье </t>
        </is>
      </c>
      <c r="E927" s="112" t="n"/>
      <c r="F927" s="73" t="n">
        <v>500000</v>
      </c>
      <c r="G927" s="111">
        <f>E927+F927</f>
        <v/>
      </c>
      <c r="H927" s="73" t="inlineStr">
        <is>
          <t>Выплачено</t>
        </is>
      </c>
      <c r="I927" s="66" t="inlineStr">
        <is>
          <t>Ок</t>
        </is>
      </c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>
      <c r="A928" s="5" t="n"/>
      <c r="B928" s="40" t="n">
        <v>46077</v>
      </c>
      <c r="C928" s="73" t="inlineStr">
        <is>
          <t>Маханов М.</t>
        </is>
      </c>
      <c r="D928" s="73" t="inlineStr">
        <is>
          <t>Оплата поставщикам за сырье</t>
        </is>
      </c>
      <c r="E928" s="112" t="n">
        <v>5851894</v>
      </c>
      <c r="F928" s="73" t="n"/>
      <c r="G928" s="111">
        <f>E928+F928</f>
        <v/>
      </c>
      <c r="H928" s="73" t="inlineStr">
        <is>
          <t>Выплачено</t>
        </is>
      </c>
      <c r="I928" s="66" t="inlineStr">
        <is>
          <t>Ок</t>
        </is>
      </c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>
      <c r="A929" s="5" t="n"/>
      <c r="B929" s="40" t="n">
        <v>46078</v>
      </c>
      <c r="C929" s="89" t="inlineStr">
        <is>
          <t>Фуд COMPANY 2015</t>
        </is>
      </c>
      <c r="D929" s="73" t="inlineStr">
        <is>
          <t>сметан.продукт</t>
        </is>
      </c>
      <c r="E929" s="112" t="n">
        <v>181440</v>
      </c>
      <c r="F929" s="73" t="n"/>
      <c r="G929" s="111">
        <f>E929+F929</f>
        <v/>
      </c>
      <c r="H929" s="73" t="inlineStr">
        <is>
          <t>Выплачено</t>
        </is>
      </c>
      <c r="I929" s="66" t="inlineStr">
        <is>
          <t>Ок</t>
        </is>
      </c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>
      <c r="A930" s="5" t="n"/>
      <c r="B930" s="40" t="n">
        <v>46078</v>
      </c>
      <c r="C930" s="133" t="inlineStr">
        <is>
          <t>Элита Трейд сироп</t>
        </is>
      </c>
      <c r="D930" s="73" t="n"/>
      <c r="E930" s="112" t="n">
        <v>100000</v>
      </c>
      <c r="F930" s="73" t="n"/>
      <c r="G930" s="111">
        <f>E930+F930</f>
        <v/>
      </c>
      <c r="H930" s="73" t="inlineStr">
        <is>
          <t>Выплачено</t>
        </is>
      </c>
      <c r="I930" s="66" t="inlineStr">
        <is>
          <t>Ок</t>
        </is>
      </c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>
      <c r="A931" s="5" t="n"/>
      <c r="B931" s="40" t="n">
        <v>46078</v>
      </c>
      <c r="C931" s="73" t="inlineStr">
        <is>
          <t>НУ</t>
        </is>
      </c>
      <c r="D931" s="73" t="inlineStr">
        <is>
          <t>НДС</t>
        </is>
      </c>
      <c r="E931" s="112" t="n">
        <v>20700000</v>
      </c>
      <c r="F931" s="73" t="n"/>
      <c r="G931" s="111">
        <f>E931+F931</f>
        <v/>
      </c>
      <c r="H931" s="73" t="inlineStr">
        <is>
          <t>Выплачено</t>
        </is>
      </c>
      <c r="I931" s="66" t="inlineStr">
        <is>
          <t>Ок</t>
        </is>
      </c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>
      <c r="A932" s="5" t="n"/>
      <c r="B932" s="40" t="n">
        <v>46078</v>
      </c>
      <c r="C932" s="73" t="inlineStr">
        <is>
          <t>ИП Колор</t>
        </is>
      </c>
      <c r="D932" s="73" t="inlineStr">
        <is>
          <t>стикеры</t>
        </is>
      </c>
      <c r="E932" s="112" t="n">
        <v>28027.5</v>
      </c>
      <c r="F932" s="73" t="n"/>
      <c r="G932" s="111">
        <f>E932+F932</f>
        <v/>
      </c>
      <c r="H932" s="73" t="inlineStr">
        <is>
          <t>Выплачено</t>
        </is>
      </c>
      <c r="I932" s="66" t="inlineStr">
        <is>
          <t>Ок</t>
        </is>
      </c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>
      <c r="A933" s="5" t="n"/>
      <c r="B933" s="40" t="n">
        <v>46078</v>
      </c>
      <c r="C933" s="73" t="inlineStr">
        <is>
          <t>ИП Колор</t>
        </is>
      </c>
      <c r="D933" s="73" t="inlineStr">
        <is>
          <t>стикеры</t>
        </is>
      </c>
      <c r="E933" s="112" t="n">
        <v>92500</v>
      </c>
      <c r="F933" s="73" t="n"/>
      <c r="G933" s="111">
        <f>E933+F933</f>
        <v/>
      </c>
      <c r="H933" s="73" t="inlineStr">
        <is>
          <t>Выплачено</t>
        </is>
      </c>
      <c r="I933" s="66" t="inlineStr">
        <is>
          <t>Ок</t>
        </is>
      </c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>
      <c r="A934" s="5" t="n"/>
      <c r="B934" s="40" t="n">
        <v>46079</v>
      </c>
      <c r="C934" s="73" t="inlineStr">
        <is>
          <t>Зарплата недельная</t>
        </is>
      </c>
      <c r="D934" s="73" t="inlineStr">
        <is>
          <t xml:space="preserve">Лагманщики </t>
        </is>
      </c>
      <c r="E934" s="112" t="n"/>
      <c r="F934" s="73" t="n">
        <v>800000</v>
      </c>
      <c r="G934" s="111">
        <f>E934+F934</f>
        <v/>
      </c>
      <c r="H934" s="73" t="inlineStr">
        <is>
          <t>Выплачено</t>
        </is>
      </c>
      <c r="I934" s="66" t="inlineStr">
        <is>
          <t>Ок</t>
        </is>
      </c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>
      <c r="A935" s="5" t="n"/>
      <c r="B935" s="40" t="n">
        <v>46079</v>
      </c>
      <c r="C935" s="73" t="inlineStr">
        <is>
          <t>Ли Станислав</t>
        </is>
      </c>
      <c r="D935" s="73" t="inlineStr">
        <is>
          <t xml:space="preserve">Подотчет сырье   25.02.2026  26.02.2026 </t>
        </is>
      </c>
      <c r="E935" s="112" t="n"/>
      <c r="F935" s="73" t="n">
        <v>600000</v>
      </c>
      <c r="G935" s="111">
        <f>E935+F935</f>
        <v/>
      </c>
      <c r="H935" s="73" t="inlineStr">
        <is>
          <t>Выплачено</t>
        </is>
      </c>
      <c r="I935" s="66" t="inlineStr">
        <is>
          <t>Ок</t>
        </is>
      </c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>
      <c r="A936" s="5" t="n"/>
      <c r="B936" s="40" t="n">
        <v>46079</v>
      </c>
      <c r="C936" s="73" t="inlineStr">
        <is>
          <t>НУ</t>
        </is>
      </c>
      <c r="D936" s="73" t="inlineStr">
        <is>
          <t>НДС</t>
        </is>
      </c>
      <c r="E936" s="112" t="n">
        <v>842000</v>
      </c>
      <c r="F936" s="73" t="n"/>
      <c r="G936" s="111">
        <f>E936+F936</f>
        <v/>
      </c>
      <c r="H936" s="73" t="inlineStr">
        <is>
          <t>Выплачено</t>
        </is>
      </c>
      <c r="I936" s="66" t="inlineStr">
        <is>
          <t>Ок</t>
        </is>
      </c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>
      <c r="A937" s="5" t="n"/>
      <c r="B937" s="40" t="n">
        <v>46079</v>
      </c>
      <c r="C937" s="73" t="n"/>
      <c r="D937" s="73" t="inlineStr">
        <is>
          <t>аванс на карты</t>
        </is>
      </c>
      <c r="E937" s="112" t="n">
        <v>1980000</v>
      </c>
      <c r="F937" s="73" t="n"/>
      <c r="G937" s="111">
        <f>E937+F937</f>
        <v/>
      </c>
      <c r="H937" s="73" t="inlineStr">
        <is>
          <t>Выплачено</t>
        </is>
      </c>
      <c r="I937" s="66" t="inlineStr">
        <is>
          <t>Ок</t>
        </is>
      </c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>
      <c r="A938" s="5" t="n"/>
      <c r="B938" s="40" t="n">
        <v>46079</v>
      </c>
      <c r="C938" s="73" t="inlineStr">
        <is>
          <t>Ирмас ЛТД</t>
        </is>
      </c>
      <c r="D938" s="73" t="inlineStr">
        <is>
          <t>банка прозрачная</t>
        </is>
      </c>
      <c r="E938" s="112" t="n">
        <v>360000</v>
      </c>
      <c r="F938" s="73" t="n"/>
      <c r="G938" s="111">
        <f>E938+F938</f>
        <v/>
      </c>
      <c r="H938" s="73" t="inlineStr">
        <is>
          <t>Выплачено</t>
        </is>
      </c>
      <c r="I938" s="66" t="inlineStr">
        <is>
          <t>Ок</t>
        </is>
      </c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>
      <c r="A939" s="5" t="n"/>
      <c r="B939" s="40" t="n">
        <v>46079</v>
      </c>
      <c r="C939" s="73" t="inlineStr">
        <is>
          <t>ИП Конжарова</t>
        </is>
      </c>
      <c r="D939" s="73" t="inlineStr">
        <is>
          <t xml:space="preserve">Предоплата за изготовление ворот и калитки </t>
        </is>
      </c>
      <c r="E939" s="112" t="n">
        <v>1400000</v>
      </c>
      <c r="F939" s="73" t="n"/>
      <c r="G939" s="111">
        <f>E939+F939</f>
        <v/>
      </c>
      <c r="H939" s="73" t="inlineStr">
        <is>
          <t>Выплачено</t>
        </is>
      </c>
      <c r="I939" s="66" t="inlineStr">
        <is>
          <t>Ок</t>
        </is>
      </c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>
      <c r="A940" s="5" t="n"/>
      <c r="B940" s="40" t="n">
        <v>46079</v>
      </c>
      <c r="C940" s="73" t="inlineStr">
        <is>
          <t>Парус</t>
        </is>
      </c>
      <c r="D940" s="73" t="inlineStr">
        <is>
          <t>крышки, гофродно</t>
        </is>
      </c>
      <c r="E940" s="112" t="n">
        <v>109400</v>
      </c>
      <c r="F940" s="73" t="n"/>
      <c r="G940" s="111">
        <f>E940+F940</f>
        <v/>
      </c>
      <c r="H940" s="73" t="inlineStr">
        <is>
          <t>Выплачено</t>
        </is>
      </c>
      <c r="I940" s="66" t="inlineStr">
        <is>
          <t>Ок</t>
        </is>
      </c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>
      <c r="A941" s="5" t="n"/>
      <c r="B941" s="40" t="n">
        <v>46079</v>
      </c>
      <c r="C941" s="73" t="inlineStr">
        <is>
          <t>ИП Ахмерова</t>
        </is>
      </c>
      <c r="D941" s="73" t="inlineStr">
        <is>
          <t>ПЭТ бутылки</t>
        </is>
      </c>
      <c r="E941" s="112" t="n">
        <v>55080</v>
      </c>
      <c r="F941" s="73" t="n"/>
      <c r="G941" s="111">
        <f>E941+F941</f>
        <v/>
      </c>
      <c r="H941" s="73" t="inlineStr">
        <is>
          <t>Выплачено</t>
        </is>
      </c>
      <c r="I941" s="66" t="inlineStr">
        <is>
          <t>Ок</t>
        </is>
      </c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>
      <c r="A942" s="5" t="n"/>
      <c r="B942" s="40" t="n">
        <v>46079</v>
      </c>
      <c r="C942" s="73" t="inlineStr">
        <is>
          <t>Демьянов</t>
        </is>
      </c>
      <c r="D942" s="73" t="inlineStr">
        <is>
          <t>логистика</t>
        </is>
      </c>
      <c r="E942" s="112" t="n">
        <v>1580000</v>
      </c>
      <c r="F942" s="73" t="n"/>
      <c r="G942" s="111">
        <f>E942+F942</f>
        <v/>
      </c>
      <c r="H942" s="73" t="inlineStr">
        <is>
          <t>Выплачено</t>
        </is>
      </c>
      <c r="I942" s="66" t="inlineStr">
        <is>
          <t>Ок</t>
        </is>
      </c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>
      <c r="A943" s="5" t="n"/>
      <c r="B943" s="40" t="n">
        <v>46079</v>
      </c>
      <c r="C943" s="90" t="inlineStr">
        <is>
          <t>ИП ВИТАМИН+</t>
        </is>
      </c>
      <c r="D943" s="73" t="inlineStr">
        <is>
          <t>овощи</t>
        </is>
      </c>
      <c r="E943" s="112">
        <f>1814111+1167317</f>
        <v/>
      </c>
      <c r="F943" s="73" t="n"/>
      <c r="G943" s="111">
        <f>E943+F943</f>
        <v/>
      </c>
      <c r="H943" s="73" t="inlineStr">
        <is>
          <t>Выплачено</t>
        </is>
      </c>
      <c r="I943" s="66" t="inlineStr">
        <is>
          <t>Ок</t>
        </is>
      </c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>
      <c r="A944" s="5" t="n"/>
      <c r="B944" s="40" t="n">
        <v>46080</v>
      </c>
      <c r="C944" s="134" t="n"/>
      <c r="D944" s="73" t="inlineStr">
        <is>
          <t>погашение %% и ОД по ИП Сапакова</t>
        </is>
      </c>
      <c r="E944" s="112" t="n"/>
      <c r="F944" s="73" t="n">
        <v>2949000</v>
      </c>
      <c r="G944" s="111">
        <f>E944+F944</f>
        <v/>
      </c>
      <c r="H944" s="73" t="inlineStr">
        <is>
          <t>Выплачено</t>
        </is>
      </c>
      <c r="I944" s="66" t="inlineStr">
        <is>
          <t>Ок</t>
        </is>
      </c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>
      <c r="A945" s="5" t="n"/>
      <c r="B945" s="40" t="n">
        <v>46080</v>
      </c>
      <c r="C945" s="73" t="inlineStr">
        <is>
          <t xml:space="preserve">ИП Монтех </t>
        </is>
      </c>
      <c r="D945" s="746" t="inlineStr">
        <is>
          <t>ремонта холодильного оборудования.</t>
        </is>
      </c>
      <c r="E945" s="112" t="n">
        <v>152000</v>
      </c>
      <c r="F945" s="73" t="n"/>
      <c r="G945" s="111">
        <f>E945+F945</f>
        <v/>
      </c>
      <c r="H945" s="73" t="inlineStr">
        <is>
          <t>Выплачено</t>
        </is>
      </c>
      <c r="I945" s="66" t="inlineStr">
        <is>
          <t>Ок</t>
        </is>
      </c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>
      <c r="A946" s="5" t="n"/>
      <c r="B946" s="40" t="n">
        <v>46080</v>
      </c>
      <c r="C946" s="746" t="inlineStr">
        <is>
          <t>Алексеевское ИП</t>
        </is>
      </c>
      <c r="D946" s="746" t="inlineStr">
        <is>
          <t>Вывоз и утилизация пищевых отходов</t>
        </is>
      </c>
      <c r="E946" s="112" t="n">
        <v>100000</v>
      </c>
      <c r="F946" s="73" t="n"/>
      <c r="G946" s="111">
        <f>E946+F946</f>
        <v/>
      </c>
      <c r="H946" s="73" t="inlineStr">
        <is>
          <t>Выплачено</t>
        </is>
      </c>
      <c r="I946" s="66" t="inlineStr">
        <is>
          <t>Ок</t>
        </is>
      </c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>
      <c r="A947" s="5" t="n"/>
      <c r="B947" s="40" t="n">
        <v>46080</v>
      </c>
      <c r="C947" s="57" t="inlineStr">
        <is>
          <t xml:space="preserve">DEZRESURS ТОО </t>
        </is>
      </c>
      <c r="D947" s="57" t="inlineStr">
        <is>
          <t>Вывоз биологических (пищевых)</t>
        </is>
      </c>
      <c r="E947" s="112" t="n">
        <v>14000</v>
      </c>
      <c r="F947" s="73" t="n"/>
      <c r="G947" s="111">
        <f>E947+F947</f>
        <v/>
      </c>
      <c r="H947" s="73" t="inlineStr">
        <is>
          <t>Выплачено</t>
        </is>
      </c>
      <c r="I947" s="66" t="inlineStr">
        <is>
          <t>Ок</t>
        </is>
      </c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>
      <c r="A948" s="5" t="n"/>
      <c r="B948" s="40" t="n">
        <v>46080</v>
      </c>
      <c r="C948" s="73" t="inlineStr">
        <is>
          <t>Маханов М.</t>
        </is>
      </c>
      <c r="D948" s="73" t="inlineStr">
        <is>
          <t>Оплата поставщикам за сырье</t>
        </is>
      </c>
      <c r="E948" s="112" t="n">
        <v>4498015</v>
      </c>
      <c r="F948" s="73" t="n"/>
      <c r="G948" s="111">
        <f>E948+F948</f>
        <v/>
      </c>
      <c r="H948" s="73" t="inlineStr">
        <is>
          <t>Выплачено</t>
        </is>
      </c>
      <c r="I948" s="66" t="inlineStr">
        <is>
          <t>Ок</t>
        </is>
      </c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>
      <c r="A949" s="5" t="n"/>
      <c r="B949" s="40" t="n">
        <v>46083</v>
      </c>
      <c r="C949" s="746" t="inlineStr">
        <is>
          <t>ТОО Экспресс-Сервис</t>
        </is>
      </c>
      <c r="D949" s="73" t="inlineStr">
        <is>
          <t>коммунальные</t>
        </is>
      </c>
      <c r="E949" s="112" t="n">
        <v>7124637</v>
      </c>
      <c r="F949" s="73" t="n"/>
      <c r="G949" s="111">
        <f>E949+F949</f>
        <v/>
      </c>
      <c r="H949" s="73" t="inlineStr">
        <is>
          <t>Выплачено</t>
        </is>
      </c>
      <c r="I949" s="66" t="inlineStr">
        <is>
          <t>Ок</t>
        </is>
      </c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>
      <c r="A950" s="5" t="n"/>
      <c r="B950" s="40" t="n">
        <v>46083</v>
      </c>
      <c r="C950" s="113" t="inlineStr">
        <is>
          <t>"Хим-База"</t>
        </is>
      </c>
      <c r="D950" s="73" t="inlineStr">
        <is>
          <t>глицерин</t>
        </is>
      </c>
      <c r="E950" s="112" t="n">
        <v>35000</v>
      </c>
      <c r="F950" s="73" t="n"/>
      <c r="G950" s="111">
        <f>E950+F950</f>
        <v/>
      </c>
      <c r="H950" s="73" t="inlineStr">
        <is>
          <t>Выплачено</t>
        </is>
      </c>
      <c r="I950" s="66" t="inlineStr">
        <is>
          <t>Ок</t>
        </is>
      </c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>
      <c r="A951" s="5" t="n"/>
      <c r="B951" s="40" t="n">
        <v>46083</v>
      </c>
      <c r="C951" s="73" t="inlineStr">
        <is>
          <t>Кафе Софт KZ ТОО айко программа</t>
        </is>
      </c>
      <c r="D951" s="73" t="n"/>
      <c r="E951" s="112" t="n">
        <v>77360</v>
      </c>
      <c r="F951" s="73" t="n"/>
      <c r="G951" s="111">
        <f>E951+F951</f>
        <v/>
      </c>
      <c r="H951" s="73" t="inlineStr">
        <is>
          <t>Выплачено</t>
        </is>
      </c>
      <c r="I951" s="66" t="inlineStr">
        <is>
          <t>Ок</t>
        </is>
      </c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>
      <c r="A952" s="5" t="n"/>
      <c r="B952" s="40" t="n">
        <v>46083</v>
      </c>
      <c r="C952" s="73" t="inlineStr">
        <is>
          <t>Access Group ТОО интернет</t>
        </is>
      </c>
      <c r="D952" s="73" t="n"/>
      <c r="E952" s="112" t="n">
        <v>82240</v>
      </c>
      <c r="F952" s="73" t="n"/>
      <c r="G952" s="111">
        <f>E952+F952</f>
        <v/>
      </c>
      <c r="H952" s="73" t="inlineStr">
        <is>
          <t>Выплачено</t>
        </is>
      </c>
      <c r="I952" s="66" t="inlineStr">
        <is>
          <t>Ок</t>
        </is>
      </c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>
      <c r="A953" s="5" t="n"/>
      <c r="B953" s="40" t="n">
        <v>46083</v>
      </c>
      <c r="C953" s="119" t="inlineStr">
        <is>
          <t>ИП "INTELLPACK"</t>
        </is>
      </c>
      <c r="D953" s="73" t="inlineStr">
        <is>
          <t>ПВХ пленка</t>
        </is>
      </c>
      <c r="E953" s="112" t="n">
        <v>166760</v>
      </c>
      <c r="F953" s="73" t="n"/>
      <c r="G953" s="111">
        <f>E953+F953</f>
        <v/>
      </c>
      <c r="H953" s="73" t="inlineStr">
        <is>
          <t>Выплачено</t>
        </is>
      </c>
      <c r="I953" s="66" t="inlineStr">
        <is>
          <t>Ок</t>
        </is>
      </c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>
      <c r="A954" s="5" t="n"/>
      <c r="B954" s="40" t="n">
        <v>46083</v>
      </c>
      <c r="C954" s="73" t="inlineStr">
        <is>
          <t xml:space="preserve">Глобал Халал </t>
        </is>
      </c>
      <c r="D954" s="73" t="inlineStr">
        <is>
          <t>курица</t>
        </is>
      </c>
      <c r="E954" s="112" t="n">
        <v>1000000</v>
      </c>
      <c r="F954" s="73" t="n"/>
      <c r="G954" s="111">
        <f>E954+F954</f>
        <v/>
      </c>
      <c r="H954" s="73" t="inlineStr">
        <is>
          <t>Выплачено</t>
        </is>
      </c>
      <c r="I954" s="66" t="inlineStr">
        <is>
          <t>Ок</t>
        </is>
      </c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>
      <c r="A955" s="5" t="n"/>
      <c r="B955" s="40" t="n">
        <v>46083</v>
      </c>
      <c r="C955" s="113" t="inlineStr">
        <is>
          <t>"Medhelp"</t>
        </is>
      </c>
      <c r="D955" s="73" t="inlineStr">
        <is>
          <t>халаты, маски</t>
        </is>
      </c>
      <c r="E955" s="112" t="n">
        <v>39900</v>
      </c>
      <c r="F955" s="73" t="n"/>
      <c r="G955" s="111">
        <f>E955+F955</f>
        <v/>
      </c>
      <c r="H955" s="73" t="inlineStr">
        <is>
          <t>Выплачено</t>
        </is>
      </c>
      <c r="I955" s="66" t="inlineStr">
        <is>
          <t>Ок</t>
        </is>
      </c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>
      <c r="A956" s="5" t="n"/>
      <c r="B956" s="40" t="n">
        <v>46083</v>
      </c>
      <c r="C956" s="73" t="inlineStr">
        <is>
          <t>Ботабаева Камшат Болатовна ИП униформа</t>
        </is>
      </c>
      <c r="D956" s="73" t="n"/>
      <c r="E956" s="112" t="n">
        <v>16800</v>
      </c>
      <c r="F956" s="73" t="n"/>
      <c r="G956" s="111">
        <f>E956+F956</f>
        <v/>
      </c>
      <c r="H956" s="73" t="inlineStr">
        <is>
          <t>Выплачено</t>
        </is>
      </c>
      <c r="I956" s="66" t="inlineStr">
        <is>
          <t>Ок</t>
        </is>
      </c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>
      <c r="A957" s="5" t="n"/>
      <c r="B957" s="40" t="n">
        <v>46083</v>
      </c>
      <c r="C957" s="57" t="inlineStr">
        <is>
          <t xml:space="preserve">ТОО Электрокомплекс Lighting Бексанат </t>
        </is>
      </c>
      <c r="D957" s="73" t="inlineStr">
        <is>
          <t xml:space="preserve">Кабель ВВГ 5* 2,5 нгА LS </t>
        </is>
      </c>
      <c r="E957" s="112" t="n">
        <v>35660</v>
      </c>
      <c r="F957" s="73" t="n"/>
      <c r="G957" s="111">
        <f>E957+F957</f>
        <v/>
      </c>
      <c r="H957" s="73" t="inlineStr">
        <is>
          <t>Выплачено</t>
        </is>
      </c>
      <c r="I957" s="66" t="inlineStr">
        <is>
          <t>Ок</t>
        </is>
      </c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>
      <c r="A958" s="5" t="n"/>
      <c r="B958" s="40" t="n">
        <v>46083</v>
      </c>
      <c r="C958" s="92" t="inlineStr">
        <is>
          <t>ИП PRODVIG</t>
        </is>
      </c>
      <c r="D958" s="73" t="n"/>
      <c r="E958" s="112" t="n">
        <v>40600</v>
      </c>
      <c r="F958" s="73" t="n"/>
      <c r="G958" s="111">
        <f>E958+F958</f>
        <v/>
      </c>
      <c r="H958" s="73" t="inlineStr">
        <is>
          <t>Выплачено</t>
        </is>
      </c>
      <c r="I958" s="66" t="inlineStr">
        <is>
          <t>Ок</t>
        </is>
      </c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>
      <c r="A959" s="5" t="n"/>
      <c r="B959" s="40" t="n">
        <v>46083</v>
      </c>
      <c r="C959" s="73" t="inlineStr">
        <is>
          <t>TGR Company</t>
        </is>
      </c>
      <c r="D959" s="73" t="inlineStr">
        <is>
          <t>контейнеры, крышки</t>
        </is>
      </c>
      <c r="E959" s="112" t="n">
        <v>311800</v>
      </c>
      <c r="F959" s="73" t="n"/>
      <c r="G959" s="111">
        <f>E959+F959</f>
        <v/>
      </c>
      <c r="H959" s="73" t="inlineStr">
        <is>
          <t>Выплачено</t>
        </is>
      </c>
      <c r="I959" s="66" t="inlineStr">
        <is>
          <t>Ок</t>
        </is>
      </c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>
      <c r="A960" s="5" t="n"/>
      <c r="B960" s="40" t="n">
        <v>46084</v>
      </c>
      <c r="C960" s="73" t="inlineStr">
        <is>
          <t>Парус</t>
        </is>
      </c>
      <c r="D960" s="73" t="inlineStr">
        <is>
          <t>коробка под рулет</t>
        </is>
      </c>
      <c r="E960" s="112" t="n">
        <v>16500</v>
      </c>
      <c r="F960" s="73" t="n"/>
      <c r="G960" s="111">
        <f>E960+F960</f>
        <v/>
      </c>
      <c r="H960" s="73" t="inlineStr">
        <is>
          <t>Выплачено</t>
        </is>
      </c>
      <c r="I960" s="66" t="inlineStr">
        <is>
          <t>Ок</t>
        </is>
      </c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>
      <c r="A961" s="5" t="n"/>
      <c r="B961" s="40" t="n">
        <v>46084</v>
      </c>
      <c r="C961" s="73" t="inlineStr">
        <is>
          <t>Ли Станислав</t>
        </is>
      </c>
      <c r="D961" s="73" t="inlineStr">
        <is>
          <t xml:space="preserve">Подотчет сырье </t>
        </is>
      </c>
      <c r="E961" s="112" t="n"/>
      <c r="F961" s="73" t="n">
        <v>500000</v>
      </c>
      <c r="G961" s="111">
        <f>E961+F961</f>
        <v/>
      </c>
      <c r="H961" s="73" t="inlineStr">
        <is>
          <t>Выплачено</t>
        </is>
      </c>
      <c r="I961" s="66" t="inlineStr">
        <is>
          <t>Ок</t>
        </is>
      </c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>
      <c r="A962" s="5" t="n"/>
      <c r="B962" s="40" t="n">
        <v>46084</v>
      </c>
      <c r="C962" s="121" t="inlineStr">
        <is>
          <t>Курбанову М.. Жапаров А</t>
        </is>
      </c>
      <c r="D962" s="73" t="inlineStr">
        <is>
          <t xml:space="preserve">аванс </t>
        </is>
      </c>
      <c r="E962" s="112" t="n"/>
      <c r="F962" s="73" t="n">
        <v>170000</v>
      </c>
      <c r="G962" s="111">
        <f>E962+F962</f>
        <v/>
      </c>
      <c r="H962" s="73" t="inlineStr">
        <is>
          <t>Выплачено</t>
        </is>
      </c>
      <c r="I962" s="66" t="inlineStr">
        <is>
          <t>Ок</t>
        </is>
      </c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>
      <c r="A963" s="5" t="n"/>
      <c r="B963" s="40" t="n">
        <v>46084</v>
      </c>
      <c r="C963" s="73" t="inlineStr">
        <is>
          <t>Вон С.</t>
        </is>
      </c>
      <c r="D963" s="73" t="inlineStr">
        <is>
          <t>Оплата поставщикам за сырье</t>
        </is>
      </c>
      <c r="E963" s="112">
        <f>3287256+7958845</f>
        <v/>
      </c>
      <c r="F963" s="73" t="n"/>
      <c r="G963" s="111">
        <f>E963+F963</f>
        <v/>
      </c>
      <c r="H963" s="73" t="inlineStr">
        <is>
          <t>Выплачено</t>
        </is>
      </c>
      <c r="I963" s="66" t="inlineStr">
        <is>
          <t>Ок</t>
        </is>
      </c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>
      <c r="A964" s="5" t="n"/>
      <c r="B964" s="40" t="n">
        <v>46084</v>
      </c>
      <c r="C964" s="73" t="inlineStr">
        <is>
          <t>Тобулова Д</t>
        </is>
      </c>
      <c r="D964" s="73" t="inlineStr">
        <is>
          <t>Подарков женщинам производства на 8 марта</t>
        </is>
      </c>
      <c r="E964" s="112" t="n"/>
      <c r="F964" s="73" t="n">
        <v>286000</v>
      </c>
      <c r="G964" s="111">
        <f>E964+F964</f>
        <v/>
      </c>
      <c r="H964" s="73" t="inlineStr">
        <is>
          <t>Выплачено</t>
        </is>
      </c>
      <c r="I964" s="66" t="inlineStr">
        <is>
          <t>Ок</t>
        </is>
      </c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>
      <c r="A965" s="5" t="n"/>
      <c r="B965" s="40" t="n">
        <v>45719</v>
      </c>
      <c r="C965" s="73" t="inlineStr">
        <is>
          <t>Вон С.</t>
        </is>
      </c>
      <c r="D965" s="73" t="inlineStr">
        <is>
          <t>закуп филе</t>
        </is>
      </c>
      <c r="E965" s="112" t="n"/>
      <c r="F965" s="73" t="n">
        <v>720000</v>
      </c>
      <c r="G965" s="111">
        <f>E965+F965</f>
        <v/>
      </c>
      <c r="H965" s="73" t="inlineStr">
        <is>
          <t>Выплачено</t>
        </is>
      </c>
      <c r="I965" s="66" t="inlineStr">
        <is>
          <t>Ок</t>
        </is>
      </c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>
      <c r="A966" s="5" t="n"/>
      <c r="B966" s="40" t="n">
        <v>45720</v>
      </c>
      <c r="C966" s="73" t="inlineStr">
        <is>
          <t>Вон С.</t>
        </is>
      </c>
      <c r="D966" s="73" t="inlineStr">
        <is>
          <t>Оплата поставщикам за сырье</t>
        </is>
      </c>
      <c r="E966" s="112" t="n">
        <v>4029022</v>
      </c>
      <c r="F966" s="73" t="n"/>
      <c r="G966" s="111">
        <f>E966+F966</f>
        <v/>
      </c>
      <c r="H966" s="73" t="inlineStr">
        <is>
          <t>Выплачено</t>
        </is>
      </c>
      <c r="I966" s="66" t="inlineStr">
        <is>
          <t>Ок</t>
        </is>
      </c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>
      <c r="A967" s="5" t="n"/>
      <c r="B967" s="40" t="n">
        <v>45720</v>
      </c>
      <c r="C967" s="73" t="inlineStr">
        <is>
          <t xml:space="preserve">Вон С </t>
        </is>
      </c>
      <c r="D967" s="135" t="inlineStr">
        <is>
          <t>Закупа на Озоне и Каспий магазине</t>
        </is>
      </c>
      <c r="E967" s="112" t="n"/>
      <c r="F967" s="73" t="n">
        <v>255152</v>
      </c>
      <c r="G967" s="111">
        <f>E967+F967</f>
        <v/>
      </c>
      <c r="H967" s="73" t="inlineStr">
        <is>
          <t>Выплачено</t>
        </is>
      </c>
      <c r="I967" s="66" t="inlineStr">
        <is>
          <t>Ок</t>
        </is>
      </c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>
      <c r="A968" s="5" t="n"/>
      <c r="B968" s="40" t="n">
        <v>45720</v>
      </c>
      <c r="C968" s="135" t="inlineStr">
        <is>
          <t>ИП Монтех</t>
        </is>
      </c>
      <c r="D968" s="135" t="inlineStr">
        <is>
          <t xml:space="preserve">Ремонт холодильного стола </t>
        </is>
      </c>
      <c r="E968" s="112" t="n">
        <v>75000</v>
      </c>
      <c r="F968" s="73" t="n"/>
      <c r="G968" s="111">
        <f>E968+F968</f>
        <v/>
      </c>
      <c r="H968" s="73" t="inlineStr">
        <is>
          <t>Выплачено</t>
        </is>
      </c>
      <c r="I968" s="66" t="inlineStr">
        <is>
          <t>Ок</t>
        </is>
      </c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>
      <c r="A969" s="5" t="n"/>
      <c r="B969" s="40" t="n">
        <v>45720</v>
      </c>
      <c r="C969" s="73" t="inlineStr">
        <is>
          <t>ИП PRODVIG</t>
        </is>
      </c>
      <c r="D969" s="746" t="inlineStr">
        <is>
          <t>Лицензия "Энтерпрайз-250"</t>
        </is>
      </c>
      <c r="E969" s="112" t="n">
        <v>220400</v>
      </c>
      <c r="F969" s="73" t="n"/>
      <c r="G969" s="111">
        <f>E969+F969</f>
        <v/>
      </c>
      <c r="H969" s="73" t="inlineStr">
        <is>
          <t>Выплачено</t>
        </is>
      </c>
      <c r="I969" s="66" t="inlineStr">
        <is>
          <t>Ок</t>
        </is>
      </c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>
      <c r="A970" s="5" t="n"/>
      <c r="B970" s="40" t="n">
        <v>46085</v>
      </c>
      <c r="C970" s="73" t="inlineStr">
        <is>
          <t>Парус</t>
        </is>
      </c>
      <c r="D970" s="73" t="inlineStr">
        <is>
          <t>гофродно, крышки</t>
        </is>
      </c>
      <c r="E970" s="112" t="n">
        <v>13350</v>
      </c>
      <c r="F970" s="73" t="n"/>
      <c r="G970" s="111">
        <f>E970+F970</f>
        <v/>
      </c>
      <c r="H970" s="73" t="inlineStr">
        <is>
          <t>Выплачено</t>
        </is>
      </c>
      <c r="I970" s="66" t="inlineStr">
        <is>
          <t>Ок</t>
        </is>
      </c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>
      <c r="A971" s="5" t="n"/>
      <c r="B971" s="40" t="n">
        <v>46085</v>
      </c>
      <c r="C971" s="73" t="inlineStr">
        <is>
          <t>Шымкентмай</t>
        </is>
      </c>
      <c r="D971" s="73" t="inlineStr">
        <is>
          <t>масло подсолнечное</t>
        </is>
      </c>
      <c r="E971" s="112" t="n">
        <v>440400</v>
      </c>
      <c r="F971" s="73" t="n"/>
      <c r="G971" s="111">
        <f>E971+F971</f>
        <v/>
      </c>
      <c r="H971" s="73" t="inlineStr">
        <is>
          <t>Выплачено</t>
        </is>
      </c>
      <c r="I971" s="66" t="inlineStr">
        <is>
          <t>Ок</t>
        </is>
      </c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>
      <c r="A972" s="5" t="n"/>
      <c r="B972" s="40" t="n">
        <v>46085</v>
      </c>
      <c r="C972" s="73" t="inlineStr">
        <is>
          <t>Ли Станислав</t>
        </is>
      </c>
      <c r="D972" s="73" t="inlineStr">
        <is>
          <t xml:space="preserve">Подотчет сырье </t>
        </is>
      </c>
      <c r="E972" s="112" t="n"/>
      <c r="F972" s="73" t="n">
        <v>500000</v>
      </c>
      <c r="G972" s="111">
        <f>E972+F972</f>
        <v/>
      </c>
      <c r="H972" s="73" t="inlineStr">
        <is>
          <t>Выплачено</t>
        </is>
      </c>
      <c r="I972" s="66" t="inlineStr">
        <is>
          <t>Ок</t>
        </is>
      </c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>
      <c r="A973" s="5" t="n"/>
      <c r="B973" s="40" t="n">
        <v>46085</v>
      </c>
      <c r="C973" s="73" t="inlineStr">
        <is>
          <t xml:space="preserve">Аванс </t>
        </is>
      </c>
      <c r="D973" s="73" t="inlineStr">
        <is>
          <t xml:space="preserve">производства </t>
        </is>
      </c>
      <c r="E973" s="112" t="n"/>
      <c r="F973" s="73" t="n">
        <v>1118000</v>
      </c>
      <c r="G973" s="111">
        <f>E973+F973</f>
        <v/>
      </c>
      <c r="H973" s="73" t="inlineStr">
        <is>
          <t>Выплачено</t>
        </is>
      </c>
      <c r="I973" s="66" t="inlineStr">
        <is>
          <t>Ок</t>
        </is>
      </c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>
      <c r="A974" s="5" t="n"/>
      <c r="B974" s="40" t="n">
        <v>46085</v>
      </c>
      <c r="C974" s="73" t="inlineStr">
        <is>
          <t>ЗП</t>
        </is>
      </c>
      <c r="D974" s="73" t="inlineStr">
        <is>
          <t xml:space="preserve">АУП </t>
        </is>
      </c>
      <c r="E974" s="112" t="n"/>
      <c r="F974" s="73" t="n">
        <v>763000</v>
      </c>
      <c r="G974" s="111">
        <f>E974+F974</f>
        <v/>
      </c>
      <c r="H974" s="73" t="inlineStr">
        <is>
          <t>Выплачено</t>
        </is>
      </c>
      <c r="I974" s="66" t="inlineStr">
        <is>
          <t>Ок</t>
        </is>
      </c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>
      <c r="A975" s="5" t="n"/>
      <c r="B975" s="40" t="n">
        <v>46086</v>
      </c>
      <c r="C975" s="73" t="inlineStr">
        <is>
          <t>Ли Станислав</t>
        </is>
      </c>
      <c r="D975" s="73" t="inlineStr">
        <is>
          <t xml:space="preserve">Подотчет сырье </t>
        </is>
      </c>
      <c r="E975" s="112" t="n"/>
      <c r="F975" s="73" t="n">
        <v>500000</v>
      </c>
      <c r="G975" s="111">
        <f>E975+F975</f>
        <v/>
      </c>
      <c r="H975" s="73" t="inlineStr">
        <is>
          <t>Выплачено</t>
        </is>
      </c>
      <c r="I975" s="66" t="inlineStr">
        <is>
          <t>Ок</t>
        </is>
      </c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>
      <c r="A976" s="5" t="n"/>
      <c r="B976" s="40" t="n">
        <v>46086</v>
      </c>
      <c r="C976" s="73" t="inlineStr">
        <is>
          <t>Зарплата недельная</t>
        </is>
      </c>
      <c r="D976" s="73" t="inlineStr">
        <is>
          <t xml:space="preserve">Лагманщики </t>
        </is>
      </c>
      <c r="E976" s="112" t="n"/>
      <c r="F976" s="73" t="n">
        <v>400000</v>
      </c>
      <c r="G976" s="111">
        <f>E976+F976</f>
        <v/>
      </c>
      <c r="H976" s="73" t="inlineStr">
        <is>
          <t>Выплачено</t>
        </is>
      </c>
      <c r="I976" s="66" t="inlineStr">
        <is>
          <t>Ок</t>
        </is>
      </c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>
      <c r="A977" s="5" t="n"/>
      <c r="B977" s="40" t="n">
        <v>46086</v>
      </c>
      <c r="C977" s="73" t="inlineStr">
        <is>
          <t>Амувакиров А.</t>
        </is>
      </c>
      <c r="D977" s="73" t="inlineStr">
        <is>
          <t>оплата корпорат.почты</t>
        </is>
      </c>
      <c r="E977" s="112" t="n"/>
      <c r="F977" s="73" t="n">
        <v>111000</v>
      </c>
      <c r="G977" s="111">
        <f>E977+F977</f>
        <v/>
      </c>
      <c r="H977" s="73" t="inlineStr">
        <is>
          <t>Выплачено</t>
        </is>
      </c>
      <c r="I977" s="66" t="inlineStr">
        <is>
          <t>Ок</t>
        </is>
      </c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>
      <c r="A978" s="5" t="n"/>
      <c r="B978" s="40" t="n">
        <v>46086</v>
      </c>
      <c r="C978" s="73" t="inlineStr">
        <is>
          <t>Рэд Тим</t>
        </is>
      </c>
      <c r="D978" s="73" t="n"/>
      <c r="E978" s="112" t="n"/>
      <c r="F978" s="73" t="n">
        <v>397284</v>
      </c>
      <c r="G978" s="111">
        <f>E978+F978</f>
        <v/>
      </c>
      <c r="H978" s="73" t="inlineStr">
        <is>
          <t>Выплачено</t>
        </is>
      </c>
      <c r="I978" s="66" t="inlineStr">
        <is>
          <t>Ок</t>
        </is>
      </c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>
      <c r="A979" s="5" t="n"/>
      <c r="B979" s="40" t="n">
        <v>46086</v>
      </c>
      <c r="C979" s="113" t="inlineStr">
        <is>
          <t>КазEвроСпецСнаб</t>
        </is>
      </c>
      <c r="D979" s="73" t="n"/>
      <c r="E979" s="112" t="n">
        <v>568500</v>
      </c>
      <c r="F979" s="73" t="n"/>
      <c r="G979" s="111">
        <f>E979+F979</f>
        <v/>
      </c>
      <c r="H979" s="73" t="inlineStr">
        <is>
          <t>Выплачено</t>
        </is>
      </c>
      <c r="I979" s="66" t="inlineStr">
        <is>
          <t>Ок</t>
        </is>
      </c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>
      <c r="A980" s="5" t="n"/>
      <c r="B980" s="40" t="n">
        <v>46087</v>
      </c>
      <c r="C980" s="73" t="inlineStr">
        <is>
          <t>Вон С.</t>
        </is>
      </c>
      <c r="D980" s="73" t="inlineStr">
        <is>
          <t>Оплата поставщикам за сырье</t>
        </is>
      </c>
      <c r="E980" s="112" t="n">
        <v>11734859</v>
      </c>
      <c r="F980" s="73" t="n"/>
      <c r="G980" s="111">
        <f>E980+F980</f>
        <v/>
      </c>
      <c r="H980" s="73" t="inlineStr">
        <is>
          <t>Выплачено</t>
        </is>
      </c>
      <c r="I980" s="66" t="inlineStr">
        <is>
          <t>Ок</t>
        </is>
      </c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>
      <c r="A981" s="5" t="n"/>
      <c r="B981" s="393" t="n"/>
      <c r="D981" s="73" t="n"/>
      <c r="E981" s="112" t="n"/>
      <c r="F981" s="73" t="n"/>
      <c r="G981" s="111">
        <f>E981+F981</f>
        <v/>
      </c>
      <c r="H981" s="73" t="inlineStr">
        <is>
          <t>Отложено</t>
        </is>
      </c>
      <c r="I981" s="66" t="inlineStr">
        <is>
          <t>Ок</t>
        </is>
      </c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>
      <c r="A982" s="5" t="n"/>
      <c r="B982" s="40" t="n">
        <v>46087</v>
      </c>
      <c r="C982" s="73" t="inlineStr">
        <is>
          <t>APF service company ИП мусор</t>
        </is>
      </c>
      <c r="D982" s="73" t="n"/>
      <c r="E982" s="112" t="n">
        <v>689040</v>
      </c>
      <c r="F982" s="73" t="n"/>
      <c r="G982" s="111">
        <f>E982+F982</f>
        <v/>
      </c>
      <c r="H982" s="73" t="inlineStr">
        <is>
          <t>Выплачено</t>
        </is>
      </c>
      <c r="I982" s="66" t="inlineStr">
        <is>
          <t>Ок</t>
        </is>
      </c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>
      <c r="A983" s="5" t="n"/>
      <c r="B983" s="40" t="n">
        <v>46101</v>
      </c>
      <c r="C983" s="746" t="inlineStr">
        <is>
          <t xml:space="preserve">Култаева Жадыра </t>
        </is>
      </c>
      <c r="D983" s="746" t="inlineStr">
        <is>
          <t>за лекарства и прем врача ребилитолога об сумма 180 988</t>
        </is>
      </c>
      <c r="E983" s="112" t="n"/>
      <c r="F983" s="73" t="n">
        <v>60329</v>
      </c>
      <c r="G983" s="111">
        <f>E983+F983</f>
        <v/>
      </c>
      <c r="H983" s="73" t="inlineStr">
        <is>
          <t>Выплачено</t>
        </is>
      </c>
      <c r="I983" s="66" t="inlineStr">
        <is>
          <t>Ок</t>
        </is>
      </c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>
      <c r="A984" s="5" t="n"/>
      <c r="B984" s="40" t="n">
        <v>46087</v>
      </c>
      <c r="C984" s="68" t="inlineStr">
        <is>
          <t xml:space="preserve">ИП Демьянов </t>
        </is>
      </c>
      <c r="D984" s="68" t="n"/>
      <c r="E984" s="112" t="n">
        <v>1000000</v>
      </c>
      <c r="G984" s="111">
        <f>E984+F984</f>
        <v/>
      </c>
      <c r="H984" s="73" t="inlineStr">
        <is>
          <t>Выплачено</t>
        </is>
      </c>
      <c r="I984" s="66" t="inlineStr">
        <is>
          <t>Ок</t>
        </is>
      </c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>
      <c r="A985" s="5" t="n"/>
      <c r="B985" s="40" t="n">
        <v>46090</v>
      </c>
      <c r="C985" s="73" t="inlineStr">
        <is>
          <t>Вон С</t>
        </is>
      </c>
      <c r="D985" s="73" t="inlineStr">
        <is>
          <t>Возместить потраченные средства</t>
        </is>
      </c>
      <c r="E985" s="112" t="n"/>
      <c r="F985" s="73" t="n">
        <v>248000</v>
      </c>
      <c r="G985" s="111">
        <f>E985+F985</f>
        <v/>
      </c>
      <c r="H985" s="73" t="inlineStr">
        <is>
          <t>Выплачено</t>
        </is>
      </c>
      <c r="I985" s="66" t="inlineStr">
        <is>
          <t>Ок</t>
        </is>
      </c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>
      <c r="A986" s="5" t="n"/>
      <c r="B986" s="40" t="n">
        <v>46090</v>
      </c>
      <c r="C986" s="73" t="inlineStr">
        <is>
          <t>Вон С</t>
        </is>
      </c>
      <c r="D986" s="73" t="n"/>
      <c r="E986" s="112" t="n"/>
      <c r="F986" s="73" t="n">
        <v>300000</v>
      </c>
      <c r="G986" s="111">
        <f>E986+F986</f>
        <v/>
      </c>
      <c r="H986" s="73" t="inlineStr">
        <is>
          <t>Выплачено</t>
        </is>
      </c>
      <c r="I986" s="66" t="inlineStr">
        <is>
          <t>Ок</t>
        </is>
      </c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>
      <c r="A987" s="5" t="n"/>
      <c r="B987" s="40" t="n">
        <v>46091</v>
      </c>
      <c r="C987" s="73" t="inlineStr">
        <is>
          <t>ИП Ахмерова</t>
        </is>
      </c>
      <c r="D987" s="73" t="inlineStr">
        <is>
          <t>ПЭТ бутылки</t>
        </is>
      </c>
      <c r="E987" s="112" t="n">
        <v>73440</v>
      </c>
      <c r="F987" s="73" t="n"/>
      <c r="G987" s="111">
        <f>E987+F987</f>
        <v/>
      </c>
      <c r="H987" s="73" t="inlineStr">
        <is>
          <t>Выплачено</t>
        </is>
      </c>
      <c r="I987" s="66" t="inlineStr">
        <is>
          <t>Ок</t>
        </is>
      </c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>
      <c r="A988" s="5" t="n"/>
      <c r="B988" s="40" t="n">
        <v>46091</v>
      </c>
      <c r="C988" s="73" t="n"/>
      <c r="D988" s="73" t="inlineStr">
        <is>
          <t>ЗП на карты</t>
        </is>
      </c>
      <c r="E988" s="112" t="n">
        <v>14011626</v>
      </c>
      <c r="F988" s="73" t="n"/>
      <c r="G988" s="111">
        <f>E988+F988</f>
        <v/>
      </c>
      <c r="H988" s="73" t="inlineStr">
        <is>
          <t>Выплачено</t>
        </is>
      </c>
      <c r="I988" s="66" t="inlineStr">
        <is>
          <t>Ок</t>
        </is>
      </c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>
      <c r="A989" s="5" t="n"/>
      <c r="B989" s="40" t="n">
        <v>46092</v>
      </c>
      <c r="C989" s="73" t="inlineStr">
        <is>
          <t xml:space="preserve">Эрик капуста </t>
        </is>
      </c>
      <c r="D989" s="73" t="n"/>
      <c r="E989" s="112" t="n"/>
      <c r="F989" s="73" t="n">
        <v>677255</v>
      </c>
      <c r="G989" s="111">
        <f>E989+F989</f>
        <v/>
      </c>
      <c r="H989" s="73" t="inlineStr">
        <is>
          <t>Выплачено</t>
        </is>
      </c>
      <c r="I989" s="66" t="inlineStr">
        <is>
          <t>Ок</t>
        </is>
      </c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>
      <c r="A990" s="5" t="n"/>
      <c r="B990" s="40" t="n">
        <v>46091</v>
      </c>
      <c r="C990" s="73" t="inlineStr">
        <is>
          <t xml:space="preserve">Марал </t>
        </is>
      </c>
      <c r="D990" s="73" t="inlineStr">
        <is>
          <t xml:space="preserve">расчет сегодня это срочно </t>
        </is>
      </c>
      <c r="E990" s="112" t="n"/>
      <c r="F990" s="73" t="n">
        <v>847000</v>
      </c>
      <c r="G990" s="111">
        <f>E990+F990</f>
        <v/>
      </c>
      <c r="H990" s="73" t="inlineStr">
        <is>
          <t>Выплачено</t>
        </is>
      </c>
      <c r="I990" s="66" t="inlineStr">
        <is>
          <t>Ок</t>
        </is>
      </c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>
      <c r="A991" s="5" t="n"/>
      <c r="B991" s="40" t="n">
        <v>46091</v>
      </c>
      <c r="C991" s="73" t="inlineStr">
        <is>
          <t>Лейму Казахстан</t>
        </is>
      </c>
      <c r="D991" s="73" t="inlineStr">
        <is>
          <t>семена льна</t>
        </is>
      </c>
      <c r="E991" s="112" t="n">
        <v>44000</v>
      </c>
      <c r="F991" s="73" t="n"/>
      <c r="G991" s="111">
        <f>E991+F991</f>
        <v/>
      </c>
      <c r="H991" s="73" t="inlineStr">
        <is>
          <t>Выплачено</t>
        </is>
      </c>
      <c r="I991" s="66" t="inlineStr">
        <is>
          <t>Ок</t>
        </is>
      </c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>
      <c r="A992" s="5" t="n"/>
      <c r="B992" s="40" t="n">
        <v>46091</v>
      </c>
      <c r="C992" s="73" t="inlineStr">
        <is>
          <t>Глобал Халал</t>
        </is>
      </c>
      <c r="D992" s="73" t="inlineStr">
        <is>
          <t>филе кур.</t>
        </is>
      </c>
      <c r="E992" s="112" t="n">
        <v>1800000</v>
      </c>
      <c r="F992" s="73" t="n"/>
      <c r="G992" s="111">
        <f>E992+F992</f>
        <v/>
      </c>
      <c r="H992" s="73" t="inlineStr">
        <is>
          <t>Выплачено</t>
        </is>
      </c>
      <c r="I992" s="66" t="inlineStr">
        <is>
          <t>Ок</t>
        </is>
      </c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>
      <c r="A993" s="5" t="n"/>
      <c r="B993" s="40" t="n">
        <v>46092</v>
      </c>
      <c r="C993" s="73" t="n"/>
      <c r="D993" s="121" t="inlineStr">
        <is>
          <t>бонус Тоймарт фев.26</t>
        </is>
      </c>
      <c r="E993" s="112" t="n"/>
      <c r="F993" s="73" t="n">
        <v>378708</v>
      </c>
      <c r="G993" s="111">
        <f>E993+F993</f>
        <v/>
      </c>
      <c r="H993" s="73" t="inlineStr">
        <is>
          <t>Выплачено</t>
        </is>
      </c>
      <c r="I993" s="66" t="inlineStr">
        <is>
          <t>Ок</t>
        </is>
      </c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>
      <c r="A994" s="5" t="n"/>
      <c r="B994" s="40" t="n">
        <v>46091</v>
      </c>
      <c r="C994" s="119" t="inlineStr">
        <is>
          <t>ТОО "MPARGO"</t>
        </is>
      </c>
      <c r="D994" s="73" t="inlineStr">
        <is>
          <t>маринад, панировка</t>
        </is>
      </c>
      <c r="E994" s="112" t="n">
        <v>171600</v>
      </c>
      <c r="F994" s="73" t="n"/>
      <c r="G994" s="111">
        <f>E994+F994</f>
        <v/>
      </c>
      <c r="H994" s="73" t="inlineStr">
        <is>
          <t>Выплачено</t>
        </is>
      </c>
      <c r="I994" s="66" t="inlineStr">
        <is>
          <t>Ок</t>
        </is>
      </c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>
      <c r="A995" s="5" t="n"/>
      <c r="B995" s="40" t="n">
        <v>46092</v>
      </c>
      <c r="C995" s="73" t="inlineStr">
        <is>
          <t>Маханов М</t>
        </is>
      </c>
      <c r="D995" s="73" t="inlineStr">
        <is>
          <t>ТОО FLSP</t>
        </is>
      </c>
      <c r="E995" s="112" t="n">
        <v>16400</v>
      </c>
      <c r="F995" s="73" t="n"/>
      <c r="G995" s="111">
        <f>E995+F995</f>
        <v/>
      </c>
      <c r="H995" s="73" t="inlineStr">
        <is>
          <t>Выплачено</t>
        </is>
      </c>
      <c r="I995" s="66" t="inlineStr">
        <is>
          <t>Ок</t>
        </is>
      </c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>
      <c r="A996" s="5" t="n"/>
      <c r="B996" s="40" t="n">
        <v>46092</v>
      </c>
      <c r="C996" s="73" t="inlineStr">
        <is>
          <t xml:space="preserve">Жансултан </t>
        </is>
      </c>
      <c r="D996" s="73" t="inlineStr">
        <is>
          <t xml:space="preserve">ТОО Фудтехник </t>
        </is>
      </c>
      <c r="E996" s="112" t="n">
        <v>85500</v>
      </c>
      <c r="F996" s="73" t="n"/>
      <c r="G996" s="111">
        <f>E996+F996</f>
        <v/>
      </c>
      <c r="H996" s="73" t="inlineStr">
        <is>
          <t>Выплачено</t>
        </is>
      </c>
      <c r="I996" s="66" t="inlineStr">
        <is>
          <t>Ок</t>
        </is>
      </c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>
      <c r="A997" s="5" t="n"/>
      <c r="B997" s="40" t="n">
        <v>46092</v>
      </c>
      <c r="C997" s="73" t="inlineStr">
        <is>
          <t xml:space="preserve">Аванс </t>
        </is>
      </c>
      <c r="D997" s="73" t="inlineStr">
        <is>
          <t xml:space="preserve">Какоткина С Сагынбаев С Жазира  оператор </t>
        </is>
      </c>
      <c r="E997" s="112" t="n"/>
      <c r="F997" s="73" t="n">
        <v>430000</v>
      </c>
      <c r="G997" s="111">
        <f>E997+F997</f>
        <v/>
      </c>
      <c r="H997" s="73" t="inlineStr">
        <is>
          <t>Выплачено</t>
        </is>
      </c>
      <c r="I997" s="66" t="inlineStr">
        <is>
          <t>Ок</t>
        </is>
      </c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>
      <c r="A998" s="5" t="n"/>
      <c r="B998" s="40" t="n">
        <v>46092</v>
      </c>
      <c r="C998" s="73" t="inlineStr">
        <is>
          <t>Адиль</t>
        </is>
      </c>
      <c r="D998" s="57" t="inlineStr">
        <is>
          <t>ТОО "Компания Э-КОМ ПРАЙМ"</t>
        </is>
      </c>
      <c r="E998" s="112" t="n">
        <v>90000</v>
      </c>
      <c r="F998" s="73" t="n"/>
      <c r="G998" s="111">
        <f>E998+F998</f>
        <v/>
      </c>
      <c r="H998" s="73" t="inlineStr">
        <is>
          <t>Выплачено</t>
        </is>
      </c>
      <c r="I998" s="66" t="inlineStr">
        <is>
          <t>Ок</t>
        </is>
      </c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>
      <c r="A999" s="5" t="n"/>
      <c r="B999" s="40" t="n"/>
      <c r="C999" s="73" t="inlineStr">
        <is>
          <t xml:space="preserve">НОРД </t>
        </is>
      </c>
      <c r="D999" s="73" t="n"/>
      <c r="E999" s="112" t="n">
        <v>4087110</v>
      </c>
      <c r="F999" s="73" t="n"/>
      <c r="G999" s="111">
        <f>E999+F999</f>
        <v/>
      </c>
      <c r="H999" s="73" t="inlineStr">
        <is>
          <t>Отложено</t>
        </is>
      </c>
      <c r="I999" s="66" t="inlineStr">
        <is>
          <t>не согалсовано</t>
        </is>
      </c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>
      <c r="A1000" s="5" t="n"/>
      <c r="B1000" s="40" t="n">
        <v>46092</v>
      </c>
      <c r="C1000" s="73" t="inlineStr">
        <is>
          <t>Вон С.</t>
        </is>
      </c>
      <c r="D1000" s="73" t="inlineStr">
        <is>
          <t>Оплата поставщикам за сырье</t>
        </is>
      </c>
      <c r="E1000" s="112" t="n">
        <v>5876774</v>
      </c>
      <c r="F1000" s="73" t="n"/>
      <c r="G1000" s="111">
        <f>E1000+F1000</f>
        <v/>
      </c>
      <c r="H1000" s="73" t="inlineStr">
        <is>
          <t>Выплачено</t>
        </is>
      </c>
      <c r="I1000" s="66" t="inlineStr">
        <is>
          <t>Ок</t>
        </is>
      </c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  <row r="1001">
      <c r="A1001" s="5" t="n"/>
      <c r="B1001" s="40" t="n">
        <v>46092</v>
      </c>
      <c r="C1001" s="73" t="inlineStr">
        <is>
          <t>Тобуловой Д</t>
        </is>
      </c>
      <c r="D1001" s="73" t="inlineStr">
        <is>
          <t xml:space="preserve">СЗ-8 март АУП </t>
        </is>
      </c>
      <c r="E1001" s="112" t="n"/>
      <c r="F1001" s="73" t="n">
        <v>125000</v>
      </c>
      <c r="G1001" s="111">
        <f>E1001+F1001</f>
        <v/>
      </c>
      <c r="H1001" s="73" t="inlineStr">
        <is>
          <t>Выплачено</t>
        </is>
      </c>
      <c r="I1001" s="66" t="inlineStr">
        <is>
          <t>Ок</t>
        </is>
      </c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</row>
    <row r="1002">
      <c r="A1002" s="5" t="n"/>
      <c r="B1002" s="40" t="n">
        <v>46094</v>
      </c>
      <c r="C1002" s="68" t="inlineStr">
        <is>
          <t>Ли Станислав</t>
        </is>
      </c>
      <c r="D1002" s="68" t="inlineStr">
        <is>
          <t xml:space="preserve">Подотчет сырье </t>
        </is>
      </c>
      <c r="E1002" s="112" t="n"/>
      <c r="F1002" s="73" t="n">
        <v>500000</v>
      </c>
      <c r="G1002" s="111">
        <f>E1002+F1002</f>
        <v/>
      </c>
      <c r="H1002" s="73" t="inlineStr">
        <is>
          <t>Отложено</t>
        </is>
      </c>
      <c r="I1002" s="66" t="inlineStr">
        <is>
          <t>Ок</t>
        </is>
      </c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</row>
    <row r="1003">
      <c r="A1003" s="5" t="n"/>
      <c r="B1003" s="40" t="n">
        <v>46093</v>
      </c>
      <c r="C1003" s="68" t="inlineStr">
        <is>
          <t xml:space="preserve">ИП Демьянов </t>
        </is>
      </c>
      <c r="D1003" s="73" t="inlineStr">
        <is>
          <t>логистика</t>
        </is>
      </c>
      <c r="E1003" s="112" t="n">
        <v>500000</v>
      </c>
      <c r="F1003" s="73" t="n"/>
      <c r="G1003" s="111">
        <f>E1003+F1003</f>
        <v/>
      </c>
      <c r="H1003" s="73" t="inlineStr">
        <is>
          <t>Выплачено</t>
        </is>
      </c>
      <c r="I1003" s="66" t="inlineStr">
        <is>
          <t>Ок</t>
        </is>
      </c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</row>
    <row r="1004">
      <c r="A1004" s="5" t="n"/>
      <c r="B1004" s="40" t="n">
        <v>46093</v>
      </c>
      <c r="C1004" s="73" t="inlineStr">
        <is>
          <t>Вон С.</t>
        </is>
      </c>
      <c r="D1004" s="73" t="inlineStr">
        <is>
          <t>Оплата поставщикам за сырье</t>
        </is>
      </c>
      <c r="E1004" s="112" t="n">
        <v>7616020</v>
      </c>
      <c r="F1004" s="73" t="n"/>
      <c r="G1004" s="111">
        <f>E1004+F1004</f>
        <v/>
      </c>
      <c r="H1004" s="73" t="inlineStr">
        <is>
          <t>Выплачено</t>
        </is>
      </c>
      <c r="I1004" s="66" t="inlineStr">
        <is>
          <t>Ок</t>
        </is>
      </c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</row>
    <row r="1005">
      <c r="A1005" s="5" t="n"/>
      <c r="B1005" s="40" t="n">
        <v>46094</v>
      </c>
      <c r="C1005" s="73" t="inlineStr">
        <is>
          <t>Учет ИП</t>
        </is>
      </c>
      <c r="D1005" s="73" t="inlineStr">
        <is>
          <t>Услуги бухгалтера</t>
        </is>
      </c>
      <c r="E1005" s="112" t="n">
        <v>450000</v>
      </c>
      <c r="F1005" s="73" t="n"/>
      <c r="G1005" s="111">
        <f>E1005+F1005</f>
        <v/>
      </c>
      <c r="H1005" s="73" t="inlineStr">
        <is>
          <t>Выплачено</t>
        </is>
      </c>
      <c r="I1005" s="66" t="inlineStr">
        <is>
          <t>Ок</t>
        </is>
      </c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</row>
    <row r="1006">
      <c r="A1006" s="5" t="n"/>
      <c r="B1006" s="40" t="n">
        <v>46093</v>
      </c>
      <c r="C1006" s="73" t="inlineStr">
        <is>
          <t xml:space="preserve">Эрик капуста </t>
        </is>
      </c>
      <c r="D1006" s="73" t="n"/>
      <c r="E1006" s="112" t="n"/>
      <c r="F1006" s="73" t="n">
        <v>195300</v>
      </c>
      <c r="G1006" s="111">
        <f>E1006+F1006</f>
        <v/>
      </c>
      <c r="H1006" s="73" t="inlineStr">
        <is>
          <t>Выплачено</t>
        </is>
      </c>
      <c r="I1006" s="66" t="inlineStr">
        <is>
          <t>Ок</t>
        </is>
      </c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</row>
    <row r="1007">
      <c r="A1007" s="5" t="n"/>
      <c r="B1007" s="40" t="n">
        <v>46094</v>
      </c>
      <c r="C1007" s="73" t="inlineStr">
        <is>
          <t>Вон С.</t>
        </is>
      </c>
      <c r="D1007" s="73" t="inlineStr">
        <is>
          <t>Оплата поставщикам за сырье</t>
        </is>
      </c>
      <c r="E1007" s="112" t="n">
        <v>1293320</v>
      </c>
      <c r="F1007" s="73" t="n"/>
      <c r="G1007" s="111">
        <f>E1007+F1007</f>
        <v/>
      </c>
      <c r="H1007" s="73" t="inlineStr">
        <is>
          <t>Выплачено</t>
        </is>
      </c>
      <c r="I1007" s="66" t="inlineStr">
        <is>
          <t>Ок</t>
        </is>
      </c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</row>
    <row r="1008">
      <c r="A1008" s="5" t="n"/>
      <c r="B1008" s="40" t="n">
        <v>46094</v>
      </c>
      <c r="C1008" s="73" t="n"/>
      <c r="D1008" s="73" t="inlineStr">
        <is>
          <t>ЗП, уволенные</t>
        </is>
      </c>
      <c r="E1008" s="112" t="n"/>
      <c r="F1008" s="73" t="n">
        <v>1769974</v>
      </c>
      <c r="G1008" s="111">
        <f>E1008+F1008</f>
        <v/>
      </c>
      <c r="H1008" s="73" t="inlineStr">
        <is>
          <t>Выплачено</t>
        </is>
      </c>
      <c r="I1008" s="66" t="inlineStr">
        <is>
          <t>Ок</t>
        </is>
      </c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</row>
    <row r="1009">
      <c r="A1009" s="5" t="n"/>
      <c r="B1009" s="40" t="n">
        <v>46094</v>
      </c>
      <c r="C1009" s="73" t="inlineStr">
        <is>
          <t>Вон С.</t>
        </is>
      </c>
      <c r="D1009" s="73" t="inlineStr">
        <is>
          <t>Оплата поставщикам за сырье</t>
        </is>
      </c>
      <c r="E1009" s="112" t="n">
        <v>4780044</v>
      </c>
      <c r="F1009" s="73" t="n"/>
      <c r="G1009" s="111">
        <f>E1009+F1009</f>
        <v/>
      </c>
      <c r="H1009" s="73" t="inlineStr">
        <is>
          <t>Выплачено</t>
        </is>
      </c>
      <c r="I1009" s="66" t="inlineStr">
        <is>
          <t>Ок</t>
        </is>
      </c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</row>
    <row r="1010">
      <c r="A1010" s="5" t="n"/>
      <c r="B1010" s="40" t="n">
        <v>46094</v>
      </c>
      <c r="C1010" s="73" t="inlineStr">
        <is>
          <t>Вон С.</t>
        </is>
      </c>
      <c r="D1010" s="73" t="inlineStr">
        <is>
          <t>Оплата поставщикам за сырье</t>
        </is>
      </c>
      <c r="E1010" s="112" t="n">
        <v>3232876</v>
      </c>
      <c r="F1010" s="73" t="n"/>
      <c r="G1010" s="111">
        <f>E1010+F1010</f>
        <v/>
      </c>
      <c r="H1010" s="73" t="inlineStr">
        <is>
          <t>Выплачено</t>
        </is>
      </c>
      <c r="I1010" s="66" t="inlineStr">
        <is>
          <t>Ок</t>
        </is>
      </c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</row>
    <row r="1011">
      <c r="A1011" s="5" t="n"/>
      <c r="B1011" s="40" t="n">
        <v>46097</v>
      </c>
      <c r="C1011" s="73" t="inlineStr">
        <is>
          <t xml:space="preserve">Квартира </t>
        </is>
      </c>
      <c r="D1011" s="73" t="inlineStr">
        <is>
          <t xml:space="preserve">Узбеков </t>
        </is>
      </c>
      <c r="E1011" s="112" t="n"/>
      <c r="F1011" s="73" t="n">
        <v>300000</v>
      </c>
      <c r="G1011" s="111">
        <f>E1011+F1011</f>
        <v/>
      </c>
      <c r="H1011" s="73" t="inlineStr">
        <is>
          <t>Выплачено</t>
        </is>
      </c>
      <c r="I1011" s="66" t="inlineStr">
        <is>
          <t>Ок</t>
        </is>
      </c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</row>
    <row r="1012">
      <c r="A1012" s="5" t="n"/>
      <c r="B1012" s="40" t="n">
        <v>46097</v>
      </c>
      <c r="C1012" s="423" t="inlineStr">
        <is>
          <t>ИП Ахмерова</t>
        </is>
      </c>
      <c r="D1012" s="73" t="inlineStr">
        <is>
          <t>ПЭТ бутылки</t>
        </is>
      </c>
      <c r="E1012" s="112" t="n">
        <v>91800</v>
      </c>
      <c r="F1012" s="73" t="n"/>
      <c r="G1012" s="111">
        <f>E1012+F1012</f>
        <v/>
      </c>
      <c r="H1012" s="73" t="inlineStr">
        <is>
          <t>Выплачено</t>
        </is>
      </c>
      <c r="I1012" s="66" t="inlineStr">
        <is>
          <t>Ок</t>
        </is>
      </c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</row>
    <row r="1013">
      <c r="A1013" s="5" t="n"/>
      <c r="B1013" s="40" t="n">
        <v>46097</v>
      </c>
      <c r="C1013" s="137" t="inlineStr">
        <is>
          <t>ИП "INTELLPACK"</t>
        </is>
      </c>
      <c r="D1013" s="73" t="inlineStr">
        <is>
          <t>пленка ПВХ</t>
        </is>
      </c>
      <c r="E1013" s="112" t="n">
        <v>166760</v>
      </c>
      <c r="F1013" s="73" t="n"/>
      <c r="G1013" s="111">
        <f>E1013+F1013</f>
        <v/>
      </c>
      <c r="H1013" s="73" t="inlineStr">
        <is>
          <t>Выплачено</t>
        </is>
      </c>
      <c r="I1013" s="66" t="inlineStr">
        <is>
          <t>Ок</t>
        </is>
      </c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</row>
    <row r="1014">
      <c r="A1014" s="5" t="n"/>
      <c r="B1014" s="40" t="n">
        <v>46097</v>
      </c>
      <c r="C1014" s="73" t="inlineStr">
        <is>
          <t>Шымкентмай</t>
        </is>
      </c>
      <c r="D1014" s="73" t="inlineStr">
        <is>
          <t>масло подсолнечное</t>
        </is>
      </c>
      <c r="E1014" s="112" t="n">
        <v>440400</v>
      </c>
      <c r="F1014" s="73" t="n"/>
      <c r="G1014" s="111">
        <f>E1014+F1014</f>
        <v/>
      </c>
      <c r="H1014" s="73" t="inlineStr">
        <is>
          <t>Выплачено</t>
        </is>
      </c>
      <c r="I1014" s="66" t="inlineStr">
        <is>
          <t>Ок</t>
        </is>
      </c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</row>
    <row r="1015">
      <c r="A1015" s="5" t="n"/>
      <c r="B1015" s="40" t="n">
        <v>46097</v>
      </c>
      <c r="C1015" s="73" t="inlineStr">
        <is>
          <t xml:space="preserve">Квартира </t>
        </is>
      </c>
      <c r="D1015" s="73" t="inlineStr">
        <is>
          <t>Сон С  продлил до 31</t>
        </is>
      </c>
      <c r="E1015" s="112" t="n"/>
      <c r="F1015" s="73" t="n">
        <v>175000</v>
      </c>
      <c r="G1015" s="111">
        <f>E1015+F1015</f>
        <v/>
      </c>
      <c r="H1015" s="73" t="inlineStr">
        <is>
          <t>Выплачено</t>
        </is>
      </c>
      <c r="I1015" s="66" t="inlineStr">
        <is>
          <t>Ок</t>
        </is>
      </c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</row>
    <row r="1016">
      <c r="A1016" s="5" t="n"/>
      <c r="B1016" s="40" t="n">
        <v>46097</v>
      </c>
      <c r="C1016" s="120" t="inlineStr">
        <is>
          <t>ИП Сыздыкова</t>
        </is>
      </c>
      <c r="D1016" s="73" t="inlineStr">
        <is>
          <t>сахарница овальная 200 шт</t>
        </is>
      </c>
      <c r="E1016" s="112" t="n">
        <v>70000</v>
      </c>
      <c r="F1016" s="73" t="n"/>
      <c r="G1016" s="111">
        <f>E1016+F1016</f>
        <v/>
      </c>
      <c r="H1016" s="73" t="inlineStr">
        <is>
          <t>Выплачено</t>
        </is>
      </c>
      <c r="I1016" s="66" t="inlineStr">
        <is>
          <t>Ок</t>
        </is>
      </c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</row>
    <row r="1017">
      <c r="A1017" s="5" t="n"/>
      <c r="B1017" s="40" t="n">
        <v>46097</v>
      </c>
      <c r="C1017" s="73" t="n"/>
      <c r="D1017" s="73" t="inlineStr">
        <is>
          <t>ЗП Сая по СЗ</t>
        </is>
      </c>
      <c r="E1017" s="112" t="n"/>
      <c r="F1017" s="73" t="n">
        <v>500000</v>
      </c>
      <c r="G1017" s="111">
        <f>E1017+F1017</f>
        <v/>
      </c>
      <c r="H1017" s="73" t="inlineStr">
        <is>
          <t>Выплачено</t>
        </is>
      </c>
      <c r="I1017" s="66" t="inlineStr">
        <is>
          <t>Ок</t>
        </is>
      </c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</row>
    <row r="1018">
      <c r="A1018" s="5" t="n"/>
      <c r="B1018" s="40" t="n">
        <v>46097</v>
      </c>
      <c r="C1018" s="73" t="n"/>
      <c r="D1018" s="73" t="inlineStr">
        <is>
          <t>заправка шокового агрегата в пекарне</t>
        </is>
      </c>
      <c r="E1018" s="112" t="n">
        <v>75000</v>
      </c>
      <c r="F1018" s="73" t="n"/>
      <c r="G1018" s="111">
        <f>E1018+F1018</f>
        <v/>
      </c>
      <c r="H1018" s="73" t="inlineStr">
        <is>
          <t>Выплачено</t>
        </is>
      </c>
      <c r="I1018" s="66" t="inlineStr">
        <is>
          <t>Ок</t>
        </is>
      </c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</row>
    <row r="1019">
      <c r="A1019" s="5" t="n"/>
      <c r="B1019" s="40" t="n">
        <v>46097</v>
      </c>
      <c r="C1019" s="73" t="n"/>
      <c r="D1019" s="73" t="inlineStr">
        <is>
          <t>вызывные сотрудники по СЗ Отдел кадров</t>
        </is>
      </c>
      <c r="E1019" s="112" t="n"/>
      <c r="F1019" s="73" t="n">
        <v>24000</v>
      </c>
      <c r="G1019" s="111">
        <f>E1019+F1019</f>
        <v/>
      </c>
      <c r="H1019" s="73" t="inlineStr">
        <is>
          <t>Выплачено</t>
        </is>
      </c>
      <c r="I1019" s="66" t="inlineStr">
        <is>
          <t>Ок</t>
        </is>
      </c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</row>
    <row r="1020">
      <c r="A1020" s="5" t="n"/>
      <c r="B1020" s="40" t="n">
        <v>46097</v>
      </c>
      <c r="C1020" s="73" t="inlineStr">
        <is>
          <t>Фудмастер</t>
        </is>
      </c>
      <c r="D1020" s="73" t="n"/>
      <c r="E1020" s="112" t="n">
        <v>19848</v>
      </c>
      <c r="F1020" s="73" t="n"/>
      <c r="G1020" s="111">
        <f>E1020+F1020</f>
        <v/>
      </c>
      <c r="H1020" s="73" t="inlineStr">
        <is>
          <t>Выплачено</t>
        </is>
      </c>
      <c r="I1020" s="66" t="inlineStr">
        <is>
          <t>Ок</t>
        </is>
      </c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</row>
    <row r="1021">
      <c r="A1021" s="5" t="n"/>
      <c r="B1021" s="40" t="n">
        <v>46098</v>
      </c>
      <c r="C1021" s="73" t="inlineStr">
        <is>
          <t>Lirumax</t>
        </is>
      </c>
      <c r="D1021" s="73" t="inlineStr">
        <is>
          <t>вода Тассай</t>
        </is>
      </c>
      <c r="E1021" s="112" t="n">
        <v>34320</v>
      </c>
      <c r="F1021" s="73" t="n"/>
      <c r="G1021" s="111">
        <f>E1021+F1021</f>
        <v/>
      </c>
      <c r="H1021" s="73" t="inlineStr">
        <is>
          <t>Выплачено</t>
        </is>
      </c>
      <c r="I1021" s="66" t="inlineStr">
        <is>
          <t>Ок</t>
        </is>
      </c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</row>
    <row r="1022">
      <c r="A1022" s="5" t="n"/>
      <c r="B1022" s="40" t="n">
        <v>46097</v>
      </c>
      <c r="C1022" s="73" t="inlineStr">
        <is>
          <t>Ли Станислав</t>
        </is>
      </c>
      <c r="D1022" s="73" t="inlineStr">
        <is>
          <t xml:space="preserve">Подотчет сырье </t>
        </is>
      </c>
      <c r="E1022" s="112" t="n"/>
      <c r="F1022" s="73" t="n">
        <v>500000</v>
      </c>
      <c r="G1022" s="111">
        <f>E1022+F1022</f>
        <v/>
      </c>
      <c r="H1022" s="73" t="inlineStr">
        <is>
          <t>Выплачено</t>
        </is>
      </c>
      <c r="I1022" s="66" t="inlineStr">
        <is>
          <t>Ок</t>
        </is>
      </c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</row>
    <row r="1023">
      <c r="A1023" s="5" t="n"/>
      <c r="B1023" s="40" t="n">
        <v>46097</v>
      </c>
      <c r="C1023" s="73" t="inlineStr">
        <is>
          <t>Демьянов</t>
        </is>
      </c>
      <c r="D1023" s="73" t="inlineStr">
        <is>
          <t>логистика</t>
        </is>
      </c>
      <c r="E1023" s="112" t="n">
        <v>1025000</v>
      </c>
      <c r="F1023" s="73" t="n"/>
      <c r="G1023" s="111">
        <f>E1023+F1023</f>
        <v/>
      </c>
      <c r="H1023" s="73" t="inlineStr">
        <is>
          <t>Выплачено</t>
        </is>
      </c>
      <c r="I1023" s="66" t="inlineStr">
        <is>
          <t>Ок</t>
        </is>
      </c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</row>
    <row r="1024">
      <c r="A1024" s="5" t="n"/>
      <c r="B1024" s="40" t="n">
        <v>46097</v>
      </c>
      <c r="C1024" s="73" t="inlineStr">
        <is>
          <t>Малышев А.</t>
        </is>
      </c>
      <c r="D1024" s="73" t="inlineStr">
        <is>
          <t>Оплата поставщикам за сырье</t>
        </is>
      </c>
      <c r="E1024" s="138" t="n">
        <v>6818808</v>
      </c>
      <c r="F1024" s="73" t="n"/>
      <c r="G1024" s="111">
        <f>E1024+F1024</f>
        <v/>
      </c>
      <c r="H1024" s="73" t="inlineStr">
        <is>
          <t>Выплачено</t>
        </is>
      </c>
      <c r="I1024" s="66" t="inlineStr">
        <is>
          <t>Ок</t>
        </is>
      </c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</row>
    <row r="1025">
      <c r="A1025" s="5" t="n"/>
      <c r="B1025" s="40" t="n">
        <v>46098</v>
      </c>
      <c r="C1025" s="73" t="inlineStr">
        <is>
          <t>Малышев А.</t>
        </is>
      </c>
      <c r="D1025" s="73" t="inlineStr">
        <is>
          <t>Оплата поставщикам за сырье</t>
        </is>
      </c>
      <c r="E1025" s="112" t="n">
        <v>4281813</v>
      </c>
      <c r="F1025" s="73" t="n"/>
      <c r="G1025" s="111">
        <f>E1025+F1025</f>
        <v/>
      </c>
      <c r="H1025" s="73" t="inlineStr">
        <is>
          <t>Выплачено</t>
        </is>
      </c>
      <c r="I1025" s="66" t="inlineStr">
        <is>
          <t>Ок</t>
        </is>
      </c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</row>
    <row r="1026">
      <c r="A1026" s="5" t="n"/>
      <c r="B1026" s="40" t="n">
        <v>46098</v>
      </c>
      <c r="C1026" s="73" t="inlineStr">
        <is>
          <t>RB Brands</t>
        </is>
      </c>
      <c r="D1026" s="73" t="n"/>
      <c r="E1026" s="112" t="n">
        <v>551790</v>
      </c>
      <c r="F1026" s="73" t="n"/>
      <c r="G1026" s="111">
        <f>E1026+F1026</f>
        <v/>
      </c>
      <c r="H1026" s="73" t="inlineStr">
        <is>
          <t>Выплачено</t>
        </is>
      </c>
      <c r="I1026" s="66" t="inlineStr">
        <is>
          <t>Ок</t>
        </is>
      </c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</row>
    <row r="1027">
      <c r="A1027" s="5" t="n"/>
      <c r="B1027" s="40" t="n">
        <v>46098</v>
      </c>
      <c r="C1027" s="73" t="n"/>
      <c r="D1027" s="73" t="inlineStr">
        <is>
          <t>Аренда помещений</t>
        </is>
      </c>
      <c r="E1027" s="112" t="n">
        <v>6655000</v>
      </c>
      <c r="F1027" s="73" t="n"/>
      <c r="G1027" s="111">
        <f>E1027+F1027</f>
        <v/>
      </c>
      <c r="H1027" s="73" t="inlineStr">
        <is>
          <t>Выплачено</t>
        </is>
      </c>
      <c r="I1027" s="66" t="inlineStr">
        <is>
          <t>Ок</t>
        </is>
      </c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</row>
    <row r="1028">
      <c r="A1028" s="5" t="n"/>
      <c r="B1028" s="40" t="n">
        <v>46098</v>
      </c>
      <c r="C1028" s="73" t="inlineStr">
        <is>
          <t>Маханов М.</t>
        </is>
      </c>
      <c r="D1028" s="73" t="inlineStr">
        <is>
          <t>творожный сыр по СЗ</t>
        </is>
      </c>
      <c r="E1028" s="112" t="n"/>
      <c r="F1028" s="73" t="n">
        <v>100000</v>
      </c>
      <c r="G1028" s="111">
        <f>E1028+F1028</f>
        <v/>
      </c>
      <c r="H1028" s="73" t="inlineStr">
        <is>
          <t>Выплачено</t>
        </is>
      </c>
      <c r="I1028" s="66" t="inlineStr">
        <is>
          <t>Ок</t>
        </is>
      </c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</row>
    <row r="1029">
      <c r="A1029" s="5" t="n"/>
      <c r="B1029" s="40" t="n">
        <v>46098</v>
      </c>
      <c r="C1029" s="73" t="inlineStr">
        <is>
          <t>Норд</t>
        </is>
      </c>
      <c r="D1029" s="73" t="inlineStr">
        <is>
          <t>частичная оплата по охране</t>
        </is>
      </c>
      <c r="E1029" s="112" t="n">
        <v>1000000</v>
      </c>
      <c r="F1029" s="73" t="n"/>
      <c r="G1029" s="111">
        <f>E1029+F1029</f>
        <v/>
      </c>
      <c r="H1029" s="73" t="inlineStr">
        <is>
          <t>Выплачено</t>
        </is>
      </c>
      <c r="I1029" s="66" t="inlineStr">
        <is>
          <t>Ок</t>
        </is>
      </c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</row>
    <row r="1030">
      <c r="A1030" s="5" t="n"/>
      <c r="B1030" s="40" t="n">
        <v>46098</v>
      </c>
      <c r="C1030" s="73" t="n"/>
      <c r="D1030" s="73" t="inlineStr">
        <is>
          <t>ЧП</t>
        </is>
      </c>
      <c r="E1030" s="112" t="n"/>
      <c r="F1030" s="73" t="n">
        <v>1200000</v>
      </c>
      <c r="G1030" s="111">
        <f>E1030+F1030</f>
        <v/>
      </c>
      <c r="H1030" s="73" t="inlineStr">
        <is>
          <t>Выплачено</t>
        </is>
      </c>
      <c r="I1030" s="66" t="inlineStr">
        <is>
          <t>Ок</t>
        </is>
      </c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</row>
    <row r="1031">
      <c r="A1031" s="5" t="n"/>
      <c r="B1031" s="40" t="n">
        <v>46098</v>
      </c>
      <c r="C1031" s="73" t="inlineStr">
        <is>
          <t>Champello</t>
        </is>
      </c>
      <c r="D1031" s="73" t="inlineStr">
        <is>
          <t>грибы</t>
        </is>
      </c>
      <c r="E1031" s="112" t="n">
        <v>342720</v>
      </c>
      <c r="F1031" s="73" t="n"/>
      <c r="G1031" s="111">
        <f>E1031+F1031</f>
        <v/>
      </c>
      <c r="H1031" s="73" t="inlineStr">
        <is>
          <t>Выплачено</t>
        </is>
      </c>
      <c r="I1031" s="66" t="inlineStr">
        <is>
          <t>Ок</t>
        </is>
      </c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</row>
    <row r="1032">
      <c r="A1032" s="5" t="n"/>
      <c r="B1032" s="40" t="n">
        <v>46099</v>
      </c>
      <c r="C1032" s="73" t="inlineStr">
        <is>
          <t>Малышев А.</t>
        </is>
      </c>
      <c r="D1032" s="73" t="inlineStr">
        <is>
          <t>ремонт оборудования з/части Маханову М. по СЗ</t>
        </is>
      </c>
      <c r="E1032" s="112" t="n"/>
      <c r="F1032" s="73" t="n">
        <v>100000</v>
      </c>
      <c r="G1032" s="111">
        <f>E1032+F1032</f>
        <v/>
      </c>
      <c r="H1032" s="73" t="inlineStr">
        <is>
          <t>Выплачено</t>
        </is>
      </c>
      <c r="I1032" s="66" t="inlineStr">
        <is>
          <t>Ок</t>
        </is>
      </c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</row>
    <row r="1033">
      <c r="A1033" s="5" t="n"/>
      <c r="B1033" s="40" t="n">
        <v>46099</v>
      </c>
      <c r="C1033" s="73" t="n"/>
      <c r="D1033" s="73" t="inlineStr">
        <is>
          <t>ЗП произв-во</t>
        </is>
      </c>
      <c r="E1033" s="112" t="n"/>
      <c r="F1033" s="73" t="n">
        <v>10000000</v>
      </c>
      <c r="G1033" s="111">
        <f>E1033+F1033</f>
        <v/>
      </c>
      <c r="H1033" s="73" t="inlineStr">
        <is>
          <t>Выплачено</t>
        </is>
      </c>
      <c r="I1033" s="66" t="inlineStr">
        <is>
          <t>Ок</t>
        </is>
      </c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</row>
    <row r="1034">
      <c r="A1034" s="5" t="n"/>
      <c r="B1034" s="40" t="n">
        <v>46099</v>
      </c>
      <c r="C1034" s="73" t="inlineStr">
        <is>
          <t>AMR Printology</t>
        </is>
      </c>
      <c r="D1034" s="73" t="inlineStr">
        <is>
          <t>заправка картриджей</t>
        </is>
      </c>
      <c r="E1034" s="112">
        <f>16200*2</f>
        <v/>
      </c>
      <c r="F1034" s="73" t="n"/>
      <c r="G1034" s="111">
        <f>E1034+F1034</f>
        <v/>
      </c>
      <c r="H1034" s="73" t="inlineStr">
        <is>
          <t>Выплачено</t>
        </is>
      </c>
      <c r="I1034" s="66" t="inlineStr">
        <is>
          <t>Ок</t>
        </is>
      </c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</row>
    <row r="1035">
      <c r="A1035" s="5" t="n"/>
      <c r="B1035" s="40" t="n">
        <v>46099</v>
      </c>
      <c r="C1035" s="73" t="inlineStr">
        <is>
          <t>Малышев А.</t>
        </is>
      </c>
      <c r="D1035" s="73" t="inlineStr">
        <is>
          <t>Оплата поставщикам за сырье</t>
        </is>
      </c>
      <c r="E1035" s="112" t="n">
        <v>3760553</v>
      </c>
      <c r="F1035" s="73" t="n"/>
      <c r="G1035" s="111">
        <f>E1035+F1035</f>
        <v/>
      </c>
      <c r="H1035" s="73" t="inlineStr">
        <is>
          <t>Выплачено</t>
        </is>
      </c>
      <c r="I1035" s="66" t="inlineStr">
        <is>
          <t>Ок</t>
        </is>
      </c>
      <c r="J1035" s="5" t="n"/>
      <c r="K1035" s="5" t="n"/>
      <c r="L1035" s="5" t="n"/>
      <c r="M1035" s="5" t="n"/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5" t="n"/>
    </row>
    <row r="1036">
      <c r="A1036" s="5" t="n"/>
      <c r="B1036" s="40" t="n">
        <v>46099</v>
      </c>
      <c r="C1036" s="73" t="inlineStr">
        <is>
          <t>Ли Станислав</t>
        </is>
      </c>
      <c r="D1036" s="73" t="inlineStr">
        <is>
          <t xml:space="preserve">Подотчет сырье </t>
        </is>
      </c>
      <c r="E1036" s="112" t="n"/>
      <c r="F1036" s="73" t="n">
        <v>600000</v>
      </c>
      <c r="G1036" s="111">
        <f>E1036+F1036</f>
        <v/>
      </c>
      <c r="H1036" s="73" t="inlineStr">
        <is>
          <t>Выплачено</t>
        </is>
      </c>
      <c r="I1036" s="66" t="inlineStr">
        <is>
          <t>Ок</t>
        </is>
      </c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5" t="n"/>
    </row>
    <row r="1037">
      <c r="A1037" s="5" t="n"/>
      <c r="B1037" s="40" t="n">
        <v>46099</v>
      </c>
      <c r="C1037" s="73" t="inlineStr">
        <is>
          <t>ЗП Олеся М.С</t>
        </is>
      </c>
      <c r="D1037" s="73" t="inlineStr">
        <is>
          <t xml:space="preserve">За январь </t>
        </is>
      </c>
      <c r="E1037" s="112" t="n"/>
      <c r="F1037" s="73" t="n">
        <v>2410000</v>
      </c>
      <c r="G1037" s="111">
        <f>E1037+F1037</f>
        <v/>
      </c>
      <c r="H1037" s="73" t="inlineStr">
        <is>
          <t>Выплачено</t>
        </is>
      </c>
      <c r="I1037" s="66" t="inlineStr">
        <is>
          <t>Ок</t>
        </is>
      </c>
      <c r="J1037" s="5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5" t="n"/>
    </row>
    <row r="1038">
      <c r="A1038" s="5" t="n"/>
      <c r="B1038" s="93" t="n">
        <v>46101</v>
      </c>
      <c r="C1038" s="73" t="inlineStr">
        <is>
          <t>ЧСИ</t>
        </is>
      </c>
      <c r="D1038" s="73" t="inlineStr">
        <is>
          <t>с ЗП сотрудников</t>
        </is>
      </c>
      <c r="E1038" s="112" t="n">
        <v>800000</v>
      </c>
      <c r="F1038" s="73" t="n"/>
      <c r="G1038" s="111">
        <f>E1038+F1038</f>
        <v/>
      </c>
      <c r="H1038" s="73" t="inlineStr">
        <is>
          <t>К оплате</t>
        </is>
      </c>
      <c r="I1038" s="66" t="inlineStr">
        <is>
          <t>Ок</t>
        </is>
      </c>
      <c r="J1038" s="5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5" t="n"/>
    </row>
    <row r="1039">
      <c r="A1039" s="5" t="n"/>
      <c r="B1039" s="40" t="n">
        <v>46100</v>
      </c>
      <c r="C1039" s="120" t="inlineStr">
        <is>
          <t>ИП Ахмерова</t>
        </is>
      </c>
      <c r="D1039" s="73" t="inlineStr">
        <is>
          <t>ПЭТ бутылки</t>
        </is>
      </c>
      <c r="E1039" s="112" t="n">
        <v>122400</v>
      </c>
      <c r="F1039" s="73" t="n"/>
      <c r="G1039" s="111">
        <f>E1039+F1039</f>
        <v/>
      </c>
      <c r="H1039" s="73" t="inlineStr">
        <is>
          <t>Выплачено</t>
        </is>
      </c>
      <c r="I1039" s="66" t="inlineStr">
        <is>
          <t>Ок</t>
        </is>
      </c>
      <c r="J1039" s="5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  <c r="AA1039" s="5" t="n"/>
    </row>
    <row r="1040">
      <c r="A1040" s="5" t="n"/>
      <c r="B1040" s="40" t="n">
        <v>46100</v>
      </c>
      <c r="C1040" s="73" t="inlineStr">
        <is>
          <t>Шишерина</t>
        </is>
      </c>
      <c r="D1040" s="73" t="inlineStr">
        <is>
          <t>аванс по СЗ</t>
        </is>
      </c>
      <c r="E1040" s="112" t="n"/>
      <c r="F1040" s="73" t="n">
        <v>110000</v>
      </c>
      <c r="G1040" s="111">
        <f>E1040+F1040</f>
        <v/>
      </c>
      <c r="H1040" s="73" t="inlineStr">
        <is>
          <t>Выплачено</t>
        </is>
      </c>
      <c r="I1040" s="66" t="inlineStr">
        <is>
          <t>Ок</t>
        </is>
      </c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</row>
    <row r="1041">
      <c r="A1041" s="5" t="n"/>
      <c r="B1041" s="40" t="n">
        <v>46100</v>
      </c>
      <c r="C1041" s="73" t="inlineStr">
        <is>
          <t>Дюсембин Р.</t>
        </is>
      </c>
      <c r="D1041" s="73" t="inlineStr">
        <is>
          <t>возмещение почтовых по СЗ</t>
        </is>
      </c>
      <c r="E1041" s="112" t="n"/>
      <c r="F1041" s="73" t="n">
        <v>5400</v>
      </c>
      <c r="G1041" s="111">
        <f>E1041+F1041</f>
        <v/>
      </c>
      <c r="H1041" s="73" t="inlineStr">
        <is>
          <t>Выплачено</t>
        </is>
      </c>
      <c r="I1041" s="66" t="inlineStr">
        <is>
          <t>Ок</t>
        </is>
      </c>
      <c r="J1041" s="5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5" t="n"/>
    </row>
    <row r="1042">
      <c r="A1042" s="5" t="n"/>
      <c r="B1042" s="40" t="n">
        <v>45004</v>
      </c>
      <c r="C1042" s="73" t="inlineStr">
        <is>
          <t>Малышев А.</t>
        </is>
      </c>
      <c r="D1042" s="73" t="inlineStr">
        <is>
          <t>Оплата поставщикам за сырье</t>
        </is>
      </c>
      <c r="E1042" s="112" t="n">
        <v>3766072</v>
      </c>
      <c r="F1042" s="73" t="n"/>
      <c r="G1042" s="111">
        <f>E1042+F1042</f>
        <v/>
      </c>
      <c r="H1042" s="73" t="inlineStr">
        <is>
          <t>Выплачено</t>
        </is>
      </c>
      <c r="I1042" s="66" t="inlineStr">
        <is>
          <t>Ок</t>
        </is>
      </c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5" t="n"/>
    </row>
    <row r="1043">
      <c r="A1043" s="5" t="n"/>
      <c r="B1043" s="40" t="n">
        <v>46100</v>
      </c>
      <c r="C1043" s="73" t="inlineStr">
        <is>
          <t>Норд</t>
        </is>
      </c>
      <c r="D1043" s="73" t="inlineStr">
        <is>
          <t>охрана</t>
        </is>
      </c>
      <c r="E1043" s="112" t="n">
        <v>3087000</v>
      </c>
      <c r="F1043" s="73" t="n"/>
      <c r="G1043" s="111">
        <f>E1043+F1043</f>
        <v/>
      </c>
      <c r="H1043" s="73" t="inlineStr">
        <is>
          <t>Выплачено</t>
        </is>
      </c>
      <c r="I1043" s="66" t="inlineStr">
        <is>
          <t>Ок</t>
        </is>
      </c>
      <c r="J1043" s="5" t="n"/>
      <c r="K1043" s="5" t="n"/>
      <c r="L1043" s="5" t="n"/>
      <c r="M1043" s="5" t="n"/>
      <c r="N1043" s="5" t="n"/>
      <c r="O1043" s="5" t="n"/>
      <c r="P1043" s="5" t="n"/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  <c r="AA1043" s="5" t="n"/>
    </row>
    <row r="1044">
      <c r="A1044" s="5" t="n"/>
      <c r="B1044" s="40" t="n">
        <v>46100</v>
      </c>
      <c r="C1044" s="73" t="inlineStr">
        <is>
          <t>Глобал Халал</t>
        </is>
      </c>
      <c r="D1044" s="73" t="inlineStr">
        <is>
          <t>курица</t>
        </is>
      </c>
      <c r="E1044" s="112" t="n">
        <v>2000000</v>
      </c>
      <c r="F1044" s="73" t="n"/>
      <c r="G1044" s="111">
        <f>E1044+F1044</f>
        <v/>
      </c>
      <c r="H1044" s="73" t="inlineStr">
        <is>
          <t>Выплачено</t>
        </is>
      </c>
      <c r="I1044" s="66" t="inlineStr">
        <is>
          <t>Ок</t>
        </is>
      </c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5" t="n"/>
    </row>
    <row r="1045">
      <c r="A1045" s="5" t="n"/>
      <c r="B1045" s="40" t="n">
        <v>46100</v>
      </c>
      <c r="C1045" s="73" t="inlineStr">
        <is>
          <t>Интеллпак</t>
        </is>
      </c>
      <c r="D1045" s="73" t="inlineStr">
        <is>
          <t xml:space="preserve">пленка    этот счет оплачено </t>
        </is>
      </c>
      <c r="E1045" s="112" t="n">
        <v>166760</v>
      </c>
      <c r="F1045" s="73" t="n"/>
      <c r="G1045" s="111">
        <f>E1045+F1045</f>
        <v/>
      </c>
      <c r="H1045" s="73" t="inlineStr">
        <is>
          <t>Отложено</t>
        </is>
      </c>
      <c r="I1045" s="66" t="inlineStr">
        <is>
          <t>Ок</t>
        </is>
      </c>
      <c r="J1045" s="5" t="n"/>
      <c r="K1045" s="5" t="n"/>
      <c r="L1045" s="5" t="n"/>
      <c r="M1045" s="5" t="n"/>
      <c r="N1045" s="5" t="n"/>
      <c r="O1045" s="5" t="n"/>
      <c r="P1045" s="5" t="n"/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  <c r="AA1045" s="5" t="n"/>
    </row>
    <row r="1046">
      <c r="A1046" s="5" t="n"/>
      <c r="B1046" s="40" t="n">
        <v>46101</v>
      </c>
      <c r="C1046" s="73" t="inlineStr">
        <is>
          <t>Динара Тобулова зп 20го</t>
        </is>
      </c>
      <c r="D1046" s="73" t="inlineStr">
        <is>
          <t xml:space="preserve">Зарплата </t>
        </is>
      </c>
      <c r="E1046" s="112" t="n"/>
      <c r="F1046" s="73" t="n">
        <v>325000</v>
      </c>
      <c r="G1046" s="111">
        <f>E1046+F1046</f>
        <v/>
      </c>
      <c r="H1046" s="73" t="inlineStr">
        <is>
          <t>Выплачено</t>
        </is>
      </c>
      <c r="I1046" s="66" t="inlineStr">
        <is>
          <t>Ок</t>
        </is>
      </c>
      <c r="J1046" s="5" t="n"/>
      <c r="K1046" s="5" t="n"/>
      <c r="L1046" s="5" t="n"/>
      <c r="M1046" s="5" t="n"/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5" t="n"/>
    </row>
    <row r="1047">
      <c r="A1047" s="5" t="n"/>
      <c r="B1047" s="40" t="n">
        <v>46100</v>
      </c>
      <c r="C1047" s="73" t="inlineStr">
        <is>
          <t>Access Group ТОО интернет</t>
        </is>
      </c>
      <c r="D1047" s="73" t="inlineStr">
        <is>
          <t>Интернет</t>
        </is>
      </c>
      <c r="E1047" s="112" t="n">
        <v>5874</v>
      </c>
      <c r="F1047" s="73" t="n"/>
      <c r="G1047" s="111">
        <f>E1047+F1047</f>
        <v/>
      </c>
      <c r="H1047" s="73" t="inlineStr">
        <is>
          <t>Выплачено</t>
        </is>
      </c>
      <c r="I1047" s="66" t="inlineStr">
        <is>
          <t>Ок</t>
        </is>
      </c>
      <c r="J1047" s="5" t="n"/>
      <c r="K1047" s="5" t="n"/>
      <c r="L1047" s="5" t="n"/>
      <c r="M1047" s="5" t="n"/>
      <c r="N1047" s="5" t="n"/>
      <c r="O1047" s="5" t="n"/>
      <c r="P1047" s="5" t="n"/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  <c r="AA1047" s="5" t="n"/>
    </row>
    <row r="1048">
      <c r="A1048" s="5" t="n"/>
      <c r="B1048" s="40" t="n">
        <v>46100</v>
      </c>
      <c r="C1048" s="73" t="inlineStr">
        <is>
          <t>Шишерина</t>
        </is>
      </c>
      <c r="D1048" s="73" t="inlineStr">
        <is>
          <t>дорожные пр-во</t>
        </is>
      </c>
      <c r="E1048" s="112" t="n"/>
      <c r="F1048" s="73" t="n">
        <v>13390</v>
      </c>
      <c r="G1048" s="111">
        <f>E1048+F1048</f>
        <v/>
      </c>
      <c r="H1048" s="73" t="inlineStr">
        <is>
          <t>Выплачено</t>
        </is>
      </c>
      <c r="I1048" s="66" t="inlineStr">
        <is>
          <t>Ок</t>
        </is>
      </c>
      <c r="J1048" s="5" t="n"/>
      <c r="K1048" s="5" t="n"/>
      <c r="L1048" s="5" t="n"/>
      <c r="M1048" s="5" t="n"/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5" t="n"/>
    </row>
    <row r="1049">
      <c r="A1049" s="5" t="n"/>
      <c r="B1049" s="40" t="n">
        <v>46101</v>
      </c>
      <c r="C1049" s="73" t="inlineStr">
        <is>
          <t>Ким В.</t>
        </is>
      </c>
      <c r="D1049" s="73" t="inlineStr">
        <is>
          <t>премия согласно СЗ</t>
        </is>
      </c>
      <c r="E1049" s="112" t="n"/>
      <c r="F1049" s="73" t="n">
        <v>100000</v>
      </c>
      <c r="G1049" s="111">
        <f>E1049+F1049</f>
        <v/>
      </c>
      <c r="H1049" s="73" t="inlineStr">
        <is>
          <t>Выплачено</t>
        </is>
      </c>
      <c r="I1049" s="66" t="inlineStr">
        <is>
          <t>Ок</t>
        </is>
      </c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5" t="n"/>
    </row>
    <row r="1050">
      <c r="A1050" s="5" t="n"/>
      <c r="B1050" s="40" t="n">
        <v>46101</v>
      </c>
      <c r="C1050" s="73" t="inlineStr">
        <is>
          <t>Амувакиров А.</t>
        </is>
      </c>
      <c r="D1050" s="73" t="inlineStr">
        <is>
          <t>домофон</t>
        </is>
      </c>
      <c r="E1050" s="112" t="n"/>
      <c r="F1050" s="73" t="n">
        <v>43000</v>
      </c>
      <c r="G1050" s="111">
        <f>E1050+F1050</f>
        <v/>
      </c>
      <c r="H1050" s="73" t="inlineStr">
        <is>
          <t>Выплачено</t>
        </is>
      </c>
      <c r="I1050" s="66" t="inlineStr">
        <is>
          <t>Ок</t>
        </is>
      </c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5" t="n"/>
    </row>
    <row r="1051">
      <c r="A1051" s="5" t="n"/>
      <c r="B1051" s="40" t="n">
        <v>46101</v>
      </c>
      <c r="C1051" s="73" t="inlineStr">
        <is>
          <t>AMR Printology</t>
        </is>
      </c>
      <c r="D1051" s="73" t="inlineStr">
        <is>
          <t>заправка картриджей</t>
        </is>
      </c>
      <c r="E1051" s="112" t="n">
        <v>38800</v>
      </c>
      <c r="F1051" s="73" t="n"/>
      <c r="G1051" s="111">
        <f>E1051+F1051</f>
        <v/>
      </c>
      <c r="H1051" s="73" t="inlineStr">
        <is>
          <t>Выплачено</t>
        </is>
      </c>
      <c r="I1051" s="66" t="inlineStr">
        <is>
          <t>Ок</t>
        </is>
      </c>
      <c r="J1051" s="5" t="n"/>
      <c r="K1051" s="5" t="n"/>
      <c r="L1051" s="5" t="n"/>
      <c r="M1051" s="5" t="n"/>
      <c r="N1051" s="5" t="n"/>
      <c r="O1051" s="5" t="n"/>
      <c r="P1051" s="5" t="n"/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  <c r="AA1051" s="5" t="n"/>
    </row>
    <row r="1052">
      <c r="A1052" s="5" t="n"/>
      <c r="B1052" s="40" t="n">
        <v>46101</v>
      </c>
      <c r="C1052" s="73" t="inlineStr">
        <is>
          <t>Витамин +</t>
        </is>
      </c>
      <c r="D1052" s="73" t="inlineStr">
        <is>
          <t>овощи</t>
        </is>
      </c>
      <c r="E1052" s="112" t="n">
        <v>1692858</v>
      </c>
      <c r="F1052" s="73" t="n"/>
      <c r="G1052" s="111">
        <f>E1052+F1052</f>
        <v/>
      </c>
      <c r="H1052" s="73" t="inlineStr">
        <is>
          <t>Выплачено</t>
        </is>
      </c>
      <c r="I1052" s="66" t="inlineStr">
        <is>
          <t>Ок</t>
        </is>
      </c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5" t="n"/>
    </row>
    <row r="1053">
      <c r="A1053" s="5" t="n"/>
      <c r="B1053" s="40" t="n">
        <v>46101</v>
      </c>
      <c r="C1053" s="73" t="n"/>
      <c r="D1053" s="73" t="inlineStr">
        <is>
          <t>ЗП произв-во, уволенные</t>
        </is>
      </c>
      <c r="E1053" s="112" t="n"/>
      <c r="F1053" s="73" t="n">
        <v>13240413</v>
      </c>
      <c r="G1053" s="111">
        <f>E1053+F1053</f>
        <v/>
      </c>
      <c r="H1053" s="73" t="inlineStr">
        <is>
          <t>Выплачено</t>
        </is>
      </c>
      <c r="I1053" s="66" t="inlineStr">
        <is>
          <t>Ок</t>
        </is>
      </c>
      <c r="J1053" s="5" t="n"/>
      <c r="K1053" s="5" t="n"/>
      <c r="L1053" s="5" t="n"/>
      <c r="M1053" s="5" t="n"/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  <c r="AA1053" s="5" t="n"/>
    </row>
    <row r="1054">
      <c r="A1054" s="5" t="n"/>
      <c r="B1054" s="40" t="n">
        <v>46101</v>
      </c>
      <c r="C1054" s="73" t="n"/>
      <c r="D1054" s="73" t="inlineStr">
        <is>
          <t>Налоги по ЗП</t>
        </is>
      </c>
      <c r="E1054" s="112" t="n">
        <v>7100000</v>
      </c>
      <c r="F1054" s="73" t="n"/>
      <c r="G1054" s="111">
        <f>E1054+F1054</f>
        <v/>
      </c>
      <c r="H1054" s="73" t="inlineStr">
        <is>
          <t>Выплачено</t>
        </is>
      </c>
      <c r="I1054" s="66" t="inlineStr">
        <is>
          <t>Ок</t>
        </is>
      </c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5" t="n"/>
    </row>
    <row r="1055">
      <c r="A1055" s="5" t="n"/>
      <c r="B1055" s="40" t="n">
        <v>46101</v>
      </c>
      <c r="C1055" s="73" t="inlineStr">
        <is>
          <t>Малышев А.</t>
        </is>
      </c>
      <c r="D1055" s="73" t="inlineStr">
        <is>
          <t>Оплата поставщикам за сырье</t>
        </is>
      </c>
      <c r="E1055" s="138" t="n">
        <v>15476323</v>
      </c>
      <c r="F1055" s="73" t="n"/>
      <c r="G1055" s="111">
        <f>E1055+F1055</f>
        <v/>
      </c>
      <c r="H1055" s="73" t="inlineStr">
        <is>
          <t>Выплачено</t>
        </is>
      </c>
      <c r="I1055" s="66" t="inlineStr">
        <is>
          <t>Ок</t>
        </is>
      </c>
      <c r="J1055" s="5" t="n"/>
      <c r="K1055" s="5" t="n"/>
      <c r="L1055" s="5" t="n"/>
      <c r="M1055" s="5" t="n"/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  <c r="AA1055" s="5" t="n"/>
    </row>
    <row r="1056">
      <c r="A1056" s="5" t="n"/>
      <c r="B1056" s="40" t="n">
        <v>46101</v>
      </c>
      <c r="C1056" s="73" t="inlineStr">
        <is>
          <t>Демьянов</t>
        </is>
      </c>
      <c r="D1056" s="73" t="inlineStr">
        <is>
          <t>логистика</t>
        </is>
      </c>
      <c r="E1056" s="112" t="n">
        <v>1500000</v>
      </c>
      <c r="F1056" s="73" t="n"/>
      <c r="G1056" s="111">
        <f>E1056+F1056</f>
        <v/>
      </c>
      <c r="H1056" s="73" t="inlineStr">
        <is>
          <t>Выплачено</t>
        </is>
      </c>
      <c r="I1056" s="66" t="inlineStr">
        <is>
          <t>Ок</t>
        </is>
      </c>
      <c r="J1056" s="5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5" t="n"/>
    </row>
    <row r="1057">
      <c r="A1057" s="5" t="n"/>
      <c r="B1057" s="40" t="n">
        <v>46101</v>
      </c>
      <c r="C1057" s="73" t="n"/>
      <c r="D1057" s="73" t="inlineStr">
        <is>
          <t>дорожные пр-во по СЗ</t>
        </is>
      </c>
      <c r="E1057" s="112" t="n"/>
      <c r="F1057" s="73" t="n">
        <v>7000</v>
      </c>
      <c r="G1057" s="111">
        <f>E1057+F1057</f>
        <v/>
      </c>
      <c r="H1057" s="73" t="inlineStr">
        <is>
          <t>Выплачено</t>
        </is>
      </c>
      <c r="I1057" s="66" t="inlineStr">
        <is>
          <t>Ок</t>
        </is>
      </c>
      <c r="J1057" s="5" t="n"/>
      <c r="K1057" s="5" t="n"/>
      <c r="L1057" s="5" t="n"/>
      <c r="M1057" s="5" t="n"/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  <c r="AA1057" s="5" t="n"/>
    </row>
    <row r="1058">
      <c r="A1058" s="5" t="n"/>
      <c r="B1058" s="40" t="n">
        <v>46101</v>
      </c>
      <c r="C1058" s="73" t="n"/>
      <c r="D1058" s="73" t="inlineStr">
        <is>
          <t>строймат-лы на пр-во согласно СЗ</t>
        </is>
      </c>
      <c r="E1058" s="112" t="n"/>
      <c r="F1058" s="73" t="n">
        <v>200000</v>
      </c>
      <c r="G1058" s="111">
        <f>E1058+F1058</f>
        <v/>
      </c>
      <c r="H1058" s="73" t="inlineStr">
        <is>
          <t>Выплачено</t>
        </is>
      </c>
      <c r="I1058" s="66" t="inlineStr">
        <is>
          <t>Ок</t>
        </is>
      </c>
      <c r="J1058" s="5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5" t="n"/>
    </row>
    <row r="1059">
      <c r="A1059" s="5" t="n"/>
      <c r="B1059" s="40" t="n">
        <v>46105</v>
      </c>
      <c r="C1059" s="73" t="inlineStr">
        <is>
          <t>Малышев А.</t>
        </is>
      </c>
      <c r="D1059" s="73" t="inlineStr">
        <is>
          <t>запчасти согласно СЗ</t>
        </is>
      </c>
      <c r="E1059" s="112" t="n"/>
      <c r="F1059" s="73" t="n">
        <v>500000</v>
      </c>
      <c r="G1059" s="111">
        <f>E1059+F1059</f>
        <v/>
      </c>
      <c r="H1059" s="73" t="inlineStr">
        <is>
          <t>Выплачено</t>
        </is>
      </c>
      <c r="I1059" s="66" t="inlineStr">
        <is>
          <t>Ок</t>
        </is>
      </c>
      <c r="J1059" s="5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5" t="n"/>
    </row>
    <row r="1060">
      <c r="A1060" s="5" t="n"/>
      <c r="B1060" s="40" t="n">
        <v>46105</v>
      </c>
      <c r="C1060" s="73" t="inlineStr">
        <is>
          <t>Есжанова Г.</t>
        </is>
      </c>
      <c r="D1060" s="73" t="inlineStr">
        <is>
          <t>услуги фотографа</t>
        </is>
      </c>
      <c r="E1060" s="112" t="n"/>
      <c r="F1060" s="73" t="n">
        <v>25000</v>
      </c>
      <c r="G1060" s="111">
        <f>E1060+F1060</f>
        <v/>
      </c>
      <c r="H1060" s="73" t="inlineStr">
        <is>
          <t>Выплачено</t>
        </is>
      </c>
      <c r="I1060" s="66" t="inlineStr">
        <is>
          <t>Ок</t>
        </is>
      </c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5" t="n"/>
    </row>
    <row r="1061">
      <c r="A1061" s="5" t="n"/>
      <c r="B1061" s="40" t="n">
        <v>46105</v>
      </c>
      <c r="C1061" s="73" t="inlineStr">
        <is>
          <t>Малышев А.</t>
        </is>
      </c>
      <c r="D1061" s="73" t="inlineStr">
        <is>
          <t>переработка фарша Адолар</t>
        </is>
      </c>
      <c r="E1061" s="112" t="n"/>
      <c r="F1061" s="73" t="n">
        <v>140000</v>
      </c>
      <c r="G1061" s="111">
        <f>E1061+F1061</f>
        <v/>
      </c>
      <c r="H1061" s="73" t="inlineStr">
        <is>
          <t>К оплате</t>
        </is>
      </c>
      <c r="I1061" s="66" t="inlineStr">
        <is>
          <t>Ок</t>
        </is>
      </c>
      <c r="J1061" s="5" t="n"/>
      <c r="K1061" s="5" t="n"/>
      <c r="L1061" s="5" t="n"/>
      <c r="M1061" s="5" t="n"/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5" t="n"/>
    </row>
    <row r="1062">
      <c r="A1062" s="5" t="n"/>
      <c r="B1062" s="40" t="n">
        <v>46105</v>
      </c>
      <c r="C1062" s="73" t="inlineStr">
        <is>
          <t>Ли Станислав</t>
        </is>
      </c>
      <c r="D1062" s="73" t="inlineStr">
        <is>
          <t xml:space="preserve">Подотчет сырье </t>
        </is>
      </c>
      <c r="E1062" s="112" t="n"/>
      <c r="F1062" s="73" t="n">
        <v>500000</v>
      </c>
      <c r="G1062" s="111">
        <f>E1062+F1062</f>
        <v/>
      </c>
      <c r="H1062" s="73" t="inlineStr">
        <is>
          <t>Выплачено</t>
        </is>
      </c>
      <c r="I1062" s="66" t="inlineStr">
        <is>
          <t>Ок</t>
        </is>
      </c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</row>
    <row r="1063">
      <c r="A1063" s="5" t="n"/>
      <c r="B1063" s="40" t="n">
        <v>46107</v>
      </c>
      <c r="C1063" s="73" t="n"/>
      <c r="D1063" s="73" t="inlineStr">
        <is>
          <t>Авансы на карты</t>
        </is>
      </c>
      <c r="E1063" s="112" t="n">
        <v>1960000</v>
      </c>
      <c r="F1063" s="73" t="n"/>
      <c r="G1063" s="111">
        <f>E1063+F1063</f>
        <v/>
      </c>
      <c r="H1063" s="73" t="inlineStr">
        <is>
          <t>Выплачено</t>
        </is>
      </c>
      <c r="I1063" s="66" t="inlineStr">
        <is>
          <t>Ок</t>
        </is>
      </c>
      <c r="J1063" s="5" t="n"/>
      <c r="K1063" s="5" t="n"/>
      <c r="L1063" s="5" t="n"/>
      <c r="M1063" s="5" t="n"/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  <c r="AA1063" s="5" t="n"/>
    </row>
    <row r="1064">
      <c r="A1064" s="5" t="n"/>
      <c r="B1064" s="40" t="n">
        <v>46107</v>
      </c>
      <c r="C1064" s="73" t="inlineStr">
        <is>
          <t>Медикал Стор</t>
        </is>
      </c>
      <c r="D1064" s="73" t="inlineStr">
        <is>
          <t>термометр</t>
        </is>
      </c>
      <c r="E1064" s="112" t="n">
        <v>25800</v>
      </c>
      <c r="F1064" s="73" t="n"/>
      <c r="G1064" s="111">
        <f>E1064+F1064</f>
        <v/>
      </c>
      <c r="H1064" s="73" t="inlineStr">
        <is>
          <t>Выплачено</t>
        </is>
      </c>
      <c r="I1064" s="66" t="inlineStr">
        <is>
          <t>Ок</t>
        </is>
      </c>
      <c r="J1064" s="5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5" t="n"/>
    </row>
    <row r="1065">
      <c r="A1065" s="5" t="n"/>
      <c r="B1065" s="40" t="n">
        <v>46107</v>
      </c>
      <c r="C1065" s="73" t="inlineStr">
        <is>
          <t>Ли Станислав</t>
        </is>
      </c>
      <c r="D1065" s="73" t="inlineStr">
        <is>
          <t xml:space="preserve">Подотчет сырье   за 2 дня </t>
        </is>
      </c>
      <c r="E1065" s="112" t="n"/>
      <c r="F1065" s="73" t="n">
        <v>600000</v>
      </c>
      <c r="G1065" s="111">
        <f>E1065+F1065</f>
        <v/>
      </c>
      <c r="H1065" s="73" t="inlineStr">
        <is>
          <t>Выплачено</t>
        </is>
      </c>
      <c r="I1065" s="66" t="inlineStr">
        <is>
          <t>Ок</t>
        </is>
      </c>
      <c r="J1065" s="5" t="n"/>
      <c r="K1065" s="5" t="n"/>
      <c r="L1065" s="5" t="n"/>
      <c r="M1065" s="5" t="n"/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  <c r="AA1065" s="5" t="n"/>
    </row>
    <row r="1066">
      <c r="A1066" s="5" t="n"/>
      <c r="B1066" s="40" t="n">
        <v>46107</v>
      </c>
      <c r="C1066" s="73" t="n"/>
      <c r="D1066" s="73" t="inlineStr">
        <is>
          <t>аренда квартир</t>
        </is>
      </c>
      <c r="E1066" s="112" t="n"/>
      <c r="F1066" s="73" t="n">
        <v>350149</v>
      </c>
      <c r="G1066" s="111">
        <f>E1066+F1066</f>
        <v/>
      </c>
      <c r="H1066" s="73" t="inlineStr">
        <is>
          <t>Выплачено</t>
        </is>
      </c>
      <c r="I1066" s="66" t="inlineStr">
        <is>
          <t>Ок</t>
        </is>
      </c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</row>
    <row r="1067">
      <c r="A1067" s="5" t="n"/>
      <c r="B1067" s="40" t="n">
        <v>46107</v>
      </c>
      <c r="C1067" s="73" t="inlineStr">
        <is>
          <t>Малышев А.</t>
        </is>
      </c>
      <c r="D1067" s="73" t="inlineStr">
        <is>
          <t>Оплата поставщикам за сырье</t>
        </is>
      </c>
      <c r="E1067" s="142" t="n">
        <v>21825397</v>
      </c>
      <c r="F1067" s="143" t="n"/>
      <c r="G1067" s="144" t="n">
        <v>21197434</v>
      </c>
      <c r="H1067" s="73" t="inlineStr">
        <is>
          <t>Выплачено</t>
        </is>
      </c>
      <c r="I1067" s="66" t="inlineStr">
        <is>
          <t>Ок</t>
        </is>
      </c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5" t="n"/>
    </row>
    <row r="1068">
      <c r="A1068" s="5" t="n"/>
      <c r="B1068" s="40" t="n">
        <v>46107</v>
      </c>
      <c r="C1068" s="73" t="n"/>
      <c r="D1068" s="73" t="inlineStr">
        <is>
          <t>ЗП пр-во</t>
        </is>
      </c>
      <c r="E1068" s="142" t="n"/>
      <c r="F1068" s="143" t="n">
        <v>7309000</v>
      </c>
      <c r="G1068" s="144">
        <f>E1068+F1068</f>
        <v/>
      </c>
      <c r="H1068" s="73" t="inlineStr">
        <is>
          <t>Выплачено</t>
        </is>
      </c>
      <c r="I1068" s="66" t="inlineStr">
        <is>
          <t>Ок</t>
        </is>
      </c>
      <c r="J1068" s="5" t="n"/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5" t="n"/>
    </row>
    <row r="1069">
      <c r="A1069" s="5" t="n"/>
      <c r="B1069" s="40" t="n">
        <v>46107</v>
      </c>
      <c r="C1069" s="73" t="inlineStr">
        <is>
          <t>Демьянов</t>
        </is>
      </c>
      <c r="D1069" s="73" t="inlineStr">
        <is>
          <t>логистика</t>
        </is>
      </c>
      <c r="E1069" s="142" t="n">
        <v>1000000</v>
      </c>
      <c r="F1069" s="143" t="n"/>
      <c r="G1069" s="144">
        <f>E1069+F1069</f>
        <v/>
      </c>
      <c r="H1069" s="73" t="inlineStr">
        <is>
          <t>Выплачено</t>
        </is>
      </c>
      <c r="I1069" s="66" t="inlineStr">
        <is>
          <t>Ок</t>
        </is>
      </c>
      <c r="J1069" s="5" t="n"/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  <c r="AA1069" s="5" t="n"/>
    </row>
    <row r="1070">
      <c r="A1070" s="5" t="n"/>
      <c r="B1070" s="40" t="n">
        <v>46107</v>
      </c>
      <c r="C1070" s="73" t="inlineStr">
        <is>
          <t>Sweezard</t>
        </is>
      </c>
      <c r="D1070" s="73" t="inlineStr">
        <is>
          <t>кондитерка</t>
        </is>
      </c>
      <c r="E1070" s="142" t="n">
        <v>854200</v>
      </c>
      <c r="F1070" s="143" t="n"/>
      <c r="G1070" s="144">
        <f>E1070+F1070</f>
        <v/>
      </c>
      <c r="H1070" s="73" t="inlineStr">
        <is>
          <t>Выплачено</t>
        </is>
      </c>
      <c r="I1070" s="66" t="inlineStr">
        <is>
          <t>Ок</t>
        </is>
      </c>
      <c r="J1070" s="5" t="n"/>
      <c r="K1070" s="5" t="n"/>
      <c r="L1070" s="5" t="n"/>
      <c r="M1070" s="5" t="n"/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5" t="n"/>
    </row>
    <row r="1071">
      <c r="A1071" s="5" t="n"/>
      <c r="B1071" s="40" t="n">
        <v>46108</v>
      </c>
      <c r="C1071" s="73" t="inlineStr">
        <is>
          <t>Малышев А.</t>
        </is>
      </c>
      <c r="D1071" s="73" t="inlineStr">
        <is>
          <t>Оплата поставщикам за сырье</t>
        </is>
      </c>
      <c r="E1071" s="142" t="n">
        <v>11625329</v>
      </c>
      <c r="F1071" s="143" t="n"/>
      <c r="G1071" s="144">
        <f>E1071+F1071</f>
        <v/>
      </c>
      <c r="H1071" s="73" t="inlineStr">
        <is>
          <t>Выплачено</t>
        </is>
      </c>
      <c r="I1071" s="66" t="inlineStr">
        <is>
          <t>Ок</t>
        </is>
      </c>
      <c r="J1071" s="5" t="n"/>
      <c r="K1071" s="5" t="n"/>
      <c r="L1071" s="5" t="n"/>
      <c r="M1071" s="5" t="n"/>
      <c r="N1071" s="5" t="n"/>
      <c r="O1071" s="5" t="n"/>
      <c r="P1071" s="5" t="n"/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  <c r="AA1071" s="5" t="n"/>
    </row>
    <row r="1072">
      <c r="A1072" s="5" t="n"/>
      <c r="B1072" s="40" t="n">
        <v>46108</v>
      </c>
      <c r="C1072" s="73" t="inlineStr">
        <is>
          <t>СК Номад</t>
        </is>
      </c>
      <c r="D1072" s="73" t="inlineStr">
        <is>
          <t>страхование сотрудников 1 транш</t>
        </is>
      </c>
      <c r="E1072" s="142" t="n">
        <v>427718</v>
      </c>
      <c r="F1072" s="143" t="n"/>
      <c r="G1072" s="144">
        <f>E1072+F1072</f>
        <v/>
      </c>
      <c r="H1072" s="73" t="inlineStr">
        <is>
          <t>Выплачено</t>
        </is>
      </c>
      <c r="I1072" s="66" t="inlineStr">
        <is>
          <t>Ок</t>
        </is>
      </c>
      <c r="J1072" s="5" t="n"/>
      <c r="K1072" s="5" t="n"/>
      <c r="L1072" s="5" t="n"/>
      <c r="M1072" s="5" t="n"/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5" t="n"/>
    </row>
    <row r="1073">
      <c r="A1073" s="5" t="n"/>
      <c r="B1073" s="40" t="n">
        <v>46108</v>
      </c>
      <c r="C1073" s="73" t="n"/>
      <c r="D1073" s="73" t="inlineStr">
        <is>
          <t>ЗП пр-во и АУП</t>
        </is>
      </c>
      <c r="E1073" s="142" t="n"/>
      <c r="F1073" s="143" t="n">
        <v>7349300</v>
      </c>
      <c r="G1073" s="144">
        <f>E1073+F1073</f>
        <v/>
      </c>
      <c r="H1073" s="73" t="inlineStr">
        <is>
          <t>Выплачено</t>
        </is>
      </c>
      <c r="I1073" s="66" t="inlineStr">
        <is>
          <t>Ок</t>
        </is>
      </c>
      <c r="J1073" s="5" t="n"/>
      <c r="K1073" s="5" t="n"/>
      <c r="L1073" s="5" t="n"/>
      <c r="M1073" s="5" t="n"/>
      <c r="N1073" s="5" t="n"/>
      <c r="O1073" s="5" t="n"/>
      <c r="P1073" s="5" t="n"/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  <c r="AA1073" s="5" t="n"/>
    </row>
    <row r="1074">
      <c r="A1074" s="5" t="n"/>
      <c r="B1074" s="40" t="n">
        <v>46108</v>
      </c>
      <c r="C1074" s="73" t="n"/>
      <c r="D1074" s="73" t="inlineStr">
        <is>
          <t>Погашение ОД и %%</t>
        </is>
      </c>
      <c r="E1074" s="142" t="n">
        <v>3032248</v>
      </c>
      <c r="F1074" s="143" t="n"/>
      <c r="G1074" s="144">
        <f>E1074+F1074</f>
        <v/>
      </c>
      <c r="H1074" s="73" t="inlineStr">
        <is>
          <t>Выплачено</t>
        </is>
      </c>
      <c r="I1074" s="66" t="inlineStr">
        <is>
          <t>Ок</t>
        </is>
      </c>
      <c r="J1074" s="5" t="n"/>
      <c r="K1074" s="5" t="n"/>
      <c r="L1074" s="5" t="n"/>
      <c r="M1074" s="5" t="n"/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5" t="n"/>
    </row>
    <row r="1075">
      <c r="A1075" s="5" t="n"/>
      <c r="B1075" s="40" t="n">
        <v>46108</v>
      </c>
      <c r="C1075" s="73" t="inlineStr">
        <is>
          <t>Демьянов</t>
        </is>
      </c>
      <c r="D1075" s="73" t="inlineStr">
        <is>
          <t>логистика</t>
        </is>
      </c>
      <c r="E1075" s="142" t="n">
        <v>726784</v>
      </c>
      <c r="F1075" s="143" t="n"/>
      <c r="G1075" s="144">
        <f>E1075+F1075</f>
        <v/>
      </c>
      <c r="H1075" s="73" t="inlineStr">
        <is>
          <t>Выплачено</t>
        </is>
      </c>
      <c r="I1075" s="66" t="inlineStr">
        <is>
          <t>Ок</t>
        </is>
      </c>
      <c r="J1075" s="5" t="n"/>
      <c r="K1075" s="5" t="n"/>
      <c r="L1075" s="5" t="n"/>
      <c r="M1075" s="5" t="n"/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  <c r="AA1075" s="5" t="n"/>
    </row>
    <row r="1076">
      <c r="A1076" s="5" t="n"/>
      <c r="B1076" s="40" t="n">
        <v>46108</v>
      </c>
      <c r="C1076" s="73" t="n"/>
      <c r="D1076" s="73" t="inlineStr">
        <is>
          <t>установка ворот</t>
        </is>
      </c>
      <c r="E1076" s="142" t="n">
        <v>600000</v>
      </c>
      <c r="F1076" s="143" t="n"/>
      <c r="G1076" s="144">
        <f>E1076+F1076</f>
        <v/>
      </c>
      <c r="H1076" s="73" t="inlineStr">
        <is>
          <t>Выплачено</t>
        </is>
      </c>
      <c r="I1076" s="66" t="inlineStr">
        <is>
          <t>Ок</t>
        </is>
      </c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5" t="n"/>
    </row>
    <row r="1077">
      <c r="A1077" s="5" t="n"/>
      <c r="B1077" s="40" t="n">
        <v>46108</v>
      </c>
      <c r="C1077" s="73" t="inlineStr">
        <is>
          <t xml:space="preserve">Александр </t>
        </is>
      </c>
      <c r="D1077" s="73" t="inlineStr">
        <is>
          <t xml:space="preserve">Color ИП </t>
        </is>
      </c>
      <c r="E1077" s="142" t="n">
        <v>1165000</v>
      </c>
      <c r="F1077" s="143" t="n"/>
      <c r="G1077" s="144">
        <f>E1077+F1077</f>
        <v/>
      </c>
      <c r="H1077" s="73" t="inlineStr">
        <is>
          <t>Выплачено</t>
        </is>
      </c>
      <c r="I1077" s="66" t="inlineStr">
        <is>
          <t>Ок</t>
        </is>
      </c>
      <c r="J1077" s="5" t="n"/>
      <c r="K1077" s="5" t="n"/>
      <c r="L1077" s="5" t="n"/>
      <c r="M1077" s="5" t="n"/>
      <c r="N1077" s="5" t="n"/>
      <c r="O1077" s="5" t="n"/>
      <c r="P1077" s="5" t="n"/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  <c r="AA1077" s="5" t="n"/>
    </row>
    <row r="1078">
      <c r="A1078" s="5" t="inlineStr">
        <is>
          <t>/</t>
        </is>
      </c>
      <c r="B1078" s="40" t="n">
        <v>46108</v>
      </c>
      <c r="C1078" s="73" t="n"/>
      <c r="D1078" s="73" t="inlineStr">
        <is>
          <t>Алексеевское ИП пищевые отходы</t>
        </is>
      </c>
      <c r="E1078" s="142" t="n">
        <v>100000</v>
      </c>
      <c r="F1078" s="143" t="n"/>
      <c r="G1078" s="144">
        <f>E1078+F1078</f>
        <v/>
      </c>
      <c r="H1078" s="73" t="inlineStr">
        <is>
          <t>Выплачено</t>
        </is>
      </c>
      <c r="I1078" s="66" t="inlineStr">
        <is>
          <t>Ок</t>
        </is>
      </c>
      <c r="J1078" s="5" t="n"/>
      <c r="K1078" s="5" t="n"/>
      <c r="L1078" s="5" t="n"/>
      <c r="M1078" s="5" t="n"/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5" t="n"/>
    </row>
    <row r="1079">
      <c r="A1079" s="5" t="n"/>
      <c r="B1079" s="40" t="n">
        <v>46108</v>
      </c>
      <c r="C1079" s="73" t="inlineStr">
        <is>
          <t xml:space="preserve">Ойшынов Жансултан </t>
        </is>
      </c>
      <c r="D1079" s="73" t="inlineStr">
        <is>
          <t>аванс с СЗ</t>
        </is>
      </c>
      <c r="E1079" s="142" t="n"/>
      <c r="F1079" s="143" t="n">
        <v>130000</v>
      </c>
      <c r="G1079" s="144">
        <f>E1079+F1079</f>
        <v/>
      </c>
      <c r="H1079" s="73" t="inlineStr">
        <is>
          <t>Выплачено</t>
        </is>
      </c>
      <c r="I1079" s="66" t="inlineStr">
        <is>
          <t>Ок</t>
        </is>
      </c>
      <c r="J1079" s="5" t="n"/>
      <c r="K1079" s="5" t="n"/>
      <c r="L1079" s="5" t="n"/>
      <c r="M1079" s="5" t="n"/>
      <c r="N1079" s="5" t="n"/>
      <c r="O1079" s="5" t="n"/>
      <c r="P1079" s="5" t="n"/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  <c r="AA1079" s="5" t="n"/>
    </row>
    <row r="1080">
      <c r="A1080" s="5" t="n"/>
      <c r="B1080" s="40" t="n">
        <v>46111</v>
      </c>
      <c r="C1080" s="73" t="inlineStr">
        <is>
          <t>Малышев А.</t>
        </is>
      </c>
      <c r="D1080" s="73" t="inlineStr">
        <is>
          <t>Оплата поставщикам за сырье</t>
        </is>
      </c>
      <c r="E1080" s="142" t="n">
        <v>6479955</v>
      </c>
      <c r="F1080" s="143" t="n"/>
      <c r="G1080" s="144">
        <f>E1080+F1080</f>
        <v/>
      </c>
      <c r="H1080" s="73" t="inlineStr">
        <is>
          <t>Выплачено</t>
        </is>
      </c>
      <c r="I1080" s="66" t="inlineStr">
        <is>
          <t>Ок</t>
        </is>
      </c>
      <c r="J1080" s="5" t="n"/>
      <c r="K1080" s="5" t="n"/>
      <c r="L1080" s="5" t="n"/>
      <c r="M1080" s="5" t="n"/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5" t="n"/>
    </row>
    <row r="1081">
      <c r="A1081" s="5" t="n"/>
      <c r="B1081" s="40" t="n"/>
      <c r="C1081" s="73" t="n"/>
      <c r="D1081" s="73" t="n"/>
      <c r="E1081" s="142" t="n"/>
      <c r="F1081" s="143" t="n"/>
      <c r="G1081" s="144">
        <f>E1081+F1081</f>
        <v/>
      </c>
      <c r="H1081" s="73" t="inlineStr">
        <is>
          <t>Отложено</t>
        </is>
      </c>
      <c r="I1081" s="66" t="inlineStr">
        <is>
          <t>Ок</t>
        </is>
      </c>
      <c r="J1081" s="5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  <c r="AA1081" s="5" t="n"/>
    </row>
    <row r="1082">
      <c r="A1082" s="5" t="n"/>
      <c r="B1082" s="40" t="n">
        <v>46111</v>
      </c>
      <c r="C1082" s="73" t="n"/>
      <c r="D1082" s="73" t="inlineStr">
        <is>
          <t>Мусор</t>
        </is>
      </c>
      <c r="E1082" s="142" t="n">
        <v>631620</v>
      </c>
      <c r="F1082" s="143" t="n"/>
      <c r="G1082" s="144">
        <f>E1082+F1082</f>
        <v/>
      </c>
      <c r="H1082" s="73" t="inlineStr">
        <is>
          <t>Выплачено</t>
        </is>
      </c>
      <c r="I1082" s="66" t="inlineStr">
        <is>
          <t>Ок</t>
        </is>
      </c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5" t="n"/>
    </row>
    <row r="1083">
      <c r="A1083" s="5" t="n"/>
      <c r="B1083" s="40" t="n">
        <v>46111</v>
      </c>
      <c r="C1083" s="73" t="n"/>
      <c r="D1083" s="73" t="inlineStr">
        <is>
          <t xml:space="preserve">ЗП </t>
        </is>
      </c>
      <c r="E1083" s="142" t="n"/>
      <c r="F1083" s="143" t="n">
        <v>4168000</v>
      </c>
      <c r="G1083" s="144">
        <f>E1083+F1083</f>
        <v/>
      </c>
      <c r="H1083" s="73" t="inlineStr">
        <is>
          <t>Выплачено</t>
        </is>
      </c>
      <c r="I1083" s="66" t="inlineStr">
        <is>
          <t>Ок</t>
        </is>
      </c>
      <c r="J1083" s="5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  <c r="AA1083" s="5" t="n"/>
    </row>
    <row r="1084">
      <c r="A1084" s="5" t="n"/>
      <c r="B1084" s="40" t="n">
        <v>46111</v>
      </c>
      <c r="C1084" s="73" t="n"/>
      <c r="D1084" s="73" t="inlineStr">
        <is>
          <t>Погашение ОД и %%</t>
        </is>
      </c>
      <c r="E1084" s="142" t="n">
        <v>978317</v>
      </c>
      <c r="F1084" s="143" t="n"/>
      <c r="G1084" s="144">
        <f>E1084+F1084</f>
        <v/>
      </c>
      <c r="H1084" s="73" t="inlineStr">
        <is>
          <t>Выплачено</t>
        </is>
      </c>
      <c r="I1084" s="66" t="inlineStr">
        <is>
          <t>Ок</t>
        </is>
      </c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5" t="n"/>
    </row>
    <row r="1085">
      <c r="A1085" s="5" t="n"/>
      <c r="B1085" s="40" t="n">
        <v>46111</v>
      </c>
      <c r="C1085" s="73" t="inlineStr">
        <is>
          <t>НУ</t>
        </is>
      </c>
      <c r="D1085" s="73" t="inlineStr">
        <is>
          <t>КПН аванс</t>
        </is>
      </c>
      <c r="E1085" s="142" t="n">
        <v>1000000</v>
      </c>
      <c r="F1085" s="143" t="n"/>
      <c r="G1085" s="144">
        <f>E1085+F1085</f>
        <v/>
      </c>
      <c r="H1085" s="73" t="inlineStr">
        <is>
          <t>Выплачено</t>
        </is>
      </c>
      <c r="I1085" s="66" t="inlineStr">
        <is>
          <t>Ок</t>
        </is>
      </c>
      <c r="J1085" s="5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  <c r="AA1085" s="5" t="n"/>
    </row>
    <row r="1086">
      <c r="A1086" s="5" t="n"/>
      <c r="B1086" s="40" t="n">
        <v>46112</v>
      </c>
      <c r="C1086" s="73" t="n"/>
      <c r="D1086" s="73" t="inlineStr">
        <is>
          <t>Электроэнергия ФЗ</t>
        </is>
      </c>
      <c r="E1086" s="142" t="n">
        <v>8919283.890000001</v>
      </c>
      <c r="F1086" s="143" t="n"/>
      <c r="G1086" s="144">
        <f>E1086+F1086</f>
        <v/>
      </c>
      <c r="H1086" s="73" t="inlineStr">
        <is>
          <t>Выплачено</t>
        </is>
      </c>
      <c r="I1086" s="66" t="inlineStr">
        <is>
          <t>Ок</t>
        </is>
      </c>
      <c r="J1086" s="5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5" t="n"/>
    </row>
    <row r="1087">
      <c r="A1087" s="5" t="n"/>
      <c r="B1087" s="40" t="n">
        <v>46112</v>
      </c>
      <c r="C1087" s="73" t="inlineStr">
        <is>
          <t>Малышев А.</t>
        </is>
      </c>
      <c r="D1087" s="73" t="inlineStr">
        <is>
          <t>Оплата поставщикам за сырье</t>
        </is>
      </c>
      <c r="E1087" s="142" t="n">
        <v>7157444</v>
      </c>
      <c r="F1087" s="143" t="n"/>
      <c r="G1087" s="144">
        <f>E1087+F1087</f>
        <v/>
      </c>
      <c r="H1087" s="73" t="inlineStr">
        <is>
          <t>Выплачено</t>
        </is>
      </c>
      <c r="I1087" s="66" t="inlineStr">
        <is>
          <t>Ок</t>
        </is>
      </c>
      <c r="J1087" s="5" t="n"/>
      <c r="K1087" s="5" t="n"/>
      <c r="L1087" s="5" t="n"/>
      <c r="M1087" s="5" t="n"/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  <c r="AA1087" s="5" t="n"/>
    </row>
    <row r="1088">
      <c r="A1088" s="5" t="n"/>
      <c r="B1088" s="40" t="n">
        <v>46112</v>
      </c>
      <c r="C1088" s="73" t="inlineStr">
        <is>
          <t>Ли Станислав</t>
        </is>
      </c>
      <c r="D1088" s="73" t="inlineStr">
        <is>
          <t xml:space="preserve">Подотчет сырье   </t>
        </is>
      </c>
      <c r="E1088" s="112" t="n"/>
      <c r="F1088" s="143" t="n">
        <v>500000</v>
      </c>
      <c r="G1088" s="144">
        <f>E1088+F1088</f>
        <v/>
      </c>
      <c r="H1088" s="73" t="inlineStr">
        <is>
          <t>Выплачено</t>
        </is>
      </c>
      <c r="I1088" s="66" t="inlineStr">
        <is>
          <t>Ок</t>
        </is>
      </c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5" t="n"/>
    </row>
    <row r="1089">
      <c r="A1089" s="5" t="n"/>
      <c r="B1089" s="40" t="n">
        <v>46112</v>
      </c>
      <c r="C1089" s="73" t="n"/>
      <c r="D1089" s="73" t="inlineStr">
        <is>
          <t xml:space="preserve">ЗП </t>
        </is>
      </c>
      <c r="E1089" s="142" t="n"/>
      <c r="F1089" s="143" t="n">
        <v>2835740</v>
      </c>
      <c r="G1089" s="144">
        <f>E1089+F1089</f>
        <v/>
      </c>
      <c r="H1089" s="73" t="inlineStr">
        <is>
          <t>Выплачено</t>
        </is>
      </c>
      <c r="I1089" s="66" t="inlineStr">
        <is>
          <t>Ок</t>
        </is>
      </c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5" t="n"/>
    </row>
    <row r="1090">
      <c r="A1090" s="5" t="n"/>
      <c r="B1090" s="40" t="n">
        <v>46112</v>
      </c>
      <c r="C1090" s="73" t="inlineStr">
        <is>
          <t>НУ</t>
        </is>
      </c>
      <c r="D1090" s="73" t="inlineStr">
        <is>
          <t>КПН аванс</t>
        </is>
      </c>
      <c r="E1090" s="142" t="n">
        <v>4000000</v>
      </c>
      <c r="F1090" s="143" t="n"/>
      <c r="G1090" s="144">
        <f>E1090+F1090</f>
        <v/>
      </c>
      <c r="H1090" s="73" t="inlineStr">
        <is>
          <t>Выплачено</t>
        </is>
      </c>
      <c r="I1090" s="66" t="inlineStr">
        <is>
          <t>Ок</t>
        </is>
      </c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</row>
    <row r="1091">
      <c r="A1091" s="5" t="n"/>
      <c r="B1091" s="40" t="n">
        <v>46112</v>
      </c>
      <c r="C1091" s="57" t="inlineStr">
        <is>
          <t>Зета</t>
        </is>
      </c>
      <c r="D1091" s="73" t="inlineStr">
        <is>
          <t>кресло</t>
        </is>
      </c>
      <c r="E1091" s="142" t="n">
        <v>48420</v>
      </c>
      <c r="F1091" s="73" t="n"/>
      <c r="G1091" s="111">
        <f>E1091+F1091</f>
        <v/>
      </c>
      <c r="H1091" s="73" t="inlineStr">
        <is>
          <t>Выплачено</t>
        </is>
      </c>
      <c r="I1091" s="66" t="inlineStr">
        <is>
          <t>Ок</t>
        </is>
      </c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5" t="n"/>
    </row>
    <row r="1092">
      <c r="A1092" s="5" t="n"/>
      <c r="B1092" s="40" t="n">
        <v>46112</v>
      </c>
      <c r="C1092" s="73" t="inlineStr">
        <is>
          <t>квартира  Сон с</t>
        </is>
      </c>
      <c r="D1092" s="73" t="inlineStr">
        <is>
          <t xml:space="preserve">за 15 дней </t>
        </is>
      </c>
      <c r="E1092" s="112" t="n"/>
      <c r="F1092" s="73" t="n">
        <v>175000</v>
      </c>
      <c r="G1092" s="111">
        <f>E1092+F1092</f>
        <v/>
      </c>
      <c r="H1092" s="73" t="inlineStr">
        <is>
          <t>Выплачено</t>
        </is>
      </c>
      <c r="I1092" s="66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</row>
    <row r="1093">
      <c r="A1093" s="5" t="n"/>
      <c r="B1093" s="40" t="n">
        <v>46112</v>
      </c>
      <c r="C1093" s="57" t="inlineStr">
        <is>
          <t>Альфа Дистрибьюшн</t>
        </is>
      </c>
      <c r="D1093" s="73" t="inlineStr">
        <is>
          <t>Дашида</t>
        </is>
      </c>
      <c r="E1093" s="142" t="n"/>
      <c r="F1093" s="73" t="n">
        <v>158400</v>
      </c>
      <c r="G1093" s="111">
        <f>E1093+F1093</f>
        <v/>
      </c>
      <c r="H1093" s="73" t="inlineStr">
        <is>
          <t>Выплачено</t>
        </is>
      </c>
      <c r="I1093" s="66" t="n"/>
      <c r="J1093" s="5" t="n"/>
      <c r="K1093" s="5" t="n"/>
      <c r="L1093" s="5" t="n"/>
      <c r="M1093" s="5" t="n"/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  <c r="AA1093" s="5" t="n"/>
    </row>
    <row r="1094">
      <c r="A1094" s="5" t="n"/>
      <c r="B1094" s="40" t="n">
        <v>46112</v>
      </c>
      <c r="C1094" s="57" t="inlineStr">
        <is>
          <t>Семь морей</t>
        </is>
      </c>
      <c r="D1094" s="73" t="inlineStr">
        <is>
          <t>крабовые палочки</t>
        </is>
      </c>
      <c r="E1094" s="142" t="n"/>
      <c r="F1094" s="73" t="n">
        <v>126000</v>
      </c>
      <c r="G1094" s="111">
        <f>E1094+F1094</f>
        <v/>
      </c>
      <c r="H1094" s="73" t="inlineStr">
        <is>
          <t>Выплачено</t>
        </is>
      </c>
      <c r="I1094" s="66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5" t="n"/>
    </row>
    <row r="1095">
      <c r="A1095" s="5" t="n"/>
      <c r="B1095" s="40" t="n">
        <v>46112</v>
      </c>
      <c r="C1095" s="57" t="inlineStr">
        <is>
          <t xml:space="preserve">ТОО "Компания Э-КОМ ПРАЙМ  </t>
        </is>
      </c>
      <c r="D1095" s="73" t="inlineStr">
        <is>
          <t xml:space="preserve">за январь и март  сегодня оплатила ато они нас отключить </t>
        </is>
      </c>
      <c r="E1095" s="142" t="n">
        <v>180000</v>
      </c>
      <c r="F1095" s="73" t="n"/>
      <c r="G1095" s="111">
        <f>E1095+F1095</f>
        <v/>
      </c>
      <c r="H1095" s="73" t="inlineStr">
        <is>
          <t>Выплачено</t>
        </is>
      </c>
      <c r="I1095" s="66" t="n"/>
      <c r="J1095" s="5" t="n"/>
      <c r="K1095" s="5" t="n"/>
      <c r="L1095" s="5" t="n"/>
      <c r="M1095" s="5" t="n"/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  <c r="AA1095" s="5" t="n"/>
    </row>
    <row r="1096">
      <c r="A1096" s="5" t="inlineStr">
        <is>
          <t>ежемесячно до 01.</t>
        </is>
      </c>
      <c r="B1096" s="40" t="n">
        <v>46113</v>
      </c>
      <c r="C1096" s="73" t="inlineStr">
        <is>
          <t>Кафе Софт KZ ТОО айко программа</t>
        </is>
      </c>
      <c r="D1096" s="73" t="n"/>
      <c r="E1096" s="112" t="n">
        <v>85400</v>
      </c>
      <c r="F1096" s="73" t="n"/>
      <c r="G1096" s="111">
        <f>E1096+F1096</f>
        <v/>
      </c>
      <c r="H1096" s="73" t="inlineStr">
        <is>
          <t>Выплачено</t>
        </is>
      </c>
      <c r="I1096" s="66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5" t="n"/>
    </row>
    <row r="1097">
      <c r="A1097" s="5" t="inlineStr">
        <is>
          <t>ежемесячно до 01.</t>
        </is>
      </c>
      <c r="B1097" s="40" t="n">
        <v>46113</v>
      </c>
      <c r="C1097" s="73" t="inlineStr">
        <is>
          <t>Access Group ТОО интернет (NLS)</t>
        </is>
      </c>
      <c r="D1097" s="73" t="n"/>
      <c r="E1097" s="112" t="n">
        <v>85177</v>
      </c>
      <c r="F1097" s="73" t="n"/>
      <c r="G1097" s="111">
        <f>E1097+F1097</f>
        <v/>
      </c>
      <c r="H1097" s="73" t="inlineStr">
        <is>
          <t>Выплачено</t>
        </is>
      </c>
      <c r="I1097" s="66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  <c r="AA1097" s="5" t="n"/>
    </row>
    <row r="1098">
      <c r="A1098" s="5" t="n"/>
      <c r="B1098" s="40" t="n">
        <v>46113</v>
      </c>
      <c r="C1098" s="73" t="inlineStr">
        <is>
          <t>Консерва КЗ</t>
        </is>
      </c>
      <c r="D1098" s="73" t="n"/>
      <c r="E1098" s="112" t="n"/>
      <c r="F1098" s="73" t="n">
        <v>96000</v>
      </c>
      <c r="G1098" s="111">
        <f>E1098+F1098</f>
        <v/>
      </c>
      <c r="H1098" s="73" t="inlineStr">
        <is>
          <t>Выплачено</t>
        </is>
      </c>
      <c r="I1098" s="66" t="n"/>
      <c r="J1098" s="5" t="n"/>
      <c r="K1098" s="5" t="n"/>
      <c r="L1098" s="5" t="n"/>
      <c r="M1098" s="5" t="n"/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5" t="n"/>
    </row>
    <row r="1099">
      <c r="A1099" s="5" t="n"/>
      <c r="B1099" s="40" t="n">
        <v>46113</v>
      </c>
      <c r="C1099" s="73" t="inlineStr">
        <is>
          <t>Малышев А.</t>
        </is>
      </c>
      <c r="D1099" s="73" t="inlineStr">
        <is>
          <t>Оплата поставщикам за сырье</t>
        </is>
      </c>
      <c r="E1099" s="112" t="n">
        <v>7743006</v>
      </c>
      <c r="F1099" s="73" t="n"/>
      <c r="G1099" s="111">
        <f>E1099+F1099</f>
        <v/>
      </c>
      <c r="H1099" s="73" t="inlineStr">
        <is>
          <t>Выплачено</t>
        </is>
      </c>
      <c r="I1099" s="66" t="n"/>
      <c r="J1099" s="5" t="n"/>
      <c r="K1099" s="5" t="n"/>
      <c r="L1099" s="5" t="n"/>
      <c r="M1099" s="5" t="n"/>
      <c r="N1099" s="5" t="n"/>
      <c r="O1099" s="5" t="n"/>
      <c r="P1099" s="5" t="n"/>
      <c r="Q1099" s="5" t="n"/>
      <c r="R1099" s="5" t="n"/>
      <c r="S1099" s="5" t="n"/>
      <c r="T1099" s="5" t="n"/>
      <c r="U1099" s="5" t="n"/>
      <c r="V1099" s="5" t="n"/>
      <c r="W1099" s="5" t="n"/>
      <c r="X1099" s="5" t="n"/>
      <c r="Y1099" s="5" t="n"/>
      <c r="Z1099" s="5" t="n"/>
      <c r="AA1099" s="5" t="n"/>
    </row>
    <row r="1100">
      <c r="A1100" s="5" t="n"/>
      <c r="B1100" s="40" t="n">
        <v>46113</v>
      </c>
      <c r="C1100" s="73" t="inlineStr">
        <is>
          <t>Ли Станислав</t>
        </is>
      </c>
      <c r="D1100" s="73" t="inlineStr">
        <is>
          <t xml:space="preserve">Подотчет сырье  </t>
        </is>
      </c>
      <c r="E1100" s="112" t="n"/>
      <c r="F1100" s="73" t="n">
        <v>500000</v>
      </c>
      <c r="G1100" s="111">
        <f>E1100+F1100</f>
        <v/>
      </c>
      <c r="H1100" s="73" t="inlineStr">
        <is>
          <t>Выплачено</t>
        </is>
      </c>
      <c r="I1100" s="66" t="n"/>
      <c r="J1100" s="5" t="n"/>
      <c r="K1100" s="5" t="n"/>
      <c r="L1100" s="5" t="n"/>
      <c r="M1100" s="5" t="n"/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5" t="n"/>
    </row>
    <row r="1101">
      <c r="A1101" s="5" t="n"/>
      <c r="B1101" s="40" t="n">
        <v>46114</v>
      </c>
      <c r="C1101" s="73" t="n"/>
      <c r="D1101" s="73" t="n"/>
      <c r="E1101" s="112" t="n"/>
      <c r="F1101" s="73" t="n"/>
      <c r="G1101" s="111">
        <f>E1101+F1101</f>
        <v/>
      </c>
      <c r="H1101" s="73" t="inlineStr">
        <is>
          <t>К оплате</t>
        </is>
      </c>
      <c r="I1101" s="66" t="n"/>
      <c r="J1101" s="5" t="n"/>
      <c r="K1101" s="5" t="n"/>
      <c r="L1101" s="5" t="n"/>
      <c r="M1101" s="5" t="n"/>
      <c r="N1101" s="5" t="n"/>
      <c r="O1101" s="5" t="n"/>
      <c r="P1101" s="5" t="n"/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  <c r="AA1101" s="5" t="n"/>
    </row>
    <row r="1102">
      <c r="A1102" s="5" t="n"/>
      <c r="B1102" s="40" t="n">
        <v>46114</v>
      </c>
      <c r="C1102" s="73" t="inlineStr">
        <is>
          <t>Малышев А.</t>
        </is>
      </c>
      <c r="D1102" s="73" t="inlineStr">
        <is>
          <t>Оплата поставщикам за сырье</t>
        </is>
      </c>
      <c r="E1102" s="112" t="n">
        <v>7677664</v>
      </c>
      <c r="F1102" s="73" t="n"/>
      <c r="G1102" s="111">
        <f>E1102+F1102</f>
        <v/>
      </c>
      <c r="H1102" s="73" t="inlineStr">
        <is>
          <t>Выплачено</t>
        </is>
      </c>
      <c r="I1102" s="66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5" t="n"/>
    </row>
    <row r="1103">
      <c r="A1103" s="5" t="n"/>
      <c r="B1103" s="40" t="n">
        <v>46114</v>
      </c>
      <c r="C1103" s="73" t="inlineStr">
        <is>
          <t>ЗП остаток за февраль</t>
        </is>
      </c>
      <c r="D1103" s="73" t="inlineStr">
        <is>
          <t xml:space="preserve">АУП Сон сергей </t>
        </is>
      </c>
      <c r="E1103" s="112" t="n"/>
      <c r="F1103" s="73" t="n">
        <v>3240000</v>
      </c>
      <c r="G1103" s="111">
        <f>E1103+F1103</f>
        <v/>
      </c>
      <c r="H1103" s="73" t="inlineStr">
        <is>
          <t>Отложено</t>
        </is>
      </c>
      <c r="I1103" s="66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  <c r="AA1103" s="5" t="n"/>
    </row>
    <row r="1104">
      <c r="A1104" s="5" t="n"/>
      <c r="B1104" s="40" t="n">
        <v>46114</v>
      </c>
      <c r="C1104" s="73" t="inlineStr">
        <is>
          <t>ЗП еженедельная оплата</t>
        </is>
      </c>
      <c r="D1104" s="73" t="inlineStr">
        <is>
          <t>ЗП лагманщикам</t>
        </is>
      </c>
      <c r="E1104" s="112" t="n"/>
      <c r="F1104" s="73" t="n">
        <v>400000</v>
      </c>
      <c r="G1104" s="111">
        <f>E1104+F1104</f>
        <v/>
      </c>
      <c r="H1104" s="73" t="inlineStr">
        <is>
          <t>Выплачено</t>
        </is>
      </c>
      <c r="I1104" s="66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5" t="n"/>
    </row>
    <row r="1105">
      <c r="A1105" s="5" t="inlineStr">
        <is>
          <t>по служебке</t>
        </is>
      </c>
      <c r="B1105" s="40" t="n">
        <v>46114</v>
      </c>
      <c r="C1105" s="73" t="inlineStr">
        <is>
          <t>ЗП за апрель</t>
        </is>
      </c>
      <c r="D1105" s="73" t="inlineStr">
        <is>
          <t>аванс производства</t>
        </is>
      </c>
      <c r="E1105" s="112" t="n"/>
      <c r="F1105" s="73" t="n">
        <v>870000</v>
      </c>
      <c r="G1105" s="111">
        <f>E1105+F1105</f>
        <v/>
      </c>
      <c r="H1105" s="73" t="inlineStr">
        <is>
          <t>Выплачено</t>
        </is>
      </c>
      <c r="I1105" s="66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  <c r="AA1105" s="5" t="n"/>
    </row>
    <row r="1106">
      <c r="A1106" s="5" t="n"/>
      <c r="B1106" s="40" t="n">
        <v>46114</v>
      </c>
      <c r="C1106" s="73" t="inlineStr">
        <is>
          <t>Ли Станислав</t>
        </is>
      </c>
      <c r="D1106" s="73" t="inlineStr">
        <is>
          <t xml:space="preserve">Подотчет сырье  </t>
        </is>
      </c>
      <c r="E1106" s="112" t="n"/>
      <c r="F1106" s="73" t="n">
        <v>600000</v>
      </c>
      <c r="G1106" s="111">
        <f>E1106+F1106</f>
        <v/>
      </c>
      <c r="H1106" s="73" t="inlineStr">
        <is>
          <t>Отложено</t>
        </is>
      </c>
      <c r="I1106" s="66" t="n"/>
      <c r="J1106" s="5" t="n"/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5" t="n"/>
    </row>
    <row r="1107">
      <c r="A1107" s="5" t="inlineStr">
        <is>
          <t>проверить остаток</t>
        </is>
      </c>
      <c r="B1107" s="40" t="n">
        <v>46114</v>
      </c>
      <c r="C1107" s="73" t="inlineStr">
        <is>
          <t xml:space="preserve">КПН </t>
        </is>
      </c>
      <c r="D1107" s="73" t="inlineStr">
        <is>
          <t>Остаток (общее до 10 апреля, всего КПН 19 000 000, уже оплачено 5 000 000 )</t>
        </is>
      </c>
      <c r="E1107" s="112" t="n">
        <v>5000000</v>
      </c>
      <c r="F1107" s="73" t="n"/>
      <c r="G1107" s="111">
        <f>E1107+F1107</f>
        <v/>
      </c>
      <c r="H1107" s="73" t="inlineStr">
        <is>
          <t>Отложено</t>
        </is>
      </c>
      <c r="I1107" s="66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5" t="n"/>
    </row>
    <row r="1108">
      <c r="A1108" s="5" t="n"/>
      <c r="B1108" s="40" t="n">
        <v>46114</v>
      </c>
      <c r="C1108" s="73" t="inlineStr">
        <is>
          <t>Заправка кондиционера</t>
        </is>
      </c>
      <c r="D1108" s="73" t="n"/>
      <c r="E1108" s="112" t="n"/>
      <c r="F1108" s="73" t="n">
        <v>75000</v>
      </c>
      <c r="G1108" s="111">
        <f>E1108+F1108</f>
        <v/>
      </c>
      <c r="H1108" s="73" t="inlineStr">
        <is>
          <t>Выплачено</t>
        </is>
      </c>
      <c r="I1108" s="66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5" t="n"/>
    </row>
    <row r="1109">
      <c r="A1109" s="5" t="n"/>
      <c r="B1109" s="40" t="n">
        <v>46114</v>
      </c>
      <c r="C1109" s="73" t="inlineStr">
        <is>
          <t>Замена газ баллона</t>
        </is>
      </c>
      <c r="D1109" s="73" t="n"/>
      <c r="E1109" s="112" t="n"/>
      <c r="F1109" s="73" t="n">
        <v>48000</v>
      </c>
      <c r="G1109" s="111">
        <f>E1109+F1109</f>
        <v/>
      </c>
      <c r="H1109" s="73" t="inlineStr">
        <is>
          <t>Выплачено</t>
        </is>
      </c>
      <c r="I1109" s="66" t="n"/>
      <c r="J1109" s="5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  <c r="AA1109" s="5" t="n"/>
    </row>
    <row r="1110">
      <c r="A1110" s="5" t="inlineStr">
        <is>
          <t>увеличили сумму до 1800 000, 1500 000 мало</t>
        </is>
      </c>
      <c r="B1110" s="145" t="n">
        <v>46115</v>
      </c>
      <c r="C1110" s="73" t="inlineStr">
        <is>
          <t>Логистика</t>
        </is>
      </c>
      <c r="D1110" s="73" t="inlineStr">
        <is>
          <t xml:space="preserve">Демьянов </t>
        </is>
      </c>
      <c r="E1110" s="112" t="n">
        <v>1800000</v>
      </c>
      <c r="F1110" s="73" t="n"/>
      <c r="G1110" s="111">
        <f>E1110+F1110</f>
        <v/>
      </c>
      <c r="H1110" s="73" t="inlineStr">
        <is>
          <t>Выплачено</t>
        </is>
      </c>
      <c r="I1110" s="66" t="n"/>
      <c r="J1110" s="5" t="n"/>
      <c r="K1110" s="5" t="n"/>
      <c r="L1110" s="5" t="n"/>
      <c r="M1110" s="5" t="n"/>
      <c r="N1110" s="5" t="n"/>
      <c r="O1110" s="5" t="n"/>
      <c r="P1110" s="5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  <c r="AA1110" s="5" t="n"/>
    </row>
    <row r="1111">
      <c r="A1111" s="5" t="n"/>
      <c r="B1111" s="145" t="n">
        <v>46115</v>
      </c>
      <c r="C1111" s="73" t="inlineStr">
        <is>
          <t>Ли Станислав</t>
        </is>
      </c>
      <c r="D1111" s="73" t="inlineStr">
        <is>
          <t xml:space="preserve">Подотчет сырье  </t>
        </is>
      </c>
      <c r="E1111" s="112" t="n"/>
      <c r="F1111" s="73" t="n">
        <v>600000</v>
      </c>
      <c r="G1111" s="111">
        <f>E1111+F1111</f>
        <v/>
      </c>
      <c r="H1111" s="73" t="inlineStr">
        <is>
          <t>Выплачено</t>
        </is>
      </c>
      <c r="I1111" s="66" t="n"/>
      <c r="J1111" s="5" t="n"/>
      <c r="K1111" s="5" t="n"/>
      <c r="L1111" s="5" t="n"/>
      <c r="M1111" s="5" t="n"/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  <c r="AA1111" s="5" t="n"/>
    </row>
    <row r="1112">
      <c r="A1112" s="5" t="n"/>
      <c r="B1112" s="145" t="n">
        <v>46115</v>
      </c>
      <c r="C1112" s="73" t="inlineStr">
        <is>
          <t>ЗП остаток</t>
        </is>
      </c>
      <c r="D1112" s="73" t="inlineStr">
        <is>
          <t>уволенным</t>
        </is>
      </c>
      <c r="E1112" s="112" t="n"/>
      <c r="F1112" s="73" t="n">
        <v>1451504</v>
      </c>
      <c r="G1112" s="111">
        <f>E1112+F1112</f>
        <v/>
      </c>
      <c r="H1112" s="73" t="inlineStr">
        <is>
          <t>Выплачено</t>
        </is>
      </c>
      <c r="I1112" s="66" t="n"/>
      <c r="J1112" s="5" t="n"/>
      <c r="K1112" s="5" t="n"/>
      <c r="L1112" s="5" t="n"/>
      <c r="M1112" s="5" t="n"/>
      <c r="N1112" s="5" t="n"/>
      <c r="O1112" s="5" t="n"/>
      <c r="P1112" s="5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  <c r="AA1112" s="5" t="n"/>
    </row>
    <row r="1113">
      <c r="A1113" s="5" t="n"/>
      <c r="B1113" s="145" t="n">
        <v>46115</v>
      </c>
      <c r="C1113" s="73" t="n"/>
      <c r="D1113" s="121" t="inlineStr">
        <is>
          <t>Закуп сырьё</t>
        </is>
      </c>
      <c r="E1113" s="112" t="n">
        <v>5334822</v>
      </c>
      <c r="F1113" s="73" t="n"/>
      <c r="G1113" s="111">
        <f>E1113+F1113</f>
        <v/>
      </c>
      <c r="H1113" s="73" t="inlineStr">
        <is>
          <t>Выплачено</t>
        </is>
      </c>
      <c r="I1113" s="66" t="n"/>
      <c r="J1113" s="5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  <c r="AA1113" s="5" t="n"/>
    </row>
    <row r="1114">
      <c r="A1114" s="5" t="n"/>
      <c r="B1114" s="145" t="n">
        <v>46115</v>
      </c>
      <c r="C1114" s="73" t="inlineStr">
        <is>
          <t>ЗП остаток за февраль</t>
        </is>
      </c>
      <c r="D1114" s="73" t="inlineStr">
        <is>
          <t xml:space="preserve">АУП Сон сергей </t>
        </is>
      </c>
      <c r="E1114" s="112" t="n"/>
      <c r="F1114" s="73" t="n">
        <v>1500000</v>
      </c>
      <c r="G1114" s="111">
        <f>E1114+F1114</f>
        <v/>
      </c>
      <c r="H1114" s="73" t="inlineStr">
        <is>
          <t>Выплачено</t>
        </is>
      </c>
      <c r="I1114" s="66" t="n"/>
      <c r="J1114" s="5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5" t="n"/>
    </row>
    <row r="1115">
      <c r="A1115" s="5" t="n"/>
      <c r="B1115" s="145" t="n">
        <v>46115</v>
      </c>
      <c r="C1115" s="746" t="inlineStr">
        <is>
          <t>АМР Printology</t>
        </is>
      </c>
      <c r="D1115" s="746" t="inlineStr">
        <is>
          <t>Заправка картриджа</t>
        </is>
      </c>
      <c r="E1115" s="112" t="n">
        <v>16200</v>
      </c>
      <c r="F1115" s="73" t="n"/>
      <c r="G1115" s="111">
        <f>E1115+F1115</f>
        <v/>
      </c>
      <c r="H1115" s="73" t="inlineStr">
        <is>
          <t>Выплачено</t>
        </is>
      </c>
      <c r="I1115" s="66" t="n"/>
      <c r="J1115" s="5" t="n"/>
      <c r="K1115" s="5" t="n"/>
      <c r="L1115" s="5" t="n"/>
      <c r="M1115" s="5" t="n"/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  <c r="AA1115" s="5" t="n"/>
    </row>
    <row r="1116">
      <c r="A1116" s="5" t="n"/>
      <c r="B1116" s="145" t="n">
        <v>46115</v>
      </c>
      <c r="C1116" s="746" t="inlineStr">
        <is>
          <t>Qloom</t>
        </is>
      </c>
      <c r="D1116" s="746" t="inlineStr">
        <is>
          <t>Подписка на Wazzup, тариф Мах, 1 мес</t>
        </is>
      </c>
      <c r="E1116" s="112" t="n">
        <v>36000</v>
      </c>
      <c r="F1116" s="73" t="n"/>
      <c r="G1116" s="111">
        <f>E1116+F1116</f>
        <v/>
      </c>
      <c r="H1116" s="73" t="inlineStr">
        <is>
          <t>Выплачено</t>
        </is>
      </c>
      <c r="I1116" s="66" t="n"/>
      <c r="J1116" s="5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5" t="n"/>
    </row>
    <row r="1117">
      <c r="A1117" s="5" t="n"/>
      <c r="B1117" s="145" t="n">
        <v>46115</v>
      </c>
      <c r="C1117" s="73" t="inlineStr">
        <is>
          <t>Адиль Амувакиров</t>
        </is>
      </c>
      <c r="D1117" s="73" t="inlineStr">
        <is>
          <t>Мышь по СЗ</t>
        </is>
      </c>
      <c r="E1117" s="112" t="n"/>
      <c r="F1117" s="73" t="n">
        <v>9203</v>
      </c>
      <c r="G1117" s="111">
        <f>E1117+F1117</f>
        <v/>
      </c>
      <c r="H1117" s="73" t="inlineStr">
        <is>
          <t>Выплачено</t>
        </is>
      </c>
      <c r="I1117" s="66" t="n"/>
      <c r="J1117" s="5" t="n"/>
      <c r="K1117" s="5" t="n"/>
      <c r="L1117" s="5" t="n"/>
      <c r="M1117" s="5" t="n"/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  <c r="AA1117" s="5" t="n"/>
    </row>
    <row r="1118">
      <c r="A1118" s="5" t="n"/>
      <c r="B1118" s="145" t="n">
        <v>46115</v>
      </c>
      <c r="C1118" s="73" t="inlineStr">
        <is>
          <t>Семь морей ( нал)</t>
        </is>
      </c>
      <c r="D1118" s="73" t="n"/>
      <c r="E1118" s="112" t="n"/>
      <c r="F1118" s="73" t="n">
        <v>315000</v>
      </c>
      <c r="G1118" s="111">
        <f>E1118+F1118</f>
        <v/>
      </c>
      <c r="H1118" s="73" t="inlineStr">
        <is>
          <t>Выплачено</t>
        </is>
      </c>
      <c r="I1118" s="66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5" t="n"/>
    </row>
    <row r="1119">
      <c r="A1119" s="5" t="n"/>
      <c r="B1119" s="145" t="n">
        <v>46115</v>
      </c>
      <c r="C1119" s="73" t="inlineStr">
        <is>
          <t xml:space="preserve">КПН </t>
        </is>
      </c>
      <c r="D1119" s="73" t="inlineStr">
        <is>
          <t>Остаток (общее до 10 апреля, всего КПН 19 000 000, уже оплачено 5 000 000 )</t>
        </is>
      </c>
      <c r="E1119" s="112" t="n">
        <v>4000000</v>
      </c>
      <c r="F1119" s="73" t="n"/>
      <c r="G1119" s="111">
        <f>E1119+F1119</f>
        <v/>
      </c>
      <c r="H1119" s="73" t="inlineStr">
        <is>
          <t>Выплачено</t>
        </is>
      </c>
      <c r="I1119" s="66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</row>
    <row r="1120">
      <c r="A1120" s="5" t="n"/>
      <c r="B1120" s="145" t="n">
        <v>46115</v>
      </c>
      <c r="C1120" s="73" t="inlineStr">
        <is>
          <t>Сыр</t>
        </is>
      </c>
      <c r="D1120" s="73" t="n"/>
      <c r="E1120" s="112" t="n"/>
      <c r="F1120" s="73" t="n">
        <v>48360</v>
      </c>
      <c r="G1120" s="111">
        <f>E1120+F1120</f>
        <v/>
      </c>
      <c r="H1120" s="73" t="inlineStr">
        <is>
          <t>Выплачено</t>
        </is>
      </c>
      <c r="I1120" s="66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</row>
    <row r="1121">
      <c r="A1121" s="5" t="n"/>
      <c r="B1121" s="145" t="n">
        <v>46115</v>
      </c>
      <c r="C1121" s="73" t="inlineStr">
        <is>
          <t>Эрик ( капуста) нал</t>
        </is>
      </c>
      <c r="D1121" s="73" t="n"/>
      <c r="E1121" s="112" t="n"/>
      <c r="F1121" s="73" t="n">
        <v>595935</v>
      </c>
      <c r="G1121" s="111">
        <f>E1121+F1121</f>
        <v/>
      </c>
      <c r="H1121" s="73" t="inlineStr">
        <is>
          <t>Выплачено</t>
        </is>
      </c>
      <c r="I1121" s="66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</row>
    <row r="1122">
      <c r="A1122" s="5" t="n"/>
      <c r="B1122" s="145" t="n">
        <v>46115</v>
      </c>
      <c r="C1122" s="73" t="inlineStr">
        <is>
          <t>Мед Тараз</t>
        </is>
      </c>
      <c r="D1122" s="73" t="n"/>
      <c r="E1122" s="112" t="n"/>
      <c r="F1122" s="73" t="n">
        <v>211500</v>
      </c>
      <c r="G1122" s="111">
        <f>E1122+F1122</f>
        <v/>
      </c>
      <c r="H1122" s="73" t="inlineStr">
        <is>
          <t>Выплачено</t>
        </is>
      </c>
      <c r="I1122" s="66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5" t="n"/>
    </row>
    <row r="1123">
      <c r="A1123" s="5" t="n"/>
      <c r="B1123" s="40" t="n">
        <v>46118</v>
      </c>
      <c r="C1123" s="73" t="inlineStr">
        <is>
          <t xml:space="preserve">Ойшынов Жансултан </t>
        </is>
      </c>
      <c r="D1123" s="73" t="inlineStr">
        <is>
          <t>Сафаралиев (ремонт печи Rational ) по СЗ</t>
        </is>
      </c>
      <c r="E1123" s="112" t="n">
        <v>335000</v>
      </c>
      <c r="F1123" s="73" t="n"/>
      <c r="G1123" s="111">
        <f>E1123+F1123</f>
        <v/>
      </c>
      <c r="H1123" s="73" t="inlineStr">
        <is>
          <t>Выплачено</t>
        </is>
      </c>
      <c r="I1123" s="66" t="n"/>
      <c r="J1123" s="5" t="n"/>
      <c r="K1123" s="5" t="n"/>
      <c r="L1123" s="5" t="n"/>
      <c r="M1123" s="5" t="n"/>
      <c r="N1123" s="5" t="n"/>
      <c r="O1123" s="5" t="n"/>
      <c r="P1123" s="5" t="n"/>
      <c r="Q1123" s="5" t="n"/>
      <c r="R1123" s="5" t="n"/>
      <c r="S1123" s="5" t="n"/>
      <c r="T1123" s="5" t="n"/>
      <c r="U1123" s="5" t="n"/>
      <c r="V1123" s="5" t="n"/>
      <c r="W1123" s="5" t="n"/>
      <c r="X1123" s="5" t="n"/>
      <c r="Y1123" s="5" t="n"/>
      <c r="Z1123" s="5" t="n"/>
      <c r="AA1123" s="5" t="n"/>
    </row>
    <row r="1124">
      <c r="A1124" s="5" t="n"/>
      <c r="B1124" s="40" t="n">
        <v>46118</v>
      </c>
      <c r="C1124" s="73" t="inlineStr">
        <is>
          <t>ЗП за апрель</t>
        </is>
      </c>
      <c r="D1124" s="73" t="inlineStr">
        <is>
          <t xml:space="preserve">аванс производства  </t>
        </is>
      </c>
      <c r="E1124" s="112" t="n"/>
      <c r="F1124" s="73" t="n">
        <v>160000</v>
      </c>
      <c r="G1124" s="111">
        <f>E1124+F1124</f>
        <v/>
      </c>
      <c r="H1124" s="73" t="inlineStr">
        <is>
          <t>К оплате</t>
        </is>
      </c>
      <c r="I1124" s="66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5" t="n"/>
    </row>
    <row r="1125">
      <c r="A1125" s="5" t="n"/>
      <c r="B1125" s="40" t="n">
        <v>46118</v>
      </c>
      <c r="C1125" s="746" t="inlineStr">
        <is>
          <t>ИП PRODVIG</t>
        </is>
      </c>
      <c r="D1125" s="746" t="inlineStr">
        <is>
          <t>Лицензия "Энтерпрайз-250"</t>
        </is>
      </c>
      <c r="E1125" s="146" t="n">
        <v>220400</v>
      </c>
      <c r="F1125" s="73" t="n"/>
      <c r="G1125" s="111">
        <f>E1125+F1125</f>
        <v/>
      </c>
      <c r="H1125" s="73" t="inlineStr">
        <is>
          <t>Выплачено</t>
        </is>
      </c>
      <c r="I1125" s="66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  <c r="AA1125" s="5" t="n"/>
    </row>
    <row r="1126">
      <c r="A1126" s="5" t="n"/>
      <c r="B1126" s="40" t="n">
        <v>46118</v>
      </c>
      <c r="C1126" s="746" t="inlineStr">
        <is>
          <t>ИП Uchet SK</t>
        </is>
      </c>
      <c r="D1126" s="746" t="inlineStr">
        <is>
          <t>Бухгалтерские услуги за март (производство)</t>
        </is>
      </c>
      <c r="E1126" s="146" t="n">
        <v>950000</v>
      </c>
      <c r="F1126" s="73" t="n"/>
      <c r="G1126" s="111">
        <f>E1126+F1126</f>
        <v/>
      </c>
      <c r="H1126" s="73" t="inlineStr">
        <is>
          <t>Выплачено</t>
        </is>
      </c>
      <c r="I1126" s="66" t="n"/>
      <c r="J1126" s="5" t="n"/>
      <c r="K1126" s="5" t="n"/>
      <c r="L1126" s="5" t="n"/>
      <c r="M1126" s="5" t="n"/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5" t="n"/>
    </row>
    <row r="1127">
      <c r="A1127" s="5" t="n"/>
      <c r="B1127" s="40" t="n">
        <v>46118</v>
      </c>
      <c r="C1127" s="73" t="inlineStr">
        <is>
          <t xml:space="preserve">КПН </t>
        </is>
      </c>
      <c r="D1127" s="73" t="inlineStr">
        <is>
          <t>Остаток ( до 10 апреля, всего КПН 19 млн., опл. 9 млн. )</t>
        </is>
      </c>
      <c r="E1127" s="146" t="n">
        <v>2000000</v>
      </c>
      <c r="F1127" s="73" t="n"/>
      <c r="G1127" s="111">
        <f>E1127+F1127</f>
        <v/>
      </c>
      <c r="H1127" s="73" t="inlineStr">
        <is>
          <t>Выплачено</t>
        </is>
      </c>
      <c r="I1127" s="66" t="n"/>
      <c r="J1127" s="5" t="n"/>
      <c r="K1127" s="5" t="n"/>
      <c r="L1127" s="5" t="n"/>
      <c r="M1127" s="5" t="n"/>
      <c r="N1127" s="5" t="n"/>
      <c r="O1127" s="5" t="n"/>
      <c r="P1127" s="5" t="n"/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  <c r="AA1127" s="5" t="n"/>
    </row>
    <row r="1128">
      <c r="A1128" s="5" t="inlineStr">
        <is>
          <t>создать ссылку на лист, посмотреть в программе, актуализировать данные по договорам</t>
        </is>
      </c>
      <c r="B1128" s="40" t="n">
        <v>46118</v>
      </c>
      <c r="C1128" s="73" t="inlineStr">
        <is>
          <t>Малышев А.</t>
        </is>
      </c>
      <c r="D1128" s="73" t="inlineStr">
        <is>
          <t>Оплата поставщикам за сырье</t>
        </is>
      </c>
      <c r="E1128" s="112">
        <f>4844150+132000</f>
        <v/>
      </c>
      <c r="F1128" s="73" t="n"/>
      <c r="G1128" s="111">
        <f>E1128+F1128</f>
        <v/>
      </c>
      <c r="H1128" s="73" t="inlineStr">
        <is>
          <t>Выплачено</t>
        </is>
      </c>
      <c r="I1128" s="66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5" t="n"/>
    </row>
    <row r="1129">
      <c r="A1129" s="5" t="n"/>
      <c r="B1129" s="40" t="n">
        <v>46118</v>
      </c>
      <c r="C1129" s="73" t="inlineStr">
        <is>
          <t>маркетинговые расходы</t>
        </is>
      </c>
      <c r="D1129" s="73" t="inlineStr">
        <is>
          <t>Гузяль</t>
        </is>
      </c>
      <c r="E1129" s="112" t="n"/>
      <c r="F1129" s="73" t="n">
        <v>70000</v>
      </c>
      <c r="G1129" s="111">
        <f>E1129+F1129</f>
        <v/>
      </c>
      <c r="H1129" s="73" t="inlineStr">
        <is>
          <t>Выплачено</t>
        </is>
      </c>
      <c r="I1129" s="66" t="n"/>
      <c r="J1129" s="5" t="n"/>
      <c r="K1129" s="5" t="n"/>
      <c r="L1129" s="5" t="n"/>
      <c r="M1129" s="5" t="n"/>
      <c r="N1129" s="5" t="n"/>
      <c r="O1129" s="5" t="n"/>
      <c r="P1129" s="5" t="n"/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  <c r="AA1129" s="5" t="n"/>
    </row>
    <row r="1130">
      <c r="A1130" s="22">
        <f>A4-E1123-E1125-E1126-E1127-E1128-E1130-F1129-F1124</f>
        <v/>
      </c>
      <c r="B1130" s="40" t="n">
        <v>46118</v>
      </c>
      <c r="C1130" s="73" t="inlineStr">
        <is>
          <t>Айран, газ. балог</t>
        </is>
      </c>
      <c r="D1130" s="73" t="n"/>
      <c r="E1130" s="112" t="n"/>
      <c r="F1130" s="73">
        <f>12600+48000</f>
        <v/>
      </c>
      <c r="G1130" s="111">
        <f>E1130+F1130</f>
        <v/>
      </c>
      <c r="H1130" s="73" t="inlineStr">
        <is>
          <t>Выплачено</t>
        </is>
      </c>
      <c r="I1130" s="66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5" t="n"/>
    </row>
    <row r="1131">
      <c r="A1131" s="5" t="n"/>
      <c r="B1131" s="40" t="n">
        <v>46119</v>
      </c>
      <c r="C1131" s="148" t="inlineStr">
        <is>
          <t>Закуп Сырья</t>
        </is>
      </c>
      <c r="D1131" s="148" t="n"/>
      <c r="E1131" s="148" t="n">
        <v>5022412</v>
      </c>
      <c r="F1131" s="148" t="n"/>
      <c r="G1131" s="148">
        <f>E1131+F1131</f>
        <v/>
      </c>
      <c r="H1131" s="73" t="inlineStr">
        <is>
          <t>Выплачено</t>
        </is>
      </c>
      <c r="I1131" s="66" t="n"/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  <c r="AA1131" s="5" t="n"/>
    </row>
    <row r="1132">
      <c r="A1132" s="5" t="n"/>
      <c r="B1132" s="40" t="n">
        <v>46119</v>
      </c>
      <c r="C1132" s="148" t="inlineStr">
        <is>
          <t>ЗП остаток за февраль</t>
        </is>
      </c>
      <c r="D1132" s="148" t="inlineStr">
        <is>
          <t xml:space="preserve">АУП Олеся завтра снимаем ч/з  Демьянов </t>
        </is>
      </c>
      <c r="E1132" s="148" t="n"/>
      <c r="F1132" s="148" t="n">
        <v>2481189</v>
      </c>
      <c r="G1132" s="148">
        <f>E1132+F1132</f>
        <v/>
      </c>
      <c r="H1132" s="73" t="inlineStr">
        <is>
          <t>Выплачено</t>
        </is>
      </c>
      <c r="I1132" s="66" t="n"/>
      <c r="J1132" s="5" t="n"/>
      <c r="K1132" s="5" t="n"/>
      <c r="L1132" s="5" t="n"/>
      <c r="M1132" s="5" t="n"/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5" t="n"/>
    </row>
    <row r="1133">
      <c r="A1133" s="5" t="n"/>
      <c r="B1133" s="40" t="n">
        <v>46119</v>
      </c>
      <c r="C1133" s="148" t="inlineStr">
        <is>
          <t xml:space="preserve">Николай Тен </t>
        </is>
      </c>
      <c r="D1133" s="149" t="inlineStr">
        <is>
          <t>услуг технолога по отработке новой продукции</t>
        </is>
      </c>
      <c r="E1133" s="148" t="n"/>
      <c r="F1133" s="148" t="n">
        <v>30000</v>
      </c>
      <c r="G1133" s="148">
        <f>E1133+F1133</f>
        <v/>
      </c>
      <c r="H1133" s="73" t="inlineStr">
        <is>
          <t>Выплачено</t>
        </is>
      </c>
      <c r="I1133" s="66" t="n"/>
      <c r="J1133" s="5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  <c r="AA1133" s="5" t="n"/>
    </row>
    <row r="1134">
      <c r="A1134" s="5" t="n"/>
      <c r="B1134" s="40" t="n">
        <v>46119</v>
      </c>
      <c r="C1134" s="148" t="inlineStr">
        <is>
          <t xml:space="preserve">КПН </t>
        </is>
      </c>
      <c r="D1134" s="148" t="inlineStr">
        <is>
          <t>Остаток ( до 10 апреля, всего КПН 19 млн., опл. 9 млн. )</t>
        </is>
      </c>
      <c r="E1134" s="148" t="n">
        <v>7000000</v>
      </c>
      <c r="F1134" s="148" t="n"/>
      <c r="G1134" s="148">
        <f>E1134+F1134</f>
        <v/>
      </c>
      <c r="H1134" s="73" t="inlineStr">
        <is>
          <t>Выплачено</t>
        </is>
      </c>
      <c r="I1134" s="66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5" t="n"/>
    </row>
    <row r="1135">
      <c r="A1135" s="5" t="n"/>
      <c r="B1135" s="40" t="n">
        <v>46119</v>
      </c>
      <c r="C1135" s="148" t="inlineStr">
        <is>
          <t>Адиль Амувакиров</t>
        </is>
      </c>
      <c r="D1135" s="150" t="inlineStr">
        <is>
          <t>на перевозку принтера этикеток с сервиса на завод</t>
        </is>
      </c>
      <c r="E1135" s="148" t="n"/>
      <c r="F1135" s="148" t="n">
        <v>3530</v>
      </c>
      <c r="G1135" s="148">
        <f>E1135+F1135</f>
        <v/>
      </c>
      <c r="H1135" s="73" t="inlineStr">
        <is>
          <t>Выплачено</t>
        </is>
      </c>
      <c r="I1135" s="66" t="n"/>
      <c r="J1135" s="5" t="n"/>
      <c r="K1135" s="5" t="n"/>
      <c r="L1135" s="5" t="n"/>
      <c r="M1135" s="5" t="n"/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5" t="n"/>
      <c r="W1135" s="5" t="n"/>
      <c r="X1135" s="5" t="n"/>
      <c r="Y1135" s="5" t="n"/>
      <c r="Z1135" s="5" t="n"/>
      <c r="AA1135" s="5" t="n"/>
    </row>
    <row r="1136">
      <c r="A1136" s="5" t="n"/>
      <c r="B1136" s="40" t="n">
        <v>46119</v>
      </c>
      <c r="C1136" s="148" t="inlineStr">
        <is>
          <t>Ли Станислав</t>
        </is>
      </c>
      <c r="D1136" s="148" t="inlineStr">
        <is>
          <t xml:space="preserve">Подотчет сырье </t>
        </is>
      </c>
      <c r="E1136" s="148" t="n"/>
      <c r="F1136" s="148" t="n">
        <v>500000</v>
      </c>
      <c r="G1136" s="148">
        <f>E1136+F1136</f>
        <v/>
      </c>
      <c r="H1136" s="73" t="inlineStr">
        <is>
          <t>Выплачено</t>
        </is>
      </c>
      <c r="I1136" s="66" t="n"/>
      <c r="J1136" s="5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5" t="n"/>
    </row>
    <row r="1137">
      <c r="A1137" s="5" t="n"/>
      <c r="B1137" s="40" t="n"/>
      <c r="C1137" s="148" t="n"/>
      <c r="D1137" s="148" t="n"/>
      <c r="E1137" s="148" t="n"/>
      <c r="F1137" s="148" t="n"/>
      <c r="G1137" s="148" t="n"/>
      <c r="H1137" s="73" t="inlineStr">
        <is>
          <t>Выплачено</t>
        </is>
      </c>
      <c r="I1137" s="66" t="n"/>
      <c r="J1137" s="5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5" t="n"/>
      <c r="W1137" s="5" t="n"/>
      <c r="X1137" s="5" t="n"/>
      <c r="Y1137" s="5" t="n"/>
      <c r="Z1137" s="5" t="n"/>
      <c r="AA1137" s="5" t="n"/>
    </row>
    <row r="1138">
      <c r="A1138" s="5" t="n"/>
      <c r="B1138" s="40" t="n">
        <v>46119</v>
      </c>
      <c r="C1138" s="151" t="inlineStr">
        <is>
          <t>ИП Екатерина Минаева</t>
        </is>
      </c>
      <c r="D1138" s="151" t="inlineStr">
        <is>
          <t>Доработка учетной политики</t>
        </is>
      </c>
      <c r="E1138" s="148" t="n">
        <v>400000</v>
      </c>
      <c r="F1138" s="148" t="n"/>
      <c r="G1138" s="148">
        <f>E1138+F1138</f>
        <v/>
      </c>
      <c r="H1138" s="73" t="inlineStr">
        <is>
          <t>Выплачено</t>
        </is>
      </c>
      <c r="I1138" s="66" t="n"/>
      <c r="J1138" s="5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5" t="n"/>
    </row>
    <row r="1139">
      <c r="A1139" s="5" t="n"/>
      <c r="B1139" s="40" t="n">
        <v>46119</v>
      </c>
      <c r="C1139" s="148" t="inlineStr">
        <is>
          <t>Логистика</t>
        </is>
      </c>
      <c r="D1139" s="148" t="inlineStr">
        <is>
          <t xml:space="preserve">ИП Демьянов </t>
        </is>
      </c>
      <c r="E1139" s="148" t="n">
        <v>300000</v>
      </c>
      <c r="F1139" s="148" t="n"/>
      <c r="G1139" s="148" t="n"/>
      <c r="H1139" s="73" t="inlineStr">
        <is>
          <t>Выплачено</t>
        </is>
      </c>
      <c r="I1139" s="66" t="n"/>
      <c r="J1139" s="5" t="n"/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  <c r="AA1139" s="5" t="n"/>
    </row>
    <row r="1140">
      <c r="A1140" s="5" t="n"/>
      <c r="B1140" s="152" t="n">
        <v>46120</v>
      </c>
      <c r="C1140" s="154" t="inlineStr">
        <is>
          <t xml:space="preserve">Ермагамбет Калмакас </t>
        </is>
      </c>
      <c r="D1140" s="154" t="inlineStr">
        <is>
          <t>Зп За март  (до 9.04 просить)</t>
        </is>
      </c>
      <c r="E1140" s="154" t="n"/>
      <c r="F1140" s="154" t="n">
        <v>600000</v>
      </c>
      <c r="G1140" s="154">
        <f>E1140+F1140</f>
        <v/>
      </c>
      <c r="H1140" s="73" t="inlineStr">
        <is>
          <t>Выплачено</t>
        </is>
      </c>
      <c r="I1140" s="66" t="n"/>
      <c r="J1140" s="5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5" t="n"/>
    </row>
    <row r="1141">
      <c r="A1141" s="5" t="n"/>
      <c r="B1141" s="152" t="n">
        <v>46120</v>
      </c>
      <c r="C1141" s="154" t="inlineStr">
        <is>
          <t xml:space="preserve">DEZRESURS ТОО мусор </t>
        </is>
      </c>
      <c r="D1141" s="154" t="n"/>
      <c r="E1141" s="154" t="n">
        <v>7000</v>
      </c>
      <c r="F1141" s="154" t="n"/>
      <c r="G1141" s="154">
        <f>E1141+F1141</f>
        <v/>
      </c>
      <c r="H1141" s="73" t="inlineStr">
        <is>
          <t>Выплачено</t>
        </is>
      </c>
      <c r="I1141" s="66" t="n"/>
      <c r="J1141" s="5" t="n"/>
      <c r="K1141" s="5" t="n"/>
      <c r="L1141" s="5" t="n"/>
      <c r="M1141" s="5" t="n"/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  <c r="AA1141" s="5" t="n"/>
    </row>
    <row r="1142">
      <c r="A1142" s="5" t="n"/>
      <c r="B1142" s="152" t="n">
        <v>46120</v>
      </c>
      <c r="C1142" s="155" t="inlineStr">
        <is>
          <t>ИП "AMP Printology"</t>
        </is>
      </c>
      <c r="D1142" s="154" t="n"/>
      <c r="E1142" s="154" t="n">
        <v>24300</v>
      </c>
      <c r="F1142" s="154" t="n"/>
      <c r="G1142" s="154">
        <f>E1142+F1142</f>
        <v/>
      </c>
      <c r="H1142" s="73" t="inlineStr">
        <is>
          <t>Выплачено</t>
        </is>
      </c>
      <c r="I1142" s="66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5" t="n"/>
    </row>
    <row r="1143">
      <c r="A1143" s="5" t="n"/>
      <c r="B1143" s="152" t="n">
        <v>46120</v>
      </c>
      <c r="C1143" s="155" t="inlineStr">
        <is>
          <t>ТОО Семь морей -Алматы</t>
        </is>
      </c>
      <c r="D1143" s="155" t="inlineStr">
        <is>
          <t>по СЗ</t>
        </is>
      </c>
      <c r="E1143" s="154" t="n"/>
      <c r="F1143" s="154" t="n">
        <v>84000</v>
      </c>
      <c r="G1143" s="154">
        <f>E1143+F1143</f>
        <v/>
      </c>
      <c r="H1143" s="73" t="inlineStr">
        <is>
          <t>Выплачено</t>
        </is>
      </c>
      <c r="I1143" s="66" t="n"/>
      <c r="J1143" s="5" t="n"/>
      <c r="K1143" s="5" t="n"/>
      <c r="L1143" s="5" t="n"/>
      <c r="M1143" s="5" t="n"/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5" t="n"/>
      <c r="W1143" s="5" t="n"/>
      <c r="X1143" s="5" t="n"/>
      <c r="Y1143" s="5" t="n"/>
      <c r="Z1143" s="5" t="n"/>
      <c r="AA1143" s="5" t="n"/>
    </row>
    <row r="1144">
      <c r="A1144" s="5" t="n"/>
      <c r="B1144" s="152" t="n">
        <v>46120</v>
      </c>
      <c r="C1144" s="154" t="inlineStr">
        <is>
          <t xml:space="preserve">ЗП </t>
        </is>
      </c>
      <c r="D1144" s="154" t="n"/>
      <c r="E1144" s="154" t="n">
        <v>17500000</v>
      </c>
      <c r="F1144" s="154" t="n"/>
      <c r="G1144" s="154">
        <f>E1144+F1144</f>
        <v/>
      </c>
      <c r="H1144" s="73" t="inlineStr">
        <is>
          <t>Отложено</t>
        </is>
      </c>
      <c r="I1144" s="66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5" t="n"/>
    </row>
    <row r="1145">
      <c r="A1145" s="5" t="n"/>
      <c r="B1145" s="152" t="n">
        <v>46120</v>
      </c>
      <c r="C1145" s="154" t="n"/>
      <c r="D1145" s="154" t="inlineStr">
        <is>
          <t>Видеонаблюдение</t>
        </is>
      </c>
      <c r="E1145" s="154" t="n">
        <v>699700</v>
      </c>
      <c r="F1145" s="154" t="n"/>
      <c r="G1145" s="154">
        <f>E1145+F1145</f>
        <v/>
      </c>
      <c r="H1145" s="73" t="inlineStr">
        <is>
          <t>Выплачено</t>
        </is>
      </c>
      <c r="I1145" s="66" t="n"/>
      <c r="J1145" s="5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5" t="n"/>
      <c r="W1145" s="5" t="n"/>
      <c r="X1145" s="5" t="n"/>
      <c r="Y1145" s="5" t="n"/>
      <c r="Z1145" s="5" t="n"/>
      <c r="AA1145" s="5" t="n"/>
    </row>
    <row r="1146">
      <c r="A1146" s="5" t="n"/>
      <c r="B1146" s="152" t="n">
        <v>46120</v>
      </c>
      <c r="C1146" s="154" t="inlineStr">
        <is>
          <t>Ли Станислав</t>
        </is>
      </c>
      <c r="D1146" s="156" t="inlineStr">
        <is>
          <t xml:space="preserve">Подотчет сырье </t>
        </is>
      </c>
      <c r="E1146" s="154" t="n"/>
      <c r="F1146" s="154" t="n">
        <v>500000</v>
      </c>
      <c r="G1146" s="154">
        <f>E1146+F1146</f>
        <v/>
      </c>
      <c r="H1146" s="73" t="inlineStr">
        <is>
          <t>Выплачено</t>
        </is>
      </c>
      <c r="I1146" s="66" t="n"/>
      <c r="J1146" s="5" t="n"/>
      <c r="K1146" s="5" t="n"/>
      <c r="L1146" s="5" t="n"/>
      <c r="M1146" s="5" t="n"/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  <c r="AA1146" s="5" t="n"/>
    </row>
    <row r="1147">
      <c r="A1147" s="5" t="n"/>
      <c r="B1147" s="152" t="n">
        <v>46120</v>
      </c>
      <c r="C1147" s="154" t="inlineStr">
        <is>
          <t>Аванс</t>
        </is>
      </c>
      <c r="D1147" s="154" t="inlineStr">
        <is>
          <t>Нуримбетовой Жазиры</t>
        </is>
      </c>
      <c r="E1147" s="154" t="n"/>
      <c r="F1147" s="154" t="n">
        <v>100000</v>
      </c>
      <c r="G1147" s="154">
        <f>E1147+F1147</f>
        <v/>
      </c>
      <c r="H1147" s="73" t="inlineStr">
        <is>
          <t>Выплачено</t>
        </is>
      </c>
      <c r="I1147" s="66" t="n"/>
      <c r="J1147" s="5" t="n"/>
      <c r="K1147" s="5" t="n"/>
      <c r="L1147" s="5" t="n"/>
      <c r="M1147" s="5" t="n"/>
      <c r="N1147" s="5" t="n"/>
      <c r="O1147" s="5" t="n"/>
      <c r="P1147" s="5" t="n"/>
      <c r="Q1147" s="5" t="n"/>
      <c r="R1147" s="5" t="n"/>
      <c r="S1147" s="5" t="n"/>
      <c r="T1147" s="5" t="n"/>
      <c r="U1147" s="5" t="n"/>
      <c r="V1147" s="5" t="n"/>
      <c r="W1147" s="5" t="n"/>
      <c r="X1147" s="5" t="n"/>
      <c r="Y1147" s="5" t="n"/>
      <c r="Z1147" s="5" t="n"/>
      <c r="AA1147" s="5" t="n"/>
    </row>
    <row r="1148">
      <c r="A1148" s="5" t="n"/>
      <c r="B1148" s="152" t="n">
        <v>46120</v>
      </c>
      <c r="C1148" s="154" t="n"/>
      <c r="D1148" s="154" t="inlineStr">
        <is>
          <t>Ребрендинг( счет на оплату не нашли )</t>
        </is>
      </c>
      <c r="E1148" s="154" t="n">
        <v>1000000</v>
      </c>
      <c r="F1148" s="154" t="n"/>
      <c r="G1148" s="154">
        <f>E1148+F1148</f>
        <v/>
      </c>
      <c r="H1148" s="73" t="inlineStr">
        <is>
          <t>Выплачено</t>
        </is>
      </c>
      <c r="I1148" s="66" t="n"/>
      <c r="J1148" s="5" t="n"/>
      <c r="K1148" s="5" t="n"/>
      <c r="L1148" s="5" t="n"/>
      <c r="M1148" s="5" t="n"/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  <c r="AA1148" s="5" t="n"/>
    </row>
    <row r="1149">
      <c r="A1149" s="5" t="n"/>
      <c r="B1149" s="152" t="n">
        <v>46120</v>
      </c>
      <c r="C1149" s="154" t="inlineStr">
        <is>
          <t>ЗАКУП</t>
        </is>
      </c>
      <c r="D1149" s="154" t="inlineStr">
        <is>
          <t>Оплата поставщикам за сырье</t>
        </is>
      </c>
      <c r="E1149" s="154" t="n">
        <v>6758293</v>
      </c>
      <c r="F1149" s="154" t="n"/>
      <c r="G1149" s="154" t="n"/>
      <c r="H1149" s="73" t="inlineStr">
        <is>
          <t>Выплачено</t>
        </is>
      </c>
      <c r="I1149" s="66" t="n"/>
      <c r="J1149" s="5" t="n"/>
      <c r="K1149" s="5" t="n"/>
      <c r="L1149" s="5" t="n"/>
      <c r="M1149" s="5" t="n"/>
      <c r="N1149" s="5" t="n"/>
      <c r="O1149" s="5" t="n"/>
      <c r="P1149" s="5" t="n"/>
      <c r="Q1149" s="5" t="n"/>
      <c r="R1149" s="5" t="n"/>
      <c r="S1149" s="5" t="n"/>
      <c r="T1149" s="5" t="n"/>
      <c r="U1149" s="5" t="n"/>
      <c r="V1149" s="5" t="n"/>
      <c r="W1149" s="5" t="n"/>
      <c r="X1149" s="5" t="n"/>
      <c r="Y1149" s="5" t="n"/>
      <c r="Z1149" s="5" t="n"/>
      <c r="AA1149" s="5" t="n"/>
    </row>
    <row r="1150">
      <c r="A1150" s="5" t="n"/>
      <c r="B1150" s="34" t="n">
        <v>46121</v>
      </c>
      <c r="C1150" s="157" t="inlineStr">
        <is>
          <t>Рай ИП</t>
        </is>
      </c>
      <c r="D1150" s="157" t="inlineStr">
        <is>
          <t>рулон</t>
        </is>
      </c>
      <c r="E1150" s="111" t="n">
        <v>276000</v>
      </c>
      <c r="F1150" s="73" t="n"/>
      <c r="G1150" s="111">
        <f>E1150+F1150</f>
        <v/>
      </c>
      <c r="H1150" s="73" t="inlineStr">
        <is>
          <t>К оплате</t>
        </is>
      </c>
      <c r="I1150" s="66" t="n"/>
      <c r="J1150" s="5" t="n"/>
      <c r="K1150" s="5" t="n"/>
      <c r="L1150" s="5" t="n"/>
      <c r="M1150" s="5" t="n"/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5" t="n"/>
    </row>
    <row r="1151">
      <c r="A1151" s="5" t="n"/>
      <c r="B1151" s="34" t="n">
        <v>46121</v>
      </c>
      <c r="C1151" s="157" t="inlineStr">
        <is>
          <t>Art Food ИП</t>
        </is>
      </c>
      <c r="D1151" s="157" t="inlineStr">
        <is>
          <t>разрыхлитель</t>
        </is>
      </c>
      <c r="E1151" s="111" t="n">
        <v>581070</v>
      </c>
      <c r="F1151" s="73" t="n"/>
      <c r="G1151" s="111">
        <f>E1151+F1151</f>
        <v/>
      </c>
      <c r="H1151" s="73" t="inlineStr">
        <is>
          <t>К оплате</t>
        </is>
      </c>
      <c r="I1151" s="66" t="n"/>
      <c r="J1151" s="5" t="n"/>
      <c r="K1151" s="5" t="n"/>
      <c r="L1151" s="5" t="n"/>
      <c r="M1151" s="5" t="n"/>
      <c r="N1151" s="5" t="n"/>
      <c r="O1151" s="5" t="n"/>
      <c r="P1151" s="5" t="n"/>
      <c r="Q1151" s="5" t="n"/>
      <c r="R1151" s="5" t="n"/>
      <c r="S1151" s="5" t="n"/>
      <c r="T1151" s="5" t="n"/>
      <c r="U1151" s="5" t="n"/>
      <c r="V1151" s="5" t="n"/>
      <c r="W1151" s="5" t="n"/>
      <c r="X1151" s="5" t="n"/>
      <c r="Y1151" s="5" t="n"/>
      <c r="Z1151" s="5" t="n"/>
      <c r="AA1151" s="5" t="n"/>
    </row>
    <row r="1152">
      <c r="A1152" s="5" t="n"/>
      <c r="B1152" s="34" t="n">
        <v>46121</v>
      </c>
      <c r="C1152" s="157" t="inlineStr">
        <is>
          <t xml:space="preserve">Мир Кондитера ИП </t>
        </is>
      </c>
      <c r="D1152" s="157" t="inlineStr">
        <is>
          <t>кондитерка</t>
        </is>
      </c>
      <c r="E1152" s="111" t="n">
        <v>265205</v>
      </c>
      <c r="F1152" s="73" t="n"/>
      <c r="G1152" s="111">
        <f>E1152+F1152</f>
        <v/>
      </c>
      <c r="H1152" s="73" t="inlineStr">
        <is>
          <t>К оплате</t>
        </is>
      </c>
      <c r="I1152" s="66" t="n"/>
      <c r="J1152" s="5" t="n"/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/>
      <c r="X1152" s="5" t="n"/>
      <c r="Y1152" s="5" t="n"/>
      <c r="Z1152" s="5" t="n"/>
      <c r="AA1152" s="5" t="n"/>
    </row>
    <row r="1153">
      <c r="A1153" s="5" t="n"/>
      <c r="B1153" s="34" t="n">
        <v>46121</v>
      </c>
      <c r="C1153" s="157" t="inlineStr">
        <is>
          <t xml:space="preserve">Евразиан Фудс Корпорэйшн АО </t>
        </is>
      </c>
      <c r="D1153" s="157" t="inlineStr">
        <is>
          <t>майонез, масло</t>
        </is>
      </c>
      <c r="E1153" s="111" t="n">
        <v>1851400</v>
      </c>
      <c r="F1153" s="73" t="n"/>
      <c r="G1153" s="111">
        <f>E1153+F1153</f>
        <v/>
      </c>
      <c r="H1153" s="73" t="inlineStr">
        <is>
          <t>К оплате</t>
        </is>
      </c>
      <c r="I1153" s="66" t="n"/>
      <c r="J1153" s="5" t="n"/>
      <c r="K1153" s="5" t="n"/>
      <c r="L1153" s="5" t="n"/>
      <c r="M1153" s="5" t="n"/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5" t="n"/>
      <c r="W1153" s="5" t="n"/>
      <c r="X1153" s="5" t="n"/>
      <c r="Y1153" s="5" t="n"/>
      <c r="Z1153" s="5" t="n"/>
      <c r="AA1153" s="5" t="n"/>
    </row>
    <row r="1154">
      <c r="A1154" s="5" t="n"/>
      <c r="B1154" s="34" t="n">
        <v>46121</v>
      </c>
      <c r="C1154" s="157" t="inlineStr">
        <is>
          <t xml:space="preserve">AmigoSAN ТОО </t>
        </is>
      </c>
      <c r="D1154" s="157" t="inlineStr">
        <is>
          <t>соус</t>
        </is>
      </c>
      <c r="E1154" s="111" t="n">
        <v>65220</v>
      </c>
      <c r="F1154" s="73" t="n"/>
      <c r="G1154" s="111">
        <f>E1154+F1154</f>
        <v/>
      </c>
      <c r="H1154" s="73" t="inlineStr">
        <is>
          <t>К оплате</t>
        </is>
      </c>
      <c r="I1154" s="66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  <c r="AA1154" s="5" t="n"/>
    </row>
    <row r="1155">
      <c r="A1155" s="5" t="n"/>
      <c r="B1155" s="34" t="n">
        <v>46121</v>
      </c>
      <c r="C1155" s="157" t="inlineStr">
        <is>
          <t xml:space="preserve">Мясоперерабатывающий завод БИЖАН ТОО </t>
        </is>
      </c>
      <c r="D1155" s="157" t="inlineStr">
        <is>
          <t>мясо</t>
        </is>
      </c>
      <c r="E1155" s="111" t="n">
        <v>877537</v>
      </c>
      <c r="F1155" s="73" t="n"/>
      <c r="G1155" s="111">
        <f>E1155+F1155</f>
        <v/>
      </c>
      <c r="H1155" s="73" t="inlineStr">
        <is>
          <t>К оплате</t>
        </is>
      </c>
      <c r="I1155" s="66" t="n"/>
      <c r="J1155" s="5" t="n"/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n"/>
      <c r="T1155" s="5" t="n"/>
      <c r="U1155" s="5" t="n"/>
      <c r="V1155" s="5" t="n"/>
      <c r="W1155" s="5" t="n"/>
      <c r="X1155" s="5" t="n"/>
      <c r="Y1155" s="5" t="n"/>
      <c r="Z1155" s="5" t="n"/>
      <c r="AA1155" s="5" t="n"/>
    </row>
    <row r="1156">
      <c r="A1156" s="5" t="n"/>
      <c r="B1156" s="34" t="n">
        <v>46121</v>
      </c>
      <c r="C1156" s="157" t="inlineStr">
        <is>
          <t>Berry Company ТОО</t>
        </is>
      </c>
      <c r="D1156" s="157" t="inlineStr">
        <is>
          <t>продукты</t>
        </is>
      </c>
      <c r="E1156" s="111" t="n">
        <v>380560</v>
      </c>
      <c r="F1156" s="73" t="n"/>
      <c r="G1156" s="111">
        <f>E1156+F1156</f>
        <v/>
      </c>
      <c r="H1156" s="73" t="inlineStr">
        <is>
          <t>К оплате</t>
        </is>
      </c>
      <c r="I1156" s="66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</row>
    <row r="1157">
      <c r="A1157" s="5" t="n"/>
      <c r="B1157" s="34" t="n">
        <v>46121</v>
      </c>
      <c r="C1157" s="157" t="inlineStr">
        <is>
          <t xml:space="preserve">Компания В ТОО </t>
        </is>
      </c>
      <c r="D1157" s="157" t="inlineStr">
        <is>
          <t>гофрокоробки</t>
        </is>
      </c>
      <c r="E1157" s="111" t="n">
        <v>500000</v>
      </c>
      <c r="F1157" s="73" t="n"/>
      <c r="G1157" s="111">
        <f>E1157+F1157</f>
        <v/>
      </c>
      <c r="H1157" s="73" t="inlineStr">
        <is>
          <t>К оплате</t>
        </is>
      </c>
      <c r="I1157" s="66" t="n"/>
      <c r="J1157" s="5" t="n"/>
      <c r="K1157" s="5" t="n"/>
      <c r="L1157" s="5" t="n"/>
      <c r="M1157" s="5" t="n"/>
      <c r="N1157" s="5" t="n"/>
      <c r="O1157" s="5" t="n"/>
      <c r="P1157" s="5" t="n"/>
      <c r="Q1157" s="5" t="n"/>
      <c r="R1157" s="5" t="n"/>
      <c r="S1157" s="5" t="n"/>
      <c r="T1157" s="5" t="n"/>
      <c r="U1157" s="5" t="n"/>
      <c r="V1157" s="5" t="n"/>
      <c r="W1157" s="5" t="n"/>
      <c r="X1157" s="5" t="n"/>
      <c r="Y1157" s="5" t="n"/>
      <c r="Z1157" s="5" t="n"/>
      <c r="AA1157" s="5" t="n"/>
    </row>
    <row r="1158">
      <c r="A1158" s="5" t="n"/>
      <c r="B1158" s="34" t="n">
        <v>46121</v>
      </c>
      <c r="C1158" s="157" t="inlineStr">
        <is>
          <t xml:space="preserve">ДилНур KZ ТОО </t>
        </is>
      </c>
      <c r="D1158" s="158" t="inlineStr">
        <is>
          <t>окорочка</t>
        </is>
      </c>
      <c r="E1158" s="111" t="n">
        <v>310170</v>
      </c>
      <c r="F1158" s="73" t="n"/>
      <c r="G1158" s="111">
        <f>E1158+F1158</f>
        <v/>
      </c>
      <c r="H1158" s="73" t="inlineStr">
        <is>
          <t>К оплате</t>
        </is>
      </c>
      <c r="I1158" s="66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5" t="n"/>
    </row>
    <row r="1159">
      <c r="A1159" s="5" t="n"/>
      <c r="B1159" s="34" t="n">
        <v>46121</v>
      </c>
      <c r="C1159" s="158" t="inlineStr">
        <is>
          <t xml:space="preserve">Вичунай Казахстан/Viki-Kazakhstan ТОО </t>
        </is>
      </c>
      <c r="D1159" s="158" t="inlineStr">
        <is>
          <t>ингридиенты</t>
        </is>
      </c>
      <c r="E1159" s="111" t="n">
        <v>635263</v>
      </c>
      <c r="F1159" s="73" t="n"/>
      <c r="G1159" s="111">
        <f>E1159+F1159</f>
        <v/>
      </c>
      <c r="H1159" s="73" t="inlineStr">
        <is>
          <t>К оплате</t>
        </is>
      </c>
      <c r="I1159" s="66" t="n"/>
      <c r="J1159" s="5" t="n"/>
      <c r="K1159" s="5" t="n"/>
      <c r="L1159" s="5" t="n"/>
      <c r="M1159" s="5" t="n"/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5" t="n"/>
      <c r="W1159" s="5" t="n"/>
      <c r="X1159" s="5" t="n"/>
      <c r="Y1159" s="5" t="n"/>
      <c r="Z1159" s="5" t="n"/>
      <c r="AA1159" s="5" t="n"/>
    </row>
    <row r="1160" ht="15.75" customHeight="1" s="1127">
      <c r="A1160" s="5" t="n"/>
      <c r="B1160" s="34" t="n">
        <v>46121</v>
      </c>
      <c r="C1160" s="159" t="inlineStr">
        <is>
          <t>Бригадиру Болатбек Даулету</t>
        </is>
      </c>
      <c r="D1160" s="160" t="inlineStr">
        <is>
          <t xml:space="preserve">аванс </t>
        </is>
      </c>
      <c r="E1160" s="494" t="n"/>
      <c r="F1160" s="162" t="n">
        <v>50000</v>
      </c>
      <c r="G1160" s="111">
        <f>E1160+F1160</f>
        <v/>
      </c>
      <c r="H1160" s="73" t="inlineStr">
        <is>
          <t>К оплате</t>
        </is>
      </c>
      <c r="I1160" s="66" t="n"/>
      <c r="J1160" s="5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5" t="n"/>
    </row>
    <row r="1161">
      <c r="A1161" s="5" t="n"/>
      <c r="B1161" s="34" t="n">
        <v>46121</v>
      </c>
      <c r="C1161" s="111" t="inlineStr">
        <is>
          <t xml:space="preserve">ЗП </t>
        </is>
      </c>
      <c r="D1161" s="111" t="n"/>
      <c r="E1161" s="111" t="n">
        <v>17500000</v>
      </c>
      <c r="F1161" s="73" t="n"/>
      <c r="G1161" s="111">
        <f>E1161+F1161</f>
        <v/>
      </c>
      <c r="H1161" s="73" t="inlineStr">
        <is>
          <t>К оплате</t>
        </is>
      </c>
      <c r="I1161" s="66" t="n"/>
      <c r="J1161" s="5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  <c r="AA1161" s="5" t="n"/>
    </row>
    <row r="1162">
      <c r="A1162" s="5" t="n"/>
      <c r="B1162" s="34" t="n">
        <v>46121</v>
      </c>
      <c r="C1162" s="163" t="inlineStr">
        <is>
          <t>Ли Станислав</t>
        </is>
      </c>
      <c r="D1162" s="73" t="inlineStr">
        <is>
          <t xml:space="preserve">Подотчет сырье </t>
        </is>
      </c>
      <c r="E1162" s="112" t="n"/>
      <c r="F1162" s="73" t="n">
        <v>600000</v>
      </c>
      <c r="G1162" s="111">
        <f>E1162+F1162</f>
        <v/>
      </c>
      <c r="H1162" s="73" t="inlineStr">
        <is>
          <t>Выплачено</t>
        </is>
      </c>
      <c r="I1162" s="66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5" t="n"/>
    </row>
    <row r="1163">
      <c r="A1163" s="164" t="n"/>
      <c r="B1163" s="34" t="n">
        <v>46121</v>
      </c>
      <c r="C1163" s="73" t="inlineStr">
        <is>
          <t>ЗП еженедельная оплата</t>
        </is>
      </c>
      <c r="D1163" s="73" t="inlineStr">
        <is>
          <t>ЗП лагманщикам</t>
        </is>
      </c>
      <c r="E1163" s="112" t="n"/>
      <c r="F1163" s="73" t="n">
        <v>400000</v>
      </c>
      <c r="G1163" s="111">
        <f>E1163+F1163</f>
        <v/>
      </c>
      <c r="H1163" s="73" t="inlineStr">
        <is>
          <t>К оплате</t>
        </is>
      </c>
      <c r="I1163" s="66" t="n"/>
      <c r="J1163" s="5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5" t="n"/>
      <c r="W1163" s="5" t="n"/>
      <c r="X1163" s="5" t="n"/>
      <c r="Y1163" s="5" t="n"/>
      <c r="Z1163" s="5" t="n"/>
      <c r="AA1163" s="5" t="n"/>
    </row>
    <row r="1164">
      <c r="A1164" s="164" t="inlineStr">
        <is>
          <t>ОТЧЁТ перенесён</t>
        </is>
      </c>
      <c r="B1164" s="164" t="inlineStr">
        <is>
          <t>ОТЧЁТ перенесён</t>
        </is>
      </c>
      <c r="C1164" s="164" t="inlineStr">
        <is>
          <t>ОТЧЁТ перенесён</t>
        </is>
      </c>
      <c r="D1164" s="164" t="inlineStr">
        <is>
          <t>ОТЧЁТ перенесён</t>
        </is>
      </c>
      <c r="E1164" s="164" t="inlineStr">
        <is>
          <t>ОТЧЁТ перенесён</t>
        </is>
      </c>
      <c r="F1164" s="164" t="inlineStr">
        <is>
          <t>ОТЧЁТ перенесён</t>
        </is>
      </c>
      <c r="G1164" s="164" t="inlineStr">
        <is>
          <t>ОТЧЁТ перенесён</t>
        </is>
      </c>
      <c r="H1164" s="73" t="inlineStr">
        <is>
          <t>К оплате</t>
        </is>
      </c>
      <c r="I1164" s="66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5" t="n"/>
    </row>
    <row r="1165" ht="15.75" customHeight="1" s="1127">
      <c r="A1165" s="5" t="n"/>
      <c r="B1165" s="165" t="inlineStr">
        <is>
          <t>см. вкладку день оплат</t>
        </is>
      </c>
      <c r="C1165" s="73" t="n"/>
      <c r="D1165" s="73" t="n"/>
      <c r="E1165" s="112" t="n"/>
      <c r="F1165" s="73" t="n"/>
      <c r="G1165" s="111" t="n"/>
      <c r="H1165" s="73" t="n"/>
      <c r="I1165" s="66" t="n"/>
      <c r="J1165" s="5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  <c r="AA1165" s="5" t="n"/>
    </row>
    <row r="1166">
      <c r="A1166" s="5" t="n"/>
      <c r="B1166" s="34" t="n"/>
      <c r="C1166" s="73" t="n"/>
      <c r="D1166" s="73" t="n"/>
      <c r="E1166" s="112" t="n"/>
      <c r="F1166" s="73" t="n"/>
      <c r="G1166" s="111" t="n"/>
      <c r="H1166" s="73" t="n"/>
      <c r="I1166" s="66" t="n"/>
      <c r="J1166" s="5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5" t="n"/>
    </row>
    <row r="1167">
      <c r="A1167" s="5" t="n"/>
      <c r="E1167" s="112" t="n"/>
      <c r="F1167" s="73" t="n"/>
      <c r="G1167" s="111" t="n"/>
      <c r="H1167" s="73" t="n"/>
      <c r="I1167" s="66" t="n"/>
      <c r="J1167" s="5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/>
      <c r="W1167" s="5" t="n"/>
      <c r="X1167" s="5" t="n"/>
      <c r="Y1167" s="5" t="n"/>
      <c r="Z1167" s="5" t="n"/>
      <c r="AA1167" s="5" t="n"/>
    </row>
    <row r="1168">
      <c r="A1168" s="5" t="n"/>
      <c r="E1168" s="112" t="n"/>
      <c r="F1168" s="73" t="n"/>
      <c r="G1168" s="111" t="n"/>
      <c r="H1168" s="73" t="n"/>
      <c r="I1168" s="66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5" t="n"/>
    </row>
    <row r="1169">
      <c r="A1169" s="5" t="n"/>
      <c r="E1169" s="112" t="n"/>
      <c r="F1169" s="73" t="n"/>
      <c r="G1169" s="111" t="n"/>
      <c r="H1169" s="73" t="n"/>
      <c r="I1169" s="66" t="n"/>
      <c r="J1169" s="5" t="n"/>
      <c r="K1169" s="5" t="n"/>
      <c r="L1169" s="5" t="n"/>
      <c r="M1169" s="5" t="n"/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5" t="n"/>
      <c r="W1169" s="5" t="n"/>
      <c r="X1169" s="5" t="n"/>
      <c r="Y1169" s="5" t="n"/>
      <c r="Z1169" s="5" t="n"/>
      <c r="AA1169" s="5" t="n"/>
    </row>
    <row r="1170">
      <c r="A1170" s="5" t="n"/>
      <c r="E1170" s="112" t="n"/>
      <c r="F1170" s="73" t="n"/>
      <c r="G1170" s="111" t="n"/>
      <c r="H1170" s="73" t="n"/>
      <c r="I1170" s="66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5" t="n"/>
    </row>
    <row r="1171">
      <c r="A1171" s="5" t="n"/>
      <c r="B1171" s="34" t="n"/>
      <c r="C1171" s="73" t="n"/>
      <c r="D1171" s="73" t="n"/>
      <c r="E1171" s="112" t="n"/>
      <c r="F1171" s="73" t="n"/>
      <c r="G1171" s="111" t="n"/>
      <c r="H1171" s="73" t="n"/>
      <c r="I1171" s="66" t="n"/>
      <c r="J1171" s="5" t="n"/>
      <c r="K1171" s="5" t="n"/>
      <c r="L1171" s="5" t="n"/>
      <c r="M1171" s="5" t="n"/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5" t="n"/>
      <c r="W1171" s="5" t="n"/>
      <c r="X1171" s="5" t="n"/>
      <c r="Y1171" s="5" t="n"/>
      <c r="Z1171" s="5" t="n"/>
      <c r="AA1171" s="5" t="n"/>
    </row>
    <row r="1172">
      <c r="A1172" s="5" t="n"/>
      <c r="B1172" s="34" t="n"/>
      <c r="C1172" s="73" t="n"/>
      <c r="D1172" s="73" t="n"/>
      <c r="E1172" s="112" t="n"/>
      <c r="F1172" s="73" t="n"/>
      <c r="G1172" s="111" t="n"/>
      <c r="H1172" s="73" t="n"/>
      <c r="I1172" s="66" t="n"/>
      <c r="J1172" s="5" t="n"/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  <c r="AA1172" s="5" t="n"/>
    </row>
    <row r="1173">
      <c r="A1173" s="5" t="n"/>
      <c r="B1173" s="34" t="n"/>
      <c r="C1173" s="73" t="n"/>
      <c r="D1173" s="73" t="n"/>
      <c r="E1173" s="112" t="n"/>
      <c r="F1173" s="73" t="n"/>
      <c r="G1173" s="111" t="n"/>
      <c r="H1173" s="73" t="n"/>
      <c r="I1173" s="66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</row>
    <row r="1174">
      <c r="A1174" s="5" t="n"/>
      <c r="B1174" s="34" t="n"/>
      <c r="C1174" s="73" t="n"/>
      <c r="D1174" s="73" t="n"/>
      <c r="E1174" s="112" t="n"/>
      <c r="F1174" s="73" t="n"/>
      <c r="G1174" s="111" t="n"/>
      <c r="H1174" s="73" t="n"/>
      <c r="I1174" s="66" t="n"/>
      <c r="J1174" s="5" t="n"/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5" t="n"/>
    </row>
    <row r="1175">
      <c r="A1175" s="5" t="n"/>
      <c r="B1175" s="34" t="n"/>
      <c r="C1175" s="73" t="n"/>
      <c r="D1175" s="73" t="n"/>
      <c r="E1175" s="112" t="n"/>
      <c r="F1175" s="73" t="n"/>
      <c r="G1175" s="111" t="n"/>
      <c r="H1175" s="73" t="n"/>
      <c r="I1175" s="66" t="n"/>
      <c r="J1175" s="5" t="n"/>
      <c r="K1175" s="5" t="n"/>
      <c r="L1175" s="5" t="n"/>
      <c r="M1175" s="5" t="n"/>
      <c r="N1175" s="5" t="n"/>
      <c r="O1175" s="5" t="n"/>
      <c r="P1175" s="5" t="n"/>
      <c r="Q1175" s="5" t="n"/>
      <c r="R1175" s="5" t="n"/>
      <c r="S1175" s="5" t="n"/>
      <c r="T1175" s="5" t="n"/>
      <c r="U1175" s="5" t="n"/>
      <c r="V1175" s="5" t="n"/>
      <c r="W1175" s="5" t="n"/>
      <c r="X1175" s="5" t="n"/>
      <c r="Y1175" s="5" t="n"/>
      <c r="Z1175" s="5" t="n"/>
      <c r="AA1175" s="5" t="n"/>
    </row>
    <row r="1176">
      <c r="A1176" s="5" t="n"/>
      <c r="B1176" s="34" t="n"/>
      <c r="C1176" s="73" t="n"/>
      <c r="D1176" s="73" t="n"/>
      <c r="E1176" s="112" t="n"/>
      <c r="F1176" s="73" t="n"/>
      <c r="G1176" s="111" t="n"/>
      <c r="H1176" s="73" t="n"/>
      <c r="I1176" s="66" t="n"/>
      <c r="J1176" s="5" t="n"/>
      <c r="K1176" s="5" t="n"/>
      <c r="L1176" s="5" t="n"/>
      <c r="M1176" s="5" t="n"/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  <c r="AA1176" s="5" t="n"/>
    </row>
    <row r="1177">
      <c r="A1177" s="5" t="n"/>
      <c r="B1177" s="34" t="n"/>
      <c r="C1177" s="73" t="n"/>
      <c r="D1177" s="73" t="n"/>
      <c r="E1177" s="112" t="n"/>
      <c r="F1177" s="73" t="n"/>
      <c r="G1177" s="111" t="n"/>
      <c r="H1177" s="73" t="n"/>
      <c r="I1177" s="66" t="n"/>
      <c r="J1177" s="5" t="n"/>
      <c r="K1177" s="5" t="n"/>
      <c r="L1177" s="5" t="n"/>
      <c r="M1177" s="5" t="n"/>
      <c r="N1177" s="5" t="n"/>
      <c r="O1177" s="5" t="n"/>
      <c r="P1177" s="5" t="n"/>
      <c r="Q1177" s="5" t="n"/>
      <c r="R1177" s="5" t="n"/>
      <c r="S1177" s="5" t="n"/>
      <c r="T1177" s="5" t="n"/>
      <c r="U1177" s="5" t="n"/>
      <c r="V1177" s="5" t="n"/>
      <c r="W1177" s="5" t="n"/>
      <c r="X1177" s="5" t="n"/>
      <c r="Y1177" s="5" t="n"/>
      <c r="Z1177" s="5" t="n"/>
      <c r="AA1177" s="5" t="n"/>
    </row>
    <row r="1178">
      <c r="A1178" s="5" t="n"/>
      <c r="B1178" s="34" t="n"/>
      <c r="C1178" s="73" t="n"/>
      <c r="D1178" s="73" t="n"/>
      <c r="E1178" s="112" t="n"/>
      <c r="F1178" s="73" t="n"/>
      <c r="G1178" s="111" t="n"/>
      <c r="H1178" s="73" t="n"/>
      <c r="I1178" s="66" t="n"/>
      <c r="J1178" s="5" t="n"/>
      <c r="K1178" s="5" t="n"/>
      <c r="L1178" s="5" t="n"/>
      <c r="M1178" s="5" t="n"/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/>
      <c r="X1178" s="5" t="n"/>
      <c r="Y1178" s="5" t="n"/>
      <c r="Z1178" s="5" t="n"/>
      <c r="AA1178" s="5" t="n"/>
    </row>
    <row r="1179">
      <c r="A1179" s="5" t="n"/>
      <c r="B1179" s="34" t="n"/>
      <c r="C1179" s="73" t="n"/>
      <c r="D1179" s="73" t="n"/>
      <c r="E1179" s="112" t="n"/>
      <c r="F1179" s="73" t="n"/>
      <c r="G1179" s="111" t="n"/>
      <c r="H1179" s="73" t="n"/>
      <c r="I1179" s="66" t="n"/>
      <c r="J1179" s="5" t="n"/>
      <c r="K1179" s="5" t="n"/>
      <c r="L1179" s="5" t="n"/>
      <c r="M1179" s="5" t="n"/>
      <c r="N1179" s="5" t="n"/>
      <c r="O1179" s="5" t="n"/>
      <c r="P1179" s="5" t="n"/>
      <c r="Q1179" s="5" t="n"/>
      <c r="R1179" s="5" t="n"/>
      <c r="S1179" s="5" t="n"/>
      <c r="T1179" s="5" t="n"/>
      <c r="U1179" s="5" t="n"/>
      <c r="V1179" s="5" t="n"/>
      <c r="W1179" s="5" t="n"/>
      <c r="X1179" s="5" t="n"/>
      <c r="Y1179" s="5" t="n"/>
      <c r="Z1179" s="5" t="n"/>
      <c r="AA1179" s="5" t="n"/>
    </row>
    <row r="1180">
      <c r="A1180" s="5" t="n"/>
      <c r="B1180" s="34" t="n"/>
      <c r="C1180" s="73" t="n"/>
      <c r="D1180" s="73" t="n"/>
      <c r="E1180" s="112" t="n"/>
      <c r="F1180" s="73" t="n"/>
      <c r="G1180" s="111">
        <f>E1180+F1180</f>
        <v/>
      </c>
      <c r="H1180" s="73" t="inlineStr">
        <is>
          <t>К оплате</t>
        </is>
      </c>
      <c r="I1180" s="66" t="n"/>
      <c r="J1180" s="5" t="n"/>
      <c r="K1180" s="5" t="n"/>
      <c r="L1180" s="5" t="n"/>
      <c r="M1180" s="5" t="n"/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/>
      <c r="X1180" s="5" t="n"/>
      <c r="Y1180" s="5" t="n"/>
      <c r="Z1180" s="5" t="n"/>
      <c r="AA1180" s="5" t="n"/>
    </row>
    <row r="1181">
      <c r="A1181" s="5" t="n"/>
      <c r="B1181" s="34" t="n"/>
      <c r="C1181" s="73" t="n"/>
      <c r="D1181" s="73" t="n"/>
      <c r="E1181" s="112" t="n"/>
      <c r="F1181" s="73" t="n"/>
      <c r="G1181" s="111">
        <f>E1181+F1181</f>
        <v/>
      </c>
      <c r="H1181" s="73" t="inlineStr">
        <is>
          <t>К оплате</t>
        </is>
      </c>
      <c r="I1181" s="66" t="n"/>
      <c r="J1181" s="5" t="n"/>
      <c r="K1181" s="5" t="n"/>
      <c r="L1181" s="5" t="n"/>
      <c r="M1181" s="5" t="n"/>
      <c r="N1181" s="5" t="n"/>
      <c r="O1181" s="5" t="n"/>
      <c r="P1181" s="5" t="n"/>
      <c r="Q1181" s="5" t="n"/>
      <c r="R1181" s="5" t="n"/>
      <c r="S1181" s="5" t="n"/>
      <c r="T1181" s="5" t="n"/>
      <c r="U1181" s="5" t="n"/>
      <c r="V1181" s="5" t="n"/>
      <c r="W1181" s="5" t="n"/>
      <c r="X1181" s="5" t="n"/>
      <c r="Y1181" s="5" t="n"/>
      <c r="Z1181" s="5" t="n"/>
      <c r="AA1181" s="5" t="n"/>
    </row>
    <row r="1182">
      <c r="A1182" s="5" t="n"/>
      <c r="B1182" s="34" t="n"/>
      <c r="C1182" s="73" t="n"/>
      <c r="D1182" s="73" t="n"/>
      <c r="E1182" s="112" t="n"/>
      <c r="F1182" s="73" t="n"/>
      <c r="G1182" s="111">
        <f>E1182+F1182</f>
        <v/>
      </c>
      <c r="H1182" s="73" t="inlineStr">
        <is>
          <t>К оплате</t>
        </is>
      </c>
      <c r="I1182" s="66" t="n"/>
      <c r="J1182" s="5" t="n"/>
      <c r="K1182" s="5" t="n"/>
      <c r="L1182" s="5" t="n"/>
      <c r="M1182" s="5" t="n"/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  <c r="AA1182" s="5" t="n"/>
    </row>
    <row r="1183">
      <c r="A1183" s="5" t="n"/>
      <c r="B1183" s="34" t="n"/>
      <c r="C1183" s="73" t="n"/>
      <c r="D1183" s="73" t="n"/>
      <c r="E1183" s="112" t="n"/>
      <c r="F1183" s="73" t="n"/>
      <c r="G1183" s="111">
        <f>E1183+F1183</f>
        <v/>
      </c>
      <c r="H1183" s="73" t="inlineStr">
        <is>
          <t>К оплате</t>
        </is>
      </c>
      <c r="I1183" s="66" t="n"/>
      <c r="J1183" s="5" t="n"/>
      <c r="K1183" s="5" t="n"/>
      <c r="L1183" s="5" t="n"/>
      <c r="M1183" s="5" t="n"/>
      <c r="N1183" s="5" t="n"/>
      <c r="O1183" s="5" t="n"/>
      <c r="P1183" s="5" t="n"/>
      <c r="Q1183" s="5" t="n"/>
      <c r="R1183" s="5" t="n"/>
      <c r="S1183" s="5" t="n"/>
      <c r="T1183" s="5" t="n"/>
      <c r="U1183" s="5" t="n"/>
      <c r="V1183" s="5" t="n"/>
      <c r="W1183" s="5" t="n"/>
      <c r="X1183" s="5" t="n"/>
      <c r="Y1183" s="5" t="n"/>
      <c r="Z1183" s="5" t="n"/>
      <c r="AA1183" s="5" t="n"/>
    </row>
    <row r="1184">
      <c r="A1184" s="5" t="n"/>
      <c r="B1184" s="34" t="n"/>
      <c r="C1184" s="73" t="n"/>
      <c r="D1184" s="73" t="n"/>
      <c r="E1184" s="112" t="n"/>
      <c r="F1184" s="73" t="n"/>
      <c r="G1184" s="111">
        <f>E1184+F1184</f>
        <v/>
      </c>
      <c r="H1184" s="73" t="inlineStr">
        <is>
          <t>К оплате</t>
        </is>
      </c>
      <c r="I1184" s="66" t="n"/>
      <c r="J1184" s="5" t="n"/>
      <c r="K1184" s="5" t="n"/>
      <c r="L1184" s="5" t="n"/>
      <c r="M1184" s="5" t="n"/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  <c r="AA1184" s="5" t="n"/>
    </row>
    <row r="1185">
      <c r="A1185" s="5" t="n"/>
      <c r="B1185" s="34" t="n"/>
      <c r="C1185" s="73" t="n"/>
      <c r="D1185" s="73" t="n"/>
      <c r="E1185" s="112" t="n"/>
      <c r="F1185" s="73" t="n"/>
      <c r="G1185" s="111">
        <f>E1185+F1185</f>
        <v/>
      </c>
      <c r="H1185" s="73" t="inlineStr">
        <is>
          <t>К оплате</t>
        </is>
      </c>
      <c r="I1185" s="66" t="n"/>
      <c r="J1185" s="5" t="n"/>
      <c r="K1185" s="5" t="n"/>
      <c r="L1185" s="5" t="n"/>
      <c r="M1185" s="5" t="n"/>
      <c r="N1185" s="5" t="n"/>
      <c r="O1185" s="5" t="n"/>
      <c r="P1185" s="5" t="n"/>
      <c r="Q1185" s="5" t="n"/>
      <c r="R1185" s="5" t="n"/>
      <c r="S1185" s="5" t="n"/>
      <c r="T1185" s="5" t="n"/>
      <c r="U1185" s="5" t="n"/>
      <c r="V1185" s="5" t="n"/>
      <c r="W1185" s="5" t="n"/>
      <c r="X1185" s="5" t="n"/>
      <c r="Y1185" s="5" t="n"/>
      <c r="Z1185" s="5" t="n"/>
      <c r="AA1185" s="5" t="n"/>
    </row>
    <row r="1186">
      <c r="A1186" s="5" t="n"/>
      <c r="B1186" s="34" t="n"/>
      <c r="C1186" s="73" t="n"/>
      <c r="D1186" s="73" t="n"/>
      <c r="E1186" s="112" t="n"/>
      <c r="F1186" s="73" t="n"/>
      <c r="G1186" s="111">
        <f>E1186+F1186</f>
        <v/>
      </c>
      <c r="H1186" s="73" t="inlineStr">
        <is>
          <t>К оплате</t>
        </is>
      </c>
      <c r="I1186" s="66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5" t="n"/>
    </row>
    <row r="1187">
      <c r="A1187" s="5" t="n"/>
      <c r="B1187" s="34" t="n"/>
      <c r="C1187" s="73" t="n"/>
      <c r="D1187" s="73" t="n"/>
      <c r="E1187" s="112" t="n"/>
      <c r="F1187" s="73" t="n"/>
      <c r="G1187" s="111">
        <f>E1187+F1187</f>
        <v/>
      </c>
      <c r="H1187" s="73" t="inlineStr">
        <is>
          <t>К оплате</t>
        </is>
      </c>
      <c r="I1187" s="66" t="n"/>
      <c r="J1187" s="5" t="n"/>
      <c r="K1187" s="5" t="n"/>
      <c r="L1187" s="5" t="n"/>
      <c r="M1187" s="5" t="n"/>
      <c r="N1187" s="5" t="n"/>
      <c r="O1187" s="5" t="n"/>
      <c r="P1187" s="5" t="n"/>
      <c r="Q1187" s="5" t="n"/>
      <c r="R1187" s="5" t="n"/>
      <c r="S1187" s="5" t="n"/>
      <c r="T1187" s="5" t="n"/>
      <c r="U1187" s="5" t="n"/>
      <c r="V1187" s="5" t="n"/>
      <c r="W1187" s="5" t="n"/>
      <c r="X1187" s="5" t="n"/>
      <c r="Y1187" s="5" t="n"/>
      <c r="Z1187" s="5" t="n"/>
      <c r="AA1187" s="5" t="n"/>
    </row>
    <row r="1188">
      <c r="A1188" s="5" t="n"/>
      <c r="B1188" s="34" t="n"/>
      <c r="C1188" s="73" t="n"/>
      <c r="D1188" s="73" t="n"/>
      <c r="E1188" s="112" t="n"/>
      <c r="F1188" s="73" t="n"/>
      <c r="G1188" s="111">
        <f>E1188+F1188</f>
        <v/>
      </c>
      <c r="H1188" s="73" t="inlineStr">
        <is>
          <t>К оплате</t>
        </is>
      </c>
      <c r="I1188" s="66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5" t="n"/>
    </row>
    <row r="1189">
      <c r="A1189" s="5" t="n"/>
      <c r="B1189" s="34" t="n"/>
      <c r="C1189" s="73" t="n"/>
      <c r="D1189" s="73" t="n"/>
      <c r="E1189" s="112" t="n"/>
      <c r="F1189" s="73" t="n"/>
      <c r="G1189" s="111">
        <f>E1189+F1189</f>
        <v/>
      </c>
      <c r="H1189" s="73" t="n"/>
      <c r="I1189" s="66" t="n"/>
      <c r="J1189" s="5" t="n"/>
      <c r="K1189" s="5" t="n"/>
      <c r="L1189" s="5" t="n"/>
      <c r="M1189" s="5" t="n"/>
      <c r="N1189" s="5" t="n"/>
      <c r="O1189" s="5" t="n"/>
      <c r="P1189" s="5" t="n"/>
      <c r="Q1189" s="5" t="n"/>
      <c r="R1189" s="5" t="n"/>
      <c r="S1189" s="5" t="n"/>
      <c r="T1189" s="5" t="n"/>
      <c r="U1189" s="5" t="n"/>
      <c r="V1189" s="5" t="n"/>
      <c r="W1189" s="5" t="n"/>
      <c r="X1189" s="5" t="n"/>
      <c r="Y1189" s="5" t="n"/>
      <c r="Z1189" s="5" t="n"/>
      <c r="AA1189" s="5" t="n"/>
    </row>
    <row r="1190">
      <c r="A1190" s="5" t="n"/>
      <c r="B1190" s="34" t="n"/>
      <c r="C1190" s="73" t="n"/>
      <c r="D1190" s="73" t="n"/>
      <c r="E1190" s="112" t="n"/>
      <c r="F1190" s="73" t="n"/>
      <c r="G1190" s="111">
        <f>E1190+F1190</f>
        <v/>
      </c>
      <c r="H1190" s="73" t="n"/>
      <c r="I1190" s="66" t="n"/>
      <c r="J1190" s="5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5" t="n"/>
    </row>
    <row r="1191">
      <c r="A1191" s="5" t="n"/>
      <c r="B1191" s="34" t="n"/>
      <c r="C1191" s="73" t="n"/>
      <c r="D1191" s="73" t="n"/>
      <c r="E1191" s="112" t="n"/>
      <c r="F1191" s="73" t="n"/>
      <c r="G1191" s="111">
        <f>E1191+F1191</f>
        <v/>
      </c>
      <c r="H1191" s="73" t="n"/>
      <c r="I1191" s="66" t="n"/>
      <c r="J1191" s="5" t="n"/>
      <c r="K1191" s="5" t="n"/>
      <c r="L1191" s="5" t="n"/>
      <c r="M1191" s="5" t="n"/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5" t="n"/>
    </row>
    <row r="1192">
      <c r="A1192" s="5" t="n"/>
      <c r="B1192" s="34" t="n"/>
      <c r="C1192" s="73" t="n"/>
      <c r="D1192" s="73" t="n"/>
      <c r="E1192" s="112" t="n"/>
      <c r="F1192" s="73" t="n"/>
      <c r="G1192" s="111">
        <f>E1192+F1192</f>
        <v/>
      </c>
      <c r="H1192" s="73" t="n"/>
      <c r="I1192" s="66" t="n"/>
      <c r="J1192" s="5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5" t="n"/>
    </row>
    <row r="1193">
      <c r="A1193" s="5" t="n"/>
      <c r="B1193" s="34" t="n"/>
      <c r="C1193" s="73" t="n"/>
      <c r="D1193" s="73" t="n"/>
      <c r="E1193" s="112" t="n"/>
      <c r="F1193" s="73" t="n"/>
      <c r="G1193" s="111">
        <f>E1193+F1193</f>
        <v/>
      </c>
      <c r="H1193" s="73" t="n"/>
      <c r="I1193" s="66" t="n"/>
      <c r="J1193" s="5" t="n"/>
      <c r="K1193" s="5" t="n"/>
      <c r="L1193" s="5" t="n"/>
      <c r="M1193" s="5" t="n"/>
      <c r="N1193" s="5" t="n"/>
      <c r="O1193" s="5" t="n"/>
      <c r="P1193" s="5" t="n"/>
      <c r="Q1193" s="5" t="n"/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  <c r="AA1193" s="5" t="n"/>
    </row>
    <row r="1194">
      <c r="A1194" s="5" t="n"/>
      <c r="B1194" s="34" t="n"/>
      <c r="C1194" s="73" t="n"/>
      <c r="D1194" s="73" t="n"/>
      <c r="E1194" s="112" t="n"/>
      <c r="F1194" s="73" t="n"/>
      <c r="G1194" s="111">
        <f>E1194+F1194</f>
        <v/>
      </c>
      <c r="H1194" s="73" t="n"/>
      <c r="I1194" s="66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5" t="n"/>
    </row>
    <row r="1195">
      <c r="A1195" s="5" t="n"/>
      <c r="B1195" s="34" t="n"/>
      <c r="C1195" s="73" t="n"/>
      <c r="D1195" s="73" t="n"/>
      <c r="E1195" s="112" t="n"/>
      <c r="F1195" s="73" t="n"/>
      <c r="G1195" s="111">
        <f>E1195+F1195</f>
        <v/>
      </c>
      <c r="H1195" s="73" t="n"/>
      <c r="I1195" s="66" t="n"/>
      <c r="J1195" s="5" t="n"/>
      <c r="K1195" s="5" t="n"/>
      <c r="L1195" s="5" t="n"/>
      <c r="M1195" s="5" t="n"/>
      <c r="N1195" s="5" t="n"/>
      <c r="O1195" s="5" t="n"/>
      <c r="P1195" s="5" t="n"/>
      <c r="Q1195" s="5" t="n"/>
      <c r="R1195" s="5" t="n"/>
      <c r="S1195" s="5" t="n"/>
      <c r="T1195" s="5" t="n"/>
      <c r="U1195" s="5" t="n"/>
      <c r="V1195" s="5" t="n"/>
      <c r="W1195" s="5" t="n"/>
      <c r="X1195" s="5" t="n"/>
      <c r="Y1195" s="5" t="n"/>
      <c r="Z1195" s="5" t="n"/>
      <c r="AA1195" s="5" t="n"/>
    </row>
    <row r="1196">
      <c r="A1196" s="5" t="n"/>
      <c r="B1196" s="34" t="n"/>
      <c r="C1196" s="73" t="n"/>
      <c r="D1196" s="73" t="n"/>
      <c r="E1196" s="112" t="n"/>
      <c r="F1196" s="73" t="n"/>
      <c r="G1196" s="111">
        <f>E1196+F1196</f>
        <v/>
      </c>
      <c r="H1196" s="73" t="n"/>
      <c r="I1196" s="66" t="n"/>
      <c r="J1196" s="5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5" t="n"/>
    </row>
    <row r="1197">
      <c r="A1197" s="5" t="n"/>
      <c r="B1197" s="34" t="n"/>
      <c r="C1197" s="73" t="n"/>
      <c r="D1197" s="73" t="n"/>
      <c r="E1197" s="112" t="n"/>
      <c r="F1197" s="73" t="n"/>
      <c r="G1197" s="111">
        <f>E1197+F1197</f>
        <v/>
      </c>
      <c r="H1197" s="73" t="n"/>
      <c r="I1197" s="66" t="n"/>
      <c r="J1197" s="5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5" t="n"/>
    </row>
    <row r="1198">
      <c r="A1198" s="5" t="n"/>
      <c r="B1198" s="34" t="n"/>
      <c r="C1198" s="73" t="n"/>
      <c r="D1198" s="73" t="n"/>
      <c r="E1198" s="112" t="n"/>
      <c r="F1198" s="73" t="n"/>
      <c r="G1198" s="111">
        <f>E1198+F1198</f>
        <v/>
      </c>
      <c r="H1198" s="73" t="n"/>
      <c r="I1198" s="66" t="n"/>
      <c r="J1198" s="5" t="n"/>
      <c r="K1198" s="5" t="n"/>
      <c r="L1198" s="5" t="n"/>
      <c r="M1198" s="5" t="n"/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  <c r="AA1198" s="5" t="n"/>
    </row>
    <row r="1199">
      <c r="A1199" s="5" t="n"/>
      <c r="B1199" s="34" t="n"/>
      <c r="C1199" s="73" t="n"/>
      <c r="D1199" s="73" t="n"/>
      <c r="E1199" s="112" t="n"/>
      <c r="F1199" s="73" t="n"/>
      <c r="G1199" s="111">
        <f>E1199+F1199</f>
        <v/>
      </c>
      <c r="H1199" s="73" t="n"/>
      <c r="I1199" s="66" t="n"/>
      <c r="J1199" s="5" t="n"/>
      <c r="K1199" s="5" t="n"/>
      <c r="L1199" s="5" t="n"/>
      <c r="M1199" s="5" t="n"/>
      <c r="N1199" s="5" t="n"/>
      <c r="O1199" s="5" t="n"/>
      <c r="P1199" s="5" t="n"/>
      <c r="Q1199" s="5" t="n"/>
      <c r="R1199" s="5" t="n"/>
      <c r="S1199" s="5" t="n"/>
      <c r="T1199" s="5" t="n"/>
      <c r="U1199" s="5" t="n"/>
      <c r="V1199" s="5" t="n"/>
      <c r="W1199" s="5" t="n"/>
      <c r="X1199" s="5" t="n"/>
      <c r="Y1199" s="5" t="n"/>
      <c r="Z1199" s="5" t="n"/>
      <c r="AA1199" s="5" t="n"/>
    </row>
    <row r="1200">
      <c r="A1200" s="5" t="n"/>
      <c r="B1200" s="34" t="n"/>
      <c r="C1200" s="73" t="n"/>
      <c r="D1200" s="73" t="n"/>
      <c r="E1200" s="112" t="n"/>
      <c r="F1200" s="73" t="n"/>
      <c r="G1200" s="111">
        <f>E1200+F1200</f>
        <v/>
      </c>
      <c r="H1200" s="73" t="n"/>
      <c r="I1200" s="66" t="n"/>
      <c r="J1200" s="5" t="n"/>
      <c r="K1200" s="5" t="n"/>
      <c r="L1200" s="5" t="n"/>
      <c r="M1200" s="5" t="n"/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  <c r="AA1200" s="5" t="n"/>
    </row>
    <row r="1201">
      <c r="A1201" s="5" t="n"/>
      <c r="B1201" s="34" t="n"/>
      <c r="C1201" s="73" t="n"/>
      <c r="D1201" s="73" t="n"/>
      <c r="E1201" s="112" t="n"/>
      <c r="F1201" s="73" t="n"/>
      <c r="G1201" s="111">
        <f>E1201+F1201</f>
        <v/>
      </c>
      <c r="H1201" s="73" t="n"/>
      <c r="I1201" s="66" t="n"/>
      <c r="J1201" s="5" t="n"/>
      <c r="K1201" s="5" t="n"/>
      <c r="L1201" s="5" t="n"/>
      <c r="M1201" s="5" t="n"/>
      <c r="N1201" s="5" t="n"/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/>
      <c r="X1201" s="5" t="n"/>
      <c r="Y1201" s="5" t="n"/>
      <c r="Z1201" s="5" t="n"/>
      <c r="AA1201" s="5" t="n"/>
    </row>
    <row r="1202">
      <c r="A1202" s="5" t="n"/>
      <c r="B1202" s="34" t="n"/>
      <c r="C1202" s="73" t="n"/>
      <c r="D1202" s="73" t="n"/>
      <c r="E1202" s="112" t="n"/>
      <c r="F1202" s="73" t="n"/>
      <c r="G1202" s="111">
        <f>E1202+F1202</f>
        <v/>
      </c>
      <c r="H1202" s="73" t="n"/>
      <c r="I1202" s="66" t="n"/>
      <c r="J1202" s="5" t="n"/>
      <c r="K1202" s="5" t="n"/>
      <c r="L1202" s="5" t="n"/>
      <c r="M1202" s="5" t="n"/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  <c r="AA1202" s="5" t="n"/>
    </row>
    <row r="1203">
      <c r="A1203" s="5" t="n"/>
      <c r="B1203" s="34" t="n"/>
      <c r="C1203" s="73" t="n"/>
      <c r="D1203" s="73" t="n"/>
      <c r="E1203" s="112" t="n"/>
      <c r="F1203" s="73" t="n"/>
      <c r="G1203" s="111">
        <f>E1203+F1203</f>
        <v/>
      </c>
      <c r="H1203" s="73" t="n"/>
      <c r="I1203" s="66" t="n"/>
      <c r="J1203" s="5" t="n"/>
      <c r="K1203" s="5" t="n"/>
      <c r="L1203" s="5" t="n"/>
      <c r="M1203" s="5" t="n"/>
      <c r="N1203" s="5" t="n"/>
      <c r="O1203" s="5" t="n"/>
      <c r="P1203" s="5" t="n"/>
      <c r="Q1203" s="5" t="n"/>
      <c r="R1203" s="5" t="n"/>
      <c r="S1203" s="5" t="n"/>
      <c r="T1203" s="5" t="n"/>
      <c r="U1203" s="5" t="n"/>
      <c r="V1203" s="5" t="n"/>
      <c r="W1203" s="5" t="n"/>
      <c r="X1203" s="5" t="n"/>
      <c r="Y1203" s="5" t="n"/>
      <c r="Z1203" s="5" t="n"/>
      <c r="AA1203" s="5" t="n"/>
    </row>
    <row r="1204">
      <c r="A1204" s="5" t="n"/>
      <c r="B1204" s="34" t="n"/>
      <c r="C1204" s="73" t="n"/>
      <c r="D1204" s="73" t="n"/>
      <c r="E1204" s="112" t="n"/>
      <c r="F1204" s="73" t="n"/>
      <c r="G1204" s="111">
        <f>E1204+F1204</f>
        <v/>
      </c>
      <c r="H1204" s="73" t="n"/>
      <c r="I1204" s="66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5" t="n"/>
    </row>
    <row r="1205">
      <c r="A1205" s="5" t="n"/>
      <c r="B1205" s="34" t="n"/>
      <c r="C1205" s="73" t="n"/>
      <c r="D1205" s="73" t="n"/>
      <c r="E1205" s="112" t="n"/>
      <c r="F1205" s="73" t="n"/>
      <c r="G1205" s="111">
        <f>E1205+F1205</f>
        <v/>
      </c>
      <c r="H1205" s="73" t="n"/>
      <c r="I1205" s="66" t="n"/>
      <c r="J1205" s="5" t="n"/>
      <c r="K1205" s="5" t="n"/>
      <c r="L1205" s="5" t="n"/>
      <c r="M1205" s="5" t="n"/>
      <c r="N1205" s="5" t="n"/>
      <c r="O1205" s="5" t="n"/>
      <c r="P1205" s="5" t="n"/>
      <c r="Q1205" s="5" t="n"/>
      <c r="R1205" s="5" t="n"/>
      <c r="S1205" s="5" t="n"/>
      <c r="T1205" s="5" t="n"/>
      <c r="U1205" s="5" t="n"/>
      <c r="V1205" s="5" t="n"/>
      <c r="W1205" s="5" t="n"/>
      <c r="X1205" s="5" t="n"/>
      <c r="Y1205" s="5" t="n"/>
      <c r="Z1205" s="5" t="n"/>
      <c r="AA1205" s="5" t="n"/>
    </row>
    <row r="1206">
      <c r="A1206" s="5" t="n"/>
      <c r="B1206" s="34" t="n"/>
      <c r="C1206" s="73" t="n"/>
      <c r="D1206" s="73" t="n"/>
      <c r="E1206" s="112" t="n"/>
      <c r="F1206" s="73" t="n"/>
      <c r="G1206" s="111">
        <f>E1206+F1206</f>
        <v/>
      </c>
      <c r="H1206" s="73" t="n"/>
      <c r="I1206" s="66" t="n"/>
      <c r="J1206" s="5" t="n"/>
      <c r="K1206" s="5" t="n"/>
      <c r="L1206" s="5" t="n"/>
      <c r="M1206" s="5" t="n"/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5" t="n"/>
    </row>
    <row r="1207">
      <c r="A1207" s="5" t="n"/>
      <c r="B1207" s="34" t="n"/>
      <c r="C1207" s="73" t="n"/>
      <c r="D1207" s="73" t="n"/>
      <c r="E1207" s="112" t="n"/>
      <c r="F1207" s="73" t="n"/>
      <c r="G1207" s="111">
        <f>E1207+F1207</f>
        <v/>
      </c>
      <c r="H1207" s="73" t="n"/>
      <c r="I1207" s="66" t="n"/>
      <c r="J1207" s="5" t="n"/>
      <c r="K1207" s="5" t="n"/>
      <c r="L1207" s="5" t="n"/>
      <c r="M1207" s="5" t="n"/>
      <c r="N1207" s="5" t="n"/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/>
      <c r="X1207" s="5" t="n"/>
      <c r="Y1207" s="5" t="n"/>
      <c r="Z1207" s="5" t="n"/>
      <c r="AA1207" s="5" t="n"/>
    </row>
    <row r="1208">
      <c r="A1208" s="5" t="n"/>
      <c r="B1208" s="34" t="n"/>
      <c r="C1208" s="73" t="n"/>
      <c r="D1208" s="73" t="n"/>
      <c r="E1208" s="112" t="n"/>
      <c r="F1208" s="73" t="n"/>
      <c r="G1208" s="111">
        <f>E1208+F1208</f>
        <v/>
      </c>
      <c r="H1208" s="73" t="n"/>
      <c r="I1208" s="66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5" t="n"/>
    </row>
    <row r="1209">
      <c r="A1209" s="5" t="n"/>
      <c r="B1209" s="34" t="n"/>
      <c r="C1209" s="73" t="n"/>
      <c r="D1209" s="73" t="n"/>
      <c r="E1209" s="112" t="n"/>
      <c r="F1209" s="73" t="n"/>
      <c r="G1209" s="111">
        <f>E1209+F1209</f>
        <v/>
      </c>
      <c r="H1209" s="73" t="n"/>
      <c r="I1209" s="66" t="n"/>
      <c r="J1209" s="5" t="n"/>
      <c r="K1209" s="5" t="n"/>
      <c r="L1209" s="5" t="n"/>
      <c r="M1209" s="5" t="n"/>
      <c r="N1209" s="5" t="n"/>
      <c r="O1209" s="5" t="n"/>
      <c r="P1209" s="5" t="n"/>
      <c r="Q1209" s="5" t="n"/>
      <c r="R1209" s="5" t="n"/>
      <c r="S1209" s="5" t="n"/>
      <c r="T1209" s="5" t="n"/>
      <c r="U1209" s="5" t="n"/>
      <c r="V1209" s="5" t="n"/>
      <c r="W1209" s="5" t="n"/>
      <c r="X1209" s="5" t="n"/>
      <c r="Y1209" s="5" t="n"/>
      <c r="Z1209" s="5" t="n"/>
      <c r="AA1209" s="5" t="n"/>
    </row>
    <row r="1210">
      <c r="A1210" s="5" t="n"/>
      <c r="B1210" s="34" t="n"/>
      <c r="C1210" s="73" t="n"/>
      <c r="D1210" s="73" t="n"/>
      <c r="E1210" s="112" t="n"/>
      <c r="F1210" s="73" t="n"/>
      <c r="G1210" s="111">
        <f>E1210+F1210</f>
        <v/>
      </c>
      <c r="H1210" s="73" t="n"/>
      <c r="I1210" s="66" t="n"/>
      <c r="J1210" s="5" t="n"/>
      <c r="K1210" s="5" t="n"/>
      <c r="L1210" s="5" t="n"/>
      <c r="M1210" s="5" t="n"/>
      <c r="N1210" s="5" t="n"/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/>
      <c r="X1210" s="5" t="n"/>
      <c r="Y1210" s="5" t="n"/>
      <c r="Z1210" s="5" t="n"/>
      <c r="AA1210" s="5" t="n"/>
    </row>
    <row r="1211">
      <c r="A1211" s="5" t="n"/>
      <c r="B1211" s="34" t="n"/>
      <c r="C1211" s="73" t="n"/>
      <c r="D1211" s="73" t="n"/>
      <c r="E1211" s="112" t="n"/>
      <c r="F1211" s="73" t="n"/>
      <c r="G1211" s="111">
        <f>E1211+F1211</f>
        <v/>
      </c>
      <c r="H1211" s="73" t="n"/>
      <c r="I1211" s="66" t="n"/>
      <c r="J1211" s="5" t="n"/>
      <c r="K1211" s="5" t="n"/>
      <c r="L1211" s="5" t="n"/>
      <c r="M1211" s="5" t="n"/>
      <c r="N1211" s="5" t="n"/>
      <c r="O1211" s="5" t="n"/>
      <c r="P1211" s="5" t="n"/>
      <c r="Q1211" s="5" t="n"/>
      <c r="R1211" s="5" t="n"/>
      <c r="S1211" s="5" t="n"/>
      <c r="T1211" s="5" t="n"/>
      <c r="U1211" s="5" t="n"/>
      <c r="V1211" s="5" t="n"/>
      <c r="W1211" s="5" t="n"/>
      <c r="X1211" s="5" t="n"/>
      <c r="Y1211" s="5" t="n"/>
      <c r="Z1211" s="5" t="n"/>
      <c r="AA1211" s="5" t="n"/>
    </row>
    <row r="1212">
      <c r="A1212" s="5" t="n"/>
      <c r="B1212" s="34" t="n"/>
      <c r="C1212" s="73" t="n"/>
      <c r="D1212" s="73" t="n"/>
      <c r="E1212" s="112" t="n"/>
      <c r="F1212" s="73" t="n"/>
      <c r="G1212" s="111">
        <f>E1212+F1212</f>
        <v/>
      </c>
      <c r="H1212" s="73" t="n"/>
      <c r="I1212" s="66" t="n"/>
      <c r="J1212" s="5" t="n"/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/>
      <c r="X1212" s="5" t="n"/>
      <c r="Y1212" s="5" t="n"/>
      <c r="Z1212" s="5" t="n"/>
      <c r="AA1212" s="5" t="n"/>
    </row>
    <row r="1213">
      <c r="A1213" s="5" t="n"/>
      <c r="B1213" s="34" t="n"/>
      <c r="C1213" s="73" t="n"/>
      <c r="D1213" s="73" t="n"/>
      <c r="E1213" s="112" t="n"/>
      <c r="F1213" s="73" t="n"/>
      <c r="G1213" s="111">
        <f>E1213+F1213</f>
        <v/>
      </c>
      <c r="H1213" s="73" t="n"/>
      <c r="I1213" s="66" t="n"/>
      <c r="J1213" s="5" t="n"/>
      <c r="K1213" s="5" t="n"/>
      <c r="L1213" s="5" t="n"/>
      <c r="M1213" s="5" t="n"/>
      <c r="N1213" s="5" t="n"/>
      <c r="O1213" s="5" t="n"/>
      <c r="P1213" s="5" t="n"/>
      <c r="Q1213" s="5" t="n"/>
      <c r="R1213" s="5" t="n"/>
      <c r="S1213" s="5" t="n"/>
      <c r="T1213" s="5" t="n"/>
      <c r="U1213" s="5" t="n"/>
      <c r="V1213" s="5" t="n"/>
      <c r="W1213" s="5" t="n"/>
      <c r="X1213" s="5" t="n"/>
      <c r="Y1213" s="5" t="n"/>
      <c r="Z1213" s="5" t="n"/>
      <c r="AA1213" s="5" t="n"/>
    </row>
    <row r="1214">
      <c r="A1214" s="5" t="n"/>
      <c r="B1214" s="34" t="n"/>
      <c r="C1214" s="73" t="n"/>
      <c r="D1214" s="73" t="n"/>
      <c r="E1214" s="112" t="n"/>
      <c r="F1214" s="73" t="n"/>
      <c r="G1214" s="111">
        <f>E1214+F1214</f>
        <v/>
      </c>
      <c r="H1214" s="73" t="n"/>
      <c r="I1214" s="66" t="n"/>
      <c r="J1214" s="5" t="n"/>
      <c r="K1214" s="5" t="n"/>
      <c r="L1214" s="5" t="n"/>
      <c r="M1214" s="5" t="n"/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/>
      <c r="X1214" s="5" t="n"/>
      <c r="Y1214" s="5" t="n"/>
      <c r="Z1214" s="5" t="n"/>
      <c r="AA1214" s="5" t="n"/>
    </row>
    <row r="1215">
      <c r="A1215" s="5" t="n"/>
      <c r="B1215" s="34" t="n"/>
      <c r="C1215" s="73" t="n"/>
      <c r="D1215" s="73" t="n"/>
      <c r="E1215" s="112" t="n"/>
      <c r="F1215" s="73" t="n"/>
      <c r="G1215" s="111">
        <f>E1215+F1215</f>
        <v/>
      </c>
      <c r="H1215" s="73" t="n"/>
      <c r="I1215" s="66" t="n"/>
      <c r="J1215" s="5" t="n"/>
      <c r="K1215" s="5" t="n"/>
      <c r="L1215" s="5" t="n"/>
      <c r="M1215" s="5" t="n"/>
      <c r="N1215" s="5" t="n"/>
      <c r="O1215" s="5" t="n"/>
      <c r="P1215" s="5" t="n"/>
      <c r="Q1215" s="5" t="n"/>
      <c r="R1215" s="5" t="n"/>
      <c r="S1215" s="5" t="n"/>
      <c r="T1215" s="5" t="n"/>
      <c r="U1215" s="5" t="n"/>
      <c r="V1215" s="5" t="n"/>
      <c r="W1215" s="5" t="n"/>
      <c r="X1215" s="5" t="n"/>
      <c r="Y1215" s="5" t="n"/>
      <c r="Z1215" s="5" t="n"/>
      <c r="AA1215" s="5" t="n"/>
    </row>
    <row r="1216">
      <c r="A1216" s="5" t="n"/>
      <c r="B1216" s="34" t="n"/>
      <c r="C1216" s="73" t="n"/>
      <c r="D1216" s="73" t="n"/>
      <c r="E1216" s="112" t="n"/>
      <c r="F1216" s="73" t="n"/>
      <c r="G1216" s="111">
        <f>E1216+F1216</f>
        <v/>
      </c>
      <c r="H1216" s="73" t="n"/>
      <c r="I1216" s="66" t="n"/>
      <c r="J1216" s="5" t="n"/>
      <c r="K1216" s="5" t="n"/>
      <c r="L1216" s="5" t="n"/>
      <c r="M1216" s="5" t="n"/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/>
      <c r="X1216" s="5" t="n"/>
      <c r="Y1216" s="5" t="n"/>
      <c r="Z1216" s="5" t="n"/>
      <c r="AA1216" s="5" t="n"/>
    </row>
    <row r="1217">
      <c r="A1217" s="5" t="n"/>
      <c r="B1217" s="34" t="n"/>
      <c r="C1217" s="73" t="n"/>
      <c r="D1217" s="73" t="n"/>
      <c r="E1217" s="112" t="n"/>
      <c r="F1217" s="73" t="n"/>
      <c r="G1217" s="111">
        <f>E1217+F1217</f>
        <v/>
      </c>
      <c r="H1217" s="73" t="n"/>
      <c r="I1217" s="66" t="n"/>
      <c r="J1217" s="5" t="n"/>
      <c r="K1217" s="5" t="n"/>
      <c r="L1217" s="5" t="n"/>
      <c r="M1217" s="5" t="n"/>
      <c r="N1217" s="5" t="n"/>
      <c r="O1217" s="5" t="n"/>
      <c r="P1217" s="5" t="n"/>
      <c r="Q1217" s="5" t="n"/>
      <c r="R1217" s="5" t="n"/>
      <c r="S1217" s="5" t="n"/>
      <c r="T1217" s="5" t="n"/>
      <c r="U1217" s="5" t="n"/>
      <c r="V1217" s="5" t="n"/>
      <c r="W1217" s="5" t="n"/>
      <c r="X1217" s="5" t="n"/>
      <c r="Y1217" s="5" t="n"/>
      <c r="Z1217" s="5" t="n"/>
      <c r="AA1217" s="5" t="n"/>
    </row>
    <row r="1218">
      <c r="A1218" s="5" t="n"/>
      <c r="B1218" s="34" t="n"/>
      <c r="C1218" s="73" t="n"/>
      <c r="D1218" s="73" t="n"/>
      <c r="E1218" s="112" t="n"/>
      <c r="F1218" s="73" t="n"/>
      <c r="G1218" s="111">
        <f>E1218+F1218</f>
        <v/>
      </c>
      <c r="H1218" s="73" t="n"/>
      <c r="I1218" s="66" t="n"/>
      <c r="J1218" s="5" t="n"/>
      <c r="K1218" s="5" t="n"/>
      <c r="L1218" s="5" t="n"/>
      <c r="M1218" s="5" t="n"/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/>
      <c r="X1218" s="5" t="n"/>
      <c r="Y1218" s="5" t="n"/>
      <c r="Z1218" s="5" t="n"/>
      <c r="AA1218" s="5" t="n"/>
    </row>
    <row r="1219">
      <c r="A1219" s="5" t="n"/>
      <c r="B1219" s="34" t="n"/>
      <c r="C1219" s="73" t="n"/>
      <c r="D1219" s="73" t="n"/>
      <c r="E1219" s="112" t="n"/>
      <c r="F1219" s="73" t="n"/>
      <c r="G1219" s="111">
        <f>E1219+F1219</f>
        <v/>
      </c>
      <c r="H1219" s="73" t="n"/>
      <c r="I1219" s="66" t="n"/>
      <c r="J1219" s="5" t="n"/>
      <c r="K1219" s="5" t="n"/>
      <c r="L1219" s="5" t="n"/>
      <c r="M1219" s="5" t="n"/>
      <c r="N1219" s="5" t="n"/>
      <c r="O1219" s="5" t="n"/>
      <c r="P1219" s="5" t="n"/>
      <c r="Q1219" s="5" t="n"/>
      <c r="R1219" s="5" t="n"/>
      <c r="S1219" s="5" t="n"/>
      <c r="T1219" s="5" t="n"/>
      <c r="U1219" s="5" t="n"/>
      <c r="V1219" s="5" t="n"/>
      <c r="W1219" s="5" t="n"/>
      <c r="X1219" s="5" t="n"/>
      <c r="Y1219" s="5" t="n"/>
      <c r="Z1219" s="5" t="n"/>
      <c r="AA1219" s="5" t="n"/>
    </row>
    <row r="1220">
      <c r="A1220" s="5" t="n"/>
      <c r="B1220" s="34" t="n"/>
      <c r="C1220" s="73" t="n"/>
      <c r="D1220" s="73" t="n"/>
      <c r="E1220" s="112" t="n"/>
      <c r="F1220" s="73" t="n"/>
      <c r="G1220" s="111">
        <f>E1220+F1220</f>
        <v/>
      </c>
      <c r="H1220" s="73" t="n"/>
      <c r="I1220" s="66" t="n"/>
      <c r="J1220" s="5" t="n"/>
      <c r="K1220" s="5" t="n"/>
      <c r="L1220" s="5" t="n"/>
      <c r="M1220" s="5" t="n"/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/>
      <c r="X1220" s="5" t="n"/>
      <c r="Y1220" s="5" t="n"/>
      <c r="Z1220" s="5" t="n"/>
      <c r="AA1220" s="5" t="n"/>
    </row>
    <row r="1221">
      <c r="A1221" s="5" t="n"/>
      <c r="B1221" s="34" t="n"/>
      <c r="C1221" s="73" t="n"/>
      <c r="D1221" s="73" t="n"/>
      <c r="E1221" s="112" t="n"/>
      <c r="F1221" s="73" t="n"/>
      <c r="G1221" s="111">
        <f>E1221+F1221</f>
        <v/>
      </c>
      <c r="H1221" s="73" t="n"/>
      <c r="I1221" s="66" t="n"/>
      <c r="J1221" s="5" t="n"/>
      <c r="K1221" s="5" t="n"/>
      <c r="L1221" s="5" t="n"/>
      <c r="M1221" s="5" t="n"/>
      <c r="N1221" s="5" t="n"/>
      <c r="O1221" s="5" t="n"/>
      <c r="P1221" s="5" t="n"/>
      <c r="Q1221" s="5" t="n"/>
      <c r="R1221" s="5" t="n"/>
      <c r="S1221" s="5" t="n"/>
      <c r="T1221" s="5" t="n"/>
      <c r="U1221" s="5" t="n"/>
      <c r="V1221" s="5" t="n"/>
      <c r="W1221" s="5" t="n"/>
      <c r="X1221" s="5" t="n"/>
      <c r="Y1221" s="5" t="n"/>
      <c r="Z1221" s="5" t="n"/>
      <c r="AA1221" s="5" t="n"/>
    </row>
    <row r="1222">
      <c r="A1222" s="5" t="n"/>
      <c r="B1222" s="34" t="n"/>
      <c r="C1222" s="73" t="n"/>
      <c r="D1222" s="73" t="n"/>
      <c r="E1222" s="112" t="n"/>
      <c r="F1222" s="73" t="n"/>
      <c r="G1222" s="111">
        <f>E1222+F1222</f>
        <v/>
      </c>
      <c r="H1222" s="73" t="n"/>
      <c r="I1222" s="66" t="n"/>
      <c r="J1222" s="5" t="n"/>
      <c r="K1222" s="5" t="n"/>
      <c r="L1222" s="5" t="n"/>
      <c r="M1222" s="5" t="n"/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/>
      <c r="X1222" s="5" t="n"/>
      <c r="Y1222" s="5" t="n"/>
      <c r="Z1222" s="5" t="n"/>
      <c r="AA1222" s="5" t="n"/>
    </row>
    <row r="1223">
      <c r="A1223" s="5" t="n"/>
      <c r="B1223" s="34" t="n"/>
      <c r="C1223" s="73" t="n"/>
      <c r="D1223" s="73" t="n"/>
      <c r="E1223" s="112" t="n"/>
      <c r="F1223" s="73" t="n"/>
      <c r="G1223" s="111">
        <f>E1223+F1223</f>
        <v/>
      </c>
      <c r="H1223" s="73" t="n"/>
      <c r="I1223" s="66" t="n"/>
      <c r="J1223" s="5" t="n"/>
      <c r="K1223" s="5" t="n"/>
      <c r="L1223" s="5" t="n"/>
      <c r="M1223" s="5" t="n"/>
      <c r="N1223" s="5" t="n"/>
      <c r="O1223" s="5" t="n"/>
      <c r="P1223" s="5" t="n"/>
      <c r="Q1223" s="5" t="n"/>
      <c r="R1223" s="5" t="n"/>
      <c r="S1223" s="5" t="n"/>
      <c r="T1223" s="5" t="n"/>
      <c r="U1223" s="5" t="n"/>
      <c r="V1223" s="5" t="n"/>
      <c r="W1223" s="5" t="n"/>
      <c r="X1223" s="5" t="n"/>
      <c r="Y1223" s="5" t="n"/>
      <c r="Z1223" s="5" t="n"/>
      <c r="AA1223" s="5" t="n"/>
    </row>
    <row r="1224">
      <c r="A1224" s="5" t="n"/>
      <c r="B1224" s="34" t="n"/>
      <c r="C1224" s="73" t="n"/>
      <c r="D1224" s="73" t="n"/>
      <c r="E1224" s="112" t="n"/>
      <c r="F1224" s="73" t="n"/>
      <c r="G1224" s="111">
        <f>E1224+F1224</f>
        <v/>
      </c>
      <c r="H1224" s="73" t="n"/>
      <c r="I1224" s="66" t="n"/>
      <c r="J1224" s="5" t="n"/>
      <c r="K1224" s="5" t="n"/>
      <c r="L1224" s="5" t="n"/>
      <c r="M1224" s="5" t="n"/>
      <c r="N1224" s="5" t="n"/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/>
      <c r="X1224" s="5" t="n"/>
      <c r="Y1224" s="5" t="n"/>
      <c r="Z1224" s="5" t="n"/>
      <c r="AA1224" s="5" t="n"/>
    </row>
    <row r="1225">
      <c r="A1225" s="5" t="n"/>
      <c r="B1225" s="34" t="n"/>
      <c r="C1225" s="73" t="n"/>
      <c r="D1225" s="73" t="n"/>
      <c r="E1225" s="112" t="n"/>
      <c r="F1225" s="73" t="n"/>
      <c r="G1225" s="111">
        <f>E1225+F1225</f>
        <v/>
      </c>
      <c r="H1225" s="73" t="n"/>
      <c r="I1225" s="66" t="n"/>
      <c r="J1225" s="5" t="n"/>
      <c r="K1225" s="5" t="n"/>
      <c r="L1225" s="5" t="n"/>
      <c r="M1225" s="5" t="n"/>
      <c r="N1225" s="5" t="n"/>
      <c r="O1225" s="5" t="n"/>
      <c r="P1225" s="5" t="n"/>
      <c r="Q1225" s="5" t="n"/>
      <c r="R1225" s="5" t="n"/>
      <c r="S1225" s="5" t="n"/>
      <c r="T1225" s="5" t="n"/>
      <c r="U1225" s="5" t="n"/>
      <c r="V1225" s="5" t="n"/>
      <c r="W1225" s="5" t="n"/>
      <c r="X1225" s="5" t="n"/>
      <c r="Y1225" s="5" t="n"/>
      <c r="Z1225" s="5" t="n"/>
      <c r="AA1225" s="5" t="n"/>
    </row>
    <row r="1226">
      <c r="A1226" s="5" t="n"/>
      <c r="B1226" s="34" t="n"/>
      <c r="C1226" s="73" t="n"/>
      <c r="D1226" s="73" t="n"/>
      <c r="E1226" s="112" t="n"/>
      <c r="F1226" s="73" t="n"/>
      <c r="G1226" s="111">
        <f>E1226+F1226</f>
        <v/>
      </c>
      <c r="H1226" s="73" t="n"/>
      <c r="I1226" s="66" t="n"/>
      <c r="J1226" s="5" t="n"/>
      <c r="K1226" s="5" t="n"/>
      <c r="L1226" s="5" t="n"/>
      <c r="M1226" s="5" t="n"/>
      <c r="N1226" s="5" t="n"/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/>
      <c r="X1226" s="5" t="n"/>
      <c r="Y1226" s="5" t="n"/>
      <c r="Z1226" s="5" t="n"/>
      <c r="AA1226" s="5" t="n"/>
    </row>
    <row r="1227">
      <c r="A1227" s="5" t="n"/>
      <c r="B1227" s="34" t="n"/>
      <c r="C1227" s="73" t="n"/>
      <c r="D1227" s="73" t="n"/>
      <c r="E1227" s="112" t="n"/>
      <c r="F1227" s="73" t="n"/>
      <c r="G1227" s="111">
        <f>E1227+F1227</f>
        <v/>
      </c>
      <c r="H1227" s="73" t="n"/>
      <c r="I1227" s="66" t="n"/>
      <c r="J1227" s="5" t="n"/>
      <c r="K1227" s="5" t="n"/>
      <c r="L1227" s="5" t="n"/>
      <c r="M1227" s="5" t="n"/>
      <c r="N1227" s="5" t="n"/>
      <c r="O1227" s="5" t="n"/>
      <c r="P1227" s="5" t="n"/>
      <c r="Q1227" s="5" t="n"/>
      <c r="R1227" s="5" t="n"/>
      <c r="S1227" s="5" t="n"/>
      <c r="T1227" s="5" t="n"/>
      <c r="U1227" s="5" t="n"/>
      <c r="V1227" s="5" t="n"/>
      <c r="W1227" s="5" t="n"/>
      <c r="X1227" s="5" t="n"/>
      <c r="Y1227" s="5" t="n"/>
      <c r="Z1227" s="5" t="n"/>
      <c r="AA1227" s="5" t="n"/>
    </row>
    <row r="1228">
      <c r="A1228" s="5" t="n"/>
      <c r="B1228" s="34" t="n"/>
      <c r="C1228" s="73" t="n"/>
      <c r="D1228" s="73" t="n"/>
      <c r="E1228" s="112" t="n"/>
      <c r="F1228" s="73" t="n"/>
      <c r="G1228" s="111">
        <f>E1228+F1228</f>
        <v/>
      </c>
      <c r="H1228" s="73" t="n"/>
      <c r="I1228" s="66" t="n"/>
      <c r="J1228" s="5" t="n"/>
      <c r="K1228" s="5" t="n"/>
      <c r="L1228" s="5" t="n"/>
      <c r="M1228" s="5" t="n"/>
      <c r="N1228" s="5" t="n"/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/>
      <c r="X1228" s="5" t="n"/>
      <c r="Y1228" s="5" t="n"/>
      <c r="Z1228" s="5" t="n"/>
      <c r="AA1228" s="5" t="n"/>
    </row>
    <row r="1229">
      <c r="A1229" s="5" t="n"/>
      <c r="B1229" s="34" t="n"/>
      <c r="C1229" s="73" t="n"/>
      <c r="D1229" s="73" t="n"/>
      <c r="E1229" s="112" t="n"/>
      <c r="F1229" s="73" t="n"/>
      <c r="G1229" s="111">
        <f>E1229+F1229</f>
        <v/>
      </c>
      <c r="H1229" s="73" t="n"/>
      <c r="I1229" s="66" t="n"/>
      <c r="J1229" s="5" t="n"/>
      <c r="K1229" s="5" t="n"/>
      <c r="L1229" s="5" t="n"/>
      <c r="M1229" s="5" t="n"/>
      <c r="N1229" s="5" t="n"/>
      <c r="O1229" s="5" t="n"/>
      <c r="P1229" s="5" t="n"/>
      <c r="Q1229" s="5" t="n"/>
      <c r="R1229" s="5" t="n"/>
      <c r="S1229" s="5" t="n"/>
      <c r="T1229" s="5" t="n"/>
      <c r="U1229" s="5" t="n"/>
      <c r="V1229" s="5" t="n"/>
      <c r="W1229" s="5" t="n"/>
      <c r="X1229" s="5" t="n"/>
      <c r="Y1229" s="5" t="n"/>
      <c r="Z1229" s="5" t="n"/>
      <c r="AA1229" s="5" t="n"/>
    </row>
    <row r="1230">
      <c r="A1230" s="5" t="n"/>
      <c r="B1230" s="34" t="n"/>
      <c r="C1230" s="73" t="n"/>
      <c r="D1230" s="73" t="n"/>
      <c r="E1230" s="112" t="n"/>
      <c r="F1230" s="73" t="n"/>
      <c r="G1230" s="111">
        <f>E1230+F1230</f>
        <v/>
      </c>
      <c r="H1230" s="73" t="n"/>
      <c r="I1230" s="66" t="n"/>
      <c r="J1230" s="5" t="n"/>
      <c r="K1230" s="5" t="n"/>
      <c r="L1230" s="5" t="n"/>
      <c r="M1230" s="5" t="n"/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/>
      <c r="X1230" s="5" t="n"/>
      <c r="Y1230" s="5" t="n"/>
      <c r="Z1230" s="5" t="n"/>
      <c r="AA1230" s="5" t="n"/>
    </row>
    <row r="1231">
      <c r="A1231" s="5" t="n"/>
      <c r="B1231" s="34" t="n"/>
      <c r="C1231" s="73" t="n"/>
      <c r="D1231" s="73" t="n"/>
      <c r="E1231" s="112" t="n"/>
      <c r="F1231" s="73" t="n"/>
      <c r="G1231" s="111">
        <f>E1231+F1231</f>
        <v/>
      </c>
      <c r="H1231" s="73" t="n"/>
      <c r="I1231" s="66" t="n"/>
      <c r="J1231" s="5" t="n"/>
      <c r="K1231" s="5" t="n"/>
      <c r="L1231" s="5" t="n"/>
      <c r="M1231" s="5" t="n"/>
      <c r="N1231" s="5" t="n"/>
      <c r="O1231" s="5" t="n"/>
      <c r="P1231" s="5" t="n"/>
      <c r="Q1231" s="5" t="n"/>
      <c r="R1231" s="5" t="n"/>
      <c r="S1231" s="5" t="n"/>
      <c r="T1231" s="5" t="n"/>
      <c r="U1231" s="5" t="n"/>
      <c r="V1231" s="5" t="n"/>
      <c r="W1231" s="5" t="n"/>
      <c r="X1231" s="5" t="n"/>
      <c r="Y1231" s="5" t="n"/>
      <c r="Z1231" s="5" t="n"/>
      <c r="AA1231" s="5" t="n"/>
    </row>
    <row r="1232">
      <c r="A1232" s="5" t="n"/>
      <c r="B1232" s="34" t="n"/>
      <c r="C1232" s="73" t="n"/>
      <c r="D1232" s="73" t="n"/>
      <c r="E1232" s="112" t="n"/>
      <c r="F1232" s="73" t="n"/>
      <c r="G1232" s="111">
        <f>E1232+F1232</f>
        <v/>
      </c>
      <c r="H1232" s="73" t="n"/>
      <c r="I1232" s="66" t="n"/>
      <c r="J1232" s="5" t="n"/>
      <c r="K1232" s="5" t="n"/>
      <c r="L1232" s="5" t="n"/>
      <c r="M1232" s="5" t="n"/>
      <c r="N1232" s="5" t="n"/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/>
      <c r="X1232" s="5" t="n"/>
      <c r="Y1232" s="5" t="n"/>
      <c r="Z1232" s="5" t="n"/>
      <c r="AA1232" s="5" t="n"/>
    </row>
    <row r="1233">
      <c r="A1233" s="5" t="n"/>
      <c r="B1233" s="34" t="n"/>
      <c r="C1233" s="73" t="n"/>
      <c r="D1233" s="73" t="n"/>
      <c r="E1233" s="112" t="n"/>
      <c r="F1233" s="73" t="n"/>
      <c r="G1233" s="111">
        <f>E1233+F1233</f>
        <v/>
      </c>
      <c r="H1233" s="73" t="n"/>
      <c r="I1233" s="66" t="n"/>
      <c r="J1233" s="5" t="n"/>
      <c r="K1233" s="5" t="n"/>
      <c r="L1233" s="5" t="n"/>
      <c r="M1233" s="5" t="n"/>
      <c r="N1233" s="5" t="n"/>
      <c r="O1233" s="5" t="n"/>
      <c r="P1233" s="5" t="n"/>
      <c r="Q1233" s="5" t="n"/>
      <c r="R1233" s="5" t="n"/>
      <c r="S1233" s="5" t="n"/>
      <c r="T1233" s="5" t="n"/>
      <c r="U1233" s="5" t="n"/>
      <c r="V1233" s="5" t="n"/>
      <c r="W1233" s="5" t="n"/>
      <c r="X1233" s="5" t="n"/>
      <c r="Y1233" s="5" t="n"/>
      <c r="Z1233" s="5" t="n"/>
      <c r="AA1233" s="5" t="n"/>
    </row>
    <row r="1234">
      <c r="A1234" s="5" t="n"/>
      <c r="B1234" s="34" t="n"/>
      <c r="C1234" s="73" t="n"/>
      <c r="D1234" s="73" t="n"/>
      <c r="E1234" s="112" t="n"/>
      <c r="F1234" s="73" t="n"/>
      <c r="G1234" s="111">
        <f>E1234+F1234</f>
        <v/>
      </c>
      <c r="H1234" s="73" t="n"/>
      <c r="I1234" s="66" t="n"/>
      <c r="J1234" s="5" t="n"/>
      <c r="K1234" s="5" t="n"/>
      <c r="L1234" s="5" t="n"/>
      <c r="M1234" s="5" t="n"/>
      <c r="N1234" s="5" t="n"/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/>
      <c r="X1234" s="5" t="n"/>
      <c r="Y1234" s="5" t="n"/>
      <c r="Z1234" s="5" t="n"/>
      <c r="AA1234" s="5" t="n"/>
    </row>
    <row r="1235">
      <c r="A1235" s="5" t="n"/>
      <c r="B1235" s="34" t="n"/>
      <c r="C1235" s="73" t="n"/>
      <c r="D1235" s="73" t="n"/>
      <c r="E1235" s="112" t="n"/>
      <c r="F1235" s="73" t="n"/>
      <c r="G1235" s="111">
        <f>E1235+F1235</f>
        <v/>
      </c>
      <c r="H1235" s="73" t="n"/>
      <c r="I1235" s="66" t="n"/>
      <c r="J1235" s="5" t="n"/>
      <c r="K1235" s="5" t="n"/>
      <c r="L1235" s="5" t="n"/>
      <c r="M1235" s="5" t="n"/>
      <c r="N1235" s="5" t="n"/>
      <c r="O1235" s="5" t="n"/>
      <c r="P1235" s="5" t="n"/>
      <c r="Q1235" s="5" t="n"/>
      <c r="R1235" s="5" t="n"/>
      <c r="S1235" s="5" t="n"/>
      <c r="T1235" s="5" t="n"/>
      <c r="U1235" s="5" t="n"/>
      <c r="V1235" s="5" t="n"/>
      <c r="W1235" s="5" t="n"/>
      <c r="X1235" s="5" t="n"/>
      <c r="Y1235" s="5" t="n"/>
      <c r="Z1235" s="5" t="n"/>
      <c r="AA1235" s="5" t="n"/>
    </row>
    <row r="1236">
      <c r="A1236" s="5" t="n"/>
      <c r="B1236" s="34" t="n"/>
      <c r="C1236" s="73" t="n"/>
      <c r="D1236" s="73" t="n"/>
      <c r="E1236" s="112" t="n"/>
      <c r="F1236" s="73" t="n"/>
      <c r="G1236" s="111">
        <f>E1236+F1236</f>
        <v/>
      </c>
      <c r="H1236" s="73" t="n"/>
      <c r="I1236" s="66" t="n"/>
      <c r="J1236" s="5" t="n"/>
      <c r="K1236" s="5" t="n"/>
      <c r="L1236" s="5" t="n"/>
      <c r="M1236" s="5" t="n"/>
      <c r="N1236" s="5" t="n"/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/>
      <c r="X1236" s="5" t="n"/>
      <c r="Y1236" s="5" t="n"/>
      <c r="Z1236" s="5" t="n"/>
      <c r="AA1236" s="5" t="n"/>
    </row>
    <row r="1237">
      <c r="A1237" s="5" t="n"/>
      <c r="B1237" s="34" t="n"/>
      <c r="C1237" s="73" t="n"/>
      <c r="D1237" s="73" t="n"/>
      <c r="E1237" s="112" t="n"/>
      <c r="F1237" s="73" t="n"/>
      <c r="G1237" s="111">
        <f>E1237+F1237</f>
        <v/>
      </c>
      <c r="H1237" s="73" t="n"/>
      <c r="I1237" s="66" t="n"/>
      <c r="J1237" s="5" t="n"/>
      <c r="K1237" s="5" t="n"/>
      <c r="L1237" s="5" t="n"/>
      <c r="M1237" s="5" t="n"/>
      <c r="N1237" s="5" t="n"/>
      <c r="O1237" s="5" t="n"/>
      <c r="P1237" s="5" t="n"/>
      <c r="Q1237" s="5" t="n"/>
      <c r="R1237" s="5" t="n"/>
      <c r="S1237" s="5" t="n"/>
      <c r="T1237" s="5" t="n"/>
      <c r="U1237" s="5" t="n"/>
      <c r="V1237" s="5" t="n"/>
      <c r="W1237" s="5" t="n"/>
      <c r="X1237" s="5" t="n"/>
      <c r="Y1237" s="5" t="n"/>
      <c r="Z1237" s="5" t="n"/>
      <c r="AA1237" s="5" t="n"/>
    </row>
    <row r="1238">
      <c r="A1238" s="5" t="n"/>
      <c r="B1238" s="34" t="n"/>
      <c r="C1238" s="73" t="n"/>
      <c r="D1238" s="73" t="n"/>
      <c r="E1238" s="112" t="n"/>
      <c r="F1238" s="73" t="n"/>
      <c r="G1238" s="111">
        <f>E1238+F1238</f>
        <v/>
      </c>
      <c r="H1238" s="73" t="n"/>
      <c r="I1238" s="66" t="n"/>
      <c r="J1238" s="5" t="n"/>
      <c r="K1238" s="5" t="n"/>
      <c r="L1238" s="5" t="n"/>
      <c r="M1238" s="5" t="n"/>
      <c r="N1238" s="5" t="n"/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/>
      <c r="X1238" s="5" t="n"/>
      <c r="Y1238" s="5" t="n"/>
      <c r="Z1238" s="5" t="n"/>
      <c r="AA1238" s="5" t="n"/>
    </row>
    <row r="1239">
      <c r="A1239" s="5" t="n"/>
      <c r="B1239" s="34" t="n"/>
      <c r="C1239" s="73" t="n"/>
      <c r="D1239" s="73" t="n"/>
      <c r="E1239" s="112" t="n"/>
      <c r="F1239" s="73" t="n"/>
      <c r="G1239" s="111">
        <f>E1239+F1239</f>
        <v/>
      </c>
      <c r="H1239" s="73" t="n"/>
      <c r="I1239" s="66" t="n"/>
      <c r="J1239" s="5" t="n"/>
      <c r="K1239" s="5" t="n"/>
      <c r="L1239" s="5" t="n"/>
      <c r="M1239" s="5" t="n"/>
      <c r="N1239" s="5" t="n"/>
      <c r="O1239" s="5" t="n"/>
      <c r="P1239" s="5" t="n"/>
      <c r="Q1239" s="5" t="n"/>
      <c r="R1239" s="5" t="n"/>
      <c r="S1239" s="5" t="n"/>
      <c r="T1239" s="5" t="n"/>
      <c r="U1239" s="5" t="n"/>
      <c r="V1239" s="5" t="n"/>
      <c r="W1239" s="5" t="n"/>
      <c r="X1239" s="5" t="n"/>
      <c r="Y1239" s="5" t="n"/>
      <c r="Z1239" s="5" t="n"/>
      <c r="AA1239" s="5" t="n"/>
    </row>
    <row r="1240">
      <c r="A1240" s="5" t="n"/>
      <c r="B1240" s="34" t="n"/>
      <c r="C1240" s="73" t="n"/>
      <c r="D1240" s="73" t="n"/>
      <c r="E1240" s="112" t="n"/>
      <c r="F1240" s="73" t="n"/>
      <c r="G1240" s="111">
        <f>E1240+F1240</f>
        <v/>
      </c>
      <c r="H1240" s="73" t="n"/>
      <c r="I1240" s="66" t="n"/>
      <c r="J1240" s="5" t="n"/>
      <c r="K1240" s="5" t="n"/>
      <c r="L1240" s="5" t="n"/>
      <c r="M1240" s="5" t="n"/>
      <c r="N1240" s="5" t="n"/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/>
      <c r="X1240" s="5" t="n"/>
      <c r="Y1240" s="5" t="n"/>
      <c r="Z1240" s="5" t="n"/>
      <c r="AA1240" s="5" t="n"/>
    </row>
    <row r="1241">
      <c r="A1241" s="5" t="n"/>
      <c r="B1241" s="34" t="n"/>
      <c r="C1241" s="73" t="n"/>
      <c r="D1241" s="73" t="n"/>
      <c r="E1241" s="112" t="n"/>
      <c r="F1241" s="73" t="n"/>
      <c r="G1241" s="111">
        <f>E1241+F1241</f>
        <v/>
      </c>
      <c r="H1241" s="73" t="n"/>
      <c r="I1241" s="66" t="n"/>
      <c r="J1241" s="5" t="n"/>
      <c r="K1241" s="5" t="n"/>
      <c r="L1241" s="5" t="n"/>
      <c r="M1241" s="5" t="n"/>
      <c r="N1241" s="5" t="n"/>
      <c r="O1241" s="5" t="n"/>
      <c r="P1241" s="5" t="n"/>
      <c r="Q1241" s="5" t="n"/>
      <c r="R1241" s="5" t="n"/>
      <c r="S1241" s="5" t="n"/>
      <c r="T1241" s="5" t="n"/>
      <c r="U1241" s="5" t="n"/>
      <c r="V1241" s="5" t="n"/>
      <c r="W1241" s="5" t="n"/>
      <c r="X1241" s="5" t="n"/>
      <c r="Y1241" s="5" t="n"/>
      <c r="Z1241" s="5" t="n"/>
      <c r="AA1241" s="5" t="n"/>
    </row>
    <row r="1242">
      <c r="A1242" s="5" t="n"/>
      <c r="B1242" s="34" t="n"/>
      <c r="C1242" s="73" t="n"/>
      <c r="D1242" s="73" t="n"/>
      <c r="E1242" s="112" t="n"/>
      <c r="F1242" s="73" t="n"/>
      <c r="G1242" s="111">
        <f>E1242+F1242</f>
        <v/>
      </c>
      <c r="H1242" s="73" t="n"/>
      <c r="I1242" s="66" t="n"/>
      <c r="J1242" s="5" t="n"/>
      <c r="K1242" s="5" t="n"/>
      <c r="L1242" s="5" t="n"/>
      <c r="M1242" s="5" t="n"/>
      <c r="N1242" s="5" t="n"/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/>
      <c r="X1242" s="5" t="n"/>
      <c r="Y1242" s="5" t="n"/>
      <c r="Z1242" s="5" t="n"/>
      <c r="AA1242" s="5" t="n"/>
    </row>
    <row r="1243">
      <c r="A1243" s="5" t="n"/>
      <c r="B1243" s="34" t="n"/>
      <c r="C1243" s="73" t="n"/>
      <c r="D1243" s="73" t="n"/>
      <c r="E1243" s="112" t="n"/>
      <c r="F1243" s="73" t="n"/>
      <c r="G1243" s="111">
        <f>E1243+F1243</f>
        <v/>
      </c>
      <c r="H1243" s="73" t="n"/>
      <c r="I1243" s="66" t="n"/>
      <c r="J1243" s="5" t="n"/>
      <c r="K1243" s="5" t="n"/>
      <c r="L1243" s="5" t="n"/>
      <c r="M1243" s="5" t="n"/>
      <c r="N1243" s="5" t="n"/>
      <c r="O1243" s="5" t="n"/>
      <c r="P1243" s="5" t="n"/>
      <c r="Q1243" s="5" t="n"/>
      <c r="R1243" s="5" t="n"/>
      <c r="S1243" s="5" t="n"/>
      <c r="T1243" s="5" t="n"/>
      <c r="U1243" s="5" t="n"/>
      <c r="V1243" s="5" t="n"/>
      <c r="W1243" s="5" t="n"/>
      <c r="X1243" s="5" t="n"/>
      <c r="Y1243" s="5" t="n"/>
      <c r="Z1243" s="5" t="n"/>
      <c r="AA1243" s="5" t="n"/>
    </row>
    <row r="1244">
      <c r="A1244" s="5" t="n"/>
      <c r="B1244" s="34" t="n"/>
      <c r="C1244" s="73" t="n"/>
      <c r="D1244" s="73" t="n"/>
      <c r="E1244" s="112" t="n"/>
      <c r="F1244" s="73" t="n"/>
      <c r="G1244" s="111">
        <f>E1244+F1244</f>
        <v/>
      </c>
      <c r="H1244" s="73" t="n"/>
      <c r="I1244" s="66" t="n"/>
      <c r="J1244" s="5" t="n"/>
      <c r="K1244" s="5" t="n"/>
      <c r="L1244" s="5" t="n"/>
      <c r="M1244" s="5" t="n"/>
      <c r="N1244" s="5" t="n"/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/>
      <c r="X1244" s="5" t="n"/>
      <c r="Y1244" s="5" t="n"/>
      <c r="Z1244" s="5" t="n"/>
      <c r="AA1244" s="5" t="n"/>
    </row>
    <row r="1245">
      <c r="A1245" s="5" t="n"/>
      <c r="B1245" s="34" t="n"/>
      <c r="C1245" s="73" t="n"/>
      <c r="D1245" s="73" t="n"/>
      <c r="E1245" s="112" t="n"/>
      <c r="F1245" s="73" t="n"/>
      <c r="G1245" s="111">
        <f>E1245+F1245</f>
        <v/>
      </c>
      <c r="H1245" s="73" t="n"/>
      <c r="I1245" s="66" t="n"/>
      <c r="J1245" s="5" t="n"/>
      <c r="K1245" s="5" t="n"/>
      <c r="L1245" s="5" t="n"/>
      <c r="M1245" s="5" t="n"/>
      <c r="N1245" s="5" t="n"/>
      <c r="O1245" s="5" t="n"/>
      <c r="P1245" s="5" t="n"/>
      <c r="Q1245" s="5" t="n"/>
      <c r="R1245" s="5" t="n"/>
      <c r="S1245" s="5" t="n"/>
      <c r="T1245" s="5" t="n"/>
      <c r="U1245" s="5" t="n"/>
      <c r="V1245" s="5" t="n"/>
      <c r="W1245" s="5" t="n"/>
      <c r="X1245" s="5" t="n"/>
      <c r="Y1245" s="5" t="n"/>
      <c r="Z1245" s="5" t="n"/>
      <c r="AA1245" s="5" t="n"/>
    </row>
    <row r="1246">
      <c r="A1246" s="5" t="n"/>
      <c r="B1246" s="34" t="n"/>
      <c r="C1246" s="73" t="n"/>
      <c r="D1246" s="73" t="n"/>
      <c r="E1246" s="112" t="n"/>
      <c r="F1246" s="73" t="n"/>
      <c r="G1246" s="111">
        <f>E1246+F1246</f>
        <v/>
      </c>
      <c r="H1246" s="73" t="n"/>
      <c r="I1246" s="66" t="n"/>
      <c r="J1246" s="5" t="n"/>
      <c r="K1246" s="5" t="n"/>
      <c r="L1246" s="5" t="n"/>
      <c r="M1246" s="5" t="n"/>
      <c r="N1246" s="5" t="n"/>
      <c r="O1246" s="5" t="n"/>
      <c r="P1246" s="5" t="n"/>
      <c r="Q1246" s="5" t="n"/>
      <c r="R1246" s="5" t="n"/>
      <c r="S1246" s="5" t="n"/>
      <c r="T1246" s="5" t="n"/>
      <c r="U1246" s="5" t="n"/>
      <c r="V1246" s="5" t="n"/>
      <c r="W1246" s="5" t="n"/>
      <c r="X1246" s="5" t="n"/>
      <c r="Y1246" s="5" t="n"/>
      <c r="Z1246" s="5" t="n"/>
      <c r="AA1246" s="5" t="n"/>
    </row>
    <row r="1247">
      <c r="A1247" s="5" t="n"/>
      <c r="B1247" s="34" t="n"/>
      <c r="C1247" s="73" t="n"/>
      <c r="D1247" s="73" t="n"/>
      <c r="E1247" s="112" t="n"/>
      <c r="F1247" s="73" t="n"/>
      <c r="G1247" s="111">
        <f>E1247+F1247</f>
        <v/>
      </c>
      <c r="H1247" s="73" t="n"/>
      <c r="I1247" s="66" t="n"/>
      <c r="J1247" s="5" t="n"/>
      <c r="K1247" s="5" t="n"/>
      <c r="L1247" s="5" t="n"/>
      <c r="M1247" s="5" t="n"/>
      <c r="N1247" s="5" t="n"/>
      <c r="O1247" s="5" t="n"/>
      <c r="P1247" s="5" t="n"/>
      <c r="Q1247" s="5" t="n"/>
      <c r="R1247" s="5" t="n"/>
      <c r="S1247" s="5" t="n"/>
      <c r="T1247" s="5" t="n"/>
      <c r="U1247" s="5" t="n"/>
      <c r="V1247" s="5" t="n"/>
      <c r="W1247" s="5" t="n"/>
      <c r="X1247" s="5" t="n"/>
      <c r="Y1247" s="5" t="n"/>
      <c r="Z1247" s="5" t="n"/>
      <c r="AA1247" s="5" t="n"/>
    </row>
    <row r="1248">
      <c r="A1248" s="5" t="n"/>
      <c r="B1248" s="34" t="n"/>
      <c r="C1248" s="73" t="n"/>
      <c r="D1248" s="73" t="n"/>
      <c r="E1248" s="112" t="n"/>
      <c r="F1248" s="73" t="n"/>
      <c r="G1248" s="111">
        <f>E1248+F1248</f>
        <v/>
      </c>
      <c r="H1248" s="73" t="n"/>
      <c r="I1248" s="66" t="n"/>
      <c r="J1248" s="5" t="n"/>
      <c r="K1248" s="5" t="n"/>
      <c r="L1248" s="5" t="n"/>
      <c r="M1248" s="5" t="n"/>
      <c r="N1248" s="5" t="n"/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/>
      <c r="X1248" s="5" t="n"/>
      <c r="Y1248" s="5" t="n"/>
      <c r="Z1248" s="5" t="n"/>
      <c r="AA1248" s="5" t="n"/>
    </row>
    <row r="1249">
      <c r="A1249" s="5" t="n"/>
      <c r="B1249" s="34" t="n"/>
      <c r="C1249" s="73" t="n"/>
      <c r="D1249" s="73" t="n"/>
      <c r="E1249" s="112" t="n"/>
      <c r="F1249" s="73" t="n"/>
      <c r="G1249" s="111">
        <f>E1249+F1249</f>
        <v/>
      </c>
      <c r="H1249" s="73" t="n"/>
      <c r="I1249" s="66" t="n"/>
      <c r="J1249" s="5" t="n"/>
      <c r="K1249" s="5" t="n"/>
      <c r="L1249" s="5" t="n"/>
      <c r="M1249" s="5" t="n"/>
      <c r="N1249" s="5" t="n"/>
      <c r="O1249" s="5" t="n"/>
      <c r="P1249" s="5" t="n"/>
      <c r="Q1249" s="5" t="n"/>
      <c r="R1249" s="5" t="n"/>
      <c r="S1249" s="5" t="n"/>
      <c r="T1249" s="5" t="n"/>
      <c r="U1249" s="5" t="n"/>
      <c r="V1249" s="5" t="n"/>
      <c r="W1249" s="5" t="n"/>
      <c r="X1249" s="5" t="n"/>
      <c r="Y1249" s="5" t="n"/>
      <c r="Z1249" s="5" t="n"/>
      <c r="AA1249" s="5" t="n"/>
    </row>
    <row r="1250">
      <c r="A1250" s="5" t="n"/>
      <c r="B1250" s="34" t="n"/>
      <c r="C1250" s="73" t="n"/>
      <c r="D1250" s="73" t="n"/>
      <c r="E1250" s="112" t="n"/>
      <c r="F1250" s="73" t="n"/>
      <c r="G1250" s="111">
        <f>E1250+F1250</f>
        <v/>
      </c>
      <c r="H1250" s="73" t="n"/>
      <c r="I1250" s="66" t="n"/>
      <c r="J1250" s="5" t="n"/>
      <c r="K1250" s="5" t="n"/>
      <c r="L1250" s="5" t="n"/>
      <c r="M1250" s="5" t="n"/>
      <c r="N1250" s="5" t="n"/>
      <c r="O1250" s="5" t="n"/>
      <c r="P1250" s="5" t="n"/>
      <c r="Q1250" s="5" t="n"/>
      <c r="R1250" s="5" t="n"/>
      <c r="S1250" s="5" t="n"/>
      <c r="T1250" s="5" t="n"/>
      <c r="U1250" s="5" t="n"/>
      <c r="V1250" s="5" t="n"/>
      <c r="W1250" s="5" t="n"/>
      <c r="X1250" s="5" t="n"/>
      <c r="Y1250" s="5" t="n"/>
      <c r="Z1250" s="5" t="n"/>
      <c r="AA1250" s="5" t="n"/>
    </row>
    <row r="1251">
      <c r="A1251" s="5" t="n"/>
      <c r="B1251" s="34" t="n"/>
      <c r="C1251" s="73" t="n"/>
      <c r="D1251" s="73" t="n"/>
      <c r="E1251" s="112" t="n"/>
      <c r="F1251" s="73" t="n"/>
      <c r="G1251" s="111">
        <f>E1251+F1251</f>
        <v/>
      </c>
      <c r="H1251" s="73" t="n"/>
      <c r="I1251" s="66" t="n"/>
      <c r="J1251" s="5" t="n"/>
      <c r="K1251" s="5" t="n"/>
      <c r="L1251" s="5" t="n"/>
      <c r="M1251" s="5" t="n"/>
      <c r="N1251" s="5" t="n"/>
      <c r="O1251" s="5" t="n"/>
      <c r="P1251" s="5" t="n"/>
      <c r="Q1251" s="5" t="n"/>
      <c r="R1251" s="5" t="n"/>
      <c r="S1251" s="5" t="n"/>
      <c r="T1251" s="5" t="n"/>
      <c r="U1251" s="5" t="n"/>
      <c r="V1251" s="5" t="n"/>
      <c r="W1251" s="5" t="n"/>
      <c r="X1251" s="5" t="n"/>
      <c r="Y1251" s="5" t="n"/>
      <c r="Z1251" s="5" t="n"/>
      <c r="AA1251" s="5" t="n"/>
    </row>
    <row r="1252">
      <c r="A1252" s="5" t="n"/>
      <c r="B1252" s="34" t="n"/>
      <c r="C1252" s="73" t="n"/>
      <c r="D1252" s="73" t="n"/>
      <c r="E1252" s="112" t="n"/>
      <c r="F1252" s="73" t="n"/>
      <c r="G1252" s="111">
        <f>E1252+F1252</f>
        <v/>
      </c>
      <c r="H1252" s="73" t="n"/>
      <c r="I1252" s="66" t="n"/>
      <c r="J1252" s="5" t="n"/>
      <c r="K1252" s="5" t="n"/>
      <c r="L1252" s="5" t="n"/>
      <c r="M1252" s="5" t="n"/>
      <c r="N1252" s="5" t="n"/>
      <c r="O1252" s="5" t="n"/>
      <c r="P1252" s="5" t="n"/>
      <c r="Q1252" s="5" t="n"/>
      <c r="R1252" s="5" t="n"/>
      <c r="S1252" s="5" t="n"/>
      <c r="T1252" s="5" t="n"/>
      <c r="U1252" s="5" t="n"/>
      <c r="V1252" s="5" t="n"/>
      <c r="W1252" s="5" t="n"/>
      <c r="X1252" s="5" t="n"/>
      <c r="Y1252" s="5" t="n"/>
      <c r="Z1252" s="5" t="n"/>
      <c r="AA1252" s="5" t="n"/>
    </row>
    <row r="1253">
      <c r="A1253" s="5" t="n"/>
      <c r="B1253" s="34" t="n"/>
      <c r="C1253" s="73" t="n"/>
      <c r="D1253" s="73" t="n"/>
      <c r="E1253" s="112" t="n"/>
      <c r="F1253" s="73" t="n"/>
      <c r="G1253" s="111">
        <f>E1253+F1253</f>
        <v/>
      </c>
      <c r="H1253" s="73" t="n"/>
      <c r="I1253" s="66" t="n"/>
      <c r="J1253" s="5" t="n"/>
      <c r="K1253" s="5" t="n"/>
      <c r="L1253" s="5" t="n"/>
      <c r="M1253" s="5" t="n"/>
      <c r="N1253" s="5" t="n"/>
      <c r="O1253" s="5" t="n"/>
      <c r="P1253" s="5" t="n"/>
      <c r="Q1253" s="5" t="n"/>
      <c r="R1253" s="5" t="n"/>
      <c r="S1253" s="5" t="n"/>
      <c r="T1253" s="5" t="n"/>
      <c r="U1253" s="5" t="n"/>
      <c r="V1253" s="5" t="n"/>
      <c r="W1253" s="5" t="n"/>
      <c r="X1253" s="5" t="n"/>
      <c r="Y1253" s="5" t="n"/>
      <c r="Z1253" s="5" t="n"/>
      <c r="AA1253" s="5" t="n"/>
    </row>
    <row r="1254">
      <c r="A1254" s="5" t="n"/>
      <c r="B1254" s="34" t="n"/>
      <c r="C1254" s="73" t="n"/>
      <c r="D1254" s="73" t="n"/>
      <c r="E1254" s="112" t="n"/>
      <c r="F1254" s="73" t="n"/>
      <c r="G1254" s="111">
        <f>E1254+F1254</f>
        <v/>
      </c>
      <c r="H1254" s="73" t="n"/>
      <c r="I1254" s="66" t="n"/>
      <c r="J1254" s="5" t="n"/>
      <c r="K1254" s="5" t="n"/>
      <c r="L1254" s="5" t="n"/>
      <c r="M1254" s="5" t="n"/>
      <c r="N1254" s="5" t="n"/>
      <c r="O1254" s="5" t="n"/>
      <c r="P1254" s="5" t="n"/>
      <c r="Q1254" s="5" t="n"/>
      <c r="R1254" s="5" t="n"/>
      <c r="S1254" s="5" t="n"/>
      <c r="T1254" s="5" t="n"/>
      <c r="U1254" s="5" t="n"/>
      <c r="V1254" s="5" t="n"/>
      <c r="W1254" s="5" t="n"/>
      <c r="X1254" s="5" t="n"/>
      <c r="Y1254" s="5" t="n"/>
      <c r="Z1254" s="5" t="n"/>
      <c r="AA1254" s="5" t="n"/>
    </row>
    <row r="1255">
      <c r="A1255" s="5" t="n"/>
      <c r="B1255" s="34" t="n"/>
      <c r="C1255" s="73" t="n"/>
      <c r="D1255" s="73" t="n"/>
      <c r="E1255" s="112" t="n"/>
      <c r="F1255" s="73" t="n"/>
      <c r="G1255" s="111">
        <f>E1255+F1255</f>
        <v/>
      </c>
      <c r="H1255" s="73" t="n"/>
      <c r="I1255" s="66" t="n"/>
      <c r="J1255" s="5" t="n"/>
      <c r="K1255" s="5" t="n"/>
      <c r="L1255" s="5" t="n"/>
      <c r="M1255" s="5" t="n"/>
      <c r="N1255" s="5" t="n"/>
      <c r="O1255" s="5" t="n"/>
      <c r="P1255" s="5" t="n"/>
      <c r="Q1255" s="5" t="n"/>
      <c r="R1255" s="5" t="n"/>
      <c r="S1255" s="5" t="n"/>
      <c r="T1255" s="5" t="n"/>
      <c r="U1255" s="5" t="n"/>
      <c r="V1255" s="5" t="n"/>
      <c r="W1255" s="5" t="n"/>
      <c r="X1255" s="5" t="n"/>
      <c r="Y1255" s="5" t="n"/>
      <c r="Z1255" s="5" t="n"/>
      <c r="AA1255" s="5" t="n"/>
    </row>
    <row r="1256">
      <c r="A1256" s="5" t="n"/>
      <c r="B1256" s="34" t="n"/>
      <c r="C1256" s="73" t="n"/>
      <c r="D1256" s="73" t="n"/>
      <c r="E1256" s="112" t="n"/>
      <c r="F1256" s="73" t="n"/>
      <c r="G1256" s="111">
        <f>E1256+F1256</f>
        <v/>
      </c>
      <c r="H1256" s="73" t="n"/>
      <c r="I1256" s="66" t="n"/>
      <c r="J1256" s="5" t="n"/>
      <c r="K1256" s="5" t="n"/>
      <c r="L1256" s="5" t="n"/>
      <c r="M1256" s="5" t="n"/>
      <c r="N1256" s="5" t="n"/>
      <c r="O1256" s="5" t="n"/>
      <c r="P1256" s="5" t="n"/>
      <c r="Q1256" s="5" t="n"/>
      <c r="R1256" s="5" t="n"/>
      <c r="S1256" s="5" t="n"/>
      <c r="T1256" s="5" t="n"/>
      <c r="U1256" s="5" t="n"/>
      <c r="V1256" s="5" t="n"/>
      <c r="W1256" s="5" t="n"/>
      <c r="X1256" s="5" t="n"/>
      <c r="Y1256" s="5" t="n"/>
      <c r="Z1256" s="5" t="n"/>
      <c r="AA1256" s="5" t="n"/>
    </row>
    <row r="1257">
      <c r="A1257" s="5" t="n"/>
      <c r="B1257" s="34" t="n"/>
      <c r="C1257" s="73" t="n"/>
      <c r="D1257" s="73" t="n"/>
      <c r="E1257" s="112" t="n"/>
      <c r="F1257" s="73" t="n"/>
      <c r="G1257" s="111">
        <f>E1257+F1257</f>
        <v/>
      </c>
      <c r="H1257" s="73" t="n"/>
      <c r="I1257" s="66" t="n"/>
      <c r="J1257" s="5" t="n"/>
      <c r="K1257" s="5" t="n"/>
      <c r="L1257" s="5" t="n"/>
      <c r="M1257" s="5" t="n"/>
      <c r="N1257" s="5" t="n"/>
      <c r="O1257" s="5" t="n"/>
      <c r="P1257" s="5" t="n"/>
      <c r="Q1257" s="5" t="n"/>
      <c r="R1257" s="5" t="n"/>
      <c r="S1257" s="5" t="n"/>
      <c r="T1257" s="5" t="n"/>
      <c r="U1257" s="5" t="n"/>
      <c r="V1257" s="5" t="n"/>
      <c r="W1257" s="5" t="n"/>
      <c r="X1257" s="5" t="n"/>
      <c r="Y1257" s="5" t="n"/>
      <c r="Z1257" s="5" t="n"/>
      <c r="AA1257" s="5" t="n"/>
    </row>
    <row r="1258">
      <c r="A1258" s="5" t="n"/>
      <c r="B1258" s="34" t="n"/>
      <c r="C1258" s="73" t="n"/>
      <c r="D1258" s="73" t="n"/>
      <c r="E1258" s="112" t="n"/>
      <c r="F1258" s="73" t="n"/>
      <c r="G1258" s="111">
        <f>E1258+F1258</f>
        <v/>
      </c>
      <c r="H1258" s="73" t="n"/>
      <c r="I1258" s="66" t="n"/>
      <c r="J1258" s="5" t="n"/>
      <c r="K1258" s="5" t="n"/>
      <c r="L1258" s="5" t="n"/>
      <c r="M1258" s="5" t="n"/>
      <c r="N1258" s="5" t="n"/>
      <c r="O1258" s="5" t="n"/>
      <c r="P1258" s="5" t="n"/>
      <c r="Q1258" s="5" t="n"/>
      <c r="R1258" s="5" t="n"/>
      <c r="S1258" s="5" t="n"/>
      <c r="T1258" s="5" t="n"/>
      <c r="U1258" s="5" t="n"/>
      <c r="V1258" s="5" t="n"/>
      <c r="W1258" s="5" t="n"/>
      <c r="X1258" s="5" t="n"/>
      <c r="Y1258" s="5" t="n"/>
      <c r="Z1258" s="5" t="n"/>
      <c r="AA1258" s="5" t="n"/>
    </row>
    <row r="1259">
      <c r="A1259" s="5" t="n"/>
      <c r="B1259" s="34" t="n"/>
      <c r="C1259" s="73" t="n"/>
      <c r="D1259" s="73" t="n"/>
      <c r="E1259" s="112" t="n"/>
      <c r="F1259" s="73" t="n"/>
      <c r="G1259" s="111">
        <f>E1259+F1259</f>
        <v/>
      </c>
      <c r="H1259" s="73" t="n"/>
      <c r="I1259" s="66" t="n"/>
      <c r="J1259" s="5" t="n"/>
      <c r="K1259" s="5" t="n"/>
      <c r="L1259" s="5" t="n"/>
      <c r="M1259" s="5" t="n"/>
      <c r="N1259" s="5" t="n"/>
      <c r="O1259" s="5" t="n"/>
      <c r="P1259" s="5" t="n"/>
      <c r="Q1259" s="5" t="n"/>
      <c r="R1259" s="5" t="n"/>
      <c r="S1259" s="5" t="n"/>
      <c r="T1259" s="5" t="n"/>
      <c r="U1259" s="5" t="n"/>
      <c r="V1259" s="5" t="n"/>
      <c r="W1259" s="5" t="n"/>
      <c r="X1259" s="5" t="n"/>
      <c r="Y1259" s="5" t="n"/>
      <c r="Z1259" s="5" t="n"/>
      <c r="AA1259" s="5" t="n"/>
    </row>
    <row r="1260">
      <c r="A1260" s="5" t="n"/>
      <c r="B1260" s="34" t="n"/>
      <c r="C1260" s="73" t="n"/>
      <c r="D1260" s="73" t="n"/>
      <c r="E1260" s="112" t="n"/>
      <c r="F1260" s="73" t="n"/>
      <c r="G1260" s="111">
        <f>E1260+F1260</f>
        <v/>
      </c>
      <c r="H1260" s="73" t="n"/>
      <c r="I1260" s="66" t="n"/>
      <c r="J1260" s="5" t="n"/>
      <c r="K1260" s="5" t="n"/>
      <c r="L1260" s="5" t="n"/>
      <c r="M1260" s="5" t="n"/>
      <c r="N1260" s="5" t="n"/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/>
      <c r="X1260" s="5" t="n"/>
      <c r="Y1260" s="5" t="n"/>
      <c r="Z1260" s="5" t="n"/>
      <c r="AA1260" s="5" t="n"/>
    </row>
    <row r="1261">
      <c r="A1261" s="5" t="n"/>
      <c r="B1261" s="34" t="n"/>
      <c r="C1261" s="73" t="n"/>
      <c r="D1261" s="73" t="n"/>
      <c r="E1261" s="112" t="n"/>
      <c r="F1261" s="73" t="n"/>
      <c r="G1261" s="111">
        <f>E1261+F1261</f>
        <v/>
      </c>
      <c r="H1261" s="73" t="n"/>
      <c r="I1261" s="66" t="n"/>
      <c r="J1261" s="5" t="n"/>
      <c r="K1261" s="5" t="n"/>
      <c r="L1261" s="5" t="n"/>
      <c r="M1261" s="5" t="n"/>
      <c r="N1261" s="5" t="n"/>
      <c r="O1261" s="5" t="n"/>
      <c r="P1261" s="5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5" t="n"/>
    </row>
    <row r="1262">
      <c r="A1262" s="5" t="n"/>
      <c r="B1262" s="34" t="n"/>
      <c r="C1262" s="73" t="n"/>
      <c r="D1262" s="73" t="n"/>
      <c r="E1262" s="112" t="n"/>
      <c r="F1262" s="73" t="n"/>
      <c r="G1262" s="111">
        <f>E1262+F1262</f>
        <v/>
      </c>
      <c r="H1262" s="73" t="n"/>
      <c r="I1262" s="66" t="n"/>
      <c r="J1262" s="5" t="n"/>
      <c r="K1262" s="5" t="n"/>
      <c r="L1262" s="5" t="n"/>
      <c r="M1262" s="5" t="n"/>
      <c r="N1262" s="5" t="n"/>
      <c r="O1262" s="5" t="n"/>
      <c r="P1262" s="5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5" t="n"/>
    </row>
    <row r="1263">
      <c r="A1263" s="5" t="n"/>
      <c r="B1263" s="34" t="n"/>
      <c r="C1263" s="73" t="n"/>
      <c r="D1263" s="73" t="n"/>
      <c r="E1263" s="112" t="n"/>
      <c r="F1263" s="73" t="n"/>
      <c r="G1263" s="111">
        <f>E1263+F1263</f>
        <v/>
      </c>
      <c r="H1263" s="73" t="n"/>
      <c r="I1263" s="66" t="n"/>
      <c r="J1263" s="5" t="n"/>
      <c r="K1263" s="5" t="n"/>
      <c r="L1263" s="5" t="n"/>
      <c r="M1263" s="5" t="n"/>
      <c r="N1263" s="5" t="n"/>
      <c r="O1263" s="5" t="n"/>
      <c r="P1263" s="5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5" t="n"/>
    </row>
    <row r="1264">
      <c r="A1264" s="5" t="n"/>
      <c r="B1264" s="34" t="n"/>
      <c r="C1264" s="73" t="n"/>
      <c r="D1264" s="73" t="n"/>
      <c r="E1264" s="112" t="n"/>
      <c r="F1264" s="73" t="n"/>
      <c r="G1264" s="111">
        <f>E1264+F1264</f>
        <v/>
      </c>
      <c r="H1264" s="73" t="n"/>
      <c r="I1264" s="66" t="n"/>
      <c r="J1264" s="5" t="n"/>
      <c r="K1264" s="5" t="n"/>
      <c r="L1264" s="5" t="n"/>
      <c r="M1264" s="5" t="n"/>
      <c r="N1264" s="5" t="n"/>
      <c r="O1264" s="5" t="n"/>
      <c r="P1264" s="5" t="n"/>
      <c r="Q1264" s="5" t="n"/>
      <c r="R1264" s="5" t="n"/>
      <c r="S1264" s="5" t="n"/>
      <c r="T1264" s="5" t="n"/>
      <c r="U1264" s="5" t="n"/>
      <c r="V1264" s="5" t="n"/>
      <c r="W1264" s="5" t="n"/>
      <c r="X1264" s="5" t="n"/>
      <c r="Y1264" s="5" t="n"/>
      <c r="Z1264" s="5" t="n"/>
      <c r="AA1264" s="5" t="n"/>
    </row>
    <row r="1265">
      <c r="A1265" s="5" t="n"/>
      <c r="B1265" s="34" t="n"/>
      <c r="C1265" s="73" t="n"/>
      <c r="D1265" s="73" t="n"/>
      <c r="E1265" s="112" t="n"/>
      <c r="F1265" s="73" t="n"/>
      <c r="G1265" s="111">
        <f>E1265+F1265</f>
        <v/>
      </c>
      <c r="H1265" s="73" t="n"/>
      <c r="I1265" s="66" t="n"/>
      <c r="J1265" s="5" t="n"/>
      <c r="K1265" s="5" t="n"/>
      <c r="L1265" s="5" t="n"/>
      <c r="M1265" s="5" t="n"/>
      <c r="N1265" s="5" t="n"/>
      <c r="O1265" s="5" t="n"/>
      <c r="P1265" s="5" t="n"/>
      <c r="Q1265" s="5" t="n"/>
      <c r="R1265" s="5" t="n"/>
      <c r="S1265" s="5" t="n"/>
      <c r="T1265" s="5" t="n"/>
      <c r="U1265" s="5" t="n"/>
      <c r="V1265" s="5" t="n"/>
      <c r="W1265" s="5" t="n"/>
      <c r="X1265" s="5" t="n"/>
      <c r="Y1265" s="5" t="n"/>
      <c r="Z1265" s="5" t="n"/>
      <c r="AA1265" s="5" t="n"/>
    </row>
    <row r="1266">
      <c r="A1266" s="5" t="n"/>
      <c r="B1266" s="34" t="n"/>
      <c r="C1266" s="73" t="n"/>
      <c r="D1266" s="73" t="n"/>
      <c r="E1266" s="112" t="n"/>
      <c r="F1266" s="73" t="n"/>
      <c r="G1266" s="111">
        <f>E1266+F1266</f>
        <v/>
      </c>
      <c r="H1266" s="73" t="n"/>
      <c r="I1266" s="66" t="n"/>
      <c r="J1266" s="5" t="n"/>
      <c r="K1266" s="5" t="n"/>
      <c r="L1266" s="5" t="n"/>
      <c r="M1266" s="5" t="n"/>
      <c r="N1266" s="5" t="n"/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/>
      <c r="X1266" s="5" t="n"/>
      <c r="Y1266" s="5" t="n"/>
      <c r="Z1266" s="5" t="n"/>
      <c r="AA1266" s="5" t="n"/>
    </row>
    <row r="1267">
      <c r="A1267" s="5" t="n"/>
      <c r="B1267" s="34" t="n"/>
      <c r="C1267" s="73" t="n"/>
      <c r="D1267" s="73" t="n"/>
      <c r="E1267" s="112" t="n"/>
      <c r="F1267" s="73" t="n"/>
      <c r="G1267" s="111">
        <f>E1267+F1267</f>
        <v/>
      </c>
      <c r="H1267" s="73" t="n"/>
      <c r="I1267" s="66" t="n"/>
      <c r="J1267" s="5" t="n"/>
      <c r="K1267" s="5" t="n"/>
      <c r="L1267" s="5" t="n"/>
      <c r="M1267" s="5" t="n"/>
      <c r="N1267" s="5" t="n"/>
      <c r="O1267" s="5" t="n"/>
      <c r="P1267" s="5" t="n"/>
      <c r="Q1267" s="5" t="n"/>
      <c r="R1267" s="5" t="n"/>
      <c r="S1267" s="5" t="n"/>
      <c r="T1267" s="5" t="n"/>
      <c r="U1267" s="5" t="n"/>
      <c r="V1267" s="5" t="n"/>
      <c r="W1267" s="5" t="n"/>
      <c r="X1267" s="5" t="n"/>
      <c r="Y1267" s="5" t="n"/>
      <c r="Z1267" s="5" t="n"/>
      <c r="AA1267" s="5" t="n"/>
    </row>
    <row r="1268">
      <c r="A1268" s="5" t="n"/>
      <c r="B1268" s="34" t="n"/>
      <c r="C1268" s="73" t="n"/>
      <c r="D1268" s="73" t="n"/>
      <c r="E1268" s="112" t="n"/>
      <c r="F1268" s="73" t="n"/>
      <c r="G1268" s="111">
        <f>E1268+F1268</f>
        <v/>
      </c>
      <c r="H1268" s="73" t="n"/>
      <c r="I1268" s="66" t="n"/>
      <c r="J1268" s="5" t="n"/>
      <c r="K1268" s="5" t="n"/>
      <c r="L1268" s="5" t="n"/>
      <c r="M1268" s="5" t="n"/>
      <c r="N1268" s="5" t="n"/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/>
      <c r="X1268" s="5" t="n"/>
      <c r="Y1268" s="5" t="n"/>
      <c r="Z1268" s="5" t="n"/>
      <c r="AA1268" s="5" t="n"/>
    </row>
    <row r="1269">
      <c r="A1269" s="5" t="n"/>
      <c r="B1269" s="34" t="n"/>
      <c r="C1269" s="73" t="n"/>
      <c r="D1269" s="73" t="n"/>
      <c r="E1269" s="112" t="n"/>
      <c r="F1269" s="73" t="n"/>
      <c r="G1269" s="111">
        <f>E1269+F1269</f>
        <v/>
      </c>
      <c r="H1269" s="73" t="n"/>
      <c r="I1269" s="66" t="n"/>
      <c r="J1269" s="5" t="n"/>
      <c r="K1269" s="5" t="n"/>
      <c r="L1269" s="5" t="n"/>
      <c r="M1269" s="5" t="n"/>
      <c r="N1269" s="5" t="n"/>
      <c r="O1269" s="5" t="n"/>
      <c r="P1269" s="5" t="n"/>
      <c r="Q1269" s="5" t="n"/>
      <c r="R1269" s="5" t="n"/>
      <c r="S1269" s="5" t="n"/>
      <c r="T1269" s="5" t="n"/>
      <c r="U1269" s="5" t="n"/>
      <c r="V1269" s="5" t="n"/>
      <c r="W1269" s="5" t="n"/>
      <c r="X1269" s="5" t="n"/>
      <c r="Y1269" s="5" t="n"/>
      <c r="Z1269" s="5" t="n"/>
      <c r="AA1269" s="5" t="n"/>
    </row>
    <row r="1270">
      <c r="A1270" s="5" t="n"/>
      <c r="B1270" s="34" t="n"/>
      <c r="C1270" s="73" t="n"/>
      <c r="D1270" s="73" t="n"/>
      <c r="E1270" s="112" t="n"/>
      <c r="F1270" s="73" t="n"/>
      <c r="G1270" s="111">
        <f>E1270+F1270</f>
        <v/>
      </c>
      <c r="H1270" s="73" t="n"/>
      <c r="I1270" s="66" t="n"/>
      <c r="J1270" s="5" t="n"/>
      <c r="K1270" s="5" t="n"/>
      <c r="L1270" s="5" t="n"/>
      <c r="M1270" s="5" t="n"/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5" t="n"/>
    </row>
    <row r="1271">
      <c r="A1271" s="5" t="n"/>
      <c r="B1271" s="34" t="n"/>
      <c r="C1271" s="73" t="n"/>
      <c r="D1271" s="73" t="n"/>
      <c r="E1271" s="112" t="n"/>
      <c r="F1271" s="73" t="n"/>
      <c r="G1271" s="111">
        <f>E1271+F1271</f>
        <v/>
      </c>
      <c r="H1271" s="73" t="n"/>
      <c r="I1271" s="66" t="n"/>
      <c r="J1271" s="5" t="n"/>
      <c r="K1271" s="5" t="n"/>
      <c r="L1271" s="5" t="n"/>
      <c r="M1271" s="5" t="n"/>
      <c r="N1271" s="5" t="n"/>
      <c r="O1271" s="5" t="n"/>
      <c r="P1271" s="5" t="n"/>
      <c r="Q1271" s="5" t="n"/>
      <c r="R1271" s="5" t="n"/>
      <c r="S1271" s="5" t="n"/>
      <c r="T1271" s="5" t="n"/>
      <c r="U1271" s="5" t="n"/>
      <c r="V1271" s="5" t="n"/>
      <c r="W1271" s="5" t="n"/>
      <c r="X1271" s="5" t="n"/>
      <c r="Y1271" s="5" t="n"/>
      <c r="Z1271" s="5" t="n"/>
      <c r="AA1271" s="5" t="n"/>
    </row>
    <row r="1272">
      <c r="A1272" s="5" t="n"/>
      <c r="B1272" s="34" t="n"/>
      <c r="C1272" s="73" t="n"/>
      <c r="D1272" s="73" t="n"/>
      <c r="E1272" s="112" t="n"/>
      <c r="F1272" s="73" t="n"/>
      <c r="G1272" s="111">
        <f>E1272+F1272</f>
        <v/>
      </c>
      <c r="H1272" s="73" t="n"/>
      <c r="I1272" s="66" t="n"/>
      <c r="J1272" s="5" t="n"/>
      <c r="K1272" s="5" t="n"/>
      <c r="L1272" s="5" t="n"/>
      <c r="M1272" s="5" t="n"/>
      <c r="N1272" s="5" t="n"/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/>
      <c r="X1272" s="5" t="n"/>
      <c r="Y1272" s="5" t="n"/>
      <c r="Z1272" s="5" t="n"/>
      <c r="AA1272" s="5" t="n"/>
    </row>
    <row r="1273">
      <c r="A1273" s="5" t="n"/>
      <c r="B1273" s="34" t="n"/>
      <c r="C1273" s="73" t="n"/>
      <c r="D1273" s="73" t="n"/>
      <c r="E1273" s="112" t="n"/>
      <c r="F1273" s="73" t="n"/>
      <c r="G1273" s="111">
        <f>E1273+F1273</f>
        <v/>
      </c>
      <c r="H1273" s="73" t="n"/>
      <c r="I1273" s="66" t="n"/>
      <c r="J1273" s="5" t="n"/>
      <c r="K1273" s="5" t="n"/>
      <c r="L1273" s="5" t="n"/>
      <c r="M1273" s="5" t="n"/>
      <c r="N1273" s="5" t="n"/>
      <c r="O1273" s="5" t="n"/>
      <c r="P1273" s="5" t="n"/>
      <c r="Q1273" s="5" t="n"/>
      <c r="R1273" s="5" t="n"/>
      <c r="S1273" s="5" t="n"/>
      <c r="T1273" s="5" t="n"/>
      <c r="U1273" s="5" t="n"/>
      <c r="V1273" s="5" t="n"/>
      <c r="W1273" s="5" t="n"/>
      <c r="X1273" s="5" t="n"/>
      <c r="Y1273" s="5" t="n"/>
      <c r="Z1273" s="5" t="n"/>
      <c r="AA1273" s="5" t="n"/>
    </row>
    <row r="1274">
      <c r="A1274" s="5" t="n"/>
      <c r="B1274" s="34" t="n"/>
      <c r="C1274" s="73" t="n"/>
      <c r="D1274" s="73" t="n"/>
      <c r="E1274" s="112" t="n"/>
      <c r="F1274" s="73" t="n"/>
      <c r="G1274" s="111">
        <f>E1274+F1274</f>
        <v/>
      </c>
      <c r="H1274" s="73" t="n"/>
      <c r="I1274" s="66" t="n"/>
      <c r="J1274" s="5" t="n"/>
      <c r="K1274" s="5" t="n"/>
      <c r="L1274" s="5" t="n"/>
      <c r="M1274" s="5" t="n"/>
      <c r="N1274" s="5" t="n"/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/>
      <c r="X1274" s="5" t="n"/>
      <c r="Y1274" s="5" t="n"/>
      <c r="Z1274" s="5" t="n"/>
      <c r="AA1274" s="5" t="n"/>
    </row>
    <row r="1275">
      <c r="A1275" s="5" t="n"/>
      <c r="B1275" s="34" t="n"/>
      <c r="C1275" s="73" t="n"/>
      <c r="D1275" s="73" t="n"/>
      <c r="E1275" s="112" t="n"/>
      <c r="F1275" s="73" t="n"/>
      <c r="G1275" s="111">
        <f>E1275+F1275</f>
        <v/>
      </c>
      <c r="H1275" s="73" t="n"/>
      <c r="I1275" s="66" t="n"/>
      <c r="J1275" s="5" t="n"/>
      <c r="K1275" s="5" t="n"/>
      <c r="L1275" s="5" t="n"/>
      <c r="M1275" s="5" t="n"/>
      <c r="N1275" s="5" t="n"/>
      <c r="O1275" s="5" t="n"/>
      <c r="P1275" s="5" t="n"/>
      <c r="Q1275" s="5" t="n"/>
      <c r="R1275" s="5" t="n"/>
      <c r="S1275" s="5" t="n"/>
      <c r="T1275" s="5" t="n"/>
      <c r="U1275" s="5" t="n"/>
      <c r="V1275" s="5" t="n"/>
      <c r="W1275" s="5" t="n"/>
      <c r="X1275" s="5" t="n"/>
      <c r="Y1275" s="5" t="n"/>
      <c r="Z1275" s="5" t="n"/>
      <c r="AA1275" s="5" t="n"/>
    </row>
    <row r="1276">
      <c r="A1276" s="5" t="n"/>
      <c r="B1276" s="34" t="n"/>
      <c r="C1276" s="73" t="n"/>
      <c r="D1276" s="73" t="n"/>
      <c r="E1276" s="112" t="n"/>
      <c r="F1276" s="73" t="n"/>
      <c r="G1276" s="111">
        <f>E1276+F1276</f>
        <v/>
      </c>
      <c r="H1276" s="73" t="n"/>
      <c r="I1276" s="66" t="n"/>
      <c r="J1276" s="5" t="n"/>
      <c r="K1276" s="5" t="n"/>
      <c r="L1276" s="5" t="n"/>
      <c r="M1276" s="5" t="n"/>
      <c r="N1276" s="5" t="n"/>
      <c r="O1276" s="5" t="n"/>
      <c r="P1276" s="5" t="n"/>
      <c r="Q1276" s="5" t="n"/>
      <c r="R1276" s="5" t="n"/>
      <c r="S1276" s="5" t="n"/>
      <c r="T1276" s="5" t="n"/>
      <c r="U1276" s="5" t="n"/>
      <c r="V1276" s="5" t="n"/>
      <c r="W1276" s="5" t="n"/>
      <c r="X1276" s="5" t="n"/>
      <c r="Y1276" s="5" t="n"/>
      <c r="Z1276" s="5" t="n"/>
      <c r="AA1276" s="5" t="n"/>
    </row>
    <row r="1277">
      <c r="A1277" s="5" t="n"/>
      <c r="B1277" s="34" t="n"/>
      <c r="C1277" s="73" t="n"/>
      <c r="D1277" s="73" t="n"/>
      <c r="E1277" s="112" t="n"/>
      <c r="F1277" s="73" t="n"/>
      <c r="G1277" s="111">
        <f>E1277+F1277</f>
        <v/>
      </c>
      <c r="H1277" s="73" t="n"/>
      <c r="I1277" s="66" t="n"/>
      <c r="J1277" s="5" t="n"/>
      <c r="K1277" s="5" t="n"/>
      <c r="L1277" s="5" t="n"/>
      <c r="M1277" s="5" t="n"/>
      <c r="N1277" s="5" t="n"/>
      <c r="O1277" s="5" t="n"/>
      <c r="P1277" s="5" t="n"/>
      <c r="Q1277" s="5" t="n"/>
      <c r="R1277" s="5" t="n"/>
      <c r="S1277" s="5" t="n"/>
      <c r="T1277" s="5" t="n"/>
      <c r="U1277" s="5" t="n"/>
      <c r="V1277" s="5" t="n"/>
      <c r="W1277" s="5" t="n"/>
      <c r="X1277" s="5" t="n"/>
      <c r="Y1277" s="5" t="n"/>
      <c r="Z1277" s="5" t="n"/>
      <c r="AA1277" s="5" t="n"/>
    </row>
    <row r="1278">
      <c r="A1278" s="5" t="n"/>
      <c r="B1278" s="34" t="n"/>
      <c r="C1278" s="73" t="n"/>
      <c r="D1278" s="73" t="n"/>
      <c r="E1278" s="112" t="n"/>
      <c r="F1278" s="73" t="n"/>
      <c r="G1278" s="111">
        <f>E1278+F1278</f>
        <v/>
      </c>
      <c r="H1278" s="73" t="n"/>
      <c r="I1278" s="66" t="n"/>
      <c r="J1278" s="5" t="n"/>
      <c r="K1278" s="5" t="n"/>
      <c r="L1278" s="5" t="n"/>
      <c r="M1278" s="5" t="n"/>
      <c r="N1278" s="5" t="n"/>
      <c r="O1278" s="5" t="n"/>
      <c r="P1278" s="5" t="n"/>
      <c r="Q1278" s="5" t="n"/>
      <c r="R1278" s="5" t="n"/>
      <c r="S1278" s="5" t="n"/>
      <c r="T1278" s="5" t="n"/>
      <c r="U1278" s="5" t="n"/>
      <c r="V1278" s="5" t="n"/>
      <c r="W1278" s="5" t="n"/>
      <c r="X1278" s="5" t="n"/>
      <c r="Y1278" s="5" t="n"/>
      <c r="Z1278" s="5" t="n"/>
      <c r="AA1278" s="5" t="n"/>
    </row>
    <row r="1279">
      <c r="A1279" s="5" t="n"/>
      <c r="B1279" s="34" t="n"/>
      <c r="C1279" s="73" t="n"/>
      <c r="D1279" s="73" t="n"/>
      <c r="E1279" s="112" t="n"/>
      <c r="F1279" s="73" t="n"/>
      <c r="G1279" s="111">
        <f>E1279+F1279</f>
        <v/>
      </c>
      <c r="H1279" s="73" t="n"/>
      <c r="I1279" s="66" t="n"/>
      <c r="J1279" s="5" t="n"/>
      <c r="K1279" s="5" t="n"/>
      <c r="L1279" s="5" t="n"/>
      <c r="M1279" s="5" t="n"/>
      <c r="N1279" s="5" t="n"/>
      <c r="O1279" s="5" t="n"/>
      <c r="P1279" s="5" t="n"/>
      <c r="Q1279" s="5" t="n"/>
      <c r="R1279" s="5" t="n"/>
      <c r="S1279" s="5" t="n"/>
      <c r="T1279" s="5" t="n"/>
      <c r="U1279" s="5" t="n"/>
      <c r="V1279" s="5" t="n"/>
      <c r="W1279" s="5" t="n"/>
      <c r="X1279" s="5" t="n"/>
      <c r="Y1279" s="5" t="n"/>
      <c r="Z1279" s="5" t="n"/>
      <c r="AA1279" s="5" t="n"/>
    </row>
    <row r="1280">
      <c r="A1280" s="5" t="n"/>
      <c r="B1280" s="34" t="n"/>
      <c r="C1280" s="73" t="n"/>
      <c r="D1280" s="73" t="n"/>
      <c r="E1280" s="112" t="n"/>
      <c r="F1280" s="73" t="n"/>
      <c r="G1280" s="111">
        <f>E1280+F1280</f>
        <v/>
      </c>
      <c r="H1280" s="73" t="n"/>
      <c r="I1280" s="66" t="n"/>
      <c r="J1280" s="5" t="n"/>
      <c r="K1280" s="5" t="n"/>
      <c r="L1280" s="5" t="n"/>
      <c r="M1280" s="5" t="n"/>
      <c r="N1280" s="5" t="n"/>
      <c r="O1280" s="5" t="n"/>
      <c r="P1280" s="5" t="n"/>
      <c r="Q1280" s="5" t="n"/>
      <c r="R1280" s="5" t="n"/>
      <c r="S1280" s="5" t="n"/>
      <c r="T1280" s="5" t="n"/>
      <c r="U1280" s="5" t="n"/>
      <c r="V1280" s="5" t="n"/>
      <c r="W1280" s="5" t="n"/>
      <c r="X1280" s="5" t="n"/>
      <c r="Y1280" s="5" t="n"/>
      <c r="Z1280" s="5" t="n"/>
      <c r="AA1280" s="5" t="n"/>
    </row>
    <row r="1281">
      <c r="A1281" s="5" t="n"/>
      <c r="B1281" s="34" t="n"/>
      <c r="C1281" s="73" t="n"/>
      <c r="D1281" s="73" t="n"/>
      <c r="E1281" s="112" t="n"/>
      <c r="F1281" s="73" t="n"/>
      <c r="G1281" s="111">
        <f>E1281+F1281</f>
        <v/>
      </c>
      <c r="H1281" s="73" t="n"/>
      <c r="I1281" s="66" t="n"/>
      <c r="J1281" s="5" t="n"/>
      <c r="K1281" s="5" t="n"/>
      <c r="L1281" s="5" t="n"/>
      <c r="M1281" s="5" t="n"/>
      <c r="N1281" s="5" t="n"/>
      <c r="O1281" s="5" t="n"/>
      <c r="P1281" s="5" t="n"/>
      <c r="Q1281" s="5" t="n"/>
      <c r="R1281" s="5" t="n"/>
      <c r="S1281" s="5" t="n"/>
      <c r="T1281" s="5" t="n"/>
      <c r="U1281" s="5" t="n"/>
      <c r="V1281" s="5" t="n"/>
      <c r="W1281" s="5" t="n"/>
      <c r="X1281" s="5" t="n"/>
      <c r="Y1281" s="5" t="n"/>
      <c r="Z1281" s="5" t="n"/>
      <c r="AA1281" s="5" t="n"/>
    </row>
    <row r="1282">
      <c r="A1282" s="5" t="n"/>
      <c r="B1282" s="34" t="n"/>
      <c r="C1282" s="73" t="n"/>
      <c r="D1282" s="73" t="n"/>
      <c r="E1282" s="112" t="n"/>
      <c r="F1282" s="73" t="n"/>
      <c r="G1282" s="111">
        <f>E1282+F1282</f>
        <v/>
      </c>
      <c r="H1282" s="73" t="n"/>
      <c r="I1282" s="66" t="n"/>
      <c r="J1282" s="5" t="n"/>
      <c r="K1282" s="5" t="n"/>
      <c r="L1282" s="5" t="n"/>
      <c r="M1282" s="5" t="n"/>
      <c r="N1282" s="5" t="n"/>
      <c r="O1282" s="5" t="n"/>
      <c r="P1282" s="5" t="n"/>
      <c r="Q1282" s="5" t="n"/>
      <c r="R1282" s="5" t="n"/>
      <c r="S1282" s="5" t="n"/>
      <c r="T1282" s="5" t="n"/>
      <c r="U1282" s="5" t="n"/>
      <c r="V1282" s="5" t="n"/>
      <c r="W1282" s="5" t="n"/>
      <c r="X1282" s="5" t="n"/>
      <c r="Y1282" s="5" t="n"/>
      <c r="Z1282" s="5" t="n"/>
      <c r="AA1282" s="5" t="n"/>
    </row>
    <row r="1283">
      <c r="A1283" s="5" t="n"/>
      <c r="B1283" s="34" t="n"/>
      <c r="C1283" s="73" t="n"/>
      <c r="D1283" s="73" t="n"/>
      <c r="E1283" s="112" t="n"/>
      <c r="F1283" s="73" t="n"/>
      <c r="G1283" s="111">
        <f>E1283+F1283</f>
        <v/>
      </c>
      <c r="H1283" s="73" t="n"/>
      <c r="I1283" s="66" t="n"/>
      <c r="J1283" s="5" t="n"/>
      <c r="K1283" s="5" t="n"/>
      <c r="L1283" s="5" t="n"/>
      <c r="M1283" s="5" t="n"/>
      <c r="N1283" s="5" t="n"/>
      <c r="O1283" s="5" t="n"/>
      <c r="P1283" s="5" t="n"/>
      <c r="Q1283" s="5" t="n"/>
      <c r="R1283" s="5" t="n"/>
      <c r="S1283" s="5" t="n"/>
      <c r="T1283" s="5" t="n"/>
      <c r="U1283" s="5" t="n"/>
      <c r="V1283" s="5" t="n"/>
      <c r="W1283" s="5" t="n"/>
      <c r="X1283" s="5" t="n"/>
      <c r="Y1283" s="5" t="n"/>
      <c r="Z1283" s="5" t="n"/>
      <c r="AA1283" s="5" t="n"/>
    </row>
    <row r="1284">
      <c r="A1284" s="5" t="n"/>
      <c r="B1284" s="34" t="n"/>
      <c r="C1284" s="73" t="n"/>
      <c r="D1284" s="73" t="n"/>
      <c r="E1284" s="112" t="n"/>
      <c r="F1284" s="73" t="n"/>
      <c r="G1284" s="111">
        <f>E1284+F1284</f>
        <v/>
      </c>
      <c r="H1284" s="73" t="n"/>
      <c r="I1284" s="66" t="n"/>
      <c r="J1284" s="5" t="n"/>
      <c r="K1284" s="5" t="n"/>
      <c r="L1284" s="5" t="n"/>
      <c r="M1284" s="5" t="n"/>
      <c r="N1284" s="5" t="n"/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/>
      <c r="X1284" s="5" t="n"/>
      <c r="Y1284" s="5" t="n"/>
      <c r="Z1284" s="5" t="n"/>
      <c r="AA1284" s="5" t="n"/>
    </row>
    <row r="1285">
      <c r="A1285" s="5" t="n"/>
      <c r="B1285" s="34" t="n"/>
      <c r="C1285" s="73" t="n"/>
      <c r="D1285" s="73" t="n"/>
      <c r="E1285" s="112" t="n"/>
      <c r="F1285" s="73" t="n"/>
      <c r="G1285" s="111">
        <f>E1285+F1285</f>
        <v/>
      </c>
      <c r="H1285" s="73" t="n"/>
      <c r="I1285" s="66" t="n"/>
      <c r="J1285" s="5" t="n"/>
      <c r="K1285" s="5" t="n"/>
      <c r="L1285" s="5" t="n"/>
      <c r="M1285" s="5" t="n"/>
      <c r="N1285" s="5" t="n"/>
      <c r="O1285" s="5" t="n"/>
      <c r="P1285" s="5" t="n"/>
      <c r="Q1285" s="5" t="n"/>
      <c r="R1285" s="5" t="n"/>
      <c r="S1285" s="5" t="n"/>
      <c r="T1285" s="5" t="n"/>
      <c r="U1285" s="5" t="n"/>
      <c r="V1285" s="5" t="n"/>
      <c r="W1285" s="5" t="n"/>
      <c r="X1285" s="5" t="n"/>
      <c r="Y1285" s="5" t="n"/>
      <c r="Z1285" s="5" t="n"/>
      <c r="AA1285" s="5" t="n"/>
    </row>
    <row r="1286">
      <c r="A1286" s="5" t="n"/>
      <c r="B1286" s="34" t="n"/>
      <c r="C1286" s="73" t="n"/>
      <c r="D1286" s="73" t="n"/>
      <c r="E1286" s="112" t="n"/>
      <c r="F1286" s="73" t="n"/>
      <c r="G1286" s="111">
        <f>E1286+F1286</f>
        <v/>
      </c>
      <c r="H1286" s="73" t="n"/>
      <c r="I1286" s="66" t="n"/>
      <c r="J1286" s="5" t="n"/>
      <c r="K1286" s="5" t="n"/>
      <c r="L1286" s="5" t="n"/>
      <c r="M1286" s="5" t="n"/>
      <c r="N1286" s="5" t="n"/>
      <c r="O1286" s="5" t="n"/>
      <c r="P1286" s="5" t="n"/>
      <c r="Q1286" s="5" t="n"/>
      <c r="R1286" s="5" t="n"/>
      <c r="S1286" s="5" t="n"/>
      <c r="T1286" s="5" t="n"/>
      <c r="U1286" s="5" t="n"/>
      <c r="V1286" s="5" t="n"/>
      <c r="W1286" s="5" t="n"/>
      <c r="X1286" s="5" t="n"/>
      <c r="Y1286" s="5" t="n"/>
      <c r="Z1286" s="5" t="n"/>
      <c r="AA1286" s="5" t="n"/>
    </row>
    <row r="1287">
      <c r="A1287" s="5" t="n"/>
      <c r="B1287" s="34" t="n"/>
      <c r="C1287" s="73" t="n"/>
      <c r="D1287" s="73" t="n"/>
      <c r="E1287" s="112" t="n"/>
      <c r="F1287" s="73" t="n"/>
      <c r="G1287" s="111" t="n"/>
      <c r="H1287" s="73" t="n"/>
      <c r="I1287" s="66" t="n"/>
      <c r="J1287" s="5" t="n"/>
      <c r="K1287" s="5" t="n"/>
      <c r="L1287" s="5" t="n"/>
      <c r="M1287" s="5" t="n"/>
      <c r="N1287" s="5" t="n"/>
      <c r="O1287" s="5" t="n"/>
      <c r="P1287" s="5" t="n"/>
      <c r="Q1287" s="5" t="n"/>
      <c r="R1287" s="5" t="n"/>
      <c r="S1287" s="5" t="n"/>
      <c r="T1287" s="5" t="n"/>
      <c r="U1287" s="5" t="n"/>
      <c r="V1287" s="5" t="n"/>
      <c r="W1287" s="5" t="n"/>
      <c r="X1287" s="5" t="n"/>
      <c r="Y1287" s="5" t="n"/>
      <c r="Z1287" s="5" t="n"/>
      <c r="AA1287" s="5" t="n"/>
    </row>
    <row r="1288">
      <c r="A1288" s="5" t="n"/>
      <c r="B1288" s="34" t="n"/>
      <c r="C1288" s="73" t="n"/>
      <c r="D1288" s="73" t="n"/>
      <c r="E1288" s="112" t="n"/>
      <c r="F1288" s="73" t="n"/>
      <c r="G1288" s="111" t="n"/>
      <c r="H1288" s="73" t="n"/>
      <c r="I1288" s="66" t="n"/>
      <c r="J1288" s="5" t="n"/>
      <c r="K1288" s="5" t="n"/>
      <c r="L1288" s="5" t="n"/>
      <c r="M1288" s="5" t="n"/>
      <c r="N1288" s="5" t="n"/>
      <c r="O1288" s="5" t="n"/>
      <c r="P1288" s="5" t="n"/>
      <c r="Q1288" s="5" t="n"/>
      <c r="R1288" s="5" t="n"/>
      <c r="S1288" s="5" t="n"/>
      <c r="T1288" s="5" t="n"/>
      <c r="U1288" s="5" t="n"/>
      <c r="V1288" s="5" t="n"/>
      <c r="W1288" s="5" t="n"/>
      <c r="X1288" s="5" t="n"/>
      <c r="Y1288" s="5" t="n"/>
      <c r="Z1288" s="5" t="n"/>
      <c r="AA1288" s="5" t="n"/>
    </row>
    <row r="1289">
      <c r="A1289" s="5" t="n"/>
      <c r="B1289" s="34" t="n"/>
      <c r="C1289" s="73" t="n"/>
      <c r="D1289" s="73" t="n"/>
      <c r="E1289" s="112" t="n"/>
      <c r="F1289" s="73" t="n"/>
      <c r="G1289" s="111" t="n"/>
      <c r="H1289" s="73" t="n"/>
      <c r="I1289" s="66" t="n"/>
      <c r="J1289" s="5" t="n"/>
      <c r="K1289" s="5" t="n"/>
      <c r="L1289" s="5" t="n"/>
      <c r="M1289" s="5" t="n"/>
      <c r="N1289" s="5" t="n"/>
      <c r="O1289" s="5" t="n"/>
      <c r="P1289" s="5" t="n"/>
      <c r="Q1289" s="5" t="n"/>
      <c r="R1289" s="5" t="n"/>
      <c r="S1289" s="5" t="n"/>
      <c r="T1289" s="5" t="n"/>
      <c r="U1289" s="5" t="n"/>
      <c r="V1289" s="5" t="n"/>
      <c r="W1289" s="5" t="n"/>
      <c r="X1289" s="5" t="n"/>
      <c r="Y1289" s="5" t="n"/>
      <c r="Z1289" s="5" t="n"/>
      <c r="AA1289" s="5" t="n"/>
    </row>
    <row r="1290">
      <c r="A1290" s="5" t="n"/>
      <c r="B1290" s="34" t="n"/>
      <c r="C1290" s="73" t="n"/>
      <c r="D1290" s="73" t="n"/>
      <c r="E1290" s="112" t="n"/>
      <c r="F1290" s="73" t="n"/>
      <c r="G1290" s="111" t="n"/>
      <c r="H1290" s="73" t="n"/>
      <c r="I1290" s="66" t="n"/>
      <c r="J1290" s="5" t="n"/>
      <c r="K1290" s="5" t="n"/>
      <c r="L1290" s="5" t="n"/>
      <c r="M1290" s="5" t="n"/>
      <c r="N1290" s="5" t="n"/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/>
      <c r="X1290" s="5" t="n"/>
      <c r="Y1290" s="5" t="n"/>
      <c r="Z1290" s="5" t="n"/>
      <c r="AA1290" s="5" t="n"/>
    </row>
    <row r="1291">
      <c r="A1291" s="5" t="n"/>
      <c r="B1291" s="34" t="n"/>
      <c r="C1291" s="73" t="n"/>
      <c r="D1291" s="73" t="n"/>
      <c r="E1291" s="112" t="n"/>
      <c r="F1291" s="73" t="n"/>
      <c r="G1291" s="111" t="n"/>
      <c r="H1291" s="73" t="n"/>
      <c r="I1291" s="66" t="n"/>
      <c r="J1291" s="5" t="n"/>
      <c r="K1291" s="5" t="n"/>
      <c r="L1291" s="5" t="n"/>
      <c r="M1291" s="5" t="n"/>
      <c r="N1291" s="5" t="n"/>
      <c r="O1291" s="5" t="n"/>
      <c r="P1291" s="5" t="n"/>
      <c r="Q1291" s="5" t="n"/>
      <c r="R1291" s="5" t="n"/>
      <c r="S1291" s="5" t="n"/>
      <c r="T1291" s="5" t="n"/>
      <c r="U1291" s="5" t="n"/>
      <c r="V1291" s="5" t="n"/>
      <c r="W1291" s="5" t="n"/>
      <c r="X1291" s="5" t="n"/>
      <c r="Y1291" s="5" t="n"/>
      <c r="Z1291" s="5" t="n"/>
      <c r="AA1291" s="5" t="n"/>
    </row>
    <row r="1292">
      <c r="A1292" s="5" t="n"/>
      <c r="B1292" s="34" t="n"/>
      <c r="C1292" s="73" t="n"/>
      <c r="D1292" s="73" t="n"/>
      <c r="E1292" s="112" t="n"/>
      <c r="F1292" s="73" t="n"/>
      <c r="G1292" s="111" t="n"/>
      <c r="H1292" s="73" t="n"/>
      <c r="I1292" s="66" t="n"/>
      <c r="J1292" s="5" t="n"/>
      <c r="K1292" s="5" t="n"/>
      <c r="L1292" s="5" t="n"/>
      <c r="M1292" s="5" t="n"/>
      <c r="N1292" s="5" t="n"/>
      <c r="O1292" s="5" t="n"/>
      <c r="P1292" s="5" t="n"/>
      <c r="Q1292" s="5" t="n"/>
      <c r="R1292" s="5" t="n"/>
      <c r="S1292" s="5" t="n"/>
      <c r="T1292" s="5" t="n"/>
      <c r="U1292" s="5" t="n"/>
      <c r="V1292" s="5" t="n"/>
      <c r="W1292" s="5" t="n"/>
      <c r="X1292" s="5" t="n"/>
      <c r="Y1292" s="5" t="n"/>
      <c r="Z1292" s="5" t="n"/>
      <c r="AA1292" s="5" t="n"/>
    </row>
    <row r="1293">
      <c r="A1293" s="5" t="n"/>
      <c r="B1293" s="34" t="n"/>
      <c r="C1293" s="73" t="n"/>
      <c r="D1293" s="73" t="n"/>
      <c r="E1293" s="112" t="n"/>
      <c r="F1293" s="73" t="n"/>
      <c r="G1293" s="111" t="n"/>
      <c r="H1293" s="73" t="n"/>
      <c r="I1293" s="66" t="n"/>
      <c r="J1293" s="5" t="n"/>
      <c r="K1293" s="5" t="n"/>
      <c r="L1293" s="5" t="n"/>
      <c r="M1293" s="5" t="n"/>
      <c r="N1293" s="5" t="n"/>
      <c r="O1293" s="5" t="n"/>
      <c r="P1293" s="5" t="n"/>
      <c r="Q1293" s="5" t="n"/>
      <c r="R1293" s="5" t="n"/>
      <c r="S1293" s="5" t="n"/>
      <c r="T1293" s="5" t="n"/>
      <c r="U1293" s="5" t="n"/>
      <c r="V1293" s="5" t="n"/>
      <c r="W1293" s="5" t="n"/>
      <c r="X1293" s="5" t="n"/>
      <c r="Y1293" s="5" t="n"/>
      <c r="Z1293" s="5" t="n"/>
      <c r="AA1293" s="5" t="n"/>
    </row>
    <row r="1294">
      <c r="A1294" s="5" t="n"/>
      <c r="B1294" s="34" t="n"/>
      <c r="C1294" s="73" t="n"/>
      <c r="D1294" s="73" t="n"/>
      <c r="E1294" s="112" t="n"/>
      <c r="F1294" s="73" t="n"/>
      <c r="G1294" s="111" t="n"/>
      <c r="H1294" s="73" t="n"/>
      <c r="I1294" s="66" t="n"/>
      <c r="J1294" s="5" t="n"/>
      <c r="K1294" s="5" t="n"/>
      <c r="L1294" s="5" t="n"/>
      <c r="M1294" s="5" t="n"/>
      <c r="N1294" s="5" t="n"/>
      <c r="O1294" s="5" t="n"/>
      <c r="P1294" s="5" t="n"/>
      <c r="Q1294" s="5" t="n"/>
      <c r="R1294" s="5" t="n"/>
      <c r="S1294" s="5" t="n"/>
      <c r="T1294" s="5" t="n"/>
      <c r="U1294" s="5" t="n"/>
      <c r="V1294" s="5" t="n"/>
      <c r="W1294" s="5" t="n"/>
      <c r="X1294" s="5" t="n"/>
      <c r="Y1294" s="5" t="n"/>
      <c r="Z1294" s="5" t="n"/>
      <c r="AA1294" s="5" t="n"/>
    </row>
    <row r="1295">
      <c r="A1295" s="5" t="n"/>
      <c r="B1295" s="34" t="n"/>
      <c r="C1295" s="73" t="n"/>
      <c r="D1295" s="73" t="n"/>
      <c r="E1295" s="112" t="n"/>
      <c r="F1295" s="73" t="n"/>
      <c r="G1295" s="111" t="n"/>
      <c r="H1295" s="73" t="n"/>
      <c r="I1295" s="66" t="n"/>
      <c r="J1295" s="5" t="n"/>
      <c r="K1295" s="5" t="n"/>
      <c r="L1295" s="5" t="n"/>
      <c r="M1295" s="5" t="n"/>
      <c r="N1295" s="5" t="n"/>
      <c r="O1295" s="5" t="n"/>
      <c r="P1295" s="5" t="n"/>
      <c r="Q1295" s="5" t="n"/>
      <c r="R1295" s="5" t="n"/>
      <c r="S1295" s="5" t="n"/>
      <c r="T1295" s="5" t="n"/>
      <c r="U1295" s="5" t="n"/>
      <c r="V1295" s="5" t="n"/>
      <c r="W1295" s="5" t="n"/>
      <c r="X1295" s="5" t="n"/>
      <c r="Y1295" s="5" t="n"/>
      <c r="Z1295" s="5" t="n"/>
      <c r="AA1295" s="5" t="n"/>
    </row>
    <row r="1296">
      <c r="A1296" s="5" t="n"/>
      <c r="B1296" s="34" t="n"/>
      <c r="C1296" s="73" t="n"/>
      <c r="D1296" s="73" t="n"/>
      <c r="E1296" s="112" t="n"/>
      <c r="F1296" s="73" t="n"/>
      <c r="G1296" s="111" t="n"/>
      <c r="H1296" s="73" t="n"/>
      <c r="I1296" s="66" t="n"/>
      <c r="J1296" s="5" t="n"/>
      <c r="K1296" s="5" t="n"/>
      <c r="L1296" s="5" t="n"/>
      <c r="M1296" s="5" t="n"/>
      <c r="N1296" s="5" t="n"/>
      <c r="O1296" s="5" t="n"/>
      <c r="P1296" s="5" t="n"/>
      <c r="Q1296" s="5" t="n"/>
      <c r="R1296" s="5" t="n"/>
      <c r="S1296" s="5" t="n"/>
      <c r="T1296" s="5" t="n"/>
      <c r="U1296" s="5" t="n"/>
      <c r="V1296" s="5" t="n"/>
      <c r="W1296" s="5" t="n"/>
      <c r="X1296" s="5" t="n"/>
      <c r="Y1296" s="5" t="n"/>
      <c r="Z1296" s="5" t="n"/>
      <c r="AA1296" s="5" t="n"/>
    </row>
    <row r="1297">
      <c r="A1297" s="5" t="n"/>
      <c r="B1297" s="34" t="n"/>
      <c r="C1297" s="73" t="n"/>
      <c r="D1297" s="73" t="n"/>
      <c r="E1297" s="112" t="n"/>
      <c r="F1297" s="73" t="n"/>
      <c r="G1297" s="111" t="n"/>
      <c r="H1297" s="73" t="n"/>
      <c r="I1297" s="66" t="n"/>
      <c r="J1297" s="5" t="n"/>
      <c r="K1297" s="5" t="n"/>
      <c r="L1297" s="5" t="n"/>
      <c r="M1297" s="5" t="n"/>
      <c r="N1297" s="5" t="n"/>
      <c r="O1297" s="5" t="n"/>
      <c r="P1297" s="5" t="n"/>
      <c r="Q1297" s="5" t="n"/>
      <c r="R1297" s="5" t="n"/>
      <c r="S1297" s="5" t="n"/>
      <c r="T1297" s="5" t="n"/>
      <c r="U1297" s="5" t="n"/>
      <c r="V1297" s="5" t="n"/>
      <c r="W1297" s="5" t="n"/>
      <c r="X1297" s="5" t="n"/>
      <c r="Y1297" s="5" t="n"/>
      <c r="Z1297" s="5" t="n"/>
      <c r="AA1297" s="5" t="n"/>
    </row>
    <row r="1298">
      <c r="A1298" s="5" t="n"/>
      <c r="B1298" s="34" t="n"/>
      <c r="C1298" s="73" t="n"/>
      <c r="D1298" s="73" t="n"/>
      <c r="E1298" s="112" t="n"/>
      <c r="F1298" s="73" t="n"/>
      <c r="G1298" s="111" t="n"/>
      <c r="H1298" s="73" t="n"/>
      <c r="I1298" s="66" t="n"/>
      <c r="J1298" s="5" t="n"/>
      <c r="K1298" s="5" t="n"/>
      <c r="L1298" s="5" t="n"/>
      <c r="M1298" s="5" t="n"/>
      <c r="N1298" s="5" t="n"/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/>
      <c r="X1298" s="5" t="n"/>
      <c r="Y1298" s="5" t="n"/>
      <c r="Z1298" s="5" t="n"/>
      <c r="AA1298" s="5" t="n"/>
    </row>
    <row r="1299">
      <c r="A1299" s="5" t="n"/>
      <c r="B1299" s="34" t="n"/>
      <c r="C1299" s="73" t="n"/>
      <c r="D1299" s="73" t="n"/>
      <c r="E1299" s="112" t="n"/>
      <c r="F1299" s="73" t="n"/>
      <c r="G1299" s="111" t="n"/>
      <c r="H1299" s="73" t="n"/>
      <c r="I1299" s="66" t="n"/>
      <c r="J1299" s="5" t="n"/>
      <c r="K1299" s="5" t="n"/>
      <c r="L1299" s="5" t="n"/>
      <c r="M1299" s="5" t="n"/>
      <c r="N1299" s="5" t="n"/>
      <c r="O1299" s="5" t="n"/>
      <c r="P1299" s="5" t="n"/>
      <c r="Q1299" s="5" t="n"/>
      <c r="R1299" s="5" t="n"/>
      <c r="S1299" s="5" t="n"/>
      <c r="T1299" s="5" t="n"/>
      <c r="U1299" s="5" t="n"/>
      <c r="V1299" s="5" t="n"/>
      <c r="W1299" s="5" t="n"/>
      <c r="X1299" s="5" t="n"/>
      <c r="Y1299" s="5" t="n"/>
      <c r="Z1299" s="5" t="n"/>
      <c r="AA1299" s="5" t="n"/>
    </row>
    <row r="1300">
      <c r="A1300" s="5" t="n"/>
      <c r="B1300" s="34" t="n"/>
      <c r="C1300" s="73" t="n"/>
      <c r="D1300" s="73" t="n"/>
      <c r="E1300" s="112" t="n"/>
      <c r="F1300" s="73" t="n"/>
      <c r="G1300" s="111" t="n"/>
      <c r="H1300" s="73" t="n"/>
      <c r="I1300" s="66" t="n"/>
      <c r="J1300" s="5" t="n"/>
      <c r="K1300" s="5" t="n"/>
      <c r="L1300" s="5" t="n"/>
      <c r="M1300" s="5" t="n"/>
      <c r="N1300" s="5" t="n"/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/>
      <c r="X1300" s="5" t="n"/>
      <c r="Y1300" s="5" t="n"/>
      <c r="Z1300" s="5" t="n"/>
      <c r="AA1300" s="5" t="n"/>
    </row>
    <row r="1301">
      <c r="A1301" s="5" t="n"/>
      <c r="B1301" s="34" t="n"/>
      <c r="C1301" s="73" t="n"/>
      <c r="D1301" s="73" t="n"/>
      <c r="E1301" s="112" t="n"/>
      <c r="F1301" s="73" t="n"/>
      <c r="G1301" s="111" t="n"/>
      <c r="H1301" s="73" t="n"/>
      <c r="I1301" s="66" t="n"/>
      <c r="J1301" s="5" t="n"/>
      <c r="K1301" s="5" t="n"/>
      <c r="L1301" s="5" t="n"/>
      <c r="M1301" s="5" t="n"/>
      <c r="N1301" s="5" t="n"/>
      <c r="O1301" s="5" t="n"/>
      <c r="P1301" s="5" t="n"/>
      <c r="Q1301" s="5" t="n"/>
      <c r="R1301" s="5" t="n"/>
      <c r="S1301" s="5" t="n"/>
      <c r="T1301" s="5" t="n"/>
      <c r="U1301" s="5" t="n"/>
      <c r="V1301" s="5" t="n"/>
      <c r="W1301" s="5" t="n"/>
      <c r="X1301" s="5" t="n"/>
      <c r="Y1301" s="5" t="n"/>
      <c r="Z1301" s="5" t="n"/>
      <c r="AA1301" s="5" t="n"/>
    </row>
    <row r="1302">
      <c r="A1302" s="5" t="n"/>
      <c r="B1302" s="34" t="n"/>
      <c r="C1302" s="73" t="n"/>
      <c r="D1302" s="73" t="n"/>
      <c r="E1302" s="112" t="n"/>
      <c r="F1302" s="73" t="n"/>
      <c r="G1302" s="111" t="n"/>
      <c r="H1302" s="73" t="n"/>
      <c r="I1302" s="66" t="n"/>
      <c r="J1302" s="5" t="n"/>
      <c r="K1302" s="5" t="n"/>
      <c r="L1302" s="5" t="n"/>
      <c r="M1302" s="5" t="n"/>
      <c r="N1302" s="5" t="n"/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/>
      <c r="X1302" s="5" t="n"/>
      <c r="Y1302" s="5" t="n"/>
      <c r="Z1302" s="5" t="n"/>
      <c r="AA1302" s="5" t="n"/>
    </row>
    <row r="1303">
      <c r="A1303" s="5" t="n"/>
      <c r="B1303" s="34" t="n"/>
      <c r="C1303" s="73" t="n"/>
      <c r="D1303" s="73" t="n"/>
      <c r="E1303" s="112" t="n"/>
      <c r="F1303" s="73" t="n"/>
      <c r="G1303" s="111" t="n"/>
      <c r="H1303" s="73" t="n"/>
      <c r="I1303" s="66" t="n"/>
      <c r="J1303" s="5" t="n"/>
      <c r="K1303" s="5" t="n"/>
      <c r="L1303" s="5" t="n"/>
      <c r="M1303" s="5" t="n"/>
      <c r="N1303" s="5" t="n"/>
      <c r="O1303" s="5" t="n"/>
      <c r="P1303" s="5" t="n"/>
      <c r="Q1303" s="5" t="n"/>
      <c r="R1303" s="5" t="n"/>
      <c r="S1303" s="5" t="n"/>
      <c r="T1303" s="5" t="n"/>
      <c r="U1303" s="5" t="n"/>
      <c r="V1303" s="5" t="n"/>
      <c r="W1303" s="5" t="n"/>
      <c r="X1303" s="5" t="n"/>
      <c r="Y1303" s="5" t="n"/>
      <c r="Z1303" s="5" t="n"/>
      <c r="AA1303" s="5" t="n"/>
    </row>
    <row r="1304">
      <c r="A1304" s="5" t="n"/>
      <c r="B1304" s="34" t="n"/>
      <c r="C1304" s="73" t="n"/>
      <c r="D1304" s="73" t="n"/>
      <c r="E1304" s="112" t="n"/>
      <c r="F1304" s="73" t="n"/>
      <c r="G1304" s="111" t="n"/>
      <c r="H1304" s="73" t="n"/>
      <c r="I1304" s="66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/>
      <c r="S1304" s="5" t="n"/>
      <c r="T1304" s="5" t="n"/>
      <c r="U1304" s="5" t="n"/>
      <c r="V1304" s="5" t="n"/>
      <c r="W1304" s="5" t="n"/>
      <c r="X1304" s="5" t="n"/>
      <c r="Y1304" s="5" t="n"/>
      <c r="Z1304" s="5" t="n"/>
      <c r="AA1304" s="5" t="n"/>
    </row>
    <row r="1305">
      <c r="A1305" s="5" t="n"/>
      <c r="B1305" s="34" t="n"/>
      <c r="C1305" s="73" t="n"/>
      <c r="D1305" s="73" t="n"/>
      <c r="E1305" s="112" t="n"/>
      <c r="F1305" s="73" t="n"/>
      <c r="G1305" s="111" t="n"/>
      <c r="H1305" s="73" t="n"/>
      <c r="I1305" s="66" t="n"/>
      <c r="J1305" s="5" t="n"/>
      <c r="K1305" s="5" t="n"/>
      <c r="L1305" s="5" t="n"/>
      <c r="M1305" s="5" t="n"/>
      <c r="N1305" s="5" t="n"/>
      <c r="O1305" s="5" t="n"/>
      <c r="P1305" s="5" t="n"/>
      <c r="Q1305" s="5" t="n"/>
      <c r="R1305" s="5" t="n"/>
      <c r="S1305" s="5" t="n"/>
      <c r="T1305" s="5" t="n"/>
      <c r="U1305" s="5" t="n"/>
      <c r="V1305" s="5" t="n"/>
      <c r="W1305" s="5" t="n"/>
      <c r="X1305" s="5" t="n"/>
      <c r="Y1305" s="5" t="n"/>
      <c r="Z1305" s="5" t="n"/>
      <c r="AA1305" s="5" t="n"/>
    </row>
    <row r="1306">
      <c r="A1306" s="5" t="n"/>
      <c r="B1306" s="34" t="n"/>
      <c r="C1306" s="73" t="n"/>
      <c r="D1306" s="73" t="n"/>
      <c r="E1306" s="112" t="n"/>
      <c r="F1306" s="73" t="n"/>
      <c r="G1306" s="111" t="n"/>
      <c r="H1306" s="73" t="n"/>
      <c r="I1306" s="66" t="n"/>
      <c r="J1306" s="5" t="n"/>
      <c r="K1306" s="5" t="n"/>
      <c r="L1306" s="5" t="n"/>
      <c r="M1306" s="5" t="n"/>
      <c r="N1306" s="5" t="n"/>
      <c r="O1306" s="5" t="n"/>
      <c r="P1306" s="5" t="n"/>
      <c r="Q1306" s="5" t="n"/>
      <c r="R1306" s="5" t="n"/>
      <c r="S1306" s="5" t="n"/>
      <c r="T1306" s="5" t="n"/>
      <c r="U1306" s="5" t="n"/>
      <c r="V1306" s="5" t="n"/>
      <c r="W1306" s="5" t="n"/>
      <c r="X1306" s="5" t="n"/>
      <c r="Y1306" s="5" t="n"/>
      <c r="Z1306" s="5" t="n"/>
      <c r="AA1306" s="5" t="n"/>
    </row>
    <row r="1307">
      <c r="A1307" s="5" t="n"/>
      <c r="B1307" s="34" t="n"/>
      <c r="C1307" s="73" t="n"/>
      <c r="D1307" s="73" t="n"/>
      <c r="E1307" s="112" t="n"/>
      <c r="F1307" s="73" t="n"/>
      <c r="G1307" s="111" t="n"/>
      <c r="H1307" s="73" t="n"/>
      <c r="I1307" s="66" t="n"/>
      <c r="J1307" s="5" t="n"/>
      <c r="K1307" s="5" t="n"/>
      <c r="L1307" s="5" t="n"/>
      <c r="M1307" s="5" t="n"/>
      <c r="N1307" s="5" t="n"/>
      <c r="O1307" s="5" t="n"/>
      <c r="P1307" s="5" t="n"/>
      <c r="Q1307" s="5" t="n"/>
      <c r="R1307" s="5" t="n"/>
      <c r="S1307" s="5" t="n"/>
      <c r="T1307" s="5" t="n"/>
      <c r="U1307" s="5" t="n"/>
      <c r="V1307" s="5" t="n"/>
      <c r="W1307" s="5" t="n"/>
      <c r="X1307" s="5" t="n"/>
      <c r="Y1307" s="5" t="n"/>
      <c r="Z1307" s="5" t="n"/>
      <c r="AA1307" s="5" t="n"/>
    </row>
    <row r="1308">
      <c r="A1308" s="5" t="n"/>
      <c r="B1308" s="34" t="n"/>
      <c r="C1308" s="73" t="n"/>
      <c r="D1308" s="73" t="n"/>
      <c r="E1308" s="112" t="n"/>
      <c r="F1308" s="73" t="n"/>
      <c r="G1308" s="111" t="n"/>
      <c r="H1308" s="73" t="n"/>
      <c r="I1308" s="66" t="n"/>
      <c r="J1308" s="5" t="n"/>
      <c r="K1308" s="5" t="n"/>
      <c r="L1308" s="5" t="n"/>
      <c r="M1308" s="5" t="n"/>
      <c r="N1308" s="5" t="n"/>
      <c r="O1308" s="5" t="n"/>
      <c r="P1308" s="5" t="n"/>
      <c r="Q1308" s="5" t="n"/>
      <c r="R1308" s="5" t="n"/>
      <c r="S1308" s="5" t="n"/>
      <c r="T1308" s="5" t="n"/>
      <c r="U1308" s="5" t="n"/>
      <c r="V1308" s="5" t="n"/>
      <c r="W1308" s="5" t="n"/>
      <c r="X1308" s="5" t="n"/>
      <c r="Y1308" s="5" t="n"/>
      <c r="Z1308" s="5" t="n"/>
      <c r="AA1308" s="5" t="n"/>
    </row>
    <row r="1309">
      <c r="A1309" s="5" t="n"/>
      <c r="B1309" s="34" t="n"/>
      <c r="C1309" s="73" t="n"/>
      <c r="D1309" s="73" t="n"/>
      <c r="E1309" s="112" t="n"/>
      <c r="F1309" s="73" t="n"/>
      <c r="G1309" s="111" t="n"/>
      <c r="H1309" s="73" t="n"/>
      <c r="I1309" s="66" t="n"/>
      <c r="J1309" s="5" t="n"/>
      <c r="K1309" s="5" t="n"/>
      <c r="L1309" s="5" t="n"/>
      <c r="M1309" s="5" t="n"/>
      <c r="N1309" s="5" t="n"/>
      <c r="O1309" s="5" t="n"/>
      <c r="P1309" s="5" t="n"/>
      <c r="Q1309" s="5" t="n"/>
      <c r="R1309" s="5" t="n"/>
      <c r="S1309" s="5" t="n"/>
      <c r="T1309" s="5" t="n"/>
      <c r="U1309" s="5" t="n"/>
      <c r="V1309" s="5" t="n"/>
      <c r="W1309" s="5" t="n"/>
      <c r="X1309" s="5" t="n"/>
      <c r="Y1309" s="5" t="n"/>
      <c r="Z1309" s="5" t="n"/>
      <c r="AA1309" s="5" t="n"/>
    </row>
    <row r="1310">
      <c r="A1310" s="5" t="n"/>
      <c r="B1310" s="34" t="n"/>
      <c r="C1310" s="73" t="n"/>
      <c r="D1310" s="73" t="n"/>
      <c r="E1310" s="112" t="n"/>
      <c r="F1310" s="73" t="n"/>
      <c r="G1310" s="111" t="n"/>
      <c r="H1310" s="73" t="n"/>
      <c r="I1310" s="66" t="n"/>
      <c r="J1310" s="5" t="n"/>
      <c r="K1310" s="5" t="n"/>
      <c r="L1310" s="5" t="n"/>
      <c r="M1310" s="5" t="n"/>
      <c r="N1310" s="5" t="n"/>
      <c r="O1310" s="5" t="n"/>
      <c r="P1310" s="5" t="n"/>
      <c r="Q1310" s="5" t="n"/>
      <c r="R1310" s="5" t="n"/>
      <c r="S1310" s="5" t="n"/>
      <c r="T1310" s="5" t="n"/>
      <c r="U1310" s="5" t="n"/>
      <c r="V1310" s="5" t="n"/>
      <c r="W1310" s="5" t="n"/>
      <c r="X1310" s="5" t="n"/>
      <c r="Y1310" s="5" t="n"/>
      <c r="Z1310" s="5" t="n"/>
      <c r="AA1310" s="5" t="n"/>
    </row>
    <row r="1311">
      <c r="A1311" s="5" t="n"/>
      <c r="B1311" s="34" t="n"/>
      <c r="C1311" s="73" t="n"/>
      <c r="D1311" s="73" t="n"/>
      <c r="E1311" s="112" t="n"/>
      <c r="F1311" s="73" t="n"/>
      <c r="G1311" s="111" t="n"/>
      <c r="H1311" s="73" t="n"/>
      <c r="I1311" s="66" t="n"/>
      <c r="J1311" s="5" t="n"/>
      <c r="K1311" s="5" t="n"/>
      <c r="L1311" s="5" t="n"/>
      <c r="M1311" s="5" t="n"/>
      <c r="N1311" s="5" t="n"/>
      <c r="O1311" s="5" t="n"/>
      <c r="P1311" s="5" t="n"/>
      <c r="Q1311" s="5" t="n"/>
      <c r="R1311" s="5" t="n"/>
      <c r="S1311" s="5" t="n"/>
      <c r="T1311" s="5" t="n"/>
      <c r="U1311" s="5" t="n"/>
      <c r="V1311" s="5" t="n"/>
      <c r="W1311" s="5" t="n"/>
      <c r="X1311" s="5" t="n"/>
      <c r="Y1311" s="5" t="n"/>
      <c r="Z1311" s="5" t="n"/>
      <c r="AA1311" s="5" t="n"/>
    </row>
    <row r="1312">
      <c r="A1312" s="5" t="n"/>
      <c r="B1312" s="34" t="n"/>
      <c r="C1312" s="73" t="n"/>
      <c r="D1312" s="73" t="n"/>
      <c r="E1312" s="112" t="n"/>
      <c r="F1312" s="73" t="n"/>
      <c r="G1312" s="111" t="n"/>
      <c r="H1312" s="73" t="n"/>
      <c r="I1312" s="66" t="n"/>
      <c r="J1312" s="5" t="n"/>
      <c r="K1312" s="5" t="n"/>
      <c r="L1312" s="5" t="n"/>
      <c r="M1312" s="5" t="n"/>
      <c r="N1312" s="5" t="n"/>
      <c r="O1312" s="5" t="n"/>
      <c r="P1312" s="5" t="n"/>
      <c r="Q1312" s="5" t="n"/>
      <c r="R1312" s="5" t="n"/>
      <c r="S1312" s="5" t="n"/>
      <c r="T1312" s="5" t="n"/>
      <c r="U1312" s="5" t="n"/>
      <c r="V1312" s="5" t="n"/>
      <c r="W1312" s="5" t="n"/>
      <c r="X1312" s="5" t="n"/>
      <c r="Y1312" s="5" t="n"/>
      <c r="Z1312" s="5" t="n"/>
      <c r="AA1312" s="5" t="n"/>
    </row>
    <row r="1313">
      <c r="A1313" s="5" t="n"/>
      <c r="B1313" s="34" t="n"/>
      <c r="C1313" s="73" t="n"/>
      <c r="D1313" s="73" t="n"/>
      <c r="E1313" s="112" t="n"/>
      <c r="F1313" s="73" t="n"/>
      <c r="G1313" s="111">
        <f>E1313+F1313</f>
        <v/>
      </c>
      <c r="H1313" s="73" t="inlineStr">
        <is>
          <t>К оплате</t>
        </is>
      </c>
      <c r="I1313" s="66" t="inlineStr">
        <is>
          <t>Ок</t>
        </is>
      </c>
      <c r="J1313" s="5" t="n"/>
      <c r="K1313" s="5" t="n"/>
      <c r="L1313" s="5" t="n"/>
      <c r="M1313" s="5" t="n"/>
      <c r="N1313" s="5" t="n"/>
      <c r="O1313" s="5" t="n"/>
      <c r="P1313" s="5" t="n"/>
      <c r="Q1313" s="5" t="n"/>
      <c r="R1313" s="5" t="n"/>
      <c r="S1313" s="5" t="n"/>
      <c r="T1313" s="5" t="n"/>
      <c r="U1313" s="5" t="n"/>
      <c r="V1313" s="5" t="n"/>
      <c r="W1313" s="5" t="n"/>
      <c r="X1313" s="5" t="n"/>
      <c r="Y1313" s="5" t="n"/>
      <c r="Z1313" s="5" t="n"/>
      <c r="AA1313" s="5" t="n"/>
    </row>
    <row r="1314">
      <c r="A1314" s="5" t="n"/>
      <c r="B1314" s="34" t="n"/>
      <c r="C1314" s="73" t="n"/>
      <c r="D1314" s="73" t="n"/>
      <c r="E1314" s="112" t="n"/>
      <c r="F1314" s="73" t="n"/>
      <c r="G1314" s="111">
        <f>E1314+F1314</f>
        <v/>
      </c>
      <c r="H1314" s="73" t="inlineStr">
        <is>
          <t>К оплате</t>
        </is>
      </c>
      <c r="I1314" s="66" t="inlineStr">
        <is>
          <t>Ок</t>
        </is>
      </c>
      <c r="J1314" s="5" t="n"/>
      <c r="K1314" s="5" t="n"/>
      <c r="L1314" s="5" t="n"/>
      <c r="M1314" s="5" t="n"/>
      <c r="N1314" s="5" t="n"/>
      <c r="O1314" s="5" t="n"/>
      <c r="P1314" s="5" t="n"/>
      <c r="Q1314" s="5" t="n"/>
      <c r="R1314" s="5" t="n"/>
      <c r="S1314" s="5" t="n"/>
      <c r="T1314" s="5" t="n"/>
      <c r="U1314" s="5" t="n"/>
      <c r="V1314" s="5" t="n"/>
      <c r="W1314" s="5" t="n"/>
      <c r="X1314" s="5" t="n"/>
      <c r="Y1314" s="5" t="n"/>
      <c r="Z1314" s="5" t="n"/>
      <c r="AA1314" s="5" t="n"/>
    </row>
  </sheetData>
  <conditionalFormatting sqref="I1:I1314">
    <cfRule type="notContainsBlanks" priority="1" dxfId="0">
      <formula>LEN(TRIM(I1))&gt;0</formula>
    </cfRule>
  </conditionalFormatting>
  <dataValidations count="2">
    <dataValidation sqref="I9:I1314" showDropDown="0" showInputMessage="0" showErrorMessage="1" allowBlank="1" type="list">
      <formula1>"Ок,не согалсовано"</formula1>
    </dataValidation>
    <dataValidation sqref="H9:H474 H476:H520 H522:H1314" showDropDown="0" showInputMessage="0" showErrorMessage="1" allowBlank="1" type="list">
      <formula1>"К оплате,Выплачено,Отложено,Приоритет к оплате"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992"/>
  <sheetViews>
    <sheetView workbookViewId="0">
      <selection activeCell="A1" sqref="A1"/>
    </sheetView>
  </sheetViews>
  <sheetFormatPr baseColWidth="8" defaultColWidth="12.6640625" defaultRowHeight="15.75" customHeight="1"/>
  <cols>
    <col width="12.21875" customWidth="1" style="1127" min="1" max="1"/>
    <col width="19.44140625" customWidth="1" style="1127" min="2" max="2"/>
    <col width="23.6640625" customWidth="1" style="1127" min="4" max="4"/>
    <col width="16.88671875" customWidth="1" style="1127" min="5" max="5"/>
    <col width="15.21875" customWidth="1" style="1127" min="6" max="6"/>
    <col width="16.44140625" customWidth="1" style="1127" min="7" max="7"/>
    <col width="17.33203125" customWidth="1" style="1127" min="8" max="8"/>
    <col width="21" customWidth="1" style="1127" min="9" max="9"/>
    <col width="41.6640625" customWidth="1" style="1127" min="10" max="10"/>
  </cols>
  <sheetData>
    <row r="1" ht="47.25" customHeight="1" s="1127">
      <c r="A1" s="166" t="inlineStr">
        <is>
          <t>Контакт ведущего менеджера по банку (ИМЯ, телефон)</t>
        </is>
      </c>
      <c r="B1" s="167" t="inlineStr">
        <is>
          <t>Наименование ТОО/ИП</t>
        </is>
      </c>
      <c r="C1" s="167" t="inlineStr">
        <is>
          <t>Банк</t>
        </is>
      </c>
      <c r="D1" s="167" t="inlineStr">
        <is>
          <t>Подписант</t>
        </is>
      </c>
      <c r="E1" s="167" t="inlineStr">
        <is>
          <t>Механика подписания</t>
        </is>
      </c>
      <c r="F1" s="167" t="inlineStr">
        <is>
          <t>Владелец счёта</t>
        </is>
      </c>
      <c r="G1" s="167" t="inlineStr">
        <is>
          <t>Директор</t>
        </is>
      </c>
      <c r="H1" s="167" t="inlineStr">
        <is>
          <t>На кого есть доверенность</t>
        </is>
      </c>
      <c r="I1" s="167" t="inlineStr">
        <is>
          <t>Доступ Бух просмотра и выставления счетов</t>
        </is>
      </c>
      <c r="J1" s="168" t="inlineStr">
        <is>
          <t>Комментарии</t>
        </is>
      </c>
    </row>
    <row r="2" ht="52.8" customHeight="1" s="1127">
      <c r="A2" s="169" t="n">
        <v>2323</v>
      </c>
      <c r="B2" s="170" t="inlineStr">
        <is>
          <t xml:space="preserve">ТОО "Фуд завод" </t>
        </is>
      </c>
      <c r="C2" s="68" t="inlineStr">
        <is>
          <t xml:space="preserve">Каспи </t>
        </is>
      </c>
      <c r="D2" s="171" t="inlineStr">
        <is>
          <t>Ольга и Олеся</t>
        </is>
      </c>
      <c r="E2" s="68" t="inlineStr">
        <is>
          <t>on-line, приложение</t>
        </is>
      </c>
      <c r="F2" s="68" t="inlineStr">
        <is>
          <t>Эрик Цой</t>
        </is>
      </c>
      <c r="G2" s="68" t="inlineStr">
        <is>
          <t>Эрик Цой</t>
        </is>
      </c>
      <c r="H2" s="171" t="inlineStr">
        <is>
          <t>Олеся</t>
        </is>
      </c>
      <c r="I2" s="184" t="inlineStr">
        <is>
          <t>Бухгалтерия предприятия, открывает доступ Ольга</t>
        </is>
      </c>
      <c r="J2" s="173" t="inlineStr">
        <is>
          <t>снятие Акерке, создание платежей Я и Акерке</t>
        </is>
      </c>
    </row>
    <row r="3" ht="52.8" customHeight="1" s="1127">
      <c r="A3" s="169" t="inlineStr">
        <is>
          <t xml:space="preserve">Эльвира, 8-705-182-05-05 </t>
        </is>
      </c>
      <c r="B3" s="170" t="inlineStr">
        <is>
          <t xml:space="preserve">ТОО "Фуд завод" </t>
        </is>
      </c>
      <c r="C3" s="68" t="inlineStr">
        <is>
          <t>Жусан</t>
        </is>
      </c>
      <c r="D3" s="171" t="inlineStr">
        <is>
          <t>Ольга и Олеся</t>
        </is>
      </c>
      <c r="E3" s="68" t="inlineStr">
        <is>
          <t>on-line</t>
        </is>
      </c>
      <c r="F3" s="68" t="inlineStr">
        <is>
          <t>Эрик Цой</t>
        </is>
      </c>
      <c r="G3" s="68" t="inlineStr">
        <is>
          <t>Эрик Цой</t>
        </is>
      </c>
      <c r="H3" s="171" t="inlineStr">
        <is>
          <t>Олеся</t>
        </is>
      </c>
      <c r="I3" s="184" t="inlineStr">
        <is>
          <t>Бухгалтерия предприятия, открывает доступ Ольга</t>
        </is>
      </c>
      <c r="J3" s="173" t="inlineStr">
        <is>
          <t>создает платежки зарплатный бухгалтер через этот  счет оплачивает исполнительный лист</t>
        </is>
      </c>
    </row>
    <row r="4" ht="70.5" customHeight="1" s="1127">
      <c r="A4" s="169" t="inlineStr">
        <is>
          <t>Лия, 8-775-133-21-96</t>
        </is>
      </c>
      <c r="B4" s="170" t="inlineStr">
        <is>
          <t xml:space="preserve">ТОО "Фуд завод" </t>
        </is>
      </c>
      <c r="C4" s="68" t="inlineStr">
        <is>
          <t>РБК</t>
        </is>
      </c>
      <c r="D4" s="171" t="inlineStr">
        <is>
          <t>Ольга и Олеся</t>
        </is>
      </c>
      <c r="E4" s="184" t="inlineStr">
        <is>
          <t>on-line, через ОТП ключ, ключ у Акерке. Вход чепрез логин и пароль на сайт банка. эцп?</t>
        </is>
      </c>
      <c r="F4" s="68" t="inlineStr">
        <is>
          <t>Эрик Цой</t>
        </is>
      </c>
      <c r="G4" s="68" t="inlineStr">
        <is>
          <t>Эрик Цой</t>
        </is>
      </c>
      <c r="H4" s="171" t="inlineStr">
        <is>
          <t>Олеся</t>
        </is>
      </c>
      <c r="I4" s="184" t="inlineStr">
        <is>
          <t>Бухгалтерия предприятия, открывает доступ Ольга</t>
        </is>
      </c>
      <c r="J4" s="173" t="inlineStr">
        <is>
          <t xml:space="preserve"> Акерке на создание и снятие через пароль и ключ ОТП</t>
        </is>
      </c>
    </row>
    <row r="5" ht="52.8" customHeight="1" s="1127">
      <c r="A5" s="174" t="inlineStr">
        <is>
          <t>риск</t>
        </is>
      </c>
      <c r="B5" s="175" t="inlineStr">
        <is>
          <t>ИП Айдана                  (ТОО "Фуд завод")</t>
        </is>
      </c>
      <c r="C5" s="176" t="inlineStr">
        <is>
          <t xml:space="preserve">Каспи </t>
        </is>
      </c>
      <c r="D5" s="177" t="inlineStr">
        <is>
          <t>Ольга и Олеся</t>
        </is>
      </c>
      <c r="E5" s="176" t="inlineStr">
        <is>
          <t>on-line</t>
        </is>
      </c>
      <c r="F5" s="176" t="inlineStr">
        <is>
          <t>Айдана</t>
        </is>
      </c>
      <c r="G5" s="176" t="inlineStr">
        <is>
          <t>Айдана</t>
        </is>
      </c>
      <c r="H5" s="177" t="inlineStr">
        <is>
          <t>Айдана и Акерке</t>
        </is>
      </c>
      <c r="I5" s="178" t="inlineStr">
        <is>
          <t>Бухгалтерия предприятия, открывает доступ Ольга</t>
        </is>
      </c>
      <c r="J5" s="179" t="inlineStr">
        <is>
          <t xml:space="preserve">создает Акерке </t>
        </is>
      </c>
    </row>
    <row r="6" ht="13.2" customHeight="1" s="1127">
      <c r="A6" s="174" t="inlineStr">
        <is>
          <t>риск</t>
        </is>
      </c>
      <c r="B6" s="180" t="inlineStr">
        <is>
          <t>ИП Сапакова (КБ)</t>
        </is>
      </c>
      <c r="C6" s="181" t="inlineStr">
        <is>
          <t>Каспи</t>
        </is>
      </c>
      <c r="D6" s="181" t="inlineStr">
        <is>
          <t>Айдана</t>
        </is>
      </c>
      <c r="E6" s="181" t="inlineStr">
        <is>
          <t>on-line</t>
        </is>
      </c>
      <c r="F6" s="181" t="inlineStr">
        <is>
          <t xml:space="preserve">Айгерим </t>
        </is>
      </c>
      <c r="G6" s="181" t="n"/>
      <c r="H6" s="181" t="inlineStr">
        <is>
          <t>Айдана</t>
        </is>
      </c>
      <c r="I6" s="181" t="n"/>
      <c r="J6" s="182" t="inlineStr">
        <is>
          <t>создает Акерке</t>
        </is>
      </c>
    </row>
    <row r="7" ht="39.6" customHeight="1" s="1127">
      <c r="A7" s="174" t="inlineStr">
        <is>
          <t>риск</t>
        </is>
      </c>
      <c r="B7" s="183" t="inlineStr">
        <is>
          <t>ИП Сапакова (КБ)</t>
        </is>
      </c>
      <c r="C7" s="68" t="inlineStr">
        <is>
          <t xml:space="preserve">Нур Банк </t>
        </is>
      </c>
      <c r="D7" s="68" t="inlineStr">
        <is>
          <t>Айдана</t>
        </is>
      </c>
      <c r="E7" s="68" t="inlineStr">
        <is>
          <t>on-line</t>
        </is>
      </c>
      <c r="F7" s="68" t="inlineStr">
        <is>
          <t xml:space="preserve">Айгерим </t>
        </is>
      </c>
      <c r="G7" s="68" t="n"/>
      <c r="H7" s="68" t="inlineStr">
        <is>
          <t>Айдана</t>
        </is>
      </c>
      <c r="I7" s="68" t="n"/>
      <c r="J7" s="184" t="inlineStr">
        <is>
          <t>ключи достпупа есть у нас в бухгалтерии вместе в ключом от подписи, может просматривать Юрий</t>
        </is>
      </c>
    </row>
    <row r="8" ht="16.5" customHeight="1" s="1127">
      <c r="A8" s="174" t="inlineStr">
        <is>
          <t>риск</t>
        </is>
      </c>
      <c r="B8" s="183" t="inlineStr">
        <is>
          <t>ТОО Армидейл</t>
        </is>
      </c>
      <c r="C8" s="68" t="inlineStr">
        <is>
          <t xml:space="preserve">Каспи </t>
        </is>
      </c>
      <c r="D8" s="68" t="inlineStr">
        <is>
          <t>Айдана+Акерке (до 01.06.26)</t>
        </is>
      </c>
      <c r="E8" s="68" t="inlineStr">
        <is>
          <t>on-line</t>
        </is>
      </c>
      <c r="F8" s="68" t="inlineStr">
        <is>
          <t>Армен</t>
        </is>
      </c>
      <c r="G8" s="68" t="n"/>
      <c r="H8" s="68" t="inlineStr">
        <is>
          <t>Акерке, Айдана</t>
        </is>
      </c>
      <c r="I8" s="68" t="n"/>
      <c r="J8" s="184" t="inlineStr">
        <is>
          <t>Акерке создает платежи  и снимает деньги</t>
        </is>
      </c>
    </row>
    <row r="9" ht="26.4" customHeight="1" s="1127">
      <c r="A9" s="174" t="inlineStr">
        <is>
          <t>риск</t>
        </is>
      </c>
      <c r="B9" s="183" t="inlineStr">
        <is>
          <t>ТОО На районе Crave (Жетысу)</t>
        </is>
      </c>
      <c r="C9" s="68" t="inlineStr">
        <is>
          <t>Каспи</t>
        </is>
      </c>
      <c r="D9" s="68" t="inlineStr">
        <is>
          <t>Айдана</t>
        </is>
      </c>
      <c r="E9" s="68" t="inlineStr">
        <is>
          <t>on-line</t>
        </is>
      </c>
      <c r="F9" s="68" t="inlineStr">
        <is>
          <t>Артём</t>
        </is>
      </c>
      <c r="G9" s="68" t="n"/>
      <c r="H9" s="68" t="inlineStr">
        <is>
          <t>Айдана, Акерке</t>
        </is>
      </c>
      <c r="I9" s="68" t="n"/>
      <c r="J9" s="184" t="inlineStr">
        <is>
          <t>Акерке создает платежи  и снимает деньги</t>
        </is>
      </c>
    </row>
    <row r="10" ht="52.8" customHeight="1" s="1127">
      <c r="A10" s="184" t="n"/>
      <c r="B10" s="170" t="inlineStr">
        <is>
          <t>ТОО Кристалфрайз</t>
        </is>
      </c>
      <c r="C10" s="68" t="inlineStr">
        <is>
          <t>Каспи</t>
        </is>
      </c>
      <c r="D10" s="171" t="inlineStr">
        <is>
          <t>Ольга и Олеся</t>
        </is>
      </c>
      <c r="E10" s="68" t="inlineStr">
        <is>
          <t>on-line</t>
        </is>
      </c>
      <c r="F10" s="171" t="inlineStr">
        <is>
          <t>Малышев С</t>
        </is>
      </c>
      <c r="G10" s="171" t="inlineStr">
        <is>
          <t>Малышев С</t>
        </is>
      </c>
      <c r="H10" s="171" t="inlineStr">
        <is>
          <t>Ольга и Олеся</t>
        </is>
      </c>
      <c r="I10" s="184" t="inlineStr">
        <is>
          <t>Бухгалтерия предприятия, открывает доступ Ольга</t>
        </is>
      </c>
      <c r="J10" s="183" t="inlineStr">
        <is>
          <t>создает и подписывает Айгерим Сапакова</t>
        </is>
      </c>
    </row>
    <row r="11" ht="26.4" customHeight="1" s="1127">
      <c r="A11" s="184" t="n"/>
      <c r="B11" s="170" t="inlineStr">
        <is>
          <t xml:space="preserve">ТОО "Фуд завод Астана" </t>
        </is>
      </c>
      <c r="C11" s="68" t="inlineStr">
        <is>
          <t>Каспий</t>
        </is>
      </c>
      <c r="D11" s="68" t="inlineStr">
        <is>
          <t>Олеся</t>
        </is>
      </c>
      <c r="E11" s="68" t="inlineStr">
        <is>
          <t>on-line</t>
        </is>
      </c>
      <c r="F11" s="171" t="inlineStr">
        <is>
          <t>Олеся Сергеевна</t>
        </is>
      </c>
      <c r="G11" s="171" t="inlineStr">
        <is>
          <t>Олеся Сергеевна</t>
        </is>
      </c>
      <c r="H11" s="68" t="inlineStr">
        <is>
          <t>-</t>
        </is>
      </c>
      <c r="I11" s="68" t="n"/>
      <c r="J11" s="184" t="n"/>
    </row>
    <row r="12" ht="26.4" customHeight="1" s="1127">
      <c r="A12" s="184" t="n"/>
      <c r="B12" s="170" t="inlineStr">
        <is>
          <t xml:space="preserve">ТОО "Фуд завод Астана" </t>
        </is>
      </c>
      <c r="C12" s="68" t="inlineStr">
        <is>
          <t>БЦК</t>
        </is>
      </c>
      <c r="D12" s="68" t="inlineStr">
        <is>
          <t>Олеся</t>
        </is>
      </c>
      <c r="E12" s="68" t="inlineStr">
        <is>
          <t>on-line</t>
        </is>
      </c>
      <c r="F12" s="171" t="inlineStr">
        <is>
          <t>Олеся Сергеевна</t>
        </is>
      </c>
      <c r="G12" s="171" t="inlineStr">
        <is>
          <t>Олеся Сергеевна</t>
        </is>
      </c>
      <c r="H12" s="68" t="inlineStr">
        <is>
          <t>-</t>
        </is>
      </c>
      <c r="I12" s="68" t="n"/>
      <c r="J12" s="184" t="n"/>
    </row>
    <row r="13" ht="26.4" customHeight="1" s="1127">
      <c r="A13" s="184" t="n"/>
      <c r="B13" s="170" t="inlineStr">
        <is>
          <t xml:space="preserve">ТОО "Фуд завод Астана" </t>
        </is>
      </c>
      <c r="C13" s="68" t="inlineStr">
        <is>
          <t>Форте</t>
        </is>
      </c>
      <c r="D13" s="68" t="inlineStr">
        <is>
          <t>Олеся</t>
        </is>
      </c>
      <c r="E13" s="68" t="inlineStr">
        <is>
          <t>on-line</t>
        </is>
      </c>
      <c r="F13" s="171" t="inlineStr">
        <is>
          <t>Олеся Сергеевна</t>
        </is>
      </c>
      <c r="G13" s="171" t="inlineStr">
        <is>
          <t>Олеся Сергеевна</t>
        </is>
      </c>
      <c r="H13" s="68" t="inlineStr">
        <is>
          <t>-</t>
        </is>
      </c>
      <c r="I13" s="68" t="n"/>
      <c r="J13" s="184" t="inlineStr">
        <is>
          <t>надо организовтаь доступ к форте онлайн</t>
        </is>
      </c>
    </row>
    <row r="14" ht="26.4" customHeight="1" s="1127">
      <c r="A14" s="184" t="n"/>
      <c r="B14" s="170" t="inlineStr">
        <is>
          <t xml:space="preserve">ТОО "Фуд завод Астана" </t>
        </is>
      </c>
      <c r="C14" s="68" t="inlineStr">
        <is>
          <t xml:space="preserve">Фридом </t>
        </is>
      </c>
      <c r="D14" s="68" t="inlineStr">
        <is>
          <t>Олеся</t>
        </is>
      </c>
      <c r="E14" s="68" t="n"/>
      <c r="F14" s="68" t="n"/>
      <c r="G14" s="68" t="n"/>
      <c r="H14" s="68" t="n"/>
      <c r="I14" s="68" t="n"/>
      <c r="J14" s="184" t="n"/>
    </row>
    <row r="15" ht="13.2" customHeight="1" s="1127">
      <c r="A15" s="194" t="n"/>
      <c r="B15" s="194" t="n"/>
      <c r="J15" s="194" t="n"/>
    </row>
    <row r="16" ht="13.2" customHeight="1" s="1127">
      <c r="A16" s="194" t="n"/>
      <c r="B16" s="194" t="n"/>
      <c r="J16" s="194" t="n"/>
    </row>
    <row r="17" ht="13.2" customHeight="1" s="1127">
      <c r="A17" s="194" t="n"/>
      <c r="B17" s="194" t="n"/>
      <c r="J17" s="194" t="n"/>
    </row>
    <row r="18" ht="13.2" customHeight="1" s="1127">
      <c r="A18" s="194" t="n"/>
      <c r="B18" s="194" t="n"/>
      <c r="J18" s="194" t="n"/>
    </row>
    <row r="19" ht="13.2" customHeight="1" s="1127">
      <c r="A19" s="194" t="n"/>
      <c r="B19" s="194" t="n"/>
      <c r="J19" s="194" t="n"/>
    </row>
    <row r="20" ht="13.2" customHeight="1" s="1127">
      <c r="A20" s="194" t="n"/>
      <c r="B20" s="194" t="n"/>
      <c r="J20" s="194" t="n"/>
    </row>
    <row r="21" ht="13.2" customHeight="1" s="1127">
      <c r="A21" s="194" t="n"/>
      <c r="B21" s="194" t="n"/>
      <c r="J21" s="194" t="n"/>
    </row>
    <row r="22" ht="13.2" customHeight="1" s="1127">
      <c r="A22" s="194" t="n"/>
      <c r="B22" s="194" t="n"/>
      <c r="J22" s="194" t="n"/>
    </row>
    <row r="23" ht="13.2" customHeight="1" s="1127">
      <c r="A23" s="194" t="n"/>
      <c r="B23" s="194" t="n"/>
      <c r="J23" s="194" t="n"/>
    </row>
    <row r="24" ht="13.2" customHeight="1" s="1127">
      <c r="A24" s="194" t="n"/>
      <c r="B24" s="194" t="n"/>
      <c r="J24" s="194" t="n"/>
    </row>
    <row r="25" ht="13.2" customHeight="1" s="1127">
      <c r="A25" s="194" t="n"/>
      <c r="B25" s="194" t="n"/>
      <c r="J25" s="194" t="n"/>
    </row>
    <row r="26" ht="13.2" customHeight="1" s="1127">
      <c r="A26" s="194" t="n"/>
      <c r="B26" s="194" t="n"/>
      <c r="J26" s="194" t="n"/>
    </row>
    <row r="27" ht="13.2" customHeight="1" s="1127">
      <c r="A27" s="194" t="n"/>
      <c r="B27" s="194" t="n"/>
      <c r="J27" s="194" t="n"/>
    </row>
    <row r="28" ht="13.2" customHeight="1" s="1127">
      <c r="A28" s="194" t="n"/>
      <c r="B28" s="194" t="n"/>
      <c r="J28" s="194" t="n"/>
    </row>
    <row r="29" ht="13.2" customHeight="1" s="1127">
      <c r="A29" s="194" t="n"/>
      <c r="B29" s="194" t="n"/>
      <c r="J29" s="194" t="n"/>
    </row>
    <row r="30" ht="13.2" customHeight="1" s="1127">
      <c r="A30" s="194" t="n"/>
      <c r="B30" s="194" t="n"/>
      <c r="J30" s="194" t="n"/>
    </row>
    <row r="31" ht="13.2" customHeight="1" s="1127">
      <c r="A31" s="194" t="n"/>
      <c r="B31" s="194" t="n"/>
      <c r="J31" s="194" t="n"/>
    </row>
    <row r="32" ht="13.2" customHeight="1" s="1127">
      <c r="A32" s="194" t="n"/>
      <c r="B32" s="194" t="n"/>
      <c r="J32" s="194" t="n"/>
    </row>
    <row r="33" ht="13.2" customHeight="1" s="1127">
      <c r="A33" s="194" t="n"/>
      <c r="B33" s="194" t="n"/>
      <c r="J33" s="194" t="n"/>
    </row>
    <row r="34" ht="13.2" customHeight="1" s="1127">
      <c r="A34" s="194" t="n"/>
      <c r="B34" s="194" t="n"/>
      <c r="J34" s="194" t="n"/>
    </row>
    <row r="35" ht="13.2" customHeight="1" s="1127">
      <c r="A35" s="194" t="n"/>
      <c r="B35" s="194" t="n"/>
      <c r="J35" s="194" t="n"/>
    </row>
    <row r="36" ht="13.2" customHeight="1" s="1127">
      <c r="A36" s="194" t="n"/>
      <c r="B36" s="194" t="n"/>
      <c r="J36" s="194" t="n"/>
    </row>
    <row r="37" ht="13.2" customHeight="1" s="1127">
      <c r="A37" s="194" t="n"/>
      <c r="B37" s="194" t="n"/>
      <c r="J37" s="194" t="n"/>
    </row>
    <row r="38" ht="13.2" customHeight="1" s="1127">
      <c r="A38" s="194" t="n"/>
      <c r="B38" s="194" t="n"/>
      <c r="J38" s="194" t="n"/>
    </row>
    <row r="39" ht="13.2" customHeight="1" s="1127">
      <c r="A39" s="194" t="n"/>
      <c r="B39" s="194" t="n"/>
      <c r="J39" s="194" t="n"/>
    </row>
    <row r="40" ht="13.2" customHeight="1" s="1127">
      <c r="A40" s="194" t="n"/>
      <c r="B40" s="194" t="n"/>
      <c r="J40" s="194" t="n"/>
    </row>
    <row r="41" ht="13.2" customHeight="1" s="1127">
      <c r="A41" s="194" t="n"/>
      <c r="B41" s="194" t="n"/>
      <c r="J41" s="194" t="n"/>
    </row>
    <row r="42" ht="13.2" customHeight="1" s="1127">
      <c r="A42" s="194" t="n"/>
      <c r="B42" s="194" t="n"/>
      <c r="J42" s="194" t="n"/>
    </row>
    <row r="43" ht="13.2" customHeight="1" s="1127">
      <c r="A43" s="194" t="n"/>
      <c r="B43" s="194" t="n"/>
      <c r="J43" s="194" t="n"/>
    </row>
    <row r="44" ht="13.2" customHeight="1" s="1127">
      <c r="A44" s="194" t="n"/>
      <c r="B44" s="194" t="n"/>
      <c r="J44" s="194" t="n"/>
    </row>
    <row r="45" ht="13.2" customHeight="1" s="1127">
      <c r="A45" s="194" t="n"/>
      <c r="B45" s="194" t="n"/>
      <c r="J45" s="194" t="n"/>
    </row>
    <row r="46" ht="13.2" customHeight="1" s="1127">
      <c r="A46" s="194" t="n"/>
      <c r="B46" s="194" t="n"/>
      <c r="J46" s="194" t="n"/>
    </row>
    <row r="47" ht="13.2" customHeight="1" s="1127">
      <c r="A47" s="194" t="n"/>
      <c r="B47" s="194" t="n"/>
      <c r="J47" s="194" t="n"/>
    </row>
    <row r="48" ht="13.2" customHeight="1" s="1127">
      <c r="A48" s="194" t="n"/>
      <c r="B48" s="194" t="n"/>
      <c r="J48" s="194" t="n"/>
    </row>
    <row r="49" ht="13.2" customHeight="1" s="1127">
      <c r="A49" s="194" t="n"/>
      <c r="B49" s="194" t="n"/>
      <c r="J49" s="194" t="n"/>
    </row>
    <row r="50" ht="13.2" customHeight="1" s="1127">
      <c r="A50" s="194" t="n"/>
      <c r="B50" s="194" t="n"/>
      <c r="J50" s="194" t="n"/>
    </row>
    <row r="51" ht="13.2" customHeight="1" s="1127">
      <c r="A51" s="194" t="n"/>
      <c r="B51" s="194" t="n"/>
      <c r="J51" s="194" t="n"/>
    </row>
    <row r="52" ht="13.2" customHeight="1" s="1127">
      <c r="A52" s="194" t="n"/>
      <c r="B52" s="194" t="n"/>
      <c r="J52" s="194" t="n"/>
    </row>
    <row r="53" ht="13.2" customHeight="1" s="1127">
      <c r="A53" s="194" t="n"/>
      <c r="B53" s="194" t="n"/>
      <c r="J53" s="194" t="n"/>
    </row>
    <row r="54" ht="13.2" customHeight="1" s="1127">
      <c r="A54" s="194" t="n"/>
      <c r="B54" s="194" t="n"/>
      <c r="J54" s="194" t="n"/>
    </row>
    <row r="55" ht="13.2" customHeight="1" s="1127">
      <c r="A55" s="194" t="n"/>
      <c r="B55" s="194" t="n"/>
      <c r="J55" s="194" t="n"/>
    </row>
    <row r="56" ht="13.2" customHeight="1" s="1127">
      <c r="A56" s="194" t="n"/>
      <c r="B56" s="194" t="n"/>
      <c r="J56" s="194" t="n"/>
    </row>
    <row r="57" ht="13.2" customHeight="1" s="1127">
      <c r="A57" s="194" t="n"/>
      <c r="B57" s="194" t="n"/>
      <c r="J57" s="194" t="n"/>
    </row>
    <row r="58" ht="13.2" customHeight="1" s="1127">
      <c r="A58" s="194" t="n"/>
      <c r="B58" s="194" t="n"/>
      <c r="J58" s="194" t="n"/>
    </row>
    <row r="59" ht="13.2" customHeight="1" s="1127">
      <c r="A59" s="194" t="n"/>
      <c r="B59" s="194" t="n"/>
      <c r="J59" s="194" t="n"/>
    </row>
    <row r="60" ht="13.2" customHeight="1" s="1127">
      <c r="A60" s="194" t="n"/>
      <c r="B60" s="194" t="n"/>
      <c r="J60" s="194" t="n"/>
    </row>
    <row r="61" ht="13.2" customHeight="1" s="1127">
      <c r="A61" s="194" t="n"/>
      <c r="B61" s="194" t="n"/>
      <c r="J61" s="194" t="n"/>
    </row>
    <row r="62" ht="13.2" customHeight="1" s="1127">
      <c r="A62" s="194" t="n"/>
      <c r="B62" s="194" t="n"/>
      <c r="J62" s="194" t="n"/>
    </row>
    <row r="63" ht="13.2" customHeight="1" s="1127">
      <c r="A63" s="194" t="n"/>
      <c r="B63" s="194" t="n"/>
      <c r="J63" s="194" t="n"/>
    </row>
    <row r="64" ht="13.2" customHeight="1" s="1127">
      <c r="A64" s="194" t="n"/>
      <c r="B64" s="194" t="n"/>
      <c r="J64" s="194" t="n"/>
    </row>
    <row r="65" ht="13.2" customHeight="1" s="1127">
      <c r="A65" s="194" t="n"/>
      <c r="B65" s="194" t="n"/>
      <c r="J65" s="194" t="n"/>
    </row>
    <row r="66" ht="13.2" customHeight="1" s="1127">
      <c r="A66" s="194" t="n"/>
      <c r="B66" s="194" t="n"/>
      <c r="J66" s="194" t="n"/>
    </row>
    <row r="67" ht="13.2" customHeight="1" s="1127">
      <c r="A67" s="194" t="n"/>
      <c r="B67" s="194" t="n"/>
      <c r="J67" s="194" t="n"/>
    </row>
    <row r="68" ht="13.2" customHeight="1" s="1127">
      <c r="A68" s="194" t="n"/>
      <c r="B68" s="194" t="n"/>
      <c r="J68" s="194" t="n"/>
    </row>
    <row r="69" ht="13.2" customHeight="1" s="1127">
      <c r="A69" s="194" t="n"/>
      <c r="B69" s="194" t="n"/>
      <c r="J69" s="194" t="n"/>
    </row>
    <row r="70" ht="13.2" customHeight="1" s="1127">
      <c r="A70" s="194" t="n"/>
      <c r="B70" s="194" t="n"/>
      <c r="J70" s="194" t="n"/>
    </row>
    <row r="71" ht="13.2" customHeight="1" s="1127">
      <c r="A71" s="194" t="n"/>
      <c r="B71" s="194" t="n"/>
      <c r="J71" s="194" t="n"/>
    </row>
    <row r="72" ht="13.2" customHeight="1" s="1127">
      <c r="A72" s="194" t="n"/>
      <c r="B72" s="194" t="n"/>
      <c r="J72" s="194" t="n"/>
    </row>
    <row r="73" ht="13.2" customHeight="1" s="1127">
      <c r="A73" s="194" t="n"/>
      <c r="B73" s="194" t="n"/>
      <c r="J73" s="194" t="n"/>
    </row>
    <row r="74" ht="13.2" customHeight="1" s="1127">
      <c r="A74" s="194" t="n"/>
      <c r="B74" s="194" t="n"/>
      <c r="J74" s="194" t="n"/>
    </row>
    <row r="75" ht="13.2" customHeight="1" s="1127">
      <c r="A75" s="194" t="n"/>
      <c r="B75" s="194" t="n"/>
      <c r="J75" s="194" t="n"/>
    </row>
    <row r="76" ht="13.2" customHeight="1" s="1127">
      <c r="A76" s="194" t="n"/>
      <c r="B76" s="194" t="n"/>
      <c r="J76" s="194" t="n"/>
    </row>
    <row r="77" ht="13.2" customHeight="1" s="1127">
      <c r="A77" s="194" t="n"/>
      <c r="B77" s="194" t="n"/>
      <c r="J77" s="194" t="n"/>
    </row>
    <row r="78" ht="13.2" customHeight="1" s="1127">
      <c r="A78" s="194" t="n"/>
      <c r="B78" s="194" t="n"/>
      <c r="J78" s="194" t="n"/>
    </row>
    <row r="79" ht="13.2" customHeight="1" s="1127">
      <c r="A79" s="194" t="n"/>
      <c r="B79" s="194" t="n"/>
      <c r="J79" s="194" t="n"/>
    </row>
    <row r="80" ht="13.2" customHeight="1" s="1127">
      <c r="A80" s="194" t="n"/>
      <c r="B80" s="194" t="n"/>
      <c r="J80" s="194" t="n"/>
    </row>
    <row r="81" ht="13.2" customHeight="1" s="1127">
      <c r="A81" s="194" t="n"/>
      <c r="B81" s="194" t="n"/>
      <c r="J81" s="194" t="n"/>
    </row>
    <row r="82" ht="13.2" customHeight="1" s="1127">
      <c r="A82" s="194" t="n"/>
      <c r="B82" s="194" t="n"/>
      <c r="J82" s="194" t="n"/>
    </row>
    <row r="83" ht="13.2" customHeight="1" s="1127">
      <c r="A83" s="194" t="n"/>
      <c r="B83" s="194" t="n"/>
      <c r="J83" s="194" t="n"/>
    </row>
    <row r="84" ht="13.2" customHeight="1" s="1127">
      <c r="A84" s="194" t="n"/>
      <c r="B84" s="194" t="n"/>
      <c r="J84" s="194" t="n"/>
    </row>
    <row r="85" ht="13.2" customHeight="1" s="1127">
      <c r="A85" s="194" t="n"/>
      <c r="B85" s="194" t="n"/>
      <c r="J85" s="194" t="n"/>
    </row>
    <row r="86" ht="13.2" customHeight="1" s="1127">
      <c r="A86" s="194" t="n"/>
      <c r="B86" s="194" t="n"/>
      <c r="J86" s="194" t="n"/>
    </row>
    <row r="87" ht="13.2" customHeight="1" s="1127">
      <c r="A87" s="194" t="n"/>
      <c r="B87" s="194" t="n"/>
      <c r="J87" s="194" t="n"/>
    </row>
    <row r="88" ht="13.2" customHeight="1" s="1127">
      <c r="A88" s="194" t="n"/>
      <c r="B88" s="194" t="n"/>
      <c r="J88" s="194" t="n"/>
    </row>
    <row r="89" ht="13.2" customHeight="1" s="1127">
      <c r="A89" s="194" t="n"/>
      <c r="B89" s="194" t="n"/>
      <c r="J89" s="194" t="n"/>
    </row>
    <row r="90" ht="13.2" customHeight="1" s="1127">
      <c r="A90" s="194" t="n"/>
      <c r="B90" s="194" t="n"/>
      <c r="J90" s="194" t="n"/>
    </row>
    <row r="91" ht="13.2" customHeight="1" s="1127">
      <c r="A91" s="194" t="n"/>
      <c r="B91" s="194" t="n"/>
      <c r="J91" s="194" t="n"/>
    </row>
    <row r="92" ht="13.2" customHeight="1" s="1127">
      <c r="A92" s="194" t="n"/>
      <c r="B92" s="194" t="n"/>
      <c r="J92" s="194" t="n"/>
    </row>
    <row r="93" ht="13.2" customHeight="1" s="1127">
      <c r="A93" s="194" t="n"/>
      <c r="B93" s="194" t="n"/>
      <c r="J93" s="194" t="n"/>
    </row>
    <row r="94" ht="13.2" customHeight="1" s="1127">
      <c r="A94" s="194" t="n"/>
      <c r="B94" s="194" t="n"/>
      <c r="J94" s="194" t="n"/>
    </row>
    <row r="95" ht="13.2" customHeight="1" s="1127">
      <c r="A95" s="194" t="n"/>
      <c r="B95" s="194" t="n"/>
      <c r="J95" s="194" t="n"/>
    </row>
    <row r="96" ht="13.2" customHeight="1" s="1127">
      <c r="A96" s="194" t="n"/>
      <c r="B96" s="194" t="n"/>
      <c r="J96" s="194" t="n"/>
    </row>
    <row r="97" ht="13.2" customHeight="1" s="1127">
      <c r="A97" s="194" t="n"/>
      <c r="B97" s="194" t="n"/>
      <c r="J97" s="194" t="n"/>
    </row>
    <row r="98" ht="13.2" customHeight="1" s="1127">
      <c r="A98" s="194" t="n"/>
      <c r="B98" s="194" t="n"/>
      <c r="J98" s="194" t="n"/>
    </row>
    <row r="99" ht="13.2" customHeight="1" s="1127">
      <c r="A99" s="194" t="n"/>
      <c r="B99" s="194" t="n"/>
      <c r="J99" s="194" t="n"/>
    </row>
    <row r="100" ht="13.2" customHeight="1" s="1127">
      <c r="A100" s="194" t="n"/>
      <c r="B100" s="194" t="n"/>
      <c r="J100" s="194" t="n"/>
    </row>
    <row r="101" ht="13.2" customHeight="1" s="1127">
      <c r="A101" s="194" t="n"/>
      <c r="B101" s="194" t="n"/>
      <c r="J101" s="194" t="n"/>
    </row>
    <row r="102" ht="13.2" customHeight="1" s="1127">
      <c r="A102" s="194" t="n"/>
      <c r="B102" s="194" t="n"/>
      <c r="J102" s="194" t="n"/>
    </row>
    <row r="103" ht="13.2" customHeight="1" s="1127">
      <c r="A103" s="194" t="n"/>
      <c r="B103" s="194" t="n"/>
      <c r="J103" s="194" t="n"/>
    </row>
    <row r="104" ht="13.2" customHeight="1" s="1127">
      <c r="A104" s="194" t="n"/>
      <c r="B104" s="194" t="n"/>
      <c r="J104" s="194" t="n"/>
    </row>
    <row r="105" ht="13.2" customHeight="1" s="1127">
      <c r="A105" s="194" t="n"/>
      <c r="B105" s="194" t="n"/>
      <c r="J105" s="194" t="n"/>
    </row>
    <row r="106" ht="13.2" customHeight="1" s="1127">
      <c r="A106" s="194" t="n"/>
      <c r="B106" s="194" t="n"/>
      <c r="J106" s="194" t="n"/>
    </row>
    <row r="107" ht="13.2" customHeight="1" s="1127">
      <c r="A107" s="194" t="n"/>
      <c r="B107" s="194" t="n"/>
      <c r="J107" s="194" t="n"/>
    </row>
    <row r="108" ht="13.2" customHeight="1" s="1127">
      <c r="A108" s="194" t="n"/>
      <c r="B108" s="194" t="n"/>
      <c r="J108" s="194" t="n"/>
    </row>
    <row r="109" ht="13.2" customHeight="1" s="1127">
      <c r="A109" s="194" t="n"/>
      <c r="B109" s="194" t="n"/>
      <c r="J109" s="194" t="n"/>
    </row>
    <row r="110" ht="13.2" customHeight="1" s="1127">
      <c r="A110" s="194" t="n"/>
      <c r="B110" s="194" t="n"/>
      <c r="J110" s="194" t="n"/>
    </row>
    <row r="111" ht="13.2" customHeight="1" s="1127">
      <c r="A111" s="194" t="n"/>
      <c r="B111" s="194" t="n"/>
      <c r="J111" s="194" t="n"/>
    </row>
    <row r="112" ht="13.2" customHeight="1" s="1127">
      <c r="A112" s="194" t="n"/>
      <c r="B112" s="194" t="n"/>
      <c r="J112" s="194" t="n"/>
    </row>
    <row r="113" ht="13.2" customHeight="1" s="1127">
      <c r="A113" s="194" t="n"/>
      <c r="B113" s="194" t="n"/>
      <c r="J113" s="194" t="n"/>
    </row>
    <row r="114" ht="13.2" customHeight="1" s="1127">
      <c r="A114" s="194" t="n"/>
      <c r="B114" s="194" t="n"/>
      <c r="J114" s="194" t="n"/>
    </row>
    <row r="115" ht="13.2" customHeight="1" s="1127">
      <c r="A115" s="194" t="n"/>
      <c r="B115" s="194" t="n"/>
      <c r="J115" s="194" t="n"/>
    </row>
    <row r="116" ht="13.2" customHeight="1" s="1127">
      <c r="A116" s="194" t="n"/>
      <c r="B116" s="194" t="n"/>
      <c r="J116" s="194" t="n"/>
    </row>
    <row r="117" ht="13.2" customHeight="1" s="1127">
      <c r="A117" s="194" t="n"/>
      <c r="B117" s="194" t="n"/>
      <c r="J117" s="194" t="n"/>
    </row>
    <row r="118" ht="13.2" customHeight="1" s="1127">
      <c r="A118" s="194" t="n"/>
      <c r="B118" s="194" t="n"/>
      <c r="J118" s="194" t="n"/>
    </row>
    <row r="119" ht="13.2" customHeight="1" s="1127">
      <c r="A119" s="194" t="n"/>
      <c r="B119" s="194" t="n"/>
      <c r="J119" s="194" t="n"/>
    </row>
    <row r="120" ht="13.2" customHeight="1" s="1127">
      <c r="A120" s="194" t="n"/>
      <c r="B120" s="194" t="n"/>
      <c r="J120" s="194" t="n"/>
    </row>
    <row r="121" ht="13.2" customHeight="1" s="1127">
      <c r="A121" s="194" t="n"/>
      <c r="B121" s="194" t="n"/>
      <c r="J121" s="194" t="n"/>
    </row>
    <row r="122" ht="13.2" customHeight="1" s="1127">
      <c r="A122" s="194" t="n"/>
      <c r="B122" s="194" t="n"/>
      <c r="J122" s="194" t="n"/>
    </row>
    <row r="123" ht="13.2" customHeight="1" s="1127">
      <c r="A123" s="194" t="n"/>
      <c r="B123" s="194" t="n"/>
      <c r="J123" s="194" t="n"/>
    </row>
    <row r="124" ht="13.2" customHeight="1" s="1127">
      <c r="A124" s="194" t="n"/>
      <c r="B124" s="194" t="n"/>
      <c r="J124" s="194" t="n"/>
    </row>
    <row r="125" ht="13.2" customHeight="1" s="1127">
      <c r="A125" s="194" t="n"/>
      <c r="B125" s="194" t="n"/>
      <c r="J125" s="194" t="n"/>
    </row>
    <row r="126" ht="13.2" customHeight="1" s="1127">
      <c r="A126" s="194" t="n"/>
      <c r="B126" s="194" t="n"/>
      <c r="J126" s="194" t="n"/>
    </row>
    <row r="127" ht="13.2" customHeight="1" s="1127">
      <c r="A127" s="194" t="n"/>
      <c r="B127" s="194" t="n"/>
      <c r="J127" s="194" t="n"/>
    </row>
    <row r="128" ht="13.2" customHeight="1" s="1127">
      <c r="A128" s="194" t="n"/>
      <c r="B128" s="194" t="n"/>
      <c r="J128" s="194" t="n"/>
    </row>
    <row r="129" ht="13.2" customHeight="1" s="1127">
      <c r="A129" s="194" t="n"/>
      <c r="B129" s="194" t="n"/>
      <c r="J129" s="194" t="n"/>
    </row>
    <row r="130" ht="13.2" customHeight="1" s="1127">
      <c r="A130" s="194" t="n"/>
      <c r="B130" s="194" t="n"/>
      <c r="J130" s="194" t="n"/>
    </row>
    <row r="131" ht="13.2" customHeight="1" s="1127">
      <c r="A131" s="194" t="n"/>
      <c r="B131" s="194" t="n"/>
      <c r="J131" s="194" t="n"/>
    </row>
    <row r="132" ht="13.2" customHeight="1" s="1127">
      <c r="A132" s="194" t="n"/>
      <c r="B132" s="194" t="n"/>
      <c r="J132" s="194" t="n"/>
    </row>
    <row r="133" ht="13.2" customHeight="1" s="1127">
      <c r="A133" s="194" t="n"/>
      <c r="B133" s="194" t="n"/>
      <c r="J133" s="194" t="n"/>
    </row>
    <row r="134" ht="13.2" customHeight="1" s="1127">
      <c r="A134" s="194" t="n"/>
      <c r="B134" s="194" t="n"/>
      <c r="J134" s="194" t="n"/>
    </row>
    <row r="135" ht="13.2" customHeight="1" s="1127">
      <c r="A135" s="194" t="n"/>
      <c r="B135" s="194" t="n"/>
      <c r="J135" s="194" t="n"/>
    </row>
    <row r="136" ht="13.2" customHeight="1" s="1127">
      <c r="A136" s="194" t="n"/>
      <c r="B136" s="194" t="n"/>
      <c r="J136" s="194" t="n"/>
    </row>
    <row r="137" ht="13.2" customHeight="1" s="1127">
      <c r="A137" s="194" t="n"/>
      <c r="B137" s="194" t="n"/>
      <c r="J137" s="194" t="n"/>
    </row>
    <row r="138" ht="13.2" customHeight="1" s="1127">
      <c r="A138" s="194" t="n"/>
      <c r="B138" s="194" t="n"/>
      <c r="J138" s="194" t="n"/>
    </row>
    <row r="139" ht="13.2" customHeight="1" s="1127">
      <c r="A139" s="194" t="n"/>
      <c r="B139" s="194" t="n"/>
      <c r="J139" s="194" t="n"/>
    </row>
    <row r="140" ht="13.2" customHeight="1" s="1127">
      <c r="A140" s="194" t="n"/>
      <c r="B140" s="194" t="n"/>
      <c r="J140" s="194" t="n"/>
    </row>
    <row r="141" ht="13.2" customHeight="1" s="1127">
      <c r="A141" s="194" t="n"/>
      <c r="B141" s="194" t="n"/>
      <c r="J141" s="194" t="n"/>
    </row>
    <row r="142" ht="13.2" customHeight="1" s="1127">
      <c r="A142" s="194" t="n"/>
      <c r="B142" s="194" t="n"/>
      <c r="J142" s="194" t="n"/>
    </row>
    <row r="143" ht="13.2" customHeight="1" s="1127">
      <c r="A143" s="194" t="n"/>
      <c r="B143" s="194" t="n"/>
      <c r="J143" s="194" t="n"/>
    </row>
    <row r="144" ht="13.2" customHeight="1" s="1127">
      <c r="A144" s="194" t="n"/>
      <c r="B144" s="194" t="n"/>
      <c r="J144" s="194" t="n"/>
    </row>
    <row r="145" ht="13.2" customHeight="1" s="1127">
      <c r="A145" s="194" t="n"/>
      <c r="B145" s="194" t="n"/>
      <c r="J145" s="194" t="n"/>
    </row>
    <row r="146" ht="13.2" customHeight="1" s="1127">
      <c r="A146" s="194" t="n"/>
      <c r="B146" s="194" t="n"/>
      <c r="J146" s="194" t="n"/>
    </row>
    <row r="147" ht="13.2" customHeight="1" s="1127">
      <c r="A147" s="194" t="n"/>
      <c r="B147" s="194" t="n"/>
      <c r="J147" s="194" t="n"/>
    </row>
    <row r="148" ht="13.2" customHeight="1" s="1127">
      <c r="A148" s="194" t="n"/>
      <c r="B148" s="194" t="n"/>
      <c r="J148" s="194" t="n"/>
    </row>
    <row r="149" ht="13.2" customHeight="1" s="1127">
      <c r="A149" s="194" t="n"/>
      <c r="B149" s="194" t="n"/>
      <c r="J149" s="194" t="n"/>
    </row>
    <row r="150" ht="13.2" customHeight="1" s="1127">
      <c r="A150" s="194" t="n"/>
      <c r="B150" s="194" t="n"/>
      <c r="J150" s="194" t="n"/>
    </row>
    <row r="151" ht="13.2" customHeight="1" s="1127">
      <c r="A151" s="194" t="n"/>
      <c r="B151" s="194" t="n"/>
      <c r="J151" s="194" t="n"/>
    </row>
    <row r="152" ht="13.2" customHeight="1" s="1127">
      <c r="A152" s="194" t="n"/>
      <c r="B152" s="194" t="n"/>
      <c r="J152" s="194" t="n"/>
    </row>
    <row r="153" ht="13.2" customHeight="1" s="1127">
      <c r="A153" s="194" t="n"/>
      <c r="B153" s="194" t="n"/>
      <c r="J153" s="194" t="n"/>
    </row>
    <row r="154" ht="13.2" customHeight="1" s="1127">
      <c r="A154" s="194" t="n"/>
      <c r="B154" s="194" t="n"/>
      <c r="J154" s="194" t="n"/>
    </row>
    <row r="155" ht="13.2" customHeight="1" s="1127">
      <c r="A155" s="194" t="n"/>
      <c r="B155" s="194" t="n"/>
      <c r="J155" s="194" t="n"/>
    </row>
    <row r="156" ht="13.2" customHeight="1" s="1127">
      <c r="A156" s="194" t="n"/>
      <c r="B156" s="194" t="n"/>
      <c r="J156" s="194" t="n"/>
    </row>
    <row r="157" ht="13.2" customHeight="1" s="1127">
      <c r="A157" s="194" t="n"/>
      <c r="B157" s="194" t="n"/>
      <c r="J157" s="194" t="n"/>
    </row>
    <row r="158" ht="13.2" customHeight="1" s="1127">
      <c r="A158" s="194" t="n"/>
      <c r="B158" s="194" t="n"/>
      <c r="J158" s="194" t="n"/>
    </row>
    <row r="159" ht="13.2" customHeight="1" s="1127">
      <c r="A159" s="194" t="n"/>
      <c r="B159" s="194" t="n"/>
      <c r="J159" s="194" t="n"/>
    </row>
    <row r="160" ht="13.2" customHeight="1" s="1127">
      <c r="A160" s="194" t="n"/>
      <c r="B160" s="194" t="n"/>
      <c r="J160" s="194" t="n"/>
    </row>
    <row r="161" ht="13.2" customHeight="1" s="1127">
      <c r="A161" s="194" t="n"/>
      <c r="B161" s="194" t="n"/>
      <c r="J161" s="194" t="n"/>
    </row>
    <row r="162" ht="13.2" customHeight="1" s="1127">
      <c r="A162" s="194" t="n"/>
      <c r="B162" s="194" t="n"/>
      <c r="J162" s="194" t="n"/>
    </row>
    <row r="163" ht="13.2" customHeight="1" s="1127">
      <c r="A163" s="194" t="n"/>
      <c r="B163" s="194" t="n"/>
      <c r="J163" s="194" t="n"/>
    </row>
    <row r="164" ht="13.2" customHeight="1" s="1127">
      <c r="A164" s="194" t="n"/>
      <c r="B164" s="194" t="n"/>
      <c r="J164" s="194" t="n"/>
    </row>
    <row r="165" ht="13.2" customHeight="1" s="1127">
      <c r="A165" s="194" t="n"/>
      <c r="B165" s="194" t="n"/>
      <c r="J165" s="194" t="n"/>
    </row>
    <row r="166" ht="13.2" customHeight="1" s="1127">
      <c r="A166" s="194" t="n"/>
      <c r="B166" s="194" t="n"/>
      <c r="J166" s="194" t="n"/>
    </row>
    <row r="167" ht="13.2" customHeight="1" s="1127">
      <c r="A167" s="194" t="n"/>
      <c r="B167" s="194" t="n"/>
      <c r="J167" s="194" t="n"/>
    </row>
    <row r="168" ht="13.2" customHeight="1" s="1127">
      <c r="A168" s="194" t="n"/>
      <c r="B168" s="194" t="n"/>
      <c r="J168" s="194" t="n"/>
    </row>
    <row r="169" ht="13.2" customHeight="1" s="1127">
      <c r="A169" s="194" t="n"/>
      <c r="B169" s="194" t="n"/>
      <c r="J169" s="194" t="n"/>
    </row>
    <row r="170" ht="13.2" customHeight="1" s="1127">
      <c r="A170" s="194" t="n"/>
      <c r="B170" s="194" t="n"/>
      <c r="J170" s="194" t="n"/>
    </row>
    <row r="171" ht="13.2" customHeight="1" s="1127">
      <c r="A171" s="194" t="n"/>
      <c r="B171" s="194" t="n"/>
      <c r="J171" s="194" t="n"/>
    </row>
    <row r="172" ht="13.2" customHeight="1" s="1127">
      <c r="A172" s="194" t="n"/>
      <c r="B172" s="194" t="n"/>
      <c r="J172" s="194" t="n"/>
    </row>
    <row r="173" ht="13.2" customHeight="1" s="1127">
      <c r="A173" s="194" t="n"/>
      <c r="B173" s="194" t="n"/>
      <c r="J173" s="194" t="n"/>
    </row>
    <row r="174" ht="13.2" customHeight="1" s="1127">
      <c r="A174" s="194" t="n"/>
      <c r="B174" s="194" t="n"/>
      <c r="J174" s="194" t="n"/>
    </row>
    <row r="175" ht="13.2" customHeight="1" s="1127">
      <c r="A175" s="194" t="n"/>
      <c r="B175" s="194" t="n"/>
      <c r="J175" s="194" t="n"/>
    </row>
    <row r="176" ht="13.2" customHeight="1" s="1127">
      <c r="A176" s="194" t="n"/>
      <c r="B176" s="194" t="n"/>
      <c r="J176" s="194" t="n"/>
    </row>
    <row r="177" ht="13.2" customHeight="1" s="1127">
      <c r="A177" s="194" t="n"/>
      <c r="B177" s="194" t="n"/>
      <c r="J177" s="194" t="n"/>
    </row>
    <row r="178" ht="13.2" customHeight="1" s="1127">
      <c r="A178" s="194" t="n"/>
      <c r="B178" s="194" t="n"/>
      <c r="J178" s="194" t="n"/>
    </row>
    <row r="179" ht="13.2" customHeight="1" s="1127">
      <c r="A179" s="194" t="n"/>
      <c r="B179" s="194" t="n"/>
      <c r="J179" s="194" t="n"/>
    </row>
    <row r="180" ht="13.2" customHeight="1" s="1127">
      <c r="A180" s="194" t="n"/>
      <c r="B180" s="194" t="n"/>
      <c r="J180" s="194" t="n"/>
    </row>
    <row r="181" ht="13.2" customHeight="1" s="1127">
      <c r="A181" s="194" t="n"/>
      <c r="B181" s="194" t="n"/>
      <c r="J181" s="194" t="n"/>
    </row>
    <row r="182" ht="13.2" customHeight="1" s="1127">
      <c r="A182" s="194" t="n"/>
      <c r="B182" s="194" t="n"/>
      <c r="J182" s="194" t="n"/>
    </row>
    <row r="183" ht="13.2" customHeight="1" s="1127">
      <c r="A183" s="194" t="n"/>
      <c r="B183" s="194" t="n"/>
      <c r="J183" s="194" t="n"/>
    </row>
    <row r="184" ht="13.2" customHeight="1" s="1127">
      <c r="A184" s="194" t="n"/>
      <c r="B184" s="194" t="n"/>
      <c r="J184" s="194" t="n"/>
    </row>
    <row r="185" ht="13.2" customHeight="1" s="1127">
      <c r="A185" s="194" t="n"/>
      <c r="B185" s="194" t="n"/>
      <c r="J185" s="194" t="n"/>
    </row>
    <row r="186" ht="13.2" customHeight="1" s="1127">
      <c r="A186" s="194" t="n"/>
      <c r="B186" s="194" t="n"/>
      <c r="J186" s="194" t="n"/>
    </row>
    <row r="187" ht="13.2" customHeight="1" s="1127">
      <c r="A187" s="194" t="n"/>
      <c r="B187" s="194" t="n"/>
      <c r="J187" s="194" t="n"/>
    </row>
    <row r="188" ht="13.2" customHeight="1" s="1127">
      <c r="A188" s="194" t="n"/>
      <c r="B188" s="194" t="n"/>
      <c r="J188" s="194" t="n"/>
    </row>
    <row r="189" ht="13.2" customHeight="1" s="1127">
      <c r="A189" s="194" t="n"/>
      <c r="B189" s="194" t="n"/>
      <c r="J189" s="194" t="n"/>
    </row>
    <row r="190" ht="13.2" customHeight="1" s="1127">
      <c r="A190" s="194" t="n"/>
      <c r="B190" s="194" t="n"/>
      <c r="J190" s="194" t="n"/>
    </row>
    <row r="191" ht="13.2" customHeight="1" s="1127">
      <c r="A191" s="194" t="n"/>
      <c r="B191" s="194" t="n"/>
      <c r="J191" s="194" t="n"/>
    </row>
    <row r="192" ht="13.2" customHeight="1" s="1127">
      <c r="A192" s="194" t="n"/>
      <c r="B192" s="194" t="n"/>
      <c r="J192" s="194" t="n"/>
    </row>
    <row r="193" ht="13.2" customHeight="1" s="1127">
      <c r="A193" s="194" t="n"/>
      <c r="B193" s="194" t="n"/>
      <c r="J193" s="194" t="n"/>
    </row>
    <row r="194" ht="13.2" customHeight="1" s="1127">
      <c r="A194" s="194" t="n"/>
      <c r="B194" s="194" t="n"/>
      <c r="J194" s="194" t="n"/>
    </row>
    <row r="195" ht="13.2" customHeight="1" s="1127">
      <c r="A195" s="194" t="n"/>
      <c r="B195" s="194" t="n"/>
      <c r="J195" s="194" t="n"/>
    </row>
    <row r="196" ht="13.2" customHeight="1" s="1127">
      <c r="A196" s="194" t="n"/>
      <c r="B196" s="194" t="n"/>
      <c r="J196" s="194" t="n"/>
    </row>
    <row r="197" ht="13.2" customHeight="1" s="1127">
      <c r="A197" s="194" t="n"/>
      <c r="B197" s="194" t="n"/>
      <c r="J197" s="194" t="n"/>
    </row>
    <row r="198" ht="13.2" customHeight="1" s="1127">
      <c r="A198" s="194" t="n"/>
      <c r="B198" s="194" t="n"/>
      <c r="J198" s="194" t="n"/>
    </row>
    <row r="199" ht="13.2" customHeight="1" s="1127">
      <c r="A199" s="194" t="n"/>
      <c r="B199" s="194" t="n"/>
      <c r="J199" s="194" t="n"/>
    </row>
    <row r="200" ht="13.2" customHeight="1" s="1127">
      <c r="A200" s="194" t="n"/>
      <c r="B200" s="194" t="n"/>
      <c r="J200" s="194" t="n"/>
    </row>
    <row r="201" ht="13.2" customHeight="1" s="1127">
      <c r="A201" s="194" t="n"/>
      <c r="B201" s="194" t="n"/>
      <c r="J201" s="194" t="n"/>
    </row>
    <row r="202" ht="13.2" customHeight="1" s="1127">
      <c r="A202" s="194" t="n"/>
      <c r="B202" s="194" t="n"/>
      <c r="J202" s="194" t="n"/>
    </row>
    <row r="203" ht="13.2" customHeight="1" s="1127">
      <c r="A203" s="194" t="n"/>
      <c r="B203" s="194" t="n"/>
      <c r="J203" s="194" t="n"/>
    </row>
    <row r="204" ht="13.2" customHeight="1" s="1127">
      <c r="A204" s="194" t="n"/>
      <c r="B204" s="194" t="n"/>
      <c r="J204" s="194" t="n"/>
    </row>
    <row r="205" ht="13.2" customHeight="1" s="1127">
      <c r="A205" s="194" t="n"/>
      <c r="B205" s="194" t="n"/>
      <c r="J205" s="194" t="n"/>
    </row>
    <row r="206" ht="13.2" customHeight="1" s="1127">
      <c r="A206" s="194" t="n"/>
      <c r="B206" s="194" t="n"/>
      <c r="J206" s="194" t="n"/>
    </row>
    <row r="207" ht="13.2" customHeight="1" s="1127">
      <c r="A207" s="194" t="n"/>
      <c r="B207" s="194" t="n"/>
      <c r="J207" s="194" t="n"/>
    </row>
    <row r="208" ht="13.2" customHeight="1" s="1127">
      <c r="A208" s="194" t="n"/>
      <c r="B208" s="194" t="n"/>
      <c r="J208" s="194" t="n"/>
    </row>
    <row r="209" ht="13.2" customHeight="1" s="1127">
      <c r="A209" s="194" t="n"/>
      <c r="B209" s="194" t="n"/>
      <c r="J209" s="194" t="n"/>
    </row>
    <row r="210" ht="13.2" customHeight="1" s="1127">
      <c r="A210" s="194" t="n"/>
      <c r="B210" s="194" t="n"/>
      <c r="J210" s="194" t="n"/>
    </row>
    <row r="211" ht="13.2" customHeight="1" s="1127">
      <c r="A211" s="194" t="n"/>
      <c r="B211" s="194" t="n"/>
      <c r="J211" s="194" t="n"/>
    </row>
    <row r="212" ht="13.2" customHeight="1" s="1127">
      <c r="A212" s="194" t="n"/>
      <c r="B212" s="194" t="n"/>
      <c r="J212" s="194" t="n"/>
    </row>
    <row r="213" ht="13.2" customHeight="1" s="1127">
      <c r="A213" s="194" t="n"/>
      <c r="B213" s="194" t="n"/>
      <c r="J213" s="194" t="n"/>
    </row>
    <row r="214" ht="13.2" customHeight="1" s="1127">
      <c r="A214" s="194" t="n"/>
      <c r="B214" s="194" t="n"/>
      <c r="J214" s="194" t="n"/>
    </row>
    <row r="215" ht="13.2" customHeight="1" s="1127">
      <c r="A215" s="194" t="n"/>
      <c r="B215" s="194" t="n"/>
      <c r="J215" s="194" t="n"/>
    </row>
    <row r="216" ht="13.2" customHeight="1" s="1127">
      <c r="A216" s="194" t="n"/>
      <c r="B216" s="194" t="n"/>
      <c r="J216" s="194" t="n"/>
    </row>
    <row r="217" ht="13.2" customHeight="1" s="1127">
      <c r="A217" s="194" t="n"/>
      <c r="B217" s="194" t="n"/>
      <c r="J217" s="194" t="n"/>
    </row>
    <row r="218" ht="13.2" customHeight="1" s="1127">
      <c r="A218" s="194" t="n"/>
      <c r="B218" s="194" t="n"/>
      <c r="J218" s="194" t="n"/>
    </row>
    <row r="219" ht="13.2" customHeight="1" s="1127">
      <c r="A219" s="194" t="n"/>
      <c r="B219" s="194" t="n"/>
      <c r="J219" s="194" t="n"/>
    </row>
    <row r="220" ht="13.2" customHeight="1" s="1127">
      <c r="A220" s="194" t="n"/>
      <c r="B220" s="194" t="n"/>
      <c r="J220" s="194" t="n"/>
    </row>
    <row r="221" ht="13.2" customHeight="1" s="1127">
      <c r="A221" s="194" t="n"/>
      <c r="B221" s="194" t="n"/>
      <c r="J221" s="194" t="n"/>
    </row>
    <row r="222" ht="13.2" customHeight="1" s="1127">
      <c r="A222" s="194" t="n"/>
      <c r="B222" s="194" t="n"/>
      <c r="J222" s="194" t="n"/>
    </row>
    <row r="223" ht="13.2" customHeight="1" s="1127">
      <c r="A223" s="194" t="n"/>
      <c r="B223" s="194" t="n"/>
      <c r="J223" s="194" t="n"/>
    </row>
    <row r="224" ht="13.2" customHeight="1" s="1127">
      <c r="A224" s="194" t="n"/>
      <c r="B224" s="194" t="n"/>
      <c r="J224" s="194" t="n"/>
    </row>
    <row r="225" ht="13.2" customHeight="1" s="1127">
      <c r="A225" s="194" t="n"/>
      <c r="B225" s="194" t="n"/>
      <c r="J225" s="194" t="n"/>
    </row>
    <row r="226" ht="13.2" customHeight="1" s="1127">
      <c r="A226" s="194" t="n"/>
      <c r="B226" s="194" t="n"/>
      <c r="J226" s="194" t="n"/>
    </row>
    <row r="227" ht="13.2" customHeight="1" s="1127">
      <c r="A227" s="194" t="n"/>
      <c r="B227" s="194" t="n"/>
      <c r="J227" s="194" t="n"/>
    </row>
    <row r="228" ht="13.2" customHeight="1" s="1127">
      <c r="A228" s="194" t="n"/>
      <c r="B228" s="194" t="n"/>
      <c r="J228" s="194" t="n"/>
    </row>
    <row r="229" ht="13.2" customHeight="1" s="1127">
      <c r="A229" s="194" t="n"/>
      <c r="B229" s="194" t="n"/>
      <c r="J229" s="194" t="n"/>
    </row>
    <row r="230" ht="13.2" customHeight="1" s="1127">
      <c r="A230" s="194" t="n"/>
      <c r="B230" s="194" t="n"/>
      <c r="J230" s="194" t="n"/>
    </row>
    <row r="231" ht="13.2" customHeight="1" s="1127">
      <c r="A231" s="194" t="n"/>
      <c r="B231" s="194" t="n"/>
      <c r="J231" s="194" t="n"/>
    </row>
    <row r="232" ht="13.2" customHeight="1" s="1127">
      <c r="A232" s="194" t="n"/>
      <c r="B232" s="194" t="n"/>
      <c r="J232" s="194" t="n"/>
    </row>
    <row r="233" ht="13.2" customHeight="1" s="1127">
      <c r="A233" s="194" t="n"/>
      <c r="B233" s="194" t="n"/>
      <c r="J233" s="194" t="n"/>
    </row>
    <row r="234" ht="13.2" customHeight="1" s="1127">
      <c r="A234" s="194" t="n"/>
      <c r="B234" s="194" t="n"/>
      <c r="J234" s="194" t="n"/>
    </row>
    <row r="235" ht="13.2" customHeight="1" s="1127">
      <c r="A235" s="194" t="n"/>
      <c r="B235" s="194" t="n"/>
      <c r="J235" s="194" t="n"/>
    </row>
    <row r="236" ht="13.2" customHeight="1" s="1127">
      <c r="A236" s="194" t="n"/>
      <c r="B236" s="194" t="n"/>
      <c r="J236" s="194" t="n"/>
    </row>
    <row r="237" ht="13.2" customHeight="1" s="1127">
      <c r="A237" s="194" t="n"/>
      <c r="B237" s="194" t="n"/>
      <c r="J237" s="194" t="n"/>
    </row>
    <row r="238" ht="13.2" customHeight="1" s="1127">
      <c r="A238" s="194" t="n"/>
      <c r="B238" s="194" t="n"/>
      <c r="J238" s="194" t="n"/>
    </row>
    <row r="239" ht="13.2" customHeight="1" s="1127">
      <c r="A239" s="194" t="n"/>
      <c r="B239" s="194" t="n"/>
      <c r="J239" s="194" t="n"/>
    </row>
    <row r="240" ht="13.2" customHeight="1" s="1127">
      <c r="A240" s="194" t="n"/>
      <c r="B240" s="194" t="n"/>
      <c r="J240" s="194" t="n"/>
    </row>
    <row r="241" ht="13.2" customHeight="1" s="1127">
      <c r="A241" s="194" t="n"/>
      <c r="B241" s="194" t="n"/>
      <c r="J241" s="194" t="n"/>
    </row>
    <row r="242" ht="13.2" customHeight="1" s="1127">
      <c r="A242" s="194" t="n"/>
      <c r="B242" s="194" t="n"/>
      <c r="J242" s="194" t="n"/>
    </row>
    <row r="243" ht="13.2" customHeight="1" s="1127">
      <c r="A243" s="194" t="n"/>
      <c r="B243" s="194" t="n"/>
      <c r="J243" s="194" t="n"/>
    </row>
    <row r="244" ht="13.2" customHeight="1" s="1127">
      <c r="A244" s="194" t="n"/>
      <c r="B244" s="194" t="n"/>
      <c r="J244" s="194" t="n"/>
    </row>
    <row r="245" ht="13.2" customHeight="1" s="1127">
      <c r="A245" s="194" t="n"/>
      <c r="B245" s="194" t="n"/>
      <c r="J245" s="194" t="n"/>
    </row>
    <row r="246" ht="13.2" customHeight="1" s="1127">
      <c r="A246" s="194" t="n"/>
      <c r="B246" s="194" t="n"/>
      <c r="J246" s="194" t="n"/>
    </row>
    <row r="247" ht="13.2" customHeight="1" s="1127">
      <c r="A247" s="194" t="n"/>
      <c r="B247" s="194" t="n"/>
      <c r="J247" s="194" t="n"/>
    </row>
    <row r="248" ht="13.2" customHeight="1" s="1127">
      <c r="A248" s="194" t="n"/>
      <c r="B248" s="194" t="n"/>
      <c r="J248" s="194" t="n"/>
    </row>
    <row r="249" ht="13.2" customHeight="1" s="1127">
      <c r="A249" s="194" t="n"/>
      <c r="B249" s="194" t="n"/>
      <c r="J249" s="194" t="n"/>
    </row>
    <row r="250" ht="13.2" customHeight="1" s="1127">
      <c r="A250" s="194" t="n"/>
      <c r="B250" s="194" t="n"/>
      <c r="J250" s="194" t="n"/>
    </row>
    <row r="251" ht="13.2" customHeight="1" s="1127">
      <c r="A251" s="194" t="n"/>
      <c r="B251" s="194" t="n"/>
      <c r="J251" s="194" t="n"/>
    </row>
    <row r="252" ht="13.2" customHeight="1" s="1127">
      <c r="A252" s="194" t="n"/>
      <c r="B252" s="194" t="n"/>
      <c r="J252" s="194" t="n"/>
    </row>
    <row r="253" ht="13.2" customHeight="1" s="1127">
      <c r="A253" s="194" t="n"/>
      <c r="B253" s="194" t="n"/>
      <c r="J253" s="194" t="n"/>
    </row>
    <row r="254" ht="13.2" customHeight="1" s="1127">
      <c r="A254" s="194" t="n"/>
      <c r="B254" s="194" t="n"/>
      <c r="J254" s="194" t="n"/>
    </row>
    <row r="255" ht="13.2" customHeight="1" s="1127">
      <c r="A255" s="194" t="n"/>
      <c r="B255" s="194" t="n"/>
      <c r="J255" s="194" t="n"/>
    </row>
    <row r="256" ht="13.2" customHeight="1" s="1127">
      <c r="A256" s="194" t="n"/>
      <c r="B256" s="194" t="n"/>
      <c r="J256" s="194" t="n"/>
    </row>
    <row r="257" ht="13.2" customHeight="1" s="1127">
      <c r="A257" s="194" t="n"/>
      <c r="B257" s="194" t="n"/>
      <c r="J257" s="194" t="n"/>
    </row>
    <row r="258" ht="13.2" customHeight="1" s="1127">
      <c r="A258" s="194" t="n"/>
      <c r="B258" s="194" t="n"/>
      <c r="J258" s="194" t="n"/>
    </row>
    <row r="259" ht="13.2" customHeight="1" s="1127">
      <c r="A259" s="194" t="n"/>
      <c r="B259" s="194" t="n"/>
      <c r="J259" s="194" t="n"/>
    </row>
    <row r="260" ht="13.2" customHeight="1" s="1127">
      <c r="A260" s="194" t="n"/>
      <c r="B260" s="194" t="n"/>
      <c r="J260" s="194" t="n"/>
    </row>
    <row r="261" ht="13.2" customHeight="1" s="1127">
      <c r="A261" s="194" t="n"/>
      <c r="B261" s="194" t="n"/>
      <c r="J261" s="194" t="n"/>
    </row>
    <row r="262" ht="13.2" customHeight="1" s="1127">
      <c r="A262" s="194" t="n"/>
      <c r="B262" s="194" t="n"/>
      <c r="J262" s="194" t="n"/>
    </row>
    <row r="263" ht="13.2" customHeight="1" s="1127">
      <c r="A263" s="194" t="n"/>
      <c r="B263" s="194" t="n"/>
      <c r="J263" s="194" t="n"/>
    </row>
    <row r="264" ht="13.2" customHeight="1" s="1127">
      <c r="A264" s="194" t="n"/>
      <c r="B264" s="194" t="n"/>
      <c r="J264" s="194" t="n"/>
    </row>
    <row r="265" ht="13.2" customHeight="1" s="1127">
      <c r="A265" s="194" t="n"/>
      <c r="B265" s="194" t="n"/>
      <c r="J265" s="194" t="n"/>
    </row>
    <row r="266" ht="13.2" customHeight="1" s="1127">
      <c r="A266" s="194" t="n"/>
      <c r="B266" s="194" t="n"/>
      <c r="J266" s="194" t="n"/>
    </row>
    <row r="267" ht="13.2" customHeight="1" s="1127">
      <c r="A267" s="194" t="n"/>
      <c r="B267" s="194" t="n"/>
      <c r="J267" s="194" t="n"/>
    </row>
    <row r="268" ht="13.2" customHeight="1" s="1127">
      <c r="A268" s="194" t="n"/>
      <c r="B268" s="194" t="n"/>
      <c r="J268" s="194" t="n"/>
    </row>
    <row r="269" ht="13.2" customHeight="1" s="1127">
      <c r="A269" s="194" t="n"/>
      <c r="B269" s="194" t="n"/>
      <c r="J269" s="194" t="n"/>
    </row>
    <row r="270" ht="13.2" customHeight="1" s="1127">
      <c r="A270" s="194" t="n"/>
      <c r="B270" s="194" t="n"/>
      <c r="J270" s="194" t="n"/>
    </row>
    <row r="271" ht="13.2" customHeight="1" s="1127">
      <c r="A271" s="194" t="n"/>
      <c r="B271" s="194" t="n"/>
      <c r="J271" s="194" t="n"/>
    </row>
    <row r="272" ht="13.2" customHeight="1" s="1127">
      <c r="A272" s="194" t="n"/>
      <c r="B272" s="194" t="n"/>
      <c r="J272" s="194" t="n"/>
    </row>
    <row r="273" ht="13.2" customHeight="1" s="1127">
      <c r="A273" s="194" t="n"/>
      <c r="B273" s="194" t="n"/>
      <c r="J273" s="194" t="n"/>
    </row>
    <row r="274" ht="13.2" customHeight="1" s="1127">
      <c r="A274" s="194" t="n"/>
      <c r="B274" s="194" t="n"/>
      <c r="J274" s="194" t="n"/>
    </row>
    <row r="275" ht="13.2" customHeight="1" s="1127">
      <c r="A275" s="194" t="n"/>
      <c r="B275" s="194" t="n"/>
      <c r="J275" s="194" t="n"/>
    </row>
    <row r="276" ht="13.2" customHeight="1" s="1127">
      <c r="A276" s="194" t="n"/>
      <c r="B276" s="194" t="n"/>
      <c r="J276" s="194" t="n"/>
    </row>
    <row r="277" ht="13.2" customHeight="1" s="1127">
      <c r="A277" s="194" t="n"/>
      <c r="B277" s="194" t="n"/>
      <c r="J277" s="194" t="n"/>
    </row>
    <row r="278" ht="13.2" customHeight="1" s="1127">
      <c r="A278" s="194" t="n"/>
      <c r="B278" s="194" t="n"/>
      <c r="J278" s="194" t="n"/>
    </row>
    <row r="279" ht="13.2" customHeight="1" s="1127">
      <c r="A279" s="194" t="n"/>
      <c r="B279" s="194" t="n"/>
      <c r="J279" s="194" t="n"/>
    </row>
    <row r="280" ht="13.2" customHeight="1" s="1127">
      <c r="A280" s="194" t="n"/>
      <c r="B280" s="194" t="n"/>
      <c r="J280" s="194" t="n"/>
    </row>
    <row r="281" ht="13.2" customHeight="1" s="1127">
      <c r="A281" s="194" t="n"/>
      <c r="B281" s="194" t="n"/>
      <c r="J281" s="194" t="n"/>
    </row>
    <row r="282" ht="13.2" customHeight="1" s="1127">
      <c r="A282" s="194" t="n"/>
      <c r="B282" s="194" t="n"/>
      <c r="J282" s="194" t="n"/>
    </row>
    <row r="283" ht="13.2" customHeight="1" s="1127">
      <c r="A283" s="194" t="n"/>
      <c r="B283" s="194" t="n"/>
      <c r="J283" s="194" t="n"/>
    </row>
    <row r="284" ht="13.2" customHeight="1" s="1127">
      <c r="A284" s="194" t="n"/>
      <c r="B284" s="194" t="n"/>
      <c r="J284" s="194" t="n"/>
    </row>
    <row r="285" ht="13.2" customHeight="1" s="1127">
      <c r="A285" s="194" t="n"/>
      <c r="B285" s="194" t="n"/>
      <c r="J285" s="194" t="n"/>
    </row>
    <row r="286" ht="13.2" customHeight="1" s="1127">
      <c r="A286" s="194" t="n"/>
      <c r="B286" s="194" t="n"/>
      <c r="J286" s="194" t="n"/>
    </row>
    <row r="287" ht="13.2" customHeight="1" s="1127">
      <c r="A287" s="194" t="n"/>
      <c r="B287" s="194" t="n"/>
      <c r="J287" s="194" t="n"/>
    </row>
    <row r="288" ht="13.2" customHeight="1" s="1127">
      <c r="A288" s="194" t="n"/>
      <c r="B288" s="194" t="n"/>
      <c r="J288" s="194" t="n"/>
    </row>
    <row r="289" ht="13.2" customHeight="1" s="1127">
      <c r="A289" s="194" t="n"/>
      <c r="B289" s="194" t="n"/>
      <c r="J289" s="194" t="n"/>
    </row>
    <row r="290" ht="13.2" customHeight="1" s="1127">
      <c r="A290" s="194" t="n"/>
      <c r="B290" s="194" t="n"/>
      <c r="J290" s="194" t="n"/>
    </row>
    <row r="291" ht="13.2" customHeight="1" s="1127">
      <c r="A291" s="194" t="n"/>
      <c r="B291" s="194" t="n"/>
      <c r="J291" s="194" t="n"/>
    </row>
    <row r="292" ht="13.2" customHeight="1" s="1127">
      <c r="A292" s="194" t="n"/>
      <c r="B292" s="194" t="n"/>
      <c r="J292" s="194" t="n"/>
    </row>
    <row r="293" ht="13.2" customHeight="1" s="1127">
      <c r="A293" s="194" t="n"/>
      <c r="B293" s="194" t="n"/>
      <c r="J293" s="194" t="n"/>
    </row>
    <row r="294" ht="13.2" customHeight="1" s="1127">
      <c r="A294" s="194" t="n"/>
      <c r="B294" s="194" t="n"/>
      <c r="J294" s="194" t="n"/>
    </row>
    <row r="295" ht="13.2" customHeight="1" s="1127">
      <c r="A295" s="194" t="n"/>
      <c r="B295" s="194" t="n"/>
      <c r="J295" s="194" t="n"/>
    </row>
    <row r="296" ht="13.2" customHeight="1" s="1127">
      <c r="A296" s="194" t="n"/>
      <c r="B296" s="194" t="n"/>
      <c r="J296" s="194" t="n"/>
    </row>
    <row r="297" ht="13.2" customHeight="1" s="1127">
      <c r="A297" s="194" t="n"/>
      <c r="B297" s="194" t="n"/>
      <c r="J297" s="194" t="n"/>
    </row>
    <row r="298" ht="13.2" customHeight="1" s="1127">
      <c r="A298" s="194" t="n"/>
      <c r="B298" s="194" t="n"/>
      <c r="J298" s="194" t="n"/>
    </row>
    <row r="299" ht="13.2" customHeight="1" s="1127">
      <c r="A299" s="194" t="n"/>
      <c r="B299" s="194" t="n"/>
      <c r="J299" s="194" t="n"/>
    </row>
    <row r="300" ht="13.2" customHeight="1" s="1127">
      <c r="A300" s="194" t="n"/>
      <c r="B300" s="194" t="n"/>
      <c r="J300" s="194" t="n"/>
    </row>
    <row r="301" ht="13.2" customHeight="1" s="1127">
      <c r="A301" s="194" t="n"/>
      <c r="B301" s="194" t="n"/>
      <c r="J301" s="194" t="n"/>
    </row>
    <row r="302" ht="13.2" customHeight="1" s="1127">
      <c r="A302" s="194" t="n"/>
      <c r="B302" s="194" t="n"/>
      <c r="J302" s="194" t="n"/>
    </row>
    <row r="303" ht="13.2" customHeight="1" s="1127">
      <c r="A303" s="194" t="n"/>
      <c r="B303" s="194" t="n"/>
      <c r="J303" s="194" t="n"/>
    </row>
    <row r="304" ht="13.2" customHeight="1" s="1127">
      <c r="A304" s="194" t="n"/>
      <c r="B304" s="194" t="n"/>
      <c r="J304" s="194" t="n"/>
    </row>
    <row r="305" ht="13.2" customHeight="1" s="1127">
      <c r="A305" s="194" t="n"/>
      <c r="B305" s="194" t="n"/>
      <c r="J305" s="194" t="n"/>
    </row>
    <row r="306" ht="13.2" customHeight="1" s="1127">
      <c r="A306" s="194" t="n"/>
      <c r="B306" s="194" t="n"/>
      <c r="J306" s="194" t="n"/>
    </row>
    <row r="307" ht="13.2" customHeight="1" s="1127">
      <c r="A307" s="194" t="n"/>
      <c r="B307" s="194" t="n"/>
      <c r="J307" s="194" t="n"/>
    </row>
    <row r="308" ht="13.2" customHeight="1" s="1127">
      <c r="A308" s="194" t="n"/>
      <c r="B308" s="194" t="n"/>
      <c r="J308" s="194" t="n"/>
    </row>
    <row r="309" ht="13.2" customHeight="1" s="1127">
      <c r="A309" s="194" t="n"/>
      <c r="B309" s="194" t="n"/>
      <c r="J309" s="194" t="n"/>
    </row>
    <row r="310" ht="13.2" customHeight="1" s="1127">
      <c r="A310" s="194" t="n"/>
      <c r="B310" s="194" t="n"/>
      <c r="J310" s="194" t="n"/>
    </row>
    <row r="311" ht="13.2" customHeight="1" s="1127">
      <c r="A311" s="194" t="n"/>
      <c r="B311" s="194" t="n"/>
      <c r="J311" s="194" t="n"/>
    </row>
    <row r="312" ht="13.2" customHeight="1" s="1127">
      <c r="A312" s="194" t="n"/>
      <c r="B312" s="194" t="n"/>
      <c r="J312" s="194" t="n"/>
    </row>
    <row r="313" ht="13.2" customHeight="1" s="1127">
      <c r="A313" s="194" t="n"/>
      <c r="B313" s="194" t="n"/>
      <c r="J313" s="194" t="n"/>
    </row>
    <row r="314" ht="13.2" customHeight="1" s="1127">
      <c r="A314" s="194" t="n"/>
      <c r="B314" s="194" t="n"/>
      <c r="J314" s="194" t="n"/>
    </row>
    <row r="315" ht="13.2" customHeight="1" s="1127">
      <c r="A315" s="194" t="n"/>
      <c r="B315" s="194" t="n"/>
      <c r="J315" s="194" t="n"/>
    </row>
    <row r="316" ht="13.2" customHeight="1" s="1127">
      <c r="A316" s="194" t="n"/>
      <c r="B316" s="194" t="n"/>
      <c r="J316" s="194" t="n"/>
    </row>
    <row r="317" ht="13.2" customHeight="1" s="1127">
      <c r="A317" s="194" t="n"/>
      <c r="B317" s="194" t="n"/>
      <c r="J317" s="194" t="n"/>
    </row>
    <row r="318" ht="13.2" customHeight="1" s="1127">
      <c r="A318" s="194" t="n"/>
      <c r="B318" s="194" t="n"/>
      <c r="J318" s="194" t="n"/>
    </row>
    <row r="319" ht="13.2" customHeight="1" s="1127">
      <c r="A319" s="194" t="n"/>
      <c r="B319" s="194" t="n"/>
      <c r="J319" s="194" t="n"/>
    </row>
    <row r="320" ht="13.2" customHeight="1" s="1127">
      <c r="A320" s="194" t="n"/>
      <c r="B320" s="194" t="n"/>
      <c r="J320" s="194" t="n"/>
    </row>
    <row r="321" ht="13.2" customHeight="1" s="1127">
      <c r="A321" s="194" t="n"/>
      <c r="B321" s="194" t="n"/>
      <c r="J321" s="194" t="n"/>
    </row>
    <row r="322" ht="13.2" customHeight="1" s="1127">
      <c r="A322" s="194" t="n"/>
      <c r="B322" s="194" t="n"/>
      <c r="J322" s="194" t="n"/>
    </row>
    <row r="323" ht="13.2" customHeight="1" s="1127">
      <c r="A323" s="194" t="n"/>
      <c r="B323" s="194" t="n"/>
      <c r="J323" s="194" t="n"/>
    </row>
    <row r="324" ht="13.2" customHeight="1" s="1127">
      <c r="A324" s="194" t="n"/>
      <c r="B324" s="194" t="n"/>
      <c r="J324" s="194" t="n"/>
    </row>
    <row r="325" ht="13.2" customHeight="1" s="1127">
      <c r="A325" s="194" t="n"/>
      <c r="B325" s="194" t="n"/>
      <c r="J325" s="194" t="n"/>
    </row>
    <row r="326" ht="13.2" customHeight="1" s="1127">
      <c r="A326" s="194" t="n"/>
      <c r="B326" s="194" t="n"/>
      <c r="J326" s="194" t="n"/>
    </row>
    <row r="327" ht="13.2" customHeight="1" s="1127">
      <c r="A327" s="194" t="n"/>
      <c r="B327" s="194" t="n"/>
      <c r="J327" s="194" t="n"/>
    </row>
    <row r="328" ht="13.2" customHeight="1" s="1127">
      <c r="A328" s="194" t="n"/>
      <c r="B328" s="194" t="n"/>
      <c r="J328" s="194" t="n"/>
    </row>
    <row r="329" ht="13.2" customHeight="1" s="1127">
      <c r="A329" s="194" t="n"/>
      <c r="B329" s="194" t="n"/>
      <c r="J329" s="194" t="n"/>
    </row>
    <row r="330" ht="13.2" customHeight="1" s="1127">
      <c r="A330" s="194" t="n"/>
      <c r="B330" s="194" t="n"/>
      <c r="J330" s="194" t="n"/>
    </row>
    <row r="331" ht="13.2" customHeight="1" s="1127">
      <c r="A331" s="194" t="n"/>
      <c r="B331" s="194" t="n"/>
      <c r="J331" s="194" t="n"/>
    </row>
    <row r="332" ht="13.2" customHeight="1" s="1127">
      <c r="A332" s="194" t="n"/>
      <c r="B332" s="194" t="n"/>
      <c r="J332" s="194" t="n"/>
    </row>
    <row r="333" ht="13.2" customHeight="1" s="1127">
      <c r="A333" s="194" t="n"/>
      <c r="B333" s="194" t="n"/>
      <c r="J333" s="194" t="n"/>
    </row>
    <row r="334" ht="13.2" customHeight="1" s="1127">
      <c r="A334" s="194" t="n"/>
      <c r="B334" s="194" t="n"/>
      <c r="J334" s="194" t="n"/>
    </row>
    <row r="335" ht="13.2" customHeight="1" s="1127">
      <c r="A335" s="194" t="n"/>
      <c r="B335" s="194" t="n"/>
      <c r="J335" s="194" t="n"/>
    </row>
    <row r="336" ht="13.2" customHeight="1" s="1127">
      <c r="A336" s="194" t="n"/>
      <c r="B336" s="194" t="n"/>
      <c r="J336" s="194" t="n"/>
    </row>
    <row r="337" ht="13.2" customHeight="1" s="1127">
      <c r="A337" s="194" t="n"/>
      <c r="B337" s="194" t="n"/>
      <c r="J337" s="194" t="n"/>
    </row>
    <row r="338" ht="13.2" customHeight="1" s="1127">
      <c r="A338" s="194" t="n"/>
      <c r="B338" s="194" t="n"/>
      <c r="J338" s="194" t="n"/>
    </row>
    <row r="339" ht="13.2" customHeight="1" s="1127">
      <c r="A339" s="194" t="n"/>
      <c r="B339" s="194" t="n"/>
      <c r="J339" s="194" t="n"/>
    </row>
    <row r="340" ht="13.2" customHeight="1" s="1127">
      <c r="A340" s="194" t="n"/>
      <c r="B340" s="194" t="n"/>
      <c r="J340" s="194" t="n"/>
    </row>
    <row r="341" ht="13.2" customHeight="1" s="1127">
      <c r="A341" s="194" t="n"/>
      <c r="B341" s="194" t="n"/>
      <c r="J341" s="194" t="n"/>
    </row>
    <row r="342" ht="13.2" customHeight="1" s="1127">
      <c r="A342" s="194" t="n"/>
      <c r="B342" s="194" t="n"/>
      <c r="J342" s="194" t="n"/>
    </row>
    <row r="343" ht="13.2" customHeight="1" s="1127">
      <c r="A343" s="194" t="n"/>
      <c r="B343" s="194" t="n"/>
      <c r="J343" s="194" t="n"/>
    </row>
    <row r="344" ht="13.2" customHeight="1" s="1127">
      <c r="A344" s="194" t="n"/>
      <c r="B344" s="194" t="n"/>
      <c r="J344" s="194" t="n"/>
    </row>
    <row r="345" ht="13.2" customHeight="1" s="1127">
      <c r="A345" s="194" t="n"/>
      <c r="B345" s="194" t="n"/>
      <c r="J345" s="194" t="n"/>
    </row>
    <row r="346" ht="13.2" customHeight="1" s="1127">
      <c r="A346" s="194" t="n"/>
      <c r="B346" s="194" t="n"/>
      <c r="J346" s="194" t="n"/>
    </row>
    <row r="347" ht="13.2" customHeight="1" s="1127">
      <c r="A347" s="194" t="n"/>
      <c r="B347" s="194" t="n"/>
      <c r="J347" s="194" t="n"/>
    </row>
    <row r="348" ht="13.2" customHeight="1" s="1127">
      <c r="A348" s="194" t="n"/>
      <c r="B348" s="194" t="n"/>
      <c r="J348" s="194" t="n"/>
    </row>
    <row r="349" ht="13.2" customHeight="1" s="1127">
      <c r="A349" s="194" t="n"/>
      <c r="B349" s="194" t="n"/>
      <c r="J349" s="194" t="n"/>
    </row>
    <row r="350" ht="13.2" customHeight="1" s="1127">
      <c r="A350" s="194" t="n"/>
      <c r="B350" s="194" t="n"/>
      <c r="J350" s="194" t="n"/>
    </row>
    <row r="351" ht="13.2" customHeight="1" s="1127">
      <c r="A351" s="194" t="n"/>
      <c r="B351" s="194" t="n"/>
      <c r="J351" s="194" t="n"/>
    </row>
    <row r="352" ht="13.2" customHeight="1" s="1127">
      <c r="A352" s="194" t="n"/>
      <c r="B352" s="194" t="n"/>
      <c r="J352" s="194" t="n"/>
    </row>
    <row r="353" ht="13.2" customHeight="1" s="1127">
      <c r="A353" s="194" t="n"/>
      <c r="B353" s="194" t="n"/>
      <c r="J353" s="194" t="n"/>
    </row>
    <row r="354" ht="13.2" customHeight="1" s="1127">
      <c r="A354" s="194" t="n"/>
      <c r="B354" s="194" t="n"/>
      <c r="J354" s="194" t="n"/>
    </row>
    <row r="355" ht="13.2" customHeight="1" s="1127">
      <c r="A355" s="194" t="n"/>
      <c r="B355" s="194" t="n"/>
      <c r="J355" s="194" t="n"/>
    </row>
    <row r="356" ht="13.2" customHeight="1" s="1127">
      <c r="A356" s="194" t="n"/>
      <c r="B356" s="194" t="n"/>
      <c r="J356" s="194" t="n"/>
    </row>
    <row r="357" ht="13.2" customHeight="1" s="1127">
      <c r="A357" s="194" t="n"/>
      <c r="B357" s="194" t="n"/>
      <c r="J357" s="194" t="n"/>
    </row>
    <row r="358" ht="13.2" customHeight="1" s="1127">
      <c r="A358" s="194" t="n"/>
      <c r="B358" s="194" t="n"/>
      <c r="J358" s="194" t="n"/>
    </row>
    <row r="359" ht="13.2" customHeight="1" s="1127">
      <c r="A359" s="194" t="n"/>
      <c r="B359" s="194" t="n"/>
      <c r="J359" s="194" t="n"/>
    </row>
    <row r="360" ht="13.2" customHeight="1" s="1127">
      <c r="A360" s="194" t="n"/>
      <c r="B360" s="194" t="n"/>
      <c r="J360" s="194" t="n"/>
    </row>
    <row r="361" ht="13.2" customHeight="1" s="1127">
      <c r="A361" s="194" t="n"/>
      <c r="B361" s="194" t="n"/>
      <c r="J361" s="194" t="n"/>
    </row>
    <row r="362" ht="13.2" customHeight="1" s="1127">
      <c r="A362" s="194" t="n"/>
      <c r="B362" s="194" t="n"/>
      <c r="J362" s="194" t="n"/>
    </row>
    <row r="363" ht="13.2" customHeight="1" s="1127">
      <c r="A363" s="194" t="n"/>
      <c r="B363" s="194" t="n"/>
      <c r="J363" s="194" t="n"/>
    </row>
    <row r="364" ht="13.2" customHeight="1" s="1127">
      <c r="A364" s="194" t="n"/>
      <c r="B364" s="194" t="n"/>
      <c r="J364" s="194" t="n"/>
    </row>
    <row r="365" ht="13.2" customHeight="1" s="1127">
      <c r="A365" s="194" t="n"/>
      <c r="B365" s="194" t="n"/>
      <c r="J365" s="194" t="n"/>
    </row>
    <row r="366" ht="13.2" customHeight="1" s="1127">
      <c r="A366" s="194" t="n"/>
      <c r="B366" s="194" t="n"/>
      <c r="J366" s="194" t="n"/>
    </row>
    <row r="367" ht="13.2" customHeight="1" s="1127">
      <c r="A367" s="194" t="n"/>
      <c r="B367" s="194" t="n"/>
      <c r="J367" s="194" t="n"/>
    </row>
    <row r="368" ht="13.2" customHeight="1" s="1127">
      <c r="A368" s="194" t="n"/>
      <c r="B368" s="194" t="n"/>
      <c r="J368" s="194" t="n"/>
    </row>
    <row r="369" ht="13.2" customHeight="1" s="1127">
      <c r="A369" s="194" t="n"/>
      <c r="B369" s="194" t="n"/>
      <c r="J369" s="194" t="n"/>
    </row>
    <row r="370" ht="13.2" customHeight="1" s="1127">
      <c r="A370" s="194" t="n"/>
      <c r="B370" s="194" t="n"/>
      <c r="J370" s="194" t="n"/>
    </row>
    <row r="371" ht="13.2" customHeight="1" s="1127">
      <c r="A371" s="194" t="n"/>
      <c r="B371" s="194" t="n"/>
      <c r="J371" s="194" t="n"/>
    </row>
    <row r="372" ht="13.2" customHeight="1" s="1127">
      <c r="A372" s="194" t="n"/>
      <c r="B372" s="194" t="n"/>
      <c r="J372" s="194" t="n"/>
    </row>
    <row r="373" ht="13.2" customHeight="1" s="1127">
      <c r="A373" s="194" t="n"/>
      <c r="B373" s="194" t="n"/>
      <c r="J373" s="194" t="n"/>
    </row>
    <row r="374" ht="13.2" customHeight="1" s="1127">
      <c r="A374" s="194" t="n"/>
      <c r="B374" s="194" t="n"/>
      <c r="J374" s="194" t="n"/>
    </row>
    <row r="375" ht="13.2" customHeight="1" s="1127">
      <c r="A375" s="194" t="n"/>
      <c r="B375" s="194" t="n"/>
      <c r="J375" s="194" t="n"/>
    </row>
    <row r="376" ht="13.2" customHeight="1" s="1127">
      <c r="A376" s="194" t="n"/>
      <c r="B376" s="194" t="n"/>
      <c r="J376" s="194" t="n"/>
    </row>
    <row r="377" ht="13.2" customHeight="1" s="1127">
      <c r="A377" s="194" t="n"/>
      <c r="B377" s="194" t="n"/>
      <c r="J377" s="194" t="n"/>
    </row>
    <row r="378" ht="13.2" customHeight="1" s="1127">
      <c r="A378" s="194" t="n"/>
      <c r="B378" s="194" t="n"/>
      <c r="J378" s="194" t="n"/>
    </row>
    <row r="379" ht="13.2" customHeight="1" s="1127">
      <c r="A379" s="194" t="n"/>
      <c r="B379" s="194" t="n"/>
      <c r="J379" s="194" t="n"/>
    </row>
    <row r="380" ht="13.2" customHeight="1" s="1127">
      <c r="A380" s="194" t="n"/>
      <c r="B380" s="194" t="n"/>
      <c r="J380" s="194" t="n"/>
    </row>
    <row r="381" ht="13.2" customHeight="1" s="1127">
      <c r="A381" s="194" t="n"/>
      <c r="B381" s="194" t="n"/>
      <c r="J381" s="194" t="n"/>
    </row>
    <row r="382" ht="13.2" customHeight="1" s="1127">
      <c r="A382" s="194" t="n"/>
      <c r="B382" s="194" t="n"/>
      <c r="J382" s="194" t="n"/>
    </row>
    <row r="383" ht="13.2" customHeight="1" s="1127">
      <c r="A383" s="194" t="n"/>
      <c r="B383" s="194" t="n"/>
      <c r="J383" s="194" t="n"/>
    </row>
    <row r="384" ht="13.2" customHeight="1" s="1127">
      <c r="A384" s="194" t="n"/>
      <c r="B384" s="194" t="n"/>
      <c r="J384" s="194" t="n"/>
    </row>
    <row r="385" ht="13.2" customHeight="1" s="1127">
      <c r="A385" s="194" t="n"/>
      <c r="B385" s="194" t="n"/>
      <c r="J385" s="194" t="n"/>
    </row>
    <row r="386" ht="13.2" customHeight="1" s="1127">
      <c r="A386" s="194" t="n"/>
      <c r="B386" s="194" t="n"/>
      <c r="J386" s="194" t="n"/>
    </row>
    <row r="387" ht="13.2" customHeight="1" s="1127">
      <c r="A387" s="194" t="n"/>
      <c r="B387" s="194" t="n"/>
      <c r="J387" s="194" t="n"/>
    </row>
    <row r="388" ht="13.2" customHeight="1" s="1127">
      <c r="A388" s="194" t="n"/>
      <c r="B388" s="194" t="n"/>
      <c r="J388" s="194" t="n"/>
    </row>
    <row r="389" ht="13.2" customHeight="1" s="1127">
      <c r="A389" s="194" t="n"/>
      <c r="B389" s="194" t="n"/>
      <c r="J389" s="194" t="n"/>
    </row>
    <row r="390" ht="13.2" customHeight="1" s="1127">
      <c r="A390" s="194" t="n"/>
      <c r="B390" s="194" t="n"/>
      <c r="J390" s="194" t="n"/>
    </row>
    <row r="391" ht="13.2" customHeight="1" s="1127">
      <c r="A391" s="194" t="n"/>
      <c r="B391" s="194" t="n"/>
      <c r="J391" s="194" t="n"/>
    </row>
    <row r="392" ht="13.2" customHeight="1" s="1127">
      <c r="A392" s="194" t="n"/>
      <c r="B392" s="194" t="n"/>
      <c r="J392" s="194" t="n"/>
    </row>
    <row r="393" ht="13.2" customHeight="1" s="1127">
      <c r="A393" s="194" t="n"/>
      <c r="B393" s="194" t="n"/>
      <c r="J393" s="194" t="n"/>
    </row>
    <row r="394" ht="13.2" customHeight="1" s="1127">
      <c r="A394" s="194" t="n"/>
      <c r="B394" s="194" t="n"/>
      <c r="J394" s="194" t="n"/>
    </row>
    <row r="395" ht="13.2" customHeight="1" s="1127">
      <c r="A395" s="194" t="n"/>
      <c r="B395" s="194" t="n"/>
      <c r="J395" s="194" t="n"/>
    </row>
    <row r="396" ht="13.2" customHeight="1" s="1127">
      <c r="A396" s="194" t="n"/>
      <c r="B396" s="194" t="n"/>
      <c r="J396" s="194" t="n"/>
    </row>
    <row r="397" ht="13.2" customHeight="1" s="1127">
      <c r="A397" s="194" t="n"/>
      <c r="B397" s="194" t="n"/>
      <c r="J397" s="194" t="n"/>
    </row>
    <row r="398" ht="13.2" customHeight="1" s="1127">
      <c r="A398" s="194" t="n"/>
      <c r="B398" s="194" t="n"/>
      <c r="J398" s="194" t="n"/>
    </row>
    <row r="399" ht="13.2" customHeight="1" s="1127">
      <c r="A399" s="194" t="n"/>
      <c r="B399" s="194" t="n"/>
      <c r="J399" s="194" t="n"/>
    </row>
    <row r="400" ht="13.2" customHeight="1" s="1127">
      <c r="A400" s="194" t="n"/>
      <c r="B400" s="194" t="n"/>
      <c r="J400" s="194" t="n"/>
    </row>
    <row r="401" ht="13.2" customHeight="1" s="1127">
      <c r="A401" s="194" t="n"/>
      <c r="B401" s="194" t="n"/>
      <c r="J401" s="194" t="n"/>
    </row>
    <row r="402" ht="13.2" customHeight="1" s="1127">
      <c r="A402" s="194" t="n"/>
      <c r="B402" s="194" t="n"/>
      <c r="J402" s="194" t="n"/>
    </row>
    <row r="403" ht="13.2" customHeight="1" s="1127">
      <c r="A403" s="194" t="n"/>
      <c r="B403" s="194" t="n"/>
      <c r="J403" s="194" t="n"/>
    </row>
    <row r="404" ht="13.2" customHeight="1" s="1127">
      <c r="A404" s="194" t="n"/>
      <c r="B404" s="194" t="n"/>
      <c r="J404" s="194" t="n"/>
    </row>
    <row r="405" ht="13.2" customHeight="1" s="1127">
      <c r="A405" s="194" t="n"/>
      <c r="B405" s="194" t="n"/>
      <c r="J405" s="194" t="n"/>
    </row>
    <row r="406" ht="13.2" customHeight="1" s="1127">
      <c r="A406" s="194" t="n"/>
      <c r="B406" s="194" t="n"/>
      <c r="J406" s="194" t="n"/>
    </row>
    <row r="407" ht="13.2" customHeight="1" s="1127">
      <c r="A407" s="194" t="n"/>
      <c r="B407" s="194" t="n"/>
      <c r="J407" s="194" t="n"/>
    </row>
    <row r="408" ht="13.2" customHeight="1" s="1127">
      <c r="A408" s="194" t="n"/>
      <c r="B408" s="194" t="n"/>
      <c r="J408" s="194" t="n"/>
    </row>
    <row r="409" ht="13.2" customHeight="1" s="1127">
      <c r="A409" s="194" t="n"/>
      <c r="B409" s="194" t="n"/>
      <c r="J409" s="194" t="n"/>
    </row>
    <row r="410" ht="13.2" customHeight="1" s="1127">
      <c r="A410" s="194" t="n"/>
      <c r="B410" s="194" t="n"/>
      <c r="J410" s="194" t="n"/>
    </row>
    <row r="411" ht="13.2" customHeight="1" s="1127">
      <c r="A411" s="194" t="n"/>
      <c r="B411" s="194" t="n"/>
      <c r="J411" s="194" t="n"/>
    </row>
    <row r="412" ht="13.2" customHeight="1" s="1127">
      <c r="A412" s="194" t="n"/>
      <c r="B412" s="194" t="n"/>
      <c r="J412" s="194" t="n"/>
    </row>
    <row r="413" ht="13.2" customHeight="1" s="1127">
      <c r="A413" s="194" t="n"/>
      <c r="B413" s="194" t="n"/>
      <c r="J413" s="194" t="n"/>
    </row>
    <row r="414" ht="13.2" customHeight="1" s="1127">
      <c r="A414" s="194" t="n"/>
      <c r="B414" s="194" t="n"/>
      <c r="J414" s="194" t="n"/>
    </row>
    <row r="415" ht="13.2" customHeight="1" s="1127">
      <c r="A415" s="194" t="n"/>
      <c r="B415" s="194" t="n"/>
      <c r="J415" s="194" t="n"/>
    </row>
    <row r="416" ht="13.2" customHeight="1" s="1127">
      <c r="A416" s="194" t="n"/>
      <c r="B416" s="194" t="n"/>
      <c r="J416" s="194" t="n"/>
    </row>
    <row r="417" ht="13.2" customHeight="1" s="1127">
      <c r="A417" s="194" t="n"/>
      <c r="B417" s="194" t="n"/>
      <c r="J417" s="194" t="n"/>
    </row>
    <row r="418" ht="13.2" customHeight="1" s="1127">
      <c r="A418" s="194" t="n"/>
      <c r="B418" s="194" t="n"/>
      <c r="J418" s="194" t="n"/>
    </row>
    <row r="419" ht="13.2" customHeight="1" s="1127">
      <c r="A419" s="194" t="n"/>
      <c r="B419" s="194" t="n"/>
      <c r="J419" s="194" t="n"/>
    </row>
    <row r="420" ht="13.2" customHeight="1" s="1127">
      <c r="A420" s="194" t="n"/>
      <c r="B420" s="194" t="n"/>
      <c r="J420" s="194" t="n"/>
    </row>
    <row r="421" ht="13.2" customHeight="1" s="1127">
      <c r="A421" s="194" t="n"/>
      <c r="B421" s="194" t="n"/>
      <c r="J421" s="194" t="n"/>
    </row>
    <row r="422" ht="13.2" customHeight="1" s="1127">
      <c r="A422" s="194" t="n"/>
      <c r="B422" s="194" t="n"/>
      <c r="J422" s="194" t="n"/>
    </row>
    <row r="423" ht="13.2" customHeight="1" s="1127">
      <c r="A423" s="194" t="n"/>
      <c r="B423" s="194" t="n"/>
      <c r="J423" s="194" t="n"/>
    </row>
    <row r="424" ht="13.2" customHeight="1" s="1127">
      <c r="A424" s="194" t="n"/>
      <c r="B424" s="194" t="n"/>
      <c r="J424" s="194" t="n"/>
    </row>
    <row r="425" ht="13.2" customHeight="1" s="1127">
      <c r="A425" s="194" t="n"/>
      <c r="B425" s="194" t="n"/>
      <c r="J425" s="194" t="n"/>
    </row>
    <row r="426" ht="13.2" customHeight="1" s="1127">
      <c r="A426" s="194" t="n"/>
      <c r="B426" s="194" t="n"/>
      <c r="J426" s="194" t="n"/>
    </row>
    <row r="427" ht="13.2" customHeight="1" s="1127">
      <c r="A427" s="194" t="n"/>
      <c r="B427" s="194" t="n"/>
      <c r="J427" s="194" t="n"/>
    </row>
    <row r="428" ht="13.2" customHeight="1" s="1127">
      <c r="A428" s="194" t="n"/>
      <c r="B428" s="194" t="n"/>
      <c r="J428" s="194" t="n"/>
    </row>
    <row r="429" ht="13.2" customHeight="1" s="1127">
      <c r="A429" s="194" t="n"/>
      <c r="B429" s="194" t="n"/>
      <c r="J429" s="194" t="n"/>
    </row>
    <row r="430" ht="13.2" customHeight="1" s="1127">
      <c r="A430" s="194" t="n"/>
      <c r="B430" s="194" t="n"/>
      <c r="J430" s="194" t="n"/>
    </row>
    <row r="431" ht="13.2" customHeight="1" s="1127">
      <c r="A431" s="194" t="n"/>
      <c r="B431" s="194" t="n"/>
      <c r="J431" s="194" t="n"/>
    </row>
    <row r="432" ht="13.2" customHeight="1" s="1127">
      <c r="A432" s="194" t="n"/>
      <c r="B432" s="194" t="n"/>
      <c r="J432" s="194" t="n"/>
    </row>
    <row r="433" ht="13.2" customHeight="1" s="1127">
      <c r="A433" s="194" t="n"/>
      <c r="B433" s="194" t="n"/>
      <c r="J433" s="194" t="n"/>
    </row>
    <row r="434" ht="13.2" customHeight="1" s="1127">
      <c r="A434" s="194" t="n"/>
      <c r="B434" s="194" t="n"/>
      <c r="J434" s="194" t="n"/>
    </row>
    <row r="435" ht="13.2" customHeight="1" s="1127">
      <c r="A435" s="194" t="n"/>
      <c r="B435" s="194" t="n"/>
      <c r="J435" s="194" t="n"/>
    </row>
    <row r="436" ht="13.2" customHeight="1" s="1127">
      <c r="A436" s="194" t="n"/>
      <c r="B436" s="194" t="n"/>
      <c r="J436" s="194" t="n"/>
    </row>
    <row r="437" ht="13.2" customHeight="1" s="1127">
      <c r="A437" s="194" t="n"/>
      <c r="B437" s="194" t="n"/>
      <c r="J437" s="194" t="n"/>
    </row>
    <row r="438" ht="13.2" customHeight="1" s="1127">
      <c r="A438" s="194" t="n"/>
      <c r="B438" s="194" t="n"/>
      <c r="J438" s="194" t="n"/>
    </row>
    <row r="439" ht="13.2" customHeight="1" s="1127">
      <c r="A439" s="194" t="n"/>
      <c r="B439" s="194" t="n"/>
      <c r="J439" s="194" t="n"/>
    </row>
    <row r="440" ht="13.2" customHeight="1" s="1127">
      <c r="A440" s="194" t="n"/>
      <c r="B440" s="194" t="n"/>
      <c r="J440" s="194" t="n"/>
    </row>
    <row r="441" ht="13.2" customHeight="1" s="1127">
      <c r="A441" s="194" t="n"/>
      <c r="B441" s="194" t="n"/>
      <c r="J441" s="194" t="n"/>
    </row>
    <row r="442" ht="13.2" customHeight="1" s="1127">
      <c r="A442" s="194" t="n"/>
      <c r="B442" s="194" t="n"/>
      <c r="J442" s="194" t="n"/>
    </row>
    <row r="443" ht="13.2" customHeight="1" s="1127">
      <c r="A443" s="194" t="n"/>
      <c r="B443" s="194" t="n"/>
      <c r="J443" s="194" t="n"/>
    </row>
    <row r="444" ht="13.2" customHeight="1" s="1127">
      <c r="A444" s="194" t="n"/>
      <c r="B444" s="194" t="n"/>
      <c r="J444" s="194" t="n"/>
    </row>
    <row r="445" ht="13.2" customHeight="1" s="1127">
      <c r="A445" s="194" t="n"/>
      <c r="B445" s="194" t="n"/>
      <c r="J445" s="194" t="n"/>
    </row>
    <row r="446" ht="13.2" customHeight="1" s="1127">
      <c r="A446" s="194" t="n"/>
      <c r="B446" s="194" t="n"/>
      <c r="J446" s="194" t="n"/>
    </row>
    <row r="447" ht="13.2" customHeight="1" s="1127">
      <c r="A447" s="194" t="n"/>
      <c r="B447" s="194" t="n"/>
      <c r="J447" s="194" t="n"/>
    </row>
    <row r="448" ht="13.2" customHeight="1" s="1127">
      <c r="A448" s="194" t="n"/>
      <c r="B448" s="194" t="n"/>
      <c r="J448" s="194" t="n"/>
    </row>
    <row r="449" ht="13.2" customHeight="1" s="1127">
      <c r="A449" s="194" t="n"/>
      <c r="B449" s="194" t="n"/>
      <c r="J449" s="194" t="n"/>
    </row>
    <row r="450" ht="13.2" customHeight="1" s="1127">
      <c r="A450" s="194" t="n"/>
      <c r="B450" s="194" t="n"/>
      <c r="J450" s="194" t="n"/>
    </row>
    <row r="451" ht="13.2" customHeight="1" s="1127">
      <c r="A451" s="194" t="n"/>
      <c r="B451" s="194" t="n"/>
      <c r="J451" s="194" t="n"/>
    </row>
    <row r="452" ht="13.2" customHeight="1" s="1127">
      <c r="A452" s="194" t="n"/>
      <c r="B452" s="194" t="n"/>
      <c r="J452" s="194" t="n"/>
    </row>
    <row r="453" ht="13.2" customHeight="1" s="1127">
      <c r="A453" s="194" t="n"/>
      <c r="B453" s="194" t="n"/>
      <c r="J453" s="194" t="n"/>
    </row>
    <row r="454" ht="13.2" customHeight="1" s="1127">
      <c r="A454" s="194" t="n"/>
      <c r="B454" s="194" t="n"/>
      <c r="J454" s="194" t="n"/>
    </row>
    <row r="455" ht="13.2" customHeight="1" s="1127">
      <c r="A455" s="194" t="n"/>
      <c r="B455" s="194" t="n"/>
      <c r="J455" s="194" t="n"/>
    </row>
    <row r="456" ht="13.2" customHeight="1" s="1127">
      <c r="A456" s="194" t="n"/>
      <c r="B456" s="194" t="n"/>
      <c r="J456" s="194" t="n"/>
    </row>
    <row r="457" ht="13.2" customHeight="1" s="1127">
      <c r="A457" s="194" t="n"/>
      <c r="B457" s="194" t="n"/>
      <c r="J457" s="194" t="n"/>
    </row>
    <row r="458" ht="13.2" customHeight="1" s="1127">
      <c r="A458" s="194" t="n"/>
      <c r="B458" s="194" t="n"/>
      <c r="J458" s="194" t="n"/>
    </row>
    <row r="459" ht="13.2" customHeight="1" s="1127">
      <c r="A459" s="194" t="n"/>
      <c r="B459" s="194" t="n"/>
      <c r="J459" s="194" t="n"/>
    </row>
    <row r="460" ht="13.2" customHeight="1" s="1127">
      <c r="A460" s="194" t="n"/>
      <c r="B460" s="194" t="n"/>
      <c r="J460" s="194" t="n"/>
    </row>
    <row r="461" ht="13.2" customHeight="1" s="1127">
      <c r="A461" s="194" t="n"/>
      <c r="B461" s="194" t="n"/>
      <c r="J461" s="194" t="n"/>
    </row>
    <row r="462" ht="13.2" customHeight="1" s="1127">
      <c r="A462" s="194" t="n"/>
      <c r="B462" s="194" t="n"/>
      <c r="J462" s="194" t="n"/>
    </row>
    <row r="463" ht="13.2" customHeight="1" s="1127">
      <c r="A463" s="194" t="n"/>
      <c r="B463" s="194" t="n"/>
      <c r="J463" s="194" t="n"/>
    </row>
    <row r="464" ht="13.2" customHeight="1" s="1127">
      <c r="A464" s="194" t="n"/>
      <c r="B464" s="194" t="n"/>
      <c r="J464" s="194" t="n"/>
    </row>
    <row r="465" ht="13.2" customHeight="1" s="1127">
      <c r="A465" s="194" t="n"/>
      <c r="B465" s="194" t="n"/>
      <c r="J465" s="194" t="n"/>
    </row>
    <row r="466" ht="13.2" customHeight="1" s="1127">
      <c r="A466" s="194" t="n"/>
      <c r="B466" s="194" t="n"/>
      <c r="J466" s="194" t="n"/>
    </row>
    <row r="467" ht="13.2" customHeight="1" s="1127">
      <c r="A467" s="194" t="n"/>
      <c r="B467" s="194" t="n"/>
      <c r="J467" s="194" t="n"/>
    </row>
    <row r="468" ht="13.2" customHeight="1" s="1127">
      <c r="A468" s="194" t="n"/>
      <c r="B468" s="194" t="n"/>
      <c r="J468" s="194" t="n"/>
    </row>
    <row r="469" ht="13.2" customHeight="1" s="1127">
      <c r="A469" s="194" t="n"/>
      <c r="B469" s="194" t="n"/>
      <c r="J469" s="194" t="n"/>
    </row>
    <row r="470" ht="13.2" customHeight="1" s="1127">
      <c r="A470" s="194" t="n"/>
      <c r="B470" s="194" t="n"/>
      <c r="J470" s="194" t="n"/>
    </row>
    <row r="471" ht="13.2" customHeight="1" s="1127">
      <c r="A471" s="194" t="n"/>
      <c r="B471" s="194" t="n"/>
      <c r="J471" s="194" t="n"/>
    </row>
    <row r="472" ht="13.2" customHeight="1" s="1127">
      <c r="A472" s="194" t="n"/>
      <c r="B472" s="194" t="n"/>
      <c r="J472" s="194" t="n"/>
    </row>
    <row r="473" ht="13.2" customHeight="1" s="1127">
      <c r="A473" s="194" t="n"/>
      <c r="B473" s="194" t="n"/>
      <c r="J473" s="194" t="n"/>
    </row>
    <row r="474" ht="13.2" customHeight="1" s="1127">
      <c r="A474" s="194" t="n"/>
      <c r="B474" s="194" t="n"/>
      <c r="J474" s="194" t="n"/>
    </row>
    <row r="475" ht="13.2" customHeight="1" s="1127">
      <c r="A475" s="194" t="n"/>
      <c r="B475" s="194" t="n"/>
      <c r="J475" s="194" t="n"/>
    </row>
    <row r="476" ht="13.2" customHeight="1" s="1127">
      <c r="A476" s="194" t="n"/>
      <c r="B476" s="194" t="n"/>
      <c r="J476" s="194" t="n"/>
    </row>
    <row r="477" ht="13.2" customHeight="1" s="1127">
      <c r="A477" s="194" t="n"/>
      <c r="B477" s="194" t="n"/>
      <c r="J477" s="194" t="n"/>
    </row>
    <row r="478" ht="13.2" customHeight="1" s="1127">
      <c r="A478" s="194" t="n"/>
      <c r="B478" s="194" t="n"/>
      <c r="J478" s="194" t="n"/>
    </row>
    <row r="479" ht="13.2" customHeight="1" s="1127">
      <c r="A479" s="194" t="n"/>
      <c r="B479" s="194" t="n"/>
      <c r="J479" s="194" t="n"/>
    </row>
    <row r="480" ht="13.2" customHeight="1" s="1127">
      <c r="A480" s="194" t="n"/>
      <c r="B480" s="194" t="n"/>
      <c r="J480" s="194" t="n"/>
    </row>
    <row r="481" ht="13.2" customHeight="1" s="1127">
      <c r="A481" s="194" t="n"/>
      <c r="B481" s="194" t="n"/>
      <c r="J481" s="194" t="n"/>
    </row>
    <row r="482" ht="13.2" customHeight="1" s="1127">
      <c r="A482" s="194" t="n"/>
      <c r="B482" s="194" t="n"/>
      <c r="J482" s="194" t="n"/>
    </row>
    <row r="483" ht="13.2" customHeight="1" s="1127">
      <c r="A483" s="194" t="n"/>
      <c r="B483" s="194" t="n"/>
      <c r="J483" s="194" t="n"/>
    </row>
    <row r="484" ht="13.2" customHeight="1" s="1127">
      <c r="A484" s="194" t="n"/>
      <c r="B484" s="194" t="n"/>
      <c r="J484" s="194" t="n"/>
    </row>
    <row r="485" ht="13.2" customHeight="1" s="1127">
      <c r="A485" s="194" t="n"/>
      <c r="B485" s="194" t="n"/>
      <c r="J485" s="194" t="n"/>
    </row>
    <row r="486" ht="13.2" customHeight="1" s="1127">
      <c r="A486" s="194" t="n"/>
      <c r="B486" s="194" t="n"/>
      <c r="J486" s="194" t="n"/>
    </row>
    <row r="487" ht="13.2" customHeight="1" s="1127">
      <c r="A487" s="194" t="n"/>
      <c r="B487" s="194" t="n"/>
      <c r="J487" s="194" t="n"/>
    </row>
    <row r="488" ht="13.2" customHeight="1" s="1127">
      <c r="A488" s="194" t="n"/>
      <c r="B488" s="194" t="n"/>
      <c r="J488" s="194" t="n"/>
    </row>
    <row r="489" ht="13.2" customHeight="1" s="1127">
      <c r="A489" s="194" t="n"/>
      <c r="B489" s="194" t="n"/>
      <c r="J489" s="194" t="n"/>
    </row>
    <row r="490" ht="13.2" customHeight="1" s="1127">
      <c r="A490" s="194" t="n"/>
      <c r="B490" s="194" t="n"/>
      <c r="J490" s="194" t="n"/>
    </row>
    <row r="491" ht="13.2" customHeight="1" s="1127">
      <c r="A491" s="194" t="n"/>
      <c r="B491" s="194" t="n"/>
      <c r="J491" s="194" t="n"/>
    </row>
    <row r="492" ht="13.2" customHeight="1" s="1127">
      <c r="A492" s="194" t="n"/>
      <c r="B492" s="194" t="n"/>
      <c r="J492" s="194" t="n"/>
    </row>
    <row r="493" ht="13.2" customHeight="1" s="1127">
      <c r="A493" s="194" t="n"/>
      <c r="B493" s="194" t="n"/>
      <c r="J493" s="194" t="n"/>
    </row>
    <row r="494" ht="13.2" customHeight="1" s="1127">
      <c r="A494" s="194" t="n"/>
      <c r="B494" s="194" t="n"/>
      <c r="J494" s="194" t="n"/>
    </row>
    <row r="495" ht="13.2" customHeight="1" s="1127">
      <c r="A495" s="194" t="n"/>
      <c r="B495" s="194" t="n"/>
      <c r="J495" s="194" t="n"/>
    </row>
    <row r="496" ht="13.2" customHeight="1" s="1127">
      <c r="A496" s="194" t="n"/>
      <c r="B496" s="194" t="n"/>
      <c r="J496" s="194" t="n"/>
    </row>
    <row r="497" ht="13.2" customHeight="1" s="1127">
      <c r="A497" s="194" t="n"/>
      <c r="B497" s="194" t="n"/>
      <c r="J497" s="194" t="n"/>
    </row>
    <row r="498" ht="13.2" customHeight="1" s="1127">
      <c r="A498" s="194" t="n"/>
      <c r="B498" s="194" t="n"/>
      <c r="J498" s="194" t="n"/>
    </row>
    <row r="499" ht="13.2" customHeight="1" s="1127">
      <c r="A499" s="194" t="n"/>
      <c r="B499" s="194" t="n"/>
      <c r="J499" s="194" t="n"/>
    </row>
    <row r="500" ht="13.2" customHeight="1" s="1127">
      <c r="A500" s="194" t="n"/>
      <c r="B500" s="194" t="n"/>
      <c r="J500" s="194" t="n"/>
    </row>
    <row r="501" ht="13.2" customHeight="1" s="1127">
      <c r="A501" s="194" t="n"/>
      <c r="B501" s="194" t="n"/>
      <c r="J501" s="194" t="n"/>
    </row>
    <row r="502" ht="13.2" customHeight="1" s="1127">
      <c r="A502" s="194" t="n"/>
      <c r="B502" s="194" t="n"/>
      <c r="J502" s="194" t="n"/>
    </row>
    <row r="503" ht="13.2" customHeight="1" s="1127">
      <c r="A503" s="194" t="n"/>
      <c r="B503" s="194" t="n"/>
      <c r="J503" s="194" t="n"/>
    </row>
    <row r="504" ht="13.2" customHeight="1" s="1127">
      <c r="A504" s="194" t="n"/>
      <c r="B504" s="194" t="n"/>
      <c r="J504" s="194" t="n"/>
    </row>
    <row r="505" ht="13.2" customHeight="1" s="1127">
      <c r="A505" s="194" t="n"/>
      <c r="B505" s="194" t="n"/>
      <c r="J505" s="194" t="n"/>
    </row>
    <row r="506" ht="13.2" customHeight="1" s="1127">
      <c r="A506" s="194" t="n"/>
      <c r="B506" s="194" t="n"/>
      <c r="J506" s="194" t="n"/>
    </row>
    <row r="507" ht="13.2" customHeight="1" s="1127">
      <c r="A507" s="194" t="n"/>
      <c r="B507" s="194" t="n"/>
      <c r="J507" s="194" t="n"/>
    </row>
    <row r="508" ht="13.2" customHeight="1" s="1127">
      <c r="A508" s="194" t="n"/>
      <c r="B508" s="194" t="n"/>
      <c r="J508" s="194" t="n"/>
    </row>
    <row r="509" ht="13.2" customHeight="1" s="1127">
      <c r="A509" s="194" t="n"/>
      <c r="B509" s="194" t="n"/>
      <c r="J509" s="194" t="n"/>
    </row>
    <row r="510" ht="13.2" customHeight="1" s="1127">
      <c r="A510" s="194" t="n"/>
      <c r="B510" s="194" t="n"/>
      <c r="J510" s="194" t="n"/>
    </row>
    <row r="511" ht="13.2" customHeight="1" s="1127">
      <c r="A511" s="194" t="n"/>
      <c r="B511" s="194" t="n"/>
      <c r="J511" s="194" t="n"/>
    </row>
    <row r="512" ht="13.2" customHeight="1" s="1127">
      <c r="A512" s="194" t="n"/>
      <c r="B512" s="194" t="n"/>
      <c r="J512" s="194" t="n"/>
    </row>
    <row r="513" ht="13.2" customHeight="1" s="1127">
      <c r="A513" s="194" t="n"/>
      <c r="B513" s="194" t="n"/>
      <c r="J513" s="194" t="n"/>
    </row>
    <row r="514" ht="13.2" customHeight="1" s="1127">
      <c r="A514" s="194" t="n"/>
      <c r="B514" s="194" t="n"/>
      <c r="J514" s="194" t="n"/>
    </row>
    <row r="515" ht="13.2" customHeight="1" s="1127">
      <c r="A515" s="194" t="n"/>
      <c r="B515" s="194" t="n"/>
      <c r="J515" s="194" t="n"/>
    </row>
    <row r="516" ht="13.2" customHeight="1" s="1127">
      <c r="A516" s="194" t="n"/>
      <c r="B516" s="194" t="n"/>
      <c r="J516" s="194" t="n"/>
    </row>
    <row r="517" ht="13.2" customHeight="1" s="1127">
      <c r="A517" s="194" t="n"/>
      <c r="B517" s="194" t="n"/>
      <c r="J517" s="194" t="n"/>
    </row>
    <row r="518" ht="13.2" customHeight="1" s="1127">
      <c r="A518" s="194" t="n"/>
      <c r="B518" s="194" t="n"/>
      <c r="J518" s="194" t="n"/>
    </row>
    <row r="519" ht="13.2" customHeight="1" s="1127">
      <c r="A519" s="194" t="n"/>
      <c r="B519" s="194" t="n"/>
      <c r="J519" s="194" t="n"/>
    </row>
    <row r="520" ht="13.2" customHeight="1" s="1127">
      <c r="A520" s="194" t="n"/>
      <c r="B520" s="194" t="n"/>
      <c r="J520" s="194" t="n"/>
    </row>
    <row r="521" ht="13.2" customHeight="1" s="1127">
      <c r="A521" s="194" t="n"/>
      <c r="B521" s="194" t="n"/>
      <c r="J521" s="194" t="n"/>
    </row>
    <row r="522" ht="13.2" customHeight="1" s="1127">
      <c r="A522" s="194" t="n"/>
      <c r="B522" s="194" t="n"/>
      <c r="J522" s="194" t="n"/>
    </row>
    <row r="523" ht="13.2" customHeight="1" s="1127">
      <c r="A523" s="194" t="n"/>
      <c r="B523" s="194" t="n"/>
      <c r="J523" s="194" t="n"/>
    </row>
    <row r="524" ht="13.2" customHeight="1" s="1127">
      <c r="A524" s="194" t="n"/>
      <c r="B524" s="194" t="n"/>
      <c r="J524" s="194" t="n"/>
    </row>
    <row r="525" ht="13.2" customHeight="1" s="1127">
      <c r="A525" s="194" t="n"/>
      <c r="B525" s="194" t="n"/>
      <c r="J525" s="194" t="n"/>
    </row>
    <row r="526" ht="13.2" customHeight="1" s="1127">
      <c r="A526" s="194" t="n"/>
      <c r="B526" s="194" t="n"/>
      <c r="J526" s="194" t="n"/>
    </row>
    <row r="527" ht="13.2" customHeight="1" s="1127">
      <c r="A527" s="194" t="n"/>
      <c r="B527" s="194" t="n"/>
      <c r="J527" s="194" t="n"/>
    </row>
    <row r="528" ht="13.2" customHeight="1" s="1127">
      <c r="A528" s="194" t="n"/>
      <c r="B528" s="194" t="n"/>
      <c r="J528" s="194" t="n"/>
    </row>
    <row r="529" ht="13.2" customHeight="1" s="1127">
      <c r="A529" s="194" t="n"/>
      <c r="B529" s="194" t="n"/>
      <c r="J529" s="194" t="n"/>
    </row>
    <row r="530" ht="13.2" customHeight="1" s="1127">
      <c r="A530" s="194" t="n"/>
      <c r="B530" s="194" t="n"/>
      <c r="J530" s="194" t="n"/>
    </row>
    <row r="531" ht="13.2" customHeight="1" s="1127">
      <c r="A531" s="194" t="n"/>
      <c r="B531" s="194" t="n"/>
      <c r="J531" s="194" t="n"/>
    </row>
    <row r="532" ht="13.2" customHeight="1" s="1127">
      <c r="A532" s="194" t="n"/>
      <c r="B532" s="194" t="n"/>
      <c r="J532" s="194" t="n"/>
    </row>
    <row r="533" ht="13.2" customHeight="1" s="1127">
      <c r="A533" s="194" t="n"/>
      <c r="B533" s="194" t="n"/>
      <c r="J533" s="194" t="n"/>
    </row>
    <row r="534" ht="13.2" customHeight="1" s="1127">
      <c r="A534" s="194" t="n"/>
      <c r="B534" s="194" t="n"/>
      <c r="J534" s="194" t="n"/>
    </row>
    <row r="535" ht="13.2" customHeight="1" s="1127">
      <c r="A535" s="194" t="n"/>
      <c r="B535" s="194" t="n"/>
      <c r="J535" s="194" t="n"/>
    </row>
    <row r="536" ht="13.2" customHeight="1" s="1127">
      <c r="A536" s="194" t="n"/>
      <c r="B536" s="194" t="n"/>
      <c r="J536" s="194" t="n"/>
    </row>
    <row r="537" ht="13.2" customHeight="1" s="1127">
      <c r="A537" s="194" t="n"/>
      <c r="B537" s="194" t="n"/>
      <c r="J537" s="194" t="n"/>
    </row>
    <row r="538" ht="13.2" customHeight="1" s="1127">
      <c r="A538" s="194" t="n"/>
      <c r="B538" s="194" t="n"/>
      <c r="J538" s="194" t="n"/>
    </row>
    <row r="539" ht="13.2" customHeight="1" s="1127">
      <c r="A539" s="194" t="n"/>
      <c r="B539" s="194" t="n"/>
      <c r="J539" s="194" t="n"/>
    </row>
    <row r="540" ht="13.2" customHeight="1" s="1127">
      <c r="A540" s="194" t="n"/>
      <c r="B540" s="194" t="n"/>
      <c r="J540" s="194" t="n"/>
    </row>
    <row r="541" ht="13.2" customHeight="1" s="1127">
      <c r="A541" s="194" t="n"/>
      <c r="B541" s="194" t="n"/>
      <c r="J541" s="194" t="n"/>
    </row>
    <row r="542" ht="13.2" customHeight="1" s="1127">
      <c r="A542" s="194" t="n"/>
      <c r="B542" s="194" t="n"/>
      <c r="J542" s="194" t="n"/>
    </row>
    <row r="543" ht="13.2" customHeight="1" s="1127">
      <c r="A543" s="194" t="n"/>
      <c r="B543" s="194" t="n"/>
      <c r="J543" s="194" t="n"/>
    </row>
    <row r="544" ht="13.2" customHeight="1" s="1127">
      <c r="A544" s="194" t="n"/>
      <c r="B544" s="194" t="n"/>
      <c r="J544" s="194" t="n"/>
    </row>
    <row r="545" ht="13.2" customHeight="1" s="1127">
      <c r="A545" s="194" t="n"/>
      <c r="B545" s="194" t="n"/>
      <c r="J545" s="194" t="n"/>
    </row>
    <row r="546" ht="13.2" customHeight="1" s="1127">
      <c r="A546" s="194" t="n"/>
      <c r="B546" s="194" t="n"/>
      <c r="J546" s="194" t="n"/>
    </row>
    <row r="547" ht="13.2" customHeight="1" s="1127">
      <c r="A547" s="194" t="n"/>
      <c r="B547" s="194" t="n"/>
      <c r="J547" s="194" t="n"/>
    </row>
    <row r="548" ht="13.2" customHeight="1" s="1127">
      <c r="A548" s="194" t="n"/>
      <c r="B548" s="194" t="n"/>
      <c r="J548" s="194" t="n"/>
    </row>
    <row r="549" ht="13.2" customHeight="1" s="1127">
      <c r="A549" s="194" t="n"/>
      <c r="B549" s="194" t="n"/>
      <c r="J549" s="194" t="n"/>
    </row>
    <row r="550" ht="13.2" customHeight="1" s="1127">
      <c r="A550" s="194" t="n"/>
      <c r="B550" s="194" t="n"/>
      <c r="J550" s="194" t="n"/>
    </row>
    <row r="551" ht="13.2" customHeight="1" s="1127">
      <c r="A551" s="194" t="n"/>
      <c r="B551" s="194" t="n"/>
      <c r="J551" s="194" t="n"/>
    </row>
    <row r="552" ht="13.2" customHeight="1" s="1127">
      <c r="A552" s="194" t="n"/>
      <c r="B552" s="194" t="n"/>
      <c r="J552" s="194" t="n"/>
    </row>
    <row r="553" ht="13.2" customHeight="1" s="1127">
      <c r="A553" s="194" t="n"/>
      <c r="B553" s="194" t="n"/>
      <c r="J553" s="194" t="n"/>
    </row>
    <row r="554" ht="13.2" customHeight="1" s="1127">
      <c r="A554" s="194" t="n"/>
      <c r="B554" s="194" t="n"/>
      <c r="J554" s="194" t="n"/>
    </row>
    <row r="555" ht="13.2" customHeight="1" s="1127">
      <c r="A555" s="194" t="n"/>
      <c r="B555" s="194" t="n"/>
      <c r="J555" s="194" t="n"/>
    </row>
    <row r="556" ht="13.2" customHeight="1" s="1127">
      <c r="A556" s="194" t="n"/>
      <c r="B556" s="194" t="n"/>
      <c r="J556" s="194" t="n"/>
    </row>
    <row r="557" ht="13.2" customHeight="1" s="1127">
      <c r="A557" s="194" t="n"/>
      <c r="B557" s="194" t="n"/>
      <c r="J557" s="194" t="n"/>
    </row>
    <row r="558" ht="13.2" customHeight="1" s="1127">
      <c r="A558" s="194" t="n"/>
      <c r="B558" s="194" t="n"/>
      <c r="J558" s="194" t="n"/>
    </row>
    <row r="559" ht="13.2" customHeight="1" s="1127">
      <c r="A559" s="194" t="n"/>
      <c r="B559" s="194" t="n"/>
      <c r="J559" s="194" t="n"/>
    </row>
    <row r="560" ht="13.2" customHeight="1" s="1127">
      <c r="A560" s="194" t="n"/>
      <c r="B560" s="194" t="n"/>
      <c r="J560" s="194" t="n"/>
    </row>
    <row r="561" ht="13.2" customHeight="1" s="1127">
      <c r="A561" s="194" t="n"/>
      <c r="B561" s="194" t="n"/>
      <c r="J561" s="194" t="n"/>
    </row>
    <row r="562" ht="13.2" customHeight="1" s="1127">
      <c r="A562" s="194" t="n"/>
      <c r="B562" s="194" t="n"/>
      <c r="J562" s="194" t="n"/>
    </row>
    <row r="563" ht="13.2" customHeight="1" s="1127">
      <c r="A563" s="194" t="n"/>
      <c r="B563" s="194" t="n"/>
      <c r="J563" s="194" t="n"/>
    </row>
    <row r="564" ht="13.2" customHeight="1" s="1127">
      <c r="A564" s="194" t="n"/>
      <c r="B564" s="194" t="n"/>
      <c r="J564" s="194" t="n"/>
    </row>
    <row r="565" ht="13.2" customHeight="1" s="1127">
      <c r="A565" s="194" t="n"/>
      <c r="B565" s="194" t="n"/>
      <c r="J565" s="194" t="n"/>
    </row>
    <row r="566" ht="13.2" customHeight="1" s="1127">
      <c r="A566" s="194" t="n"/>
      <c r="B566" s="194" t="n"/>
      <c r="J566" s="194" t="n"/>
    </row>
    <row r="567" ht="13.2" customHeight="1" s="1127">
      <c r="A567" s="194" t="n"/>
      <c r="B567" s="194" t="n"/>
      <c r="J567" s="194" t="n"/>
    </row>
    <row r="568" ht="13.2" customHeight="1" s="1127">
      <c r="A568" s="194" t="n"/>
      <c r="B568" s="194" t="n"/>
      <c r="J568" s="194" t="n"/>
    </row>
    <row r="569" ht="13.2" customHeight="1" s="1127">
      <c r="A569" s="194" t="n"/>
      <c r="B569" s="194" t="n"/>
      <c r="J569" s="194" t="n"/>
    </row>
    <row r="570" ht="13.2" customHeight="1" s="1127">
      <c r="A570" s="194" t="n"/>
      <c r="B570" s="194" t="n"/>
      <c r="J570" s="194" t="n"/>
    </row>
    <row r="571" ht="13.2" customHeight="1" s="1127">
      <c r="A571" s="194" t="n"/>
      <c r="B571" s="194" t="n"/>
      <c r="J571" s="194" t="n"/>
    </row>
    <row r="572" ht="13.2" customHeight="1" s="1127">
      <c r="A572" s="194" t="n"/>
      <c r="B572" s="194" t="n"/>
      <c r="J572" s="194" t="n"/>
    </row>
    <row r="573" ht="13.2" customHeight="1" s="1127">
      <c r="A573" s="194" t="n"/>
      <c r="B573" s="194" t="n"/>
      <c r="J573" s="194" t="n"/>
    </row>
    <row r="574" ht="13.2" customHeight="1" s="1127">
      <c r="A574" s="194" t="n"/>
      <c r="B574" s="194" t="n"/>
      <c r="J574" s="194" t="n"/>
    </row>
    <row r="575" ht="13.2" customHeight="1" s="1127">
      <c r="A575" s="194" t="n"/>
      <c r="B575" s="194" t="n"/>
      <c r="J575" s="194" t="n"/>
    </row>
    <row r="576" ht="13.2" customHeight="1" s="1127">
      <c r="A576" s="194" t="n"/>
      <c r="B576" s="194" t="n"/>
      <c r="J576" s="194" t="n"/>
    </row>
    <row r="577" ht="13.2" customHeight="1" s="1127">
      <c r="A577" s="194" t="n"/>
      <c r="B577" s="194" t="n"/>
      <c r="J577" s="194" t="n"/>
    </row>
    <row r="578" ht="13.2" customHeight="1" s="1127">
      <c r="A578" s="194" t="n"/>
      <c r="B578" s="194" t="n"/>
      <c r="J578" s="194" t="n"/>
    </row>
    <row r="579" ht="13.2" customHeight="1" s="1127">
      <c r="A579" s="194" t="n"/>
      <c r="B579" s="194" t="n"/>
      <c r="J579" s="194" t="n"/>
    </row>
    <row r="580" ht="13.2" customHeight="1" s="1127">
      <c r="A580" s="194" t="n"/>
      <c r="B580" s="194" t="n"/>
      <c r="J580" s="194" t="n"/>
    </row>
    <row r="581" ht="13.2" customHeight="1" s="1127">
      <c r="A581" s="194" t="n"/>
      <c r="B581" s="194" t="n"/>
      <c r="J581" s="194" t="n"/>
    </row>
    <row r="582" ht="13.2" customHeight="1" s="1127">
      <c r="A582" s="194" t="n"/>
      <c r="B582" s="194" t="n"/>
      <c r="J582" s="194" t="n"/>
    </row>
    <row r="583" ht="13.2" customHeight="1" s="1127">
      <c r="A583" s="194" t="n"/>
      <c r="B583" s="194" t="n"/>
      <c r="J583" s="194" t="n"/>
    </row>
    <row r="584" ht="13.2" customHeight="1" s="1127">
      <c r="A584" s="194" t="n"/>
      <c r="B584" s="194" t="n"/>
      <c r="J584" s="194" t="n"/>
    </row>
    <row r="585" ht="13.2" customHeight="1" s="1127">
      <c r="A585" s="194" t="n"/>
      <c r="B585" s="194" t="n"/>
      <c r="J585" s="194" t="n"/>
    </row>
    <row r="586" ht="13.2" customHeight="1" s="1127">
      <c r="A586" s="194" t="n"/>
      <c r="B586" s="194" t="n"/>
      <c r="J586" s="194" t="n"/>
    </row>
    <row r="587" ht="13.2" customHeight="1" s="1127">
      <c r="A587" s="194" t="n"/>
      <c r="B587" s="194" t="n"/>
      <c r="J587" s="194" t="n"/>
    </row>
    <row r="588" ht="13.2" customHeight="1" s="1127">
      <c r="A588" s="194" t="n"/>
      <c r="B588" s="194" t="n"/>
      <c r="J588" s="194" t="n"/>
    </row>
    <row r="589" ht="13.2" customHeight="1" s="1127">
      <c r="A589" s="194" t="n"/>
      <c r="B589" s="194" t="n"/>
      <c r="J589" s="194" t="n"/>
    </row>
    <row r="590" ht="13.2" customHeight="1" s="1127">
      <c r="A590" s="194" t="n"/>
      <c r="B590" s="194" t="n"/>
      <c r="J590" s="194" t="n"/>
    </row>
    <row r="591" ht="13.2" customHeight="1" s="1127">
      <c r="A591" s="194" t="n"/>
      <c r="B591" s="194" t="n"/>
      <c r="J591" s="194" t="n"/>
    </row>
    <row r="592" ht="13.2" customHeight="1" s="1127">
      <c r="A592" s="194" t="n"/>
      <c r="B592" s="194" t="n"/>
      <c r="J592" s="194" t="n"/>
    </row>
    <row r="593" ht="13.2" customHeight="1" s="1127">
      <c r="A593" s="194" t="n"/>
      <c r="B593" s="194" t="n"/>
      <c r="J593" s="194" t="n"/>
    </row>
    <row r="594" ht="13.2" customHeight="1" s="1127">
      <c r="A594" s="194" t="n"/>
      <c r="B594" s="194" t="n"/>
      <c r="J594" s="194" t="n"/>
    </row>
    <row r="595" ht="13.2" customHeight="1" s="1127">
      <c r="A595" s="194" t="n"/>
      <c r="B595" s="194" t="n"/>
      <c r="J595" s="194" t="n"/>
    </row>
    <row r="596" ht="13.2" customHeight="1" s="1127">
      <c r="A596" s="194" t="n"/>
      <c r="B596" s="194" t="n"/>
      <c r="J596" s="194" t="n"/>
    </row>
    <row r="597" ht="13.2" customHeight="1" s="1127">
      <c r="A597" s="194" t="n"/>
      <c r="B597" s="194" t="n"/>
      <c r="J597" s="194" t="n"/>
    </row>
    <row r="598" ht="13.2" customHeight="1" s="1127">
      <c r="A598" s="194" t="n"/>
      <c r="B598" s="194" t="n"/>
      <c r="J598" s="194" t="n"/>
    </row>
    <row r="599" ht="13.2" customHeight="1" s="1127">
      <c r="A599" s="194" t="n"/>
      <c r="B599" s="194" t="n"/>
      <c r="J599" s="194" t="n"/>
    </row>
    <row r="600" ht="13.2" customHeight="1" s="1127">
      <c r="A600" s="194" t="n"/>
      <c r="B600" s="194" t="n"/>
      <c r="J600" s="194" t="n"/>
    </row>
    <row r="601" ht="13.2" customHeight="1" s="1127">
      <c r="A601" s="194" t="n"/>
      <c r="B601" s="194" t="n"/>
      <c r="J601" s="194" t="n"/>
    </row>
    <row r="602" ht="13.2" customHeight="1" s="1127">
      <c r="A602" s="194" t="n"/>
      <c r="B602" s="194" t="n"/>
      <c r="J602" s="194" t="n"/>
    </row>
    <row r="603" ht="13.2" customHeight="1" s="1127">
      <c r="A603" s="194" t="n"/>
      <c r="B603" s="194" t="n"/>
      <c r="J603" s="194" t="n"/>
    </row>
    <row r="604" ht="13.2" customHeight="1" s="1127">
      <c r="A604" s="194" t="n"/>
      <c r="B604" s="194" t="n"/>
      <c r="J604" s="194" t="n"/>
    </row>
    <row r="605" ht="13.2" customHeight="1" s="1127">
      <c r="A605" s="194" t="n"/>
      <c r="B605" s="194" t="n"/>
      <c r="J605" s="194" t="n"/>
    </row>
    <row r="606" ht="13.2" customHeight="1" s="1127">
      <c r="A606" s="194" t="n"/>
      <c r="B606" s="194" t="n"/>
      <c r="J606" s="194" t="n"/>
    </row>
    <row r="607" ht="13.2" customHeight="1" s="1127">
      <c r="A607" s="194" t="n"/>
      <c r="B607" s="194" t="n"/>
      <c r="J607" s="194" t="n"/>
    </row>
    <row r="608" ht="13.2" customHeight="1" s="1127">
      <c r="A608" s="194" t="n"/>
      <c r="B608" s="194" t="n"/>
      <c r="J608" s="194" t="n"/>
    </row>
    <row r="609" ht="13.2" customHeight="1" s="1127">
      <c r="A609" s="194" t="n"/>
      <c r="B609" s="194" t="n"/>
      <c r="J609" s="194" t="n"/>
    </row>
    <row r="610" ht="13.2" customHeight="1" s="1127">
      <c r="A610" s="194" t="n"/>
      <c r="B610" s="194" t="n"/>
      <c r="J610" s="194" t="n"/>
    </row>
    <row r="611" ht="13.2" customHeight="1" s="1127">
      <c r="A611" s="194" t="n"/>
      <c r="B611" s="194" t="n"/>
      <c r="J611" s="194" t="n"/>
    </row>
    <row r="612" ht="13.2" customHeight="1" s="1127">
      <c r="A612" s="194" t="n"/>
      <c r="B612" s="194" t="n"/>
      <c r="J612" s="194" t="n"/>
    </row>
    <row r="613" ht="13.2" customHeight="1" s="1127">
      <c r="A613" s="194" t="n"/>
      <c r="B613" s="194" t="n"/>
      <c r="J613" s="194" t="n"/>
    </row>
    <row r="614" ht="13.2" customHeight="1" s="1127">
      <c r="A614" s="194" t="n"/>
      <c r="B614" s="194" t="n"/>
      <c r="J614" s="194" t="n"/>
    </row>
    <row r="615" ht="13.2" customHeight="1" s="1127">
      <c r="A615" s="194" t="n"/>
      <c r="B615" s="194" t="n"/>
      <c r="J615" s="194" t="n"/>
    </row>
    <row r="616" ht="13.2" customHeight="1" s="1127">
      <c r="A616" s="194" t="n"/>
      <c r="B616" s="194" t="n"/>
      <c r="J616" s="194" t="n"/>
    </row>
    <row r="617" ht="13.2" customHeight="1" s="1127">
      <c r="A617" s="194" t="n"/>
      <c r="B617" s="194" t="n"/>
      <c r="J617" s="194" t="n"/>
    </row>
    <row r="618" ht="13.2" customHeight="1" s="1127">
      <c r="A618" s="194" t="n"/>
      <c r="B618" s="194" t="n"/>
      <c r="J618" s="194" t="n"/>
    </row>
    <row r="619" ht="13.2" customHeight="1" s="1127">
      <c r="A619" s="194" t="n"/>
      <c r="B619" s="194" t="n"/>
      <c r="J619" s="194" t="n"/>
    </row>
    <row r="620" ht="13.2" customHeight="1" s="1127">
      <c r="A620" s="194" t="n"/>
      <c r="B620" s="194" t="n"/>
      <c r="J620" s="194" t="n"/>
    </row>
    <row r="621" ht="13.2" customHeight="1" s="1127">
      <c r="A621" s="194" t="n"/>
      <c r="B621" s="194" t="n"/>
      <c r="J621" s="194" t="n"/>
    </row>
    <row r="622" ht="13.2" customHeight="1" s="1127">
      <c r="A622" s="194" t="n"/>
      <c r="B622" s="194" t="n"/>
      <c r="J622" s="194" t="n"/>
    </row>
    <row r="623" ht="13.2" customHeight="1" s="1127">
      <c r="A623" s="194" t="n"/>
      <c r="B623" s="194" t="n"/>
      <c r="J623" s="194" t="n"/>
    </row>
    <row r="624" ht="13.2" customHeight="1" s="1127">
      <c r="A624" s="194" t="n"/>
      <c r="B624" s="194" t="n"/>
      <c r="J624" s="194" t="n"/>
    </row>
    <row r="625" ht="13.2" customHeight="1" s="1127">
      <c r="A625" s="194" t="n"/>
      <c r="B625" s="194" t="n"/>
      <c r="J625" s="194" t="n"/>
    </row>
    <row r="626" ht="13.2" customHeight="1" s="1127">
      <c r="A626" s="194" t="n"/>
      <c r="B626" s="194" t="n"/>
      <c r="J626" s="194" t="n"/>
    </row>
    <row r="627" ht="13.2" customHeight="1" s="1127">
      <c r="A627" s="194" t="n"/>
      <c r="B627" s="194" t="n"/>
      <c r="J627" s="194" t="n"/>
    </row>
    <row r="628" ht="13.2" customHeight="1" s="1127">
      <c r="A628" s="194" t="n"/>
      <c r="B628" s="194" t="n"/>
      <c r="J628" s="194" t="n"/>
    </row>
    <row r="629" ht="13.2" customHeight="1" s="1127">
      <c r="A629" s="194" t="n"/>
      <c r="B629" s="194" t="n"/>
      <c r="J629" s="194" t="n"/>
    </row>
    <row r="630" ht="13.2" customHeight="1" s="1127">
      <c r="A630" s="194" t="n"/>
      <c r="B630" s="194" t="n"/>
      <c r="J630" s="194" t="n"/>
    </row>
    <row r="631" ht="13.2" customHeight="1" s="1127">
      <c r="A631" s="194" t="n"/>
      <c r="B631" s="194" t="n"/>
      <c r="J631" s="194" t="n"/>
    </row>
    <row r="632" ht="13.2" customHeight="1" s="1127">
      <c r="A632" s="194" t="n"/>
      <c r="B632" s="194" t="n"/>
      <c r="J632" s="194" t="n"/>
    </row>
    <row r="633" ht="13.2" customHeight="1" s="1127">
      <c r="A633" s="194" t="n"/>
      <c r="B633" s="194" t="n"/>
      <c r="J633" s="194" t="n"/>
    </row>
    <row r="634" ht="13.2" customHeight="1" s="1127">
      <c r="A634" s="194" t="n"/>
      <c r="B634" s="194" t="n"/>
      <c r="J634" s="194" t="n"/>
    </row>
    <row r="635" ht="13.2" customHeight="1" s="1127">
      <c r="A635" s="194" t="n"/>
      <c r="B635" s="194" t="n"/>
      <c r="J635" s="194" t="n"/>
    </row>
    <row r="636" ht="13.2" customHeight="1" s="1127">
      <c r="A636" s="194" t="n"/>
      <c r="B636" s="194" t="n"/>
      <c r="J636" s="194" t="n"/>
    </row>
    <row r="637" ht="13.2" customHeight="1" s="1127">
      <c r="A637" s="194" t="n"/>
      <c r="B637" s="194" t="n"/>
      <c r="J637" s="194" t="n"/>
    </row>
    <row r="638" ht="13.2" customHeight="1" s="1127">
      <c r="A638" s="194" t="n"/>
      <c r="B638" s="194" t="n"/>
      <c r="J638" s="194" t="n"/>
    </row>
    <row r="639" ht="13.2" customHeight="1" s="1127">
      <c r="A639" s="194" t="n"/>
      <c r="B639" s="194" t="n"/>
      <c r="J639" s="194" t="n"/>
    </row>
    <row r="640" ht="13.2" customHeight="1" s="1127">
      <c r="A640" s="194" t="n"/>
      <c r="B640" s="194" t="n"/>
      <c r="J640" s="194" t="n"/>
    </row>
    <row r="641" ht="13.2" customHeight="1" s="1127">
      <c r="A641" s="194" t="n"/>
      <c r="B641" s="194" t="n"/>
      <c r="J641" s="194" t="n"/>
    </row>
    <row r="642" ht="13.2" customHeight="1" s="1127">
      <c r="A642" s="194" t="n"/>
      <c r="B642" s="194" t="n"/>
      <c r="J642" s="194" t="n"/>
    </row>
    <row r="643" ht="13.2" customHeight="1" s="1127">
      <c r="A643" s="194" t="n"/>
      <c r="B643" s="194" t="n"/>
      <c r="J643" s="194" t="n"/>
    </row>
    <row r="644" ht="13.2" customHeight="1" s="1127">
      <c r="A644" s="194" t="n"/>
      <c r="B644" s="194" t="n"/>
      <c r="J644" s="194" t="n"/>
    </row>
    <row r="645" ht="13.2" customHeight="1" s="1127">
      <c r="A645" s="194" t="n"/>
      <c r="B645" s="194" t="n"/>
      <c r="J645" s="194" t="n"/>
    </row>
    <row r="646" ht="13.2" customHeight="1" s="1127">
      <c r="A646" s="194" t="n"/>
      <c r="B646" s="194" t="n"/>
      <c r="J646" s="194" t="n"/>
    </row>
    <row r="647" ht="13.2" customHeight="1" s="1127">
      <c r="A647" s="194" t="n"/>
      <c r="B647" s="194" t="n"/>
      <c r="J647" s="194" t="n"/>
    </row>
    <row r="648" ht="13.2" customHeight="1" s="1127">
      <c r="A648" s="194" t="n"/>
      <c r="B648" s="194" t="n"/>
      <c r="J648" s="194" t="n"/>
    </row>
    <row r="649" ht="13.2" customHeight="1" s="1127">
      <c r="A649" s="194" t="n"/>
      <c r="B649" s="194" t="n"/>
      <c r="J649" s="194" t="n"/>
    </row>
    <row r="650" ht="13.2" customHeight="1" s="1127">
      <c r="A650" s="194" t="n"/>
      <c r="B650" s="194" t="n"/>
      <c r="J650" s="194" t="n"/>
    </row>
    <row r="651" ht="13.2" customHeight="1" s="1127">
      <c r="A651" s="194" t="n"/>
      <c r="B651" s="194" t="n"/>
      <c r="J651" s="194" t="n"/>
    </row>
    <row r="652" ht="13.2" customHeight="1" s="1127">
      <c r="A652" s="194" t="n"/>
      <c r="B652" s="194" t="n"/>
      <c r="J652" s="194" t="n"/>
    </row>
    <row r="653" ht="13.2" customHeight="1" s="1127">
      <c r="A653" s="194" t="n"/>
      <c r="B653" s="194" t="n"/>
      <c r="J653" s="194" t="n"/>
    </row>
    <row r="654" ht="13.2" customHeight="1" s="1127">
      <c r="A654" s="194" t="n"/>
      <c r="B654" s="194" t="n"/>
      <c r="J654" s="194" t="n"/>
    </row>
    <row r="655" ht="13.2" customHeight="1" s="1127">
      <c r="A655" s="194" t="n"/>
      <c r="B655" s="194" t="n"/>
      <c r="J655" s="194" t="n"/>
    </row>
    <row r="656" ht="13.2" customHeight="1" s="1127">
      <c r="A656" s="194" t="n"/>
      <c r="B656" s="194" t="n"/>
      <c r="J656" s="194" t="n"/>
    </row>
    <row r="657" ht="13.2" customHeight="1" s="1127">
      <c r="A657" s="194" t="n"/>
      <c r="B657" s="194" t="n"/>
      <c r="J657" s="194" t="n"/>
    </row>
    <row r="658" ht="13.2" customHeight="1" s="1127">
      <c r="A658" s="194" t="n"/>
      <c r="B658" s="194" t="n"/>
      <c r="J658" s="194" t="n"/>
    </row>
    <row r="659" ht="13.2" customHeight="1" s="1127">
      <c r="A659" s="194" t="n"/>
      <c r="B659" s="194" t="n"/>
      <c r="J659" s="194" t="n"/>
    </row>
    <row r="660" ht="13.2" customHeight="1" s="1127">
      <c r="A660" s="194" t="n"/>
      <c r="B660" s="194" t="n"/>
      <c r="J660" s="194" t="n"/>
    </row>
    <row r="661" ht="13.2" customHeight="1" s="1127">
      <c r="A661" s="194" t="n"/>
      <c r="B661" s="194" t="n"/>
      <c r="J661" s="194" t="n"/>
    </row>
    <row r="662" ht="13.2" customHeight="1" s="1127">
      <c r="A662" s="194" t="n"/>
      <c r="B662" s="194" t="n"/>
      <c r="J662" s="194" t="n"/>
    </row>
    <row r="663" ht="13.2" customHeight="1" s="1127">
      <c r="A663" s="194" t="n"/>
      <c r="B663" s="194" t="n"/>
      <c r="J663" s="194" t="n"/>
    </row>
    <row r="664" ht="13.2" customHeight="1" s="1127">
      <c r="A664" s="194" t="n"/>
      <c r="B664" s="194" t="n"/>
      <c r="J664" s="194" t="n"/>
    </row>
    <row r="665" ht="13.2" customHeight="1" s="1127">
      <c r="A665" s="194" t="n"/>
      <c r="B665" s="194" t="n"/>
      <c r="J665" s="194" t="n"/>
    </row>
    <row r="666" ht="13.2" customHeight="1" s="1127">
      <c r="A666" s="194" t="n"/>
      <c r="B666" s="194" t="n"/>
      <c r="J666" s="194" t="n"/>
    </row>
    <row r="667" ht="13.2" customHeight="1" s="1127">
      <c r="A667" s="194" t="n"/>
      <c r="B667" s="194" t="n"/>
      <c r="J667" s="194" t="n"/>
    </row>
    <row r="668" ht="13.2" customHeight="1" s="1127">
      <c r="A668" s="194" t="n"/>
      <c r="B668" s="194" t="n"/>
      <c r="J668" s="194" t="n"/>
    </row>
    <row r="669" ht="13.2" customHeight="1" s="1127">
      <c r="A669" s="194" t="n"/>
      <c r="B669" s="194" t="n"/>
      <c r="J669" s="194" t="n"/>
    </row>
    <row r="670" ht="13.2" customHeight="1" s="1127">
      <c r="A670" s="194" t="n"/>
      <c r="B670" s="194" t="n"/>
      <c r="J670" s="194" t="n"/>
    </row>
    <row r="671" ht="13.2" customHeight="1" s="1127">
      <c r="A671" s="194" t="n"/>
      <c r="B671" s="194" t="n"/>
      <c r="J671" s="194" t="n"/>
    </row>
    <row r="672" ht="13.2" customHeight="1" s="1127">
      <c r="A672" s="194" t="n"/>
      <c r="B672" s="194" t="n"/>
      <c r="J672" s="194" t="n"/>
    </row>
    <row r="673" ht="13.2" customHeight="1" s="1127">
      <c r="A673" s="194" t="n"/>
      <c r="B673" s="194" t="n"/>
      <c r="J673" s="194" t="n"/>
    </row>
    <row r="674" ht="13.2" customHeight="1" s="1127">
      <c r="A674" s="194" t="n"/>
      <c r="B674" s="194" t="n"/>
      <c r="J674" s="194" t="n"/>
    </row>
    <row r="675" ht="13.2" customHeight="1" s="1127">
      <c r="A675" s="194" t="n"/>
      <c r="B675" s="194" t="n"/>
      <c r="J675" s="194" t="n"/>
    </row>
    <row r="676" ht="13.2" customHeight="1" s="1127">
      <c r="A676" s="194" t="n"/>
      <c r="B676" s="194" t="n"/>
      <c r="J676" s="194" t="n"/>
    </row>
    <row r="677" ht="13.2" customHeight="1" s="1127">
      <c r="A677" s="194" t="n"/>
      <c r="B677" s="194" t="n"/>
      <c r="J677" s="194" t="n"/>
    </row>
    <row r="678" ht="13.2" customHeight="1" s="1127">
      <c r="A678" s="194" t="n"/>
      <c r="B678" s="194" t="n"/>
      <c r="J678" s="194" t="n"/>
    </row>
    <row r="679" ht="13.2" customHeight="1" s="1127">
      <c r="A679" s="194" t="n"/>
      <c r="B679" s="194" t="n"/>
      <c r="J679" s="194" t="n"/>
    </row>
    <row r="680" ht="13.2" customHeight="1" s="1127">
      <c r="A680" s="194" t="n"/>
      <c r="B680" s="194" t="n"/>
      <c r="J680" s="194" t="n"/>
    </row>
    <row r="681" ht="13.2" customHeight="1" s="1127">
      <c r="A681" s="194" t="n"/>
      <c r="B681" s="194" t="n"/>
      <c r="J681" s="194" t="n"/>
    </row>
    <row r="682" ht="13.2" customHeight="1" s="1127">
      <c r="A682" s="194" t="n"/>
      <c r="B682" s="194" t="n"/>
      <c r="J682" s="194" t="n"/>
    </row>
    <row r="683" ht="13.2" customHeight="1" s="1127">
      <c r="A683" s="194" t="n"/>
      <c r="B683" s="194" t="n"/>
      <c r="J683" s="194" t="n"/>
    </row>
    <row r="684" ht="13.2" customHeight="1" s="1127">
      <c r="A684" s="194" t="n"/>
      <c r="B684" s="194" t="n"/>
      <c r="J684" s="194" t="n"/>
    </row>
    <row r="685" ht="13.2" customHeight="1" s="1127">
      <c r="A685" s="194" t="n"/>
      <c r="B685" s="194" t="n"/>
      <c r="J685" s="194" t="n"/>
    </row>
    <row r="686" ht="13.2" customHeight="1" s="1127">
      <c r="A686" s="194" t="n"/>
      <c r="B686" s="194" t="n"/>
      <c r="J686" s="194" t="n"/>
    </row>
    <row r="687" ht="13.2" customHeight="1" s="1127">
      <c r="A687" s="194" t="n"/>
      <c r="B687" s="194" t="n"/>
      <c r="J687" s="194" t="n"/>
    </row>
    <row r="688" ht="13.2" customHeight="1" s="1127">
      <c r="A688" s="194" t="n"/>
      <c r="B688" s="194" t="n"/>
      <c r="J688" s="194" t="n"/>
    </row>
    <row r="689" ht="13.2" customHeight="1" s="1127">
      <c r="A689" s="194" t="n"/>
      <c r="B689" s="194" t="n"/>
      <c r="J689" s="194" t="n"/>
    </row>
    <row r="690" ht="13.2" customHeight="1" s="1127">
      <c r="A690" s="194" t="n"/>
      <c r="B690" s="194" t="n"/>
      <c r="J690" s="194" t="n"/>
    </row>
    <row r="691" ht="13.2" customHeight="1" s="1127">
      <c r="A691" s="194" t="n"/>
      <c r="B691" s="194" t="n"/>
      <c r="J691" s="194" t="n"/>
    </row>
    <row r="692" ht="13.2" customHeight="1" s="1127">
      <c r="A692" s="194" t="n"/>
      <c r="B692" s="194" t="n"/>
      <c r="J692" s="194" t="n"/>
    </row>
    <row r="693" ht="13.2" customHeight="1" s="1127">
      <c r="A693" s="194" t="n"/>
      <c r="B693" s="194" t="n"/>
      <c r="J693" s="194" t="n"/>
    </row>
    <row r="694" ht="13.2" customHeight="1" s="1127">
      <c r="A694" s="194" t="n"/>
      <c r="B694" s="194" t="n"/>
      <c r="J694" s="194" t="n"/>
    </row>
    <row r="695" ht="13.2" customHeight="1" s="1127">
      <c r="A695" s="194" t="n"/>
      <c r="B695" s="194" t="n"/>
      <c r="J695" s="194" t="n"/>
    </row>
    <row r="696" ht="13.2" customHeight="1" s="1127">
      <c r="A696" s="194" t="n"/>
      <c r="B696" s="194" t="n"/>
      <c r="J696" s="194" t="n"/>
    </row>
    <row r="697" ht="13.2" customHeight="1" s="1127">
      <c r="A697" s="194" t="n"/>
      <c r="B697" s="194" t="n"/>
      <c r="J697" s="194" t="n"/>
    </row>
    <row r="698" ht="13.2" customHeight="1" s="1127">
      <c r="A698" s="194" t="n"/>
      <c r="B698" s="194" t="n"/>
      <c r="J698" s="194" t="n"/>
    </row>
    <row r="699" ht="13.2" customHeight="1" s="1127">
      <c r="A699" s="194" t="n"/>
      <c r="B699" s="194" t="n"/>
      <c r="J699" s="194" t="n"/>
    </row>
    <row r="700" ht="13.2" customHeight="1" s="1127">
      <c r="A700" s="194" t="n"/>
      <c r="B700" s="194" t="n"/>
      <c r="J700" s="194" t="n"/>
    </row>
    <row r="701" ht="13.2" customHeight="1" s="1127">
      <c r="A701" s="194" t="n"/>
      <c r="B701" s="194" t="n"/>
      <c r="J701" s="194" t="n"/>
    </row>
    <row r="702" ht="13.2" customHeight="1" s="1127">
      <c r="A702" s="194" t="n"/>
      <c r="B702" s="194" t="n"/>
      <c r="J702" s="194" t="n"/>
    </row>
    <row r="703" ht="13.2" customHeight="1" s="1127">
      <c r="A703" s="194" t="n"/>
      <c r="B703" s="194" t="n"/>
      <c r="J703" s="194" t="n"/>
    </row>
    <row r="704" ht="13.2" customHeight="1" s="1127">
      <c r="A704" s="194" t="n"/>
      <c r="B704" s="194" t="n"/>
      <c r="J704" s="194" t="n"/>
    </row>
    <row r="705" ht="13.2" customHeight="1" s="1127">
      <c r="A705" s="194" t="n"/>
      <c r="B705" s="194" t="n"/>
      <c r="J705" s="194" t="n"/>
    </row>
    <row r="706" ht="13.2" customHeight="1" s="1127">
      <c r="A706" s="194" t="n"/>
      <c r="B706" s="194" t="n"/>
      <c r="J706" s="194" t="n"/>
    </row>
    <row r="707" ht="13.2" customHeight="1" s="1127">
      <c r="A707" s="194" t="n"/>
      <c r="B707" s="194" t="n"/>
      <c r="J707" s="194" t="n"/>
    </row>
    <row r="708" ht="13.2" customHeight="1" s="1127">
      <c r="A708" s="194" t="n"/>
      <c r="B708" s="194" t="n"/>
      <c r="J708" s="194" t="n"/>
    </row>
    <row r="709" ht="13.2" customHeight="1" s="1127">
      <c r="A709" s="194" t="n"/>
      <c r="B709" s="194" t="n"/>
      <c r="J709" s="194" t="n"/>
    </row>
    <row r="710" ht="13.2" customHeight="1" s="1127">
      <c r="A710" s="194" t="n"/>
      <c r="B710" s="194" t="n"/>
      <c r="J710" s="194" t="n"/>
    </row>
    <row r="711" ht="13.2" customHeight="1" s="1127">
      <c r="A711" s="194" t="n"/>
      <c r="B711" s="194" t="n"/>
      <c r="J711" s="194" t="n"/>
    </row>
    <row r="712" ht="13.2" customHeight="1" s="1127">
      <c r="A712" s="194" t="n"/>
      <c r="B712" s="194" t="n"/>
      <c r="J712" s="194" t="n"/>
    </row>
    <row r="713" ht="13.2" customHeight="1" s="1127">
      <c r="A713" s="194" t="n"/>
      <c r="B713" s="194" t="n"/>
      <c r="J713" s="194" t="n"/>
    </row>
    <row r="714" ht="13.2" customHeight="1" s="1127">
      <c r="A714" s="194" t="n"/>
      <c r="B714" s="194" t="n"/>
      <c r="J714" s="194" t="n"/>
    </row>
    <row r="715" ht="13.2" customHeight="1" s="1127">
      <c r="A715" s="194" t="n"/>
      <c r="B715" s="194" t="n"/>
      <c r="J715" s="194" t="n"/>
    </row>
    <row r="716" ht="13.2" customHeight="1" s="1127">
      <c r="A716" s="194" t="n"/>
      <c r="B716" s="194" t="n"/>
      <c r="J716" s="194" t="n"/>
    </row>
    <row r="717" ht="13.2" customHeight="1" s="1127">
      <c r="A717" s="194" t="n"/>
      <c r="B717" s="194" t="n"/>
      <c r="J717" s="194" t="n"/>
    </row>
    <row r="718" ht="13.2" customHeight="1" s="1127">
      <c r="A718" s="194" t="n"/>
      <c r="B718" s="194" t="n"/>
      <c r="J718" s="194" t="n"/>
    </row>
    <row r="719" ht="13.2" customHeight="1" s="1127">
      <c r="A719" s="194" t="n"/>
      <c r="B719" s="194" t="n"/>
      <c r="J719" s="194" t="n"/>
    </row>
    <row r="720" ht="13.2" customHeight="1" s="1127">
      <c r="A720" s="194" t="n"/>
      <c r="B720" s="194" t="n"/>
      <c r="J720" s="194" t="n"/>
    </row>
    <row r="721" ht="13.2" customHeight="1" s="1127">
      <c r="A721" s="194" t="n"/>
      <c r="B721" s="194" t="n"/>
      <c r="J721" s="194" t="n"/>
    </row>
    <row r="722" ht="13.2" customHeight="1" s="1127">
      <c r="A722" s="194" t="n"/>
      <c r="B722" s="194" t="n"/>
      <c r="J722" s="194" t="n"/>
    </row>
    <row r="723" ht="13.2" customHeight="1" s="1127">
      <c r="A723" s="194" t="n"/>
      <c r="B723" s="194" t="n"/>
      <c r="J723" s="194" t="n"/>
    </row>
    <row r="724" ht="13.2" customHeight="1" s="1127">
      <c r="A724" s="194" t="n"/>
      <c r="B724" s="194" t="n"/>
      <c r="J724" s="194" t="n"/>
    </row>
    <row r="725" ht="13.2" customHeight="1" s="1127">
      <c r="A725" s="194" t="n"/>
      <c r="B725" s="194" t="n"/>
      <c r="J725" s="194" t="n"/>
    </row>
    <row r="726" ht="13.2" customHeight="1" s="1127">
      <c r="A726" s="194" t="n"/>
      <c r="B726" s="194" t="n"/>
      <c r="J726" s="194" t="n"/>
    </row>
    <row r="727" ht="13.2" customHeight="1" s="1127">
      <c r="A727" s="194" t="n"/>
      <c r="B727" s="194" t="n"/>
      <c r="J727" s="194" t="n"/>
    </row>
    <row r="728" ht="13.2" customHeight="1" s="1127">
      <c r="A728" s="194" t="n"/>
      <c r="B728" s="194" t="n"/>
      <c r="J728" s="194" t="n"/>
    </row>
    <row r="729" ht="13.2" customHeight="1" s="1127">
      <c r="A729" s="194" t="n"/>
      <c r="B729" s="194" t="n"/>
      <c r="J729" s="194" t="n"/>
    </row>
    <row r="730" ht="13.2" customHeight="1" s="1127">
      <c r="A730" s="194" t="n"/>
      <c r="B730" s="194" t="n"/>
      <c r="J730" s="194" t="n"/>
    </row>
    <row r="731" ht="13.2" customHeight="1" s="1127">
      <c r="A731" s="194" t="n"/>
      <c r="B731" s="194" t="n"/>
      <c r="J731" s="194" t="n"/>
    </row>
    <row r="732" ht="13.2" customHeight="1" s="1127">
      <c r="A732" s="194" t="n"/>
      <c r="B732" s="194" t="n"/>
      <c r="J732" s="194" t="n"/>
    </row>
    <row r="733" ht="13.2" customHeight="1" s="1127">
      <c r="A733" s="194" t="n"/>
      <c r="B733" s="194" t="n"/>
      <c r="J733" s="194" t="n"/>
    </row>
    <row r="734" ht="13.2" customHeight="1" s="1127">
      <c r="A734" s="194" t="n"/>
      <c r="B734" s="194" t="n"/>
      <c r="J734" s="194" t="n"/>
    </row>
    <row r="735" ht="13.2" customHeight="1" s="1127">
      <c r="A735" s="194" t="n"/>
      <c r="B735" s="194" t="n"/>
      <c r="J735" s="194" t="n"/>
    </row>
    <row r="736" ht="13.2" customHeight="1" s="1127">
      <c r="A736" s="194" t="n"/>
      <c r="B736" s="194" t="n"/>
      <c r="J736" s="194" t="n"/>
    </row>
    <row r="737" ht="13.2" customHeight="1" s="1127">
      <c r="A737" s="194" t="n"/>
      <c r="B737" s="194" t="n"/>
      <c r="J737" s="194" t="n"/>
    </row>
    <row r="738" ht="13.2" customHeight="1" s="1127">
      <c r="A738" s="194" t="n"/>
      <c r="B738" s="194" t="n"/>
      <c r="J738" s="194" t="n"/>
    </row>
    <row r="739" ht="13.2" customHeight="1" s="1127">
      <c r="A739" s="194" t="n"/>
      <c r="B739" s="194" t="n"/>
      <c r="J739" s="194" t="n"/>
    </row>
    <row r="740" ht="13.2" customHeight="1" s="1127">
      <c r="A740" s="194" t="n"/>
      <c r="B740" s="194" t="n"/>
      <c r="J740" s="194" t="n"/>
    </row>
    <row r="741" ht="13.2" customHeight="1" s="1127">
      <c r="A741" s="194" t="n"/>
      <c r="B741" s="194" t="n"/>
      <c r="J741" s="194" t="n"/>
    </row>
    <row r="742" ht="13.2" customHeight="1" s="1127">
      <c r="A742" s="194" t="n"/>
      <c r="B742" s="194" t="n"/>
      <c r="J742" s="194" t="n"/>
    </row>
    <row r="743" ht="13.2" customHeight="1" s="1127">
      <c r="A743" s="194" t="n"/>
      <c r="B743" s="194" t="n"/>
      <c r="J743" s="194" t="n"/>
    </row>
    <row r="744" ht="13.2" customHeight="1" s="1127">
      <c r="A744" s="194" t="n"/>
      <c r="B744" s="194" t="n"/>
      <c r="J744" s="194" t="n"/>
    </row>
    <row r="745" ht="13.2" customHeight="1" s="1127">
      <c r="A745" s="194" t="n"/>
      <c r="B745" s="194" t="n"/>
      <c r="J745" s="194" t="n"/>
    </row>
    <row r="746" ht="13.2" customHeight="1" s="1127">
      <c r="A746" s="194" t="n"/>
      <c r="B746" s="194" t="n"/>
      <c r="J746" s="194" t="n"/>
    </row>
    <row r="747" ht="13.2" customHeight="1" s="1127">
      <c r="A747" s="194" t="n"/>
      <c r="B747" s="194" t="n"/>
      <c r="J747" s="194" t="n"/>
    </row>
    <row r="748" ht="13.2" customHeight="1" s="1127">
      <c r="A748" s="194" t="n"/>
      <c r="B748" s="194" t="n"/>
      <c r="J748" s="194" t="n"/>
    </row>
    <row r="749" ht="13.2" customHeight="1" s="1127">
      <c r="A749" s="194" t="n"/>
      <c r="B749" s="194" t="n"/>
      <c r="J749" s="194" t="n"/>
    </row>
    <row r="750" ht="13.2" customHeight="1" s="1127">
      <c r="A750" s="194" t="n"/>
      <c r="B750" s="194" t="n"/>
      <c r="J750" s="194" t="n"/>
    </row>
    <row r="751" ht="13.2" customHeight="1" s="1127">
      <c r="A751" s="194" t="n"/>
      <c r="B751" s="194" t="n"/>
      <c r="J751" s="194" t="n"/>
    </row>
    <row r="752" ht="13.2" customHeight="1" s="1127">
      <c r="A752" s="194" t="n"/>
      <c r="B752" s="194" t="n"/>
      <c r="J752" s="194" t="n"/>
    </row>
    <row r="753" ht="13.2" customHeight="1" s="1127">
      <c r="A753" s="194" t="n"/>
      <c r="B753" s="194" t="n"/>
      <c r="J753" s="194" t="n"/>
    </row>
    <row r="754" ht="13.2" customHeight="1" s="1127">
      <c r="A754" s="194" t="n"/>
      <c r="B754" s="194" t="n"/>
      <c r="J754" s="194" t="n"/>
    </row>
    <row r="755" ht="13.2" customHeight="1" s="1127">
      <c r="A755" s="194" t="n"/>
      <c r="B755" s="194" t="n"/>
      <c r="J755" s="194" t="n"/>
    </row>
    <row r="756" ht="13.2" customHeight="1" s="1127">
      <c r="A756" s="194" t="n"/>
      <c r="B756" s="194" t="n"/>
      <c r="J756" s="194" t="n"/>
    </row>
    <row r="757" ht="13.2" customHeight="1" s="1127">
      <c r="A757" s="194" t="n"/>
      <c r="B757" s="194" t="n"/>
      <c r="J757" s="194" t="n"/>
    </row>
    <row r="758" ht="13.2" customHeight="1" s="1127">
      <c r="A758" s="194" t="n"/>
      <c r="B758" s="194" t="n"/>
      <c r="J758" s="194" t="n"/>
    </row>
    <row r="759" ht="13.2" customHeight="1" s="1127">
      <c r="A759" s="194" t="n"/>
      <c r="B759" s="194" t="n"/>
      <c r="J759" s="194" t="n"/>
    </row>
    <row r="760" ht="13.2" customHeight="1" s="1127">
      <c r="A760" s="194" t="n"/>
      <c r="B760" s="194" t="n"/>
      <c r="J760" s="194" t="n"/>
    </row>
    <row r="761" ht="13.2" customHeight="1" s="1127">
      <c r="A761" s="194" t="n"/>
      <c r="B761" s="194" t="n"/>
      <c r="J761" s="194" t="n"/>
    </row>
    <row r="762" ht="13.2" customHeight="1" s="1127">
      <c r="A762" s="194" t="n"/>
      <c r="B762" s="194" t="n"/>
      <c r="J762" s="194" t="n"/>
    </row>
    <row r="763" ht="13.2" customHeight="1" s="1127">
      <c r="A763" s="194" t="n"/>
      <c r="B763" s="194" t="n"/>
      <c r="J763" s="194" t="n"/>
    </row>
    <row r="764" ht="13.2" customHeight="1" s="1127">
      <c r="A764" s="194" t="n"/>
      <c r="B764" s="194" t="n"/>
      <c r="J764" s="194" t="n"/>
    </row>
    <row r="765" ht="13.2" customHeight="1" s="1127">
      <c r="A765" s="194" t="n"/>
      <c r="B765" s="194" t="n"/>
      <c r="J765" s="194" t="n"/>
    </row>
    <row r="766" ht="13.2" customHeight="1" s="1127">
      <c r="A766" s="194" t="n"/>
      <c r="B766" s="194" t="n"/>
      <c r="J766" s="194" t="n"/>
    </row>
    <row r="767" ht="13.2" customHeight="1" s="1127">
      <c r="A767" s="194" t="n"/>
      <c r="B767" s="194" t="n"/>
      <c r="J767" s="194" t="n"/>
    </row>
    <row r="768" ht="13.2" customHeight="1" s="1127">
      <c r="A768" s="194" t="n"/>
      <c r="B768" s="194" t="n"/>
      <c r="J768" s="194" t="n"/>
    </row>
    <row r="769" ht="13.2" customHeight="1" s="1127">
      <c r="A769" s="194" t="n"/>
      <c r="B769" s="194" t="n"/>
      <c r="J769" s="194" t="n"/>
    </row>
    <row r="770" ht="13.2" customHeight="1" s="1127">
      <c r="A770" s="194" t="n"/>
      <c r="B770" s="194" t="n"/>
      <c r="J770" s="194" t="n"/>
    </row>
    <row r="771" ht="13.2" customHeight="1" s="1127">
      <c r="A771" s="194" t="n"/>
      <c r="B771" s="194" t="n"/>
      <c r="J771" s="194" t="n"/>
    </row>
    <row r="772" ht="13.2" customHeight="1" s="1127">
      <c r="A772" s="194" t="n"/>
      <c r="B772" s="194" t="n"/>
      <c r="J772" s="194" t="n"/>
    </row>
    <row r="773" ht="13.2" customHeight="1" s="1127">
      <c r="A773" s="194" t="n"/>
      <c r="B773" s="194" t="n"/>
      <c r="J773" s="194" t="n"/>
    </row>
    <row r="774" ht="13.2" customHeight="1" s="1127">
      <c r="A774" s="194" t="n"/>
      <c r="B774" s="194" t="n"/>
      <c r="J774" s="194" t="n"/>
    </row>
    <row r="775" ht="13.2" customHeight="1" s="1127">
      <c r="A775" s="194" t="n"/>
      <c r="B775" s="194" t="n"/>
      <c r="J775" s="194" t="n"/>
    </row>
    <row r="776" ht="13.2" customHeight="1" s="1127">
      <c r="A776" s="194" t="n"/>
      <c r="B776" s="194" t="n"/>
      <c r="J776" s="194" t="n"/>
    </row>
    <row r="777" ht="13.2" customHeight="1" s="1127">
      <c r="A777" s="194" t="n"/>
      <c r="B777" s="194" t="n"/>
      <c r="J777" s="194" t="n"/>
    </row>
    <row r="778" ht="13.2" customHeight="1" s="1127">
      <c r="A778" s="194" t="n"/>
      <c r="B778" s="194" t="n"/>
      <c r="J778" s="194" t="n"/>
    </row>
    <row r="779" ht="13.2" customHeight="1" s="1127">
      <c r="A779" s="194" t="n"/>
      <c r="B779" s="194" t="n"/>
      <c r="J779" s="194" t="n"/>
    </row>
    <row r="780" ht="13.2" customHeight="1" s="1127">
      <c r="A780" s="194" t="n"/>
      <c r="B780" s="194" t="n"/>
      <c r="J780" s="194" t="n"/>
    </row>
    <row r="781" ht="13.2" customHeight="1" s="1127">
      <c r="A781" s="194" t="n"/>
      <c r="B781" s="194" t="n"/>
      <c r="J781" s="194" t="n"/>
    </row>
    <row r="782" ht="13.2" customHeight="1" s="1127">
      <c r="A782" s="194" t="n"/>
      <c r="B782" s="194" t="n"/>
      <c r="J782" s="194" t="n"/>
    </row>
    <row r="783" ht="13.2" customHeight="1" s="1127">
      <c r="A783" s="194" t="n"/>
      <c r="B783" s="194" t="n"/>
      <c r="J783" s="194" t="n"/>
    </row>
    <row r="784" ht="13.2" customHeight="1" s="1127">
      <c r="A784" s="194" t="n"/>
      <c r="B784" s="194" t="n"/>
      <c r="J784" s="194" t="n"/>
    </row>
    <row r="785" ht="13.2" customHeight="1" s="1127">
      <c r="A785" s="194" t="n"/>
      <c r="B785" s="194" t="n"/>
      <c r="J785" s="194" t="n"/>
    </row>
    <row r="786" ht="13.2" customHeight="1" s="1127">
      <c r="A786" s="194" t="n"/>
      <c r="B786" s="194" t="n"/>
      <c r="J786" s="194" t="n"/>
    </row>
    <row r="787" ht="13.2" customHeight="1" s="1127">
      <c r="A787" s="194" t="n"/>
      <c r="B787" s="194" t="n"/>
      <c r="J787" s="194" t="n"/>
    </row>
    <row r="788" ht="13.2" customHeight="1" s="1127">
      <c r="A788" s="194" t="n"/>
      <c r="B788" s="194" t="n"/>
      <c r="J788" s="194" t="n"/>
    </row>
    <row r="789" ht="13.2" customHeight="1" s="1127">
      <c r="A789" s="194" t="n"/>
      <c r="B789" s="194" t="n"/>
      <c r="J789" s="194" t="n"/>
    </row>
    <row r="790" ht="13.2" customHeight="1" s="1127">
      <c r="A790" s="194" t="n"/>
      <c r="B790" s="194" t="n"/>
      <c r="J790" s="194" t="n"/>
    </row>
    <row r="791" ht="13.2" customHeight="1" s="1127">
      <c r="A791" s="194" t="n"/>
      <c r="B791" s="194" t="n"/>
      <c r="J791" s="194" t="n"/>
    </row>
    <row r="792" ht="13.2" customHeight="1" s="1127">
      <c r="A792" s="194" t="n"/>
      <c r="B792" s="194" t="n"/>
      <c r="J792" s="194" t="n"/>
    </row>
    <row r="793" ht="13.2" customHeight="1" s="1127">
      <c r="A793" s="194" t="n"/>
      <c r="B793" s="194" t="n"/>
      <c r="J793" s="194" t="n"/>
    </row>
    <row r="794" ht="13.2" customHeight="1" s="1127">
      <c r="A794" s="194" t="n"/>
      <c r="B794" s="194" t="n"/>
      <c r="J794" s="194" t="n"/>
    </row>
    <row r="795" ht="13.2" customHeight="1" s="1127">
      <c r="A795" s="194" t="n"/>
      <c r="B795" s="194" t="n"/>
      <c r="J795" s="194" t="n"/>
    </row>
    <row r="796" ht="13.2" customHeight="1" s="1127">
      <c r="A796" s="194" t="n"/>
      <c r="B796" s="194" t="n"/>
      <c r="J796" s="194" t="n"/>
    </row>
    <row r="797" ht="13.2" customHeight="1" s="1127">
      <c r="A797" s="194" t="n"/>
      <c r="B797" s="194" t="n"/>
      <c r="J797" s="194" t="n"/>
    </row>
    <row r="798" ht="13.2" customHeight="1" s="1127">
      <c r="A798" s="194" t="n"/>
      <c r="B798" s="194" t="n"/>
      <c r="J798" s="194" t="n"/>
    </row>
    <row r="799" ht="13.2" customHeight="1" s="1127">
      <c r="A799" s="194" t="n"/>
      <c r="B799" s="194" t="n"/>
      <c r="J799" s="194" t="n"/>
    </row>
    <row r="800" ht="13.2" customHeight="1" s="1127">
      <c r="A800" s="194" t="n"/>
      <c r="B800" s="194" t="n"/>
      <c r="J800" s="194" t="n"/>
    </row>
    <row r="801" ht="13.2" customHeight="1" s="1127">
      <c r="A801" s="194" t="n"/>
      <c r="B801" s="194" t="n"/>
      <c r="J801" s="194" t="n"/>
    </row>
    <row r="802" ht="13.2" customHeight="1" s="1127">
      <c r="A802" s="194" t="n"/>
      <c r="B802" s="194" t="n"/>
      <c r="J802" s="194" t="n"/>
    </row>
    <row r="803" ht="13.2" customHeight="1" s="1127">
      <c r="A803" s="194" t="n"/>
      <c r="B803" s="194" t="n"/>
      <c r="J803" s="194" t="n"/>
    </row>
    <row r="804" ht="13.2" customHeight="1" s="1127">
      <c r="A804" s="194" t="n"/>
      <c r="B804" s="194" t="n"/>
      <c r="J804" s="194" t="n"/>
    </row>
    <row r="805" ht="13.2" customHeight="1" s="1127">
      <c r="A805" s="194" t="n"/>
      <c r="B805" s="194" t="n"/>
      <c r="J805" s="194" t="n"/>
    </row>
    <row r="806" ht="13.2" customHeight="1" s="1127">
      <c r="A806" s="194" t="n"/>
      <c r="B806" s="194" t="n"/>
      <c r="J806" s="194" t="n"/>
    </row>
    <row r="807" ht="13.2" customHeight="1" s="1127">
      <c r="A807" s="194" t="n"/>
      <c r="B807" s="194" t="n"/>
      <c r="J807" s="194" t="n"/>
    </row>
    <row r="808" ht="13.2" customHeight="1" s="1127">
      <c r="A808" s="194" t="n"/>
      <c r="B808" s="194" t="n"/>
      <c r="J808" s="194" t="n"/>
    </row>
    <row r="809" ht="13.2" customHeight="1" s="1127">
      <c r="A809" s="194" t="n"/>
      <c r="B809" s="194" t="n"/>
      <c r="J809" s="194" t="n"/>
    </row>
    <row r="810" ht="13.2" customHeight="1" s="1127">
      <c r="A810" s="194" t="n"/>
      <c r="B810" s="194" t="n"/>
      <c r="J810" s="194" t="n"/>
    </row>
    <row r="811" ht="13.2" customHeight="1" s="1127">
      <c r="A811" s="194" t="n"/>
      <c r="B811" s="194" t="n"/>
      <c r="J811" s="194" t="n"/>
    </row>
    <row r="812" ht="13.2" customHeight="1" s="1127">
      <c r="A812" s="194" t="n"/>
      <c r="B812" s="194" t="n"/>
      <c r="J812" s="194" t="n"/>
    </row>
    <row r="813" ht="13.2" customHeight="1" s="1127">
      <c r="A813" s="194" t="n"/>
      <c r="B813" s="194" t="n"/>
      <c r="J813" s="194" t="n"/>
    </row>
    <row r="814" ht="13.2" customHeight="1" s="1127">
      <c r="A814" s="194" t="n"/>
      <c r="B814" s="194" t="n"/>
      <c r="J814" s="194" t="n"/>
    </row>
    <row r="815" ht="13.2" customHeight="1" s="1127">
      <c r="A815" s="194" t="n"/>
      <c r="B815" s="194" t="n"/>
      <c r="J815" s="194" t="n"/>
    </row>
    <row r="816" ht="13.2" customHeight="1" s="1127">
      <c r="A816" s="194" t="n"/>
      <c r="B816" s="194" t="n"/>
      <c r="J816" s="194" t="n"/>
    </row>
    <row r="817" ht="13.2" customHeight="1" s="1127">
      <c r="A817" s="194" t="n"/>
      <c r="B817" s="194" t="n"/>
      <c r="J817" s="194" t="n"/>
    </row>
    <row r="818" ht="13.2" customHeight="1" s="1127">
      <c r="A818" s="194" t="n"/>
      <c r="B818" s="194" t="n"/>
      <c r="J818" s="194" t="n"/>
    </row>
    <row r="819" ht="13.2" customHeight="1" s="1127">
      <c r="A819" s="194" t="n"/>
      <c r="B819" s="194" t="n"/>
      <c r="J819" s="194" t="n"/>
    </row>
    <row r="820" ht="13.2" customHeight="1" s="1127">
      <c r="A820" s="194" t="n"/>
      <c r="B820" s="194" t="n"/>
      <c r="J820" s="194" t="n"/>
    </row>
    <row r="821" ht="13.2" customHeight="1" s="1127">
      <c r="A821" s="194" t="n"/>
      <c r="B821" s="194" t="n"/>
      <c r="J821" s="194" t="n"/>
    </row>
    <row r="822" ht="13.2" customHeight="1" s="1127">
      <c r="A822" s="194" t="n"/>
      <c r="B822" s="194" t="n"/>
      <c r="J822" s="194" t="n"/>
    </row>
    <row r="823" ht="13.2" customHeight="1" s="1127">
      <c r="A823" s="194" t="n"/>
      <c r="B823" s="194" t="n"/>
      <c r="J823" s="194" t="n"/>
    </row>
    <row r="824" ht="13.2" customHeight="1" s="1127">
      <c r="A824" s="194" t="n"/>
      <c r="B824" s="194" t="n"/>
      <c r="J824" s="194" t="n"/>
    </row>
    <row r="825" ht="13.2" customHeight="1" s="1127">
      <c r="A825" s="194" t="n"/>
      <c r="B825" s="194" t="n"/>
      <c r="J825" s="194" t="n"/>
    </row>
    <row r="826" ht="13.2" customHeight="1" s="1127">
      <c r="A826" s="194" t="n"/>
      <c r="B826" s="194" t="n"/>
      <c r="J826" s="194" t="n"/>
    </row>
    <row r="827" ht="13.2" customHeight="1" s="1127">
      <c r="A827" s="194" t="n"/>
      <c r="B827" s="194" t="n"/>
      <c r="J827" s="194" t="n"/>
    </row>
    <row r="828" ht="13.2" customHeight="1" s="1127">
      <c r="A828" s="194" t="n"/>
      <c r="B828" s="194" t="n"/>
      <c r="J828" s="194" t="n"/>
    </row>
    <row r="829" ht="13.2" customHeight="1" s="1127">
      <c r="A829" s="194" t="n"/>
      <c r="B829" s="194" t="n"/>
      <c r="J829" s="194" t="n"/>
    </row>
    <row r="830" ht="13.2" customHeight="1" s="1127">
      <c r="A830" s="194" t="n"/>
      <c r="B830" s="194" t="n"/>
      <c r="J830" s="194" t="n"/>
    </row>
    <row r="831" ht="13.2" customHeight="1" s="1127">
      <c r="A831" s="194" t="n"/>
      <c r="B831" s="194" t="n"/>
      <c r="J831" s="194" t="n"/>
    </row>
    <row r="832" ht="13.2" customHeight="1" s="1127">
      <c r="A832" s="194" t="n"/>
      <c r="B832" s="194" t="n"/>
      <c r="J832" s="194" t="n"/>
    </row>
    <row r="833" ht="13.2" customHeight="1" s="1127">
      <c r="A833" s="194" t="n"/>
      <c r="B833" s="194" t="n"/>
      <c r="J833" s="194" t="n"/>
    </row>
    <row r="834" ht="13.2" customHeight="1" s="1127">
      <c r="A834" s="194" t="n"/>
      <c r="B834" s="194" t="n"/>
      <c r="J834" s="194" t="n"/>
    </row>
    <row r="835" ht="13.2" customHeight="1" s="1127">
      <c r="A835" s="194" t="n"/>
      <c r="B835" s="194" t="n"/>
      <c r="J835" s="194" t="n"/>
    </row>
    <row r="836" ht="13.2" customHeight="1" s="1127">
      <c r="A836" s="194" t="n"/>
      <c r="B836" s="194" t="n"/>
      <c r="J836" s="194" t="n"/>
    </row>
    <row r="837" ht="13.2" customHeight="1" s="1127">
      <c r="A837" s="194" t="n"/>
      <c r="B837" s="194" t="n"/>
      <c r="J837" s="194" t="n"/>
    </row>
    <row r="838" ht="13.2" customHeight="1" s="1127">
      <c r="A838" s="194" t="n"/>
      <c r="B838" s="194" t="n"/>
      <c r="J838" s="194" t="n"/>
    </row>
    <row r="839" ht="13.2" customHeight="1" s="1127">
      <c r="A839" s="194" t="n"/>
      <c r="B839" s="194" t="n"/>
      <c r="J839" s="194" t="n"/>
    </row>
    <row r="840" ht="13.2" customHeight="1" s="1127">
      <c r="A840" s="194" t="n"/>
      <c r="B840" s="194" t="n"/>
      <c r="J840" s="194" t="n"/>
    </row>
    <row r="841" ht="13.2" customHeight="1" s="1127">
      <c r="A841" s="194" t="n"/>
      <c r="B841" s="194" t="n"/>
      <c r="J841" s="194" t="n"/>
    </row>
    <row r="842" ht="13.2" customHeight="1" s="1127">
      <c r="A842" s="194" t="n"/>
      <c r="B842" s="194" t="n"/>
      <c r="J842" s="194" t="n"/>
    </row>
    <row r="843" ht="13.2" customHeight="1" s="1127">
      <c r="A843" s="194" t="n"/>
      <c r="B843" s="194" t="n"/>
      <c r="J843" s="194" t="n"/>
    </row>
    <row r="844" ht="13.2" customHeight="1" s="1127">
      <c r="A844" s="194" t="n"/>
      <c r="B844" s="194" t="n"/>
      <c r="J844" s="194" t="n"/>
    </row>
    <row r="845" ht="13.2" customHeight="1" s="1127">
      <c r="A845" s="194" t="n"/>
      <c r="B845" s="194" t="n"/>
      <c r="J845" s="194" t="n"/>
    </row>
    <row r="846" ht="13.2" customHeight="1" s="1127">
      <c r="A846" s="194" t="n"/>
      <c r="B846" s="194" t="n"/>
      <c r="J846" s="194" t="n"/>
    </row>
    <row r="847" ht="13.2" customHeight="1" s="1127">
      <c r="A847" s="194" t="n"/>
      <c r="B847" s="194" t="n"/>
      <c r="J847" s="194" t="n"/>
    </row>
    <row r="848" ht="13.2" customHeight="1" s="1127">
      <c r="A848" s="194" t="n"/>
      <c r="B848" s="194" t="n"/>
      <c r="J848" s="194" t="n"/>
    </row>
    <row r="849" ht="13.2" customHeight="1" s="1127">
      <c r="A849" s="194" t="n"/>
      <c r="B849" s="194" t="n"/>
      <c r="J849" s="194" t="n"/>
    </row>
    <row r="850" ht="13.2" customHeight="1" s="1127">
      <c r="A850" s="194" t="n"/>
      <c r="B850" s="194" t="n"/>
      <c r="J850" s="194" t="n"/>
    </row>
    <row r="851" ht="13.2" customHeight="1" s="1127">
      <c r="A851" s="194" t="n"/>
      <c r="B851" s="194" t="n"/>
      <c r="J851" s="194" t="n"/>
    </row>
    <row r="852" ht="13.2" customHeight="1" s="1127">
      <c r="A852" s="194" t="n"/>
      <c r="B852" s="194" t="n"/>
      <c r="J852" s="194" t="n"/>
    </row>
    <row r="853" ht="13.2" customHeight="1" s="1127">
      <c r="A853" s="194" t="n"/>
      <c r="B853" s="194" t="n"/>
      <c r="J853" s="194" t="n"/>
    </row>
    <row r="854" ht="13.2" customHeight="1" s="1127">
      <c r="A854" s="194" t="n"/>
      <c r="B854" s="194" t="n"/>
      <c r="J854" s="194" t="n"/>
    </row>
    <row r="855" ht="13.2" customHeight="1" s="1127">
      <c r="A855" s="194" t="n"/>
      <c r="B855" s="194" t="n"/>
      <c r="J855" s="194" t="n"/>
    </row>
    <row r="856" ht="13.2" customHeight="1" s="1127">
      <c r="A856" s="194" t="n"/>
      <c r="B856" s="194" t="n"/>
      <c r="J856" s="194" t="n"/>
    </row>
    <row r="857" ht="13.2" customHeight="1" s="1127">
      <c r="A857" s="194" t="n"/>
      <c r="B857" s="194" t="n"/>
      <c r="J857" s="194" t="n"/>
    </row>
    <row r="858" ht="13.2" customHeight="1" s="1127">
      <c r="A858" s="194" t="n"/>
      <c r="B858" s="194" t="n"/>
      <c r="J858" s="194" t="n"/>
    </row>
    <row r="859" ht="13.2" customHeight="1" s="1127">
      <c r="A859" s="194" t="n"/>
      <c r="B859" s="194" t="n"/>
      <c r="J859" s="194" t="n"/>
    </row>
    <row r="860" ht="13.2" customHeight="1" s="1127">
      <c r="A860" s="194" t="n"/>
      <c r="B860" s="194" t="n"/>
      <c r="J860" s="194" t="n"/>
    </row>
    <row r="861" ht="13.2" customHeight="1" s="1127">
      <c r="A861" s="194" t="n"/>
      <c r="B861" s="194" t="n"/>
      <c r="J861" s="194" t="n"/>
    </row>
    <row r="862" ht="13.2" customHeight="1" s="1127">
      <c r="A862" s="194" t="n"/>
      <c r="B862" s="194" t="n"/>
      <c r="J862" s="194" t="n"/>
    </row>
    <row r="863" ht="13.2" customHeight="1" s="1127">
      <c r="A863" s="194" t="n"/>
      <c r="B863" s="194" t="n"/>
      <c r="J863" s="194" t="n"/>
    </row>
    <row r="864" ht="13.2" customHeight="1" s="1127">
      <c r="A864" s="194" t="n"/>
      <c r="B864" s="194" t="n"/>
      <c r="J864" s="194" t="n"/>
    </row>
    <row r="865" ht="13.2" customHeight="1" s="1127">
      <c r="A865" s="194" t="n"/>
      <c r="B865" s="194" t="n"/>
      <c r="J865" s="194" t="n"/>
    </row>
    <row r="866" ht="13.2" customHeight="1" s="1127">
      <c r="A866" s="194" t="n"/>
      <c r="B866" s="194" t="n"/>
      <c r="J866" s="194" t="n"/>
    </row>
    <row r="867" ht="13.2" customHeight="1" s="1127">
      <c r="A867" s="194" t="n"/>
      <c r="B867" s="194" t="n"/>
      <c r="J867" s="194" t="n"/>
    </row>
    <row r="868" ht="13.2" customHeight="1" s="1127">
      <c r="A868" s="194" t="n"/>
      <c r="B868" s="194" t="n"/>
      <c r="J868" s="194" t="n"/>
    </row>
    <row r="869" ht="13.2" customHeight="1" s="1127">
      <c r="A869" s="194" t="n"/>
      <c r="B869" s="194" t="n"/>
      <c r="J869" s="194" t="n"/>
    </row>
    <row r="870" ht="13.2" customHeight="1" s="1127">
      <c r="A870" s="194" t="n"/>
      <c r="B870" s="194" t="n"/>
      <c r="J870" s="194" t="n"/>
    </row>
    <row r="871" ht="13.2" customHeight="1" s="1127">
      <c r="A871" s="194" t="n"/>
      <c r="B871" s="194" t="n"/>
      <c r="J871" s="194" t="n"/>
    </row>
    <row r="872" ht="13.2" customHeight="1" s="1127">
      <c r="A872" s="194" t="n"/>
      <c r="B872" s="194" t="n"/>
      <c r="J872" s="194" t="n"/>
    </row>
    <row r="873" ht="13.2" customHeight="1" s="1127">
      <c r="A873" s="194" t="n"/>
      <c r="B873" s="194" t="n"/>
      <c r="J873" s="194" t="n"/>
    </row>
    <row r="874" ht="13.2" customHeight="1" s="1127">
      <c r="A874" s="194" t="n"/>
      <c r="B874" s="194" t="n"/>
      <c r="J874" s="194" t="n"/>
    </row>
    <row r="875" ht="13.2" customHeight="1" s="1127">
      <c r="A875" s="194" t="n"/>
      <c r="B875" s="194" t="n"/>
      <c r="J875" s="194" t="n"/>
    </row>
    <row r="876" ht="13.2" customHeight="1" s="1127">
      <c r="A876" s="194" t="n"/>
      <c r="B876" s="194" t="n"/>
      <c r="J876" s="194" t="n"/>
    </row>
    <row r="877" ht="13.2" customHeight="1" s="1127">
      <c r="A877" s="194" t="n"/>
      <c r="B877" s="194" t="n"/>
      <c r="J877" s="194" t="n"/>
    </row>
    <row r="878" ht="13.2" customHeight="1" s="1127">
      <c r="A878" s="194" t="n"/>
      <c r="B878" s="194" t="n"/>
      <c r="J878" s="194" t="n"/>
    </row>
    <row r="879" ht="13.2" customHeight="1" s="1127">
      <c r="A879" s="194" t="n"/>
      <c r="B879" s="194" t="n"/>
      <c r="J879" s="194" t="n"/>
    </row>
    <row r="880" ht="13.2" customHeight="1" s="1127">
      <c r="A880" s="194" t="n"/>
      <c r="B880" s="194" t="n"/>
      <c r="J880" s="194" t="n"/>
    </row>
    <row r="881" ht="13.2" customHeight="1" s="1127">
      <c r="A881" s="194" t="n"/>
      <c r="B881" s="194" t="n"/>
      <c r="J881" s="194" t="n"/>
    </row>
    <row r="882" ht="13.2" customHeight="1" s="1127">
      <c r="A882" s="194" t="n"/>
      <c r="B882" s="194" t="n"/>
      <c r="J882" s="194" t="n"/>
    </row>
    <row r="883" ht="13.2" customHeight="1" s="1127">
      <c r="A883" s="194" t="n"/>
      <c r="B883" s="194" t="n"/>
      <c r="J883" s="194" t="n"/>
    </row>
    <row r="884" ht="13.2" customHeight="1" s="1127">
      <c r="A884" s="194" t="n"/>
      <c r="B884" s="194" t="n"/>
      <c r="J884" s="194" t="n"/>
    </row>
    <row r="885" ht="13.2" customHeight="1" s="1127">
      <c r="A885" s="194" t="n"/>
      <c r="B885" s="194" t="n"/>
      <c r="J885" s="194" t="n"/>
    </row>
    <row r="886" ht="13.2" customHeight="1" s="1127">
      <c r="A886" s="194" t="n"/>
      <c r="B886" s="194" t="n"/>
      <c r="J886" s="194" t="n"/>
    </row>
    <row r="887" ht="13.2" customHeight="1" s="1127">
      <c r="A887" s="194" t="n"/>
      <c r="B887" s="194" t="n"/>
      <c r="J887" s="194" t="n"/>
    </row>
    <row r="888" ht="13.2" customHeight="1" s="1127">
      <c r="A888" s="194" t="n"/>
      <c r="B888" s="194" t="n"/>
      <c r="J888" s="194" t="n"/>
    </row>
    <row r="889" ht="13.2" customHeight="1" s="1127">
      <c r="A889" s="194" t="n"/>
      <c r="B889" s="194" t="n"/>
      <c r="J889" s="194" t="n"/>
    </row>
    <row r="890" ht="13.2" customHeight="1" s="1127">
      <c r="A890" s="194" t="n"/>
      <c r="B890" s="194" t="n"/>
      <c r="J890" s="194" t="n"/>
    </row>
    <row r="891" ht="13.2" customHeight="1" s="1127">
      <c r="A891" s="194" t="n"/>
      <c r="B891" s="194" t="n"/>
      <c r="J891" s="194" t="n"/>
    </row>
    <row r="892" ht="13.2" customHeight="1" s="1127">
      <c r="A892" s="194" t="n"/>
      <c r="B892" s="194" t="n"/>
      <c r="J892" s="194" t="n"/>
    </row>
    <row r="893" ht="13.2" customHeight="1" s="1127">
      <c r="A893" s="194" t="n"/>
      <c r="B893" s="194" t="n"/>
      <c r="J893" s="194" t="n"/>
    </row>
    <row r="894" ht="13.2" customHeight="1" s="1127">
      <c r="A894" s="194" t="n"/>
      <c r="B894" s="194" t="n"/>
      <c r="J894" s="194" t="n"/>
    </row>
    <row r="895" ht="13.2" customHeight="1" s="1127">
      <c r="A895" s="194" t="n"/>
      <c r="B895" s="194" t="n"/>
      <c r="J895" s="194" t="n"/>
    </row>
    <row r="896" ht="13.2" customHeight="1" s="1127">
      <c r="A896" s="194" t="n"/>
      <c r="B896" s="194" t="n"/>
      <c r="J896" s="194" t="n"/>
    </row>
    <row r="897" ht="13.2" customHeight="1" s="1127">
      <c r="A897" s="194" t="n"/>
      <c r="B897" s="194" t="n"/>
      <c r="J897" s="194" t="n"/>
    </row>
    <row r="898" ht="13.2" customHeight="1" s="1127">
      <c r="A898" s="194" t="n"/>
      <c r="B898" s="194" t="n"/>
      <c r="J898" s="194" t="n"/>
    </row>
    <row r="899" ht="13.2" customHeight="1" s="1127">
      <c r="A899" s="194" t="n"/>
      <c r="B899" s="194" t="n"/>
      <c r="J899" s="194" t="n"/>
    </row>
    <row r="900" ht="13.2" customHeight="1" s="1127">
      <c r="A900" s="194" t="n"/>
      <c r="B900" s="194" t="n"/>
      <c r="J900" s="194" t="n"/>
    </row>
    <row r="901" ht="13.2" customHeight="1" s="1127">
      <c r="A901" s="194" t="n"/>
      <c r="B901" s="194" t="n"/>
      <c r="J901" s="194" t="n"/>
    </row>
    <row r="902" ht="13.2" customHeight="1" s="1127">
      <c r="A902" s="194" t="n"/>
      <c r="B902" s="194" t="n"/>
      <c r="J902" s="194" t="n"/>
    </row>
    <row r="903" ht="13.2" customHeight="1" s="1127">
      <c r="A903" s="194" t="n"/>
      <c r="B903" s="194" t="n"/>
      <c r="J903" s="194" t="n"/>
    </row>
    <row r="904" ht="13.2" customHeight="1" s="1127">
      <c r="A904" s="194" t="n"/>
      <c r="B904" s="194" t="n"/>
      <c r="J904" s="194" t="n"/>
    </row>
    <row r="905" ht="13.2" customHeight="1" s="1127">
      <c r="A905" s="194" t="n"/>
      <c r="B905" s="194" t="n"/>
      <c r="J905" s="194" t="n"/>
    </row>
    <row r="906" ht="13.2" customHeight="1" s="1127">
      <c r="A906" s="194" t="n"/>
      <c r="B906" s="194" t="n"/>
      <c r="J906" s="194" t="n"/>
    </row>
    <row r="907" ht="13.2" customHeight="1" s="1127">
      <c r="A907" s="194" t="n"/>
      <c r="B907" s="194" t="n"/>
      <c r="J907" s="194" t="n"/>
    </row>
    <row r="908" ht="13.2" customHeight="1" s="1127">
      <c r="A908" s="194" t="n"/>
      <c r="B908" s="194" t="n"/>
      <c r="J908" s="194" t="n"/>
    </row>
    <row r="909" ht="13.2" customHeight="1" s="1127">
      <c r="A909" s="194" t="n"/>
      <c r="B909" s="194" t="n"/>
      <c r="J909" s="194" t="n"/>
    </row>
    <row r="910" ht="13.2" customHeight="1" s="1127">
      <c r="A910" s="194" t="n"/>
      <c r="B910" s="194" t="n"/>
      <c r="J910" s="194" t="n"/>
    </row>
    <row r="911" ht="13.2" customHeight="1" s="1127">
      <c r="A911" s="194" t="n"/>
      <c r="B911" s="194" t="n"/>
      <c r="J911" s="194" t="n"/>
    </row>
    <row r="912" ht="13.2" customHeight="1" s="1127">
      <c r="A912" s="194" t="n"/>
      <c r="B912" s="194" t="n"/>
      <c r="J912" s="194" t="n"/>
    </row>
    <row r="913" ht="13.2" customHeight="1" s="1127">
      <c r="A913" s="194" t="n"/>
      <c r="B913" s="194" t="n"/>
      <c r="J913" s="194" t="n"/>
    </row>
    <row r="914" ht="13.2" customHeight="1" s="1127">
      <c r="A914" s="194" t="n"/>
      <c r="B914" s="194" t="n"/>
      <c r="J914" s="194" t="n"/>
    </row>
    <row r="915" ht="13.2" customHeight="1" s="1127">
      <c r="A915" s="194" t="n"/>
      <c r="B915" s="194" t="n"/>
      <c r="J915" s="194" t="n"/>
    </row>
    <row r="916" ht="13.2" customHeight="1" s="1127">
      <c r="A916" s="194" t="n"/>
      <c r="B916" s="194" t="n"/>
      <c r="J916" s="194" t="n"/>
    </row>
    <row r="917" ht="13.2" customHeight="1" s="1127">
      <c r="A917" s="194" t="n"/>
      <c r="B917" s="194" t="n"/>
      <c r="J917" s="194" t="n"/>
    </row>
    <row r="918" ht="13.2" customHeight="1" s="1127">
      <c r="A918" s="194" t="n"/>
      <c r="B918" s="194" t="n"/>
      <c r="J918" s="194" t="n"/>
    </row>
    <row r="919" ht="13.2" customHeight="1" s="1127">
      <c r="A919" s="194" t="n"/>
      <c r="B919" s="194" t="n"/>
      <c r="J919" s="194" t="n"/>
    </row>
    <row r="920" ht="13.2" customHeight="1" s="1127">
      <c r="A920" s="194" t="n"/>
      <c r="B920" s="194" t="n"/>
      <c r="J920" s="194" t="n"/>
    </row>
    <row r="921" ht="13.2" customHeight="1" s="1127">
      <c r="A921" s="194" t="n"/>
      <c r="B921" s="194" t="n"/>
      <c r="J921" s="194" t="n"/>
    </row>
    <row r="922" ht="13.2" customHeight="1" s="1127">
      <c r="A922" s="194" t="n"/>
      <c r="B922" s="194" t="n"/>
      <c r="J922" s="194" t="n"/>
    </row>
    <row r="923" ht="13.2" customHeight="1" s="1127">
      <c r="A923" s="194" t="n"/>
      <c r="B923" s="194" t="n"/>
      <c r="J923" s="194" t="n"/>
    </row>
    <row r="924" ht="13.2" customHeight="1" s="1127">
      <c r="A924" s="194" t="n"/>
      <c r="B924" s="194" t="n"/>
      <c r="J924" s="194" t="n"/>
    </row>
    <row r="925" ht="13.2" customHeight="1" s="1127">
      <c r="A925" s="194" t="n"/>
      <c r="B925" s="194" t="n"/>
      <c r="J925" s="194" t="n"/>
    </row>
    <row r="926" ht="13.2" customHeight="1" s="1127">
      <c r="A926" s="194" t="n"/>
      <c r="B926" s="194" t="n"/>
      <c r="J926" s="194" t="n"/>
    </row>
    <row r="927" ht="13.2" customHeight="1" s="1127">
      <c r="A927" s="194" t="n"/>
      <c r="B927" s="194" t="n"/>
      <c r="J927" s="194" t="n"/>
    </row>
    <row r="928" ht="13.2" customHeight="1" s="1127">
      <c r="A928" s="194" t="n"/>
      <c r="B928" s="194" t="n"/>
      <c r="J928" s="194" t="n"/>
    </row>
    <row r="929" ht="13.2" customHeight="1" s="1127">
      <c r="A929" s="194" t="n"/>
      <c r="B929" s="194" t="n"/>
      <c r="J929" s="194" t="n"/>
    </row>
    <row r="930" ht="13.2" customHeight="1" s="1127">
      <c r="A930" s="194" t="n"/>
      <c r="B930" s="194" t="n"/>
      <c r="J930" s="194" t="n"/>
    </row>
    <row r="931" ht="13.2" customHeight="1" s="1127">
      <c r="A931" s="194" t="n"/>
      <c r="B931" s="194" t="n"/>
      <c r="J931" s="194" t="n"/>
    </row>
    <row r="932" ht="13.2" customHeight="1" s="1127">
      <c r="A932" s="194" t="n"/>
      <c r="B932" s="194" t="n"/>
      <c r="J932" s="194" t="n"/>
    </row>
    <row r="933" ht="13.2" customHeight="1" s="1127">
      <c r="A933" s="194" t="n"/>
      <c r="B933" s="194" t="n"/>
      <c r="J933" s="194" t="n"/>
    </row>
    <row r="934" ht="13.2" customHeight="1" s="1127">
      <c r="A934" s="194" t="n"/>
      <c r="B934" s="194" t="n"/>
      <c r="J934" s="194" t="n"/>
    </row>
    <row r="935" ht="13.2" customHeight="1" s="1127">
      <c r="A935" s="194" t="n"/>
      <c r="B935" s="194" t="n"/>
      <c r="J935" s="194" t="n"/>
    </row>
    <row r="936" ht="13.2" customHeight="1" s="1127">
      <c r="A936" s="194" t="n"/>
      <c r="B936" s="194" t="n"/>
      <c r="J936" s="194" t="n"/>
    </row>
    <row r="937" ht="13.2" customHeight="1" s="1127">
      <c r="A937" s="194" t="n"/>
      <c r="B937" s="194" t="n"/>
      <c r="J937" s="194" t="n"/>
    </row>
    <row r="938" ht="13.2" customHeight="1" s="1127">
      <c r="A938" s="194" t="n"/>
      <c r="B938" s="194" t="n"/>
      <c r="J938" s="194" t="n"/>
    </row>
    <row r="939" ht="13.2" customHeight="1" s="1127">
      <c r="A939" s="194" t="n"/>
      <c r="B939" s="194" t="n"/>
      <c r="J939" s="194" t="n"/>
    </row>
    <row r="940" ht="13.2" customHeight="1" s="1127">
      <c r="A940" s="194" t="n"/>
      <c r="B940" s="194" t="n"/>
      <c r="J940" s="194" t="n"/>
    </row>
    <row r="941" ht="13.2" customHeight="1" s="1127">
      <c r="A941" s="194" t="n"/>
      <c r="B941" s="194" t="n"/>
      <c r="J941" s="194" t="n"/>
    </row>
    <row r="942" ht="13.2" customHeight="1" s="1127">
      <c r="A942" s="194" t="n"/>
      <c r="B942" s="194" t="n"/>
      <c r="J942" s="194" t="n"/>
    </row>
    <row r="943" ht="13.2" customHeight="1" s="1127">
      <c r="A943" s="194" t="n"/>
      <c r="B943" s="194" t="n"/>
      <c r="J943" s="194" t="n"/>
    </row>
    <row r="944" ht="13.2" customHeight="1" s="1127">
      <c r="A944" s="194" t="n"/>
      <c r="B944" s="194" t="n"/>
      <c r="J944" s="194" t="n"/>
    </row>
    <row r="945" ht="13.2" customHeight="1" s="1127">
      <c r="A945" s="194" t="n"/>
      <c r="B945" s="194" t="n"/>
      <c r="J945" s="194" t="n"/>
    </row>
    <row r="946" ht="13.2" customHeight="1" s="1127">
      <c r="A946" s="194" t="n"/>
      <c r="B946" s="194" t="n"/>
      <c r="J946" s="194" t="n"/>
    </row>
    <row r="947" ht="13.2" customHeight="1" s="1127">
      <c r="A947" s="194" t="n"/>
      <c r="B947" s="194" t="n"/>
      <c r="J947" s="194" t="n"/>
    </row>
    <row r="948" ht="13.2" customHeight="1" s="1127">
      <c r="A948" s="194" t="n"/>
      <c r="B948" s="194" t="n"/>
      <c r="J948" s="194" t="n"/>
    </row>
    <row r="949" ht="13.2" customHeight="1" s="1127">
      <c r="A949" s="194" t="n"/>
      <c r="B949" s="194" t="n"/>
      <c r="J949" s="194" t="n"/>
    </row>
    <row r="950" ht="13.2" customHeight="1" s="1127">
      <c r="A950" s="194" t="n"/>
      <c r="B950" s="194" t="n"/>
      <c r="J950" s="194" t="n"/>
    </row>
    <row r="951" ht="13.2" customHeight="1" s="1127">
      <c r="A951" s="194" t="n"/>
      <c r="B951" s="194" t="n"/>
      <c r="J951" s="194" t="n"/>
    </row>
    <row r="952" ht="13.2" customHeight="1" s="1127">
      <c r="A952" s="194" t="n"/>
      <c r="B952" s="194" t="n"/>
      <c r="J952" s="194" t="n"/>
    </row>
    <row r="953" ht="13.2" customHeight="1" s="1127">
      <c r="A953" s="194" t="n"/>
      <c r="B953" s="194" t="n"/>
      <c r="J953" s="194" t="n"/>
    </row>
    <row r="954" ht="13.2" customHeight="1" s="1127">
      <c r="A954" s="194" t="n"/>
      <c r="B954" s="194" t="n"/>
      <c r="J954" s="194" t="n"/>
    </row>
    <row r="955" ht="13.2" customHeight="1" s="1127">
      <c r="A955" s="194" t="n"/>
      <c r="B955" s="194" t="n"/>
      <c r="J955" s="194" t="n"/>
    </row>
    <row r="956" ht="13.2" customHeight="1" s="1127">
      <c r="A956" s="194" t="n"/>
      <c r="B956" s="194" t="n"/>
      <c r="J956" s="194" t="n"/>
    </row>
    <row r="957" ht="13.2" customHeight="1" s="1127">
      <c r="A957" s="194" t="n"/>
      <c r="B957" s="194" t="n"/>
      <c r="J957" s="194" t="n"/>
    </row>
    <row r="958" ht="13.2" customHeight="1" s="1127">
      <c r="A958" s="194" t="n"/>
      <c r="B958" s="194" t="n"/>
      <c r="J958" s="194" t="n"/>
    </row>
    <row r="959" ht="13.2" customHeight="1" s="1127">
      <c r="A959" s="194" t="n"/>
      <c r="B959" s="194" t="n"/>
      <c r="J959" s="194" t="n"/>
    </row>
    <row r="960" ht="13.2" customHeight="1" s="1127">
      <c r="A960" s="194" t="n"/>
      <c r="B960" s="194" t="n"/>
      <c r="J960" s="194" t="n"/>
    </row>
    <row r="961" ht="13.2" customHeight="1" s="1127">
      <c r="A961" s="194" t="n"/>
      <c r="B961" s="194" t="n"/>
      <c r="J961" s="194" t="n"/>
    </row>
    <row r="962" ht="13.2" customHeight="1" s="1127">
      <c r="A962" s="194" t="n"/>
      <c r="B962" s="194" t="n"/>
      <c r="J962" s="194" t="n"/>
    </row>
    <row r="963" ht="13.2" customHeight="1" s="1127">
      <c r="A963" s="194" t="n"/>
      <c r="B963" s="194" t="n"/>
      <c r="J963" s="194" t="n"/>
    </row>
    <row r="964" ht="13.2" customHeight="1" s="1127">
      <c r="A964" s="194" t="n"/>
      <c r="B964" s="194" t="n"/>
      <c r="J964" s="194" t="n"/>
    </row>
    <row r="965" ht="13.2" customHeight="1" s="1127">
      <c r="A965" s="194" t="n"/>
      <c r="B965" s="194" t="n"/>
      <c r="J965" s="194" t="n"/>
    </row>
    <row r="966" ht="13.2" customHeight="1" s="1127">
      <c r="A966" s="194" t="n"/>
      <c r="B966" s="194" t="n"/>
      <c r="J966" s="194" t="n"/>
    </row>
    <row r="967" ht="13.2" customHeight="1" s="1127">
      <c r="A967" s="194" t="n"/>
      <c r="B967" s="194" t="n"/>
      <c r="J967" s="194" t="n"/>
    </row>
    <row r="968" ht="13.2" customHeight="1" s="1127">
      <c r="A968" s="194" t="n"/>
      <c r="B968" s="194" t="n"/>
      <c r="J968" s="194" t="n"/>
    </row>
    <row r="969" ht="13.2" customHeight="1" s="1127">
      <c r="A969" s="194" t="n"/>
      <c r="B969" s="194" t="n"/>
      <c r="J969" s="194" t="n"/>
    </row>
    <row r="970" ht="13.2" customHeight="1" s="1127">
      <c r="A970" s="194" t="n"/>
      <c r="B970" s="194" t="n"/>
      <c r="J970" s="194" t="n"/>
    </row>
    <row r="971" ht="13.2" customHeight="1" s="1127">
      <c r="A971" s="194" t="n"/>
      <c r="B971" s="194" t="n"/>
      <c r="J971" s="194" t="n"/>
    </row>
    <row r="972" ht="13.2" customHeight="1" s="1127">
      <c r="A972" s="194" t="n"/>
      <c r="B972" s="194" t="n"/>
      <c r="J972" s="194" t="n"/>
    </row>
    <row r="973" ht="13.2" customHeight="1" s="1127">
      <c r="A973" s="194" t="n"/>
      <c r="B973" s="194" t="n"/>
      <c r="J973" s="194" t="n"/>
    </row>
    <row r="974" ht="13.2" customHeight="1" s="1127">
      <c r="A974" s="194" t="n"/>
      <c r="B974" s="194" t="n"/>
      <c r="J974" s="194" t="n"/>
    </row>
    <row r="975" ht="13.2" customHeight="1" s="1127">
      <c r="A975" s="194" t="n"/>
      <c r="B975" s="194" t="n"/>
      <c r="J975" s="194" t="n"/>
    </row>
    <row r="976" ht="13.2" customHeight="1" s="1127">
      <c r="A976" s="194" t="n"/>
      <c r="B976" s="194" t="n"/>
      <c r="J976" s="194" t="n"/>
    </row>
    <row r="977" ht="13.2" customHeight="1" s="1127">
      <c r="A977" s="194" t="n"/>
      <c r="B977" s="194" t="n"/>
      <c r="J977" s="194" t="n"/>
    </row>
    <row r="978" ht="13.2" customHeight="1" s="1127">
      <c r="A978" s="194" t="n"/>
      <c r="B978" s="194" t="n"/>
      <c r="J978" s="194" t="n"/>
    </row>
    <row r="979" ht="13.2" customHeight="1" s="1127">
      <c r="A979" s="194" t="n"/>
      <c r="B979" s="194" t="n"/>
      <c r="J979" s="194" t="n"/>
    </row>
    <row r="980" ht="13.2" customHeight="1" s="1127">
      <c r="A980" s="194" t="n"/>
      <c r="B980" s="194" t="n"/>
      <c r="J980" s="194" t="n"/>
    </row>
    <row r="981" ht="13.2" customHeight="1" s="1127">
      <c r="A981" s="194" t="n"/>
      <c r="B981" s="194" t="n"/>
      <c r="J981" s="194" t="n"/>
    </row>
    <row r="982" ht="13.2" customHeight="1" s="1127">
      <c r="A982" s="194" t="n"/>
      <c r="B982" s="194" t="n"/>
      <c r="J982" s="194" t="n"/>
    </row>
    <row r="983" ht="13.2" customHeight="1" s="1127">
      <c r="A983" s="194" t="n"/>
      <c r="B983" s="194" t="n"/>
      <c r="J983" s="194" t="n"/>
    </row>
    <row r="984" ht="13.2" customHeight="1" s="1127">
      <c r="A984" s="194" t="n"/>
      <c r="B984" s="194" t="n"/>
      <c r="J984" s="194" t="n"/>
    </row>
    <row r="985" ht="13.2" customHeight="1" s="1127">
      <c r="A985" s="194" t="n"/>
      <c r="B985" s="194" t="n"/>
      <c r="J985" s="194" t="n"/>
    </row>
    <row r="986" ht="13.2" customHeight="1" s="1127">
      <c r="A986" s="194" t="n"/>
      <c r="B986" s="194" t="n"/>
      <c r="J986" s="194" t="n"/>
    </row>
    <row r="987" ht="13.2" customHeight="1" s="1127">
      <c r="A987" s="194" t="n"/>
      <c r="B987" s="194" t="n"/>
      <c r="J987" s="194" t="n"/>
    </row>
    <row r="988" ht="13.2" customHeight="1" s="1127">
      <c r="A988" s="194" t="n"/>
      <c r="B988" s="194" t="n"/>
      <c r="J988" s="194" t="n"/>
    </row>
    <row r="989" ht="13.2" customHeight="1" s="1127">
      <c r="A989" s="194" t="n"/>
      <c r="B989" s="194" t="n"/>
      <c r="J989" s="194" t="n"/>
    </row>
    <row r="990" ht="13.2" customHeight="1" s="1127">
      <c r="A990" s="194" t="n"/>
      <c r="B990" s="194" t="n"/>
      <c r="J990" s="194" t="n"/>
    </row>
    <row r="991" ht="13.2" customHeight="1" s="1127">
      <c r="A991" s="194" t="n"/>
      <c r="B991" s="194" t="n"/>
      <c r="J991" s="194" t="n"/>
    </row>
    <row r="992" ht="13.2" customHeight="1" s="1127">
      <c r="A992" s="194" t="n"/>
      <c r="B992" s="194" t="n"/>
      <c r="J992" s="19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27BA0"/>
    <outlinePr summaryBelow="0" summaryRight="0"/>
    <pageSetUpPr/>
  </sheetPr>
  <dimension ref="A1:N1723"/>
  <sheetViews>
    <sheetView workbookViewId="0">
      <selection activeCell="A1" sqref="A1"/>
    </sheetView>
  </sheetViews>
  <sheetFormatPr baseColWidth="8" defaultColWidth="12.6640625" defaultRowHeight="15.75" customHeight="1" outlineLevelRow="2"/>
  <cols>
    <col width="11" customWidth="1" style="1127" min="1" max="1"/>
    <col width="19.21875" customWidth="1" style="1127" min="2" max="2"/>
    <col width="37.88671875" customWidth="1" style="1127" min="3" max="3"/>
    <col width="18.33203125" customWidth="1" style="1127" min="4" max="4"/>
    <col width="15.88671875" customWidth="1" style="1127" min="5" max="5"/>
    <col width="22.77734375" customWidth="1" style="1127" min="6" max="6"/>
    <col width="15.109375" customWidth="1" style="1127" min="7" max="7"/>
    <col width="21.88671875" customWidth="1" style="1127" min="8" max="8"/>
    <col width="18.109375" customWidth="1" style="1127" min="9" max="9"/>
    <col width="15.33203125" customWidth="1" style="1127" min="10" max="10"/>
    <col width="16" customWidth="1" style="1127" min="11" max="11"/>
    <col width="17.77734375" customWidth="1" style="1127" min="12" max="12"/>
  </cols>
  <sheetData>
    <row r="1" ht="13.2" customHeight="1" s="1127">
      <c r="A1" s="456" t="inlineStr">
        <is>
          <t xml:space="preserve">  </t>
        </is>
      </c>
      <c r="B1" s="186" t="inlineStr">
        <is>
          <t>ПРОСТАВЬТЕ ДАТУ</t>
        </is>
      </c>
      <c r="C1" s="187" t="n"/>
      <c r="E1" s="219" t="n"/>
    </row>
    <row r="2" ht="26.4" customHeight="1" s="1127">
      <c r="B2" s="189" t="n">
        <v>46202</v>
      </c>
      <c r="C2" s="190" t="inlineStr">
        <is>
          <t>Остаток на начало</t>
        </is>
      </c>
      <c r="D2" s="191" t="inlineStr">
        <is>
          <t>Поступление</t>
        </is>
      </c>
      <c r="E2" s="190" t="inlineStr">
        <is>
          <t>Выбытие</t>
        </is>
      </c>
      <c r="F2" s="192" t="inlineStr">
        <is>
          <t>Остаток на конец</t>
        </is>
      </c>
      <c r="G2" s="193" t="n"/>
      <c r="H2" s="1208" t="inlineStr">
        <is>
          <t>Оплата поставщикам</t>
        </is>
      </c>
      <c r="I2" s="1209" t="n"/>
      <c r="J2" s="1209" t="n"/>
      <c r="K2" s="1209" t="n"/>
      <c r="L2" s="1210" t="n"/>
      <c r="N2" s="194" t="inlineStr">
        <is>
          <t>ОПИУ на 25.06.2026</t>
        </is>
      </c>
    </row>
    <row r="3" ht="34.8" customHeight="1" s="1127">
      <c r="B3" s="195" t="inlineStr">
        <is>
          <t>Расчётный счёт</t>
        </is>
      </c>
      <c r="C3" s="196">
        <f>12786388-C4-C5</f>
        <v/>
      </c>
      <c r="D3" s="197">
        <f>SUMIF(B11:B260,B2,E11:E260)</f>
        <v/>
      </c>
      <c r="E3" s="202">
        <f>SUMIF(B265:B722,B2,E265:E722)</f>
        <v/>
      </c>
      <c r="F3" s="197">
        <f>C3+D3-E3</f>
        <v/>
      </c>
      <c r="G3" s="199" t="n"/>
      <c r="H3" s="19" t="inlineStr">
        <is>
          <t>01.06-07.06.2026</t>
        </is>
      </c>
      <c r="I3" s="19" t="inlineStr">
        <is>
          <t>08.06-14.06.2026</t>
        </is>
      </c>
      <c r="J3" s="19" t="inlineStr">
        <is>
          <t>15.06-21.06.2026</t>
        </is>
      </c>
      <c r="K3" s="19" t="inlineStr">
        <is>
          <t>22.06-28.06.2026</t>
        </is>
      </c>
      <c r="L3" s="19" t="inlineStr">
        <is>
          <t>29.06-30.06.2027</t>
        </is>
      </c>
      <c r="M3" s="200" t="inlineStr">
        <is>
          <t>сумма, средний %</t>
        </is>
      </c>
      <c r="N3" s="68" t="n"/>
    </row>
    <row r="4" ht="17.4" customHeight="1" s="1127">
      <c r="B4" s="201" t="inlineStr">
        <is>
          <t>Касса</t>
        </is>
      </c>
      <c r="C4" s="202" t="n">
        <v>2008321</v>
      </c>
      <c r="D4" s="197">
        <f>SUMIF(B11:B262,B2,D10:D262)</f>
        <v/>
      </c>
      <c r="E4" s="202">
        <f>SUMIF(B266:B723,B2,D266:D723)</f>
        <v/>
      </c>
      <c r="F4" s="197">
        <f>C4+D4-E4</f>
        <v/>
      </c>
      <c r="G4" s="203" t="inlineStr">
        <is>
          <t>гашение КЗ</t>
        </is>
      </c>
      <c r="H4" s="19">
        <f>34458818+964000</f>
        <v/>
      </c>
      <c r="I4" s="19">
        <f>25257596+4303979+241995</f>
        <v/>
      </c>
      <c r="J4" s="204">
        <f>24398148+4556056</f>
        <v/>
      </c>
      <c r="K4" s="205">
        <f>27832950+2576580+718145</f>
        <v/>
      </c>
      <c r="L4" s="206" t="n">
        <v>1</v>
      </c>
      <c r="M4" s="204">
        <f>I4+J4+K4+L4+H4</f>
        <v/>
      </c>
      <c r="N4" s="746" t="n">
        <v>114121764</v>
      </c>
    </row>
    <row r="5" ht="17.4" customHeight="1" s="1127">
      <c r="B5" s="201" t="inlineStr">
        <is>
          <t>Копилка</t>
        </is>
      </c>
      <c r="C5" s="196" t="n">
        <v>9800000</v>
      </c>
      <c r="D5" s="207" t="n"/>
      <c r="E5" s="208" t="n"/>
      <c r="F5" s="209" t="n"/>
      <c r="G5" s="210" t="inlineStr">
        <is>
          <t>выручка</t>
        </is>
      </c>
      <c r="H5" s="212" t="n">
        <v>49606340</v>
      </c>
      <c r="I5" s="212" t="n">
        <v>72681513</v>
      </c>
      <c r="J5" s="212" t="n">
        <v>60988297</v>
      </c>
      <c r="K5" s="212">
        <f>45642381</f>
        <v/>
      </c>
      <c r="L5" s="543" t="n">
        <v>1</v>
      </c>
      <c r="M5" s="205">
        <f>I5+J5+K5+L5+H5</f>
        <v/>
      </c>
      <c r="N5" s="746" t="n">
        <v>231572946</v>
      </c>
    </row>
    <row r="6" ht="17.4" customHeight="1" s="1127">
      <c r="B6" s="214" t="inlineStr">
        <is>
          <t>ИТОГО</t>
        </is>
      </c>
      <c r="C6" s="216">
        <f>C5+C4+C3</f>
        <v/>
      </c>
      <c r="D6" s="216">
        <f>D3+D4+D5</f>
        <v/>
      </c>
      <c r="E6" s="216">
        <f>E3+E4+E5</f>
        <v/>
      </c>
      <c r="F6" s="216">
        <f>F3+F4+F5</f>
        <v/>
      </c>
      <c r="G6" s="210" t="inlineStr">
        <is>
          <t>% от выручки</t>
        </is>
      </c>
      <c r="H6" s="217">
        <f>H4/H5</f>
        <v/>
      </c>
      <c r="I6" s="217">
        <f>I4/I5</f>
        <v/>
      </c>
      <c r="J6" s="217">
        <f>J4/J5</f>
        <v/>
      </c>
      <c r="K6" s="217">
        <f>K4/K5</f>
        <v/>
      </c>
      <c r="L6" s="217">
        <f>L4/L5</f>
        <v/>
      </c>
      <c r="M6" s="217">
        <f>AVERAGE(I6:L6)</f>
        <v/>
      </c>
      <c r="N6" s="217">
        <f>N4/N5</f>
        <v/>
      </c>
    </row>
    <row r="7" ht="13.2" customHeight="1" s="1127">
      <c r="E7" s="219" t="n"/>
    </row>
    <row r="8" ht="14.4" customHeight="1" s="1127">
      <c r="D8" s="218" t="n"/>
      <c r="E8" s="219" t="n"/>
      <c r="K8" s="219" t="n">
        <v>-28825915</v>
      </c>
    </row>
    <row r="9" ht="17.4" customHeight="1" s="1127">
      <c r="B9" s="220" t="inlineStr">
        <is>
          <t>Поступления</t>
        </is>
      </c>
      <c r="C9" s="221" t="n"/>
      <c r="D9" s="221" t="n"/>
      <c r="E9" s="222" t="n"/>
      <c r="F9" s="221" t="n"/>
      <c r="K9" s="219" t="n">
        <v>-2876580</v>
      </c>
    </row>
    <row r="10" outlineLevel="1" ht="13.2" customHeight="1" s="1127">
      <c r="B10" s="223" t="inlineStr">
        <is>
          <t>Дата</t>
        </is>
      </c>
      <c r="C10" s="223" t="inlineStr">
        <is>
          <t>Наименование контрагента</t>
        </is>
      </c>
      <c r="D10" s="223" t="inlineStr">
        <is>
          <t>Наличный</t>
        </is>
      </c>
      <c r="E10" s="224" t="inlineStr">
        <is>
          <t>Безналичный</t>
        </is>
      </c>
      <c r="F10" s="223" t="inlineStr">
        <is>
          <t>Комментарий</t>
        </is>
      </c>
      <c r="K10" s="219" t="n">
        <v>-718145</v>
      </c>
    </row>
    <row r="11" hidden="1" outlineLevel="1" ht="14.4" customHeight="1" s="1127">
      <c r="B11" s="225" t="n">
        <v>46128</v>
      </c>
      <c r="C11" s="226" t="inlineStr">
        <is>
          <t>ДФЗ</t>
        </is>
      </c>
      <c r="D11" s="544" t="n"/>
      <c r="E11" s="228" t="n">
        <v>2000000</v>
      </c>
      <c r="F11" s="229" t="n"/>
    </row>
    <row r="12" hidden="1" outlineLevel="1" ht="14.4" customHeight="1" s="1127">
      <c r="B12" s="225" t="n">
        <v>46128</v>
      </c>
      <c r="C12" s="230" t="inlineStr">
        <is>
          <t>Яндекс</t>
        </is>
      </c>
      <c r="D12" s="544" t="n"/>
      <c r="E12" s="228" t="n">
        <v>3964105</v>
      </c>
      <c r="F12" s="231" t="n"/>
    </row>
    <row r="13" hidden="1" outlineLevel="1" ht="14.4" customHeight="1" s="1127">
      <c r="B13" s="225" t="n">
        <v>46128</v>
      </c>
      <c r="C13" s="232" t="inlineStr">
        <is>
          <t>Даркстор</t>
        </is>
      </c>
      <c r="D13" s="242" t="n"/>
      <c r="E13" s="234" t="n">
        <v>1000000</v>
      </c>
      <c r="F13" s="231" t="n"/>
    </row>
    <row r="14" hidden="1" outlineLevel="1" ht="14.4" customHeight="1" s="1127">
      <c r="B14" s="225" t="n">
        <v>46128</v>
      </c>
      <c r="C14" s="235" t="inlineStr">
        <is>
          <t>Фуд Вендинг</t>
        </is>
      </c>
      <c r="D14" s="228" t="n">
        <v>1500000</v>
      </c>
      <c r="E14" s="228" t="n"/>
      <c r="F14" s="231" t="n"/>
    </row>
    <row r="15" hidden="1" outlineLevel="1" ht="14.4" customHeight="1" s="1127">
      <c r="B15" s="225" t="n">
        <v>46128</v>
      </c>
      <c r="C15" s="232" t="inlineStr">
        <is>
          <t>RP</t>
        </is>
      </c>
      <c r="D15" s="242" t="n"/>
      <c r="E15" s="234" t="n">
        <v>5000000</v>
      </c>
      <c r="F15" s="231" t="n"/>
    </row>
    <row r="16" hidden="1" outlineLevel="1" ht="14.4" customHeight="1" s="1127">
      <c r="B16" s="225" t="n">
        <v>46128</v>
      </c>
      <c r="C16" s="236" t="inlineStr">
        <is>
          <t>Wolf</t>
        </is>
      </c>
      <c r="D16" s="237" t="n"/>
      <c r="E16" s="228">
        <f>18644+27718</f>
        <v/>
      </c>
      <c r="F16" s="231" t="n"/>
    </row>
    <row r="17" hidden="1" outlineLevel="1" ht="14.4" customHeight="1" s="1127">
      <c r="B17" s="225" t="n">
        <v>46128</v>
      </c>
      <c r="C17" s="238" t="inlineStr">
        <is>
          <t>Базилик</t>
        </is>
      </c>
      <c r="D17" s="544" t="n"/>
      <c r="E17" s="228" t="n">
        <v>675750</v>
      </c>
      <c r="F17" s="277" t="n"/>
    </row>
    <row r="18" hidden="1" outlineLevel="1" ht="14.4" customHeight="1" s="1127">
      <c r="B18" s="225" t="n">
        <v>46129</v>
      </c>
      <c r="C18" s="232" t="inlineStr">
        <is>
          <t>Crave</t>
        </is>
      </c>
      <c r="D18" s="237" t="n"/>
      <c r="E18" s="228" t="n">
        <v>800000</v>
      </c>
      <c r="F18" s="277" t="n"/>
    </row>
    <row r="19" hidden="1" outlineLevel="1" ht="14.4" customHeight="1" s="1127">
      <c r="B19" s="225" t="n">
        <v>46129</v>
      </c>
      <c r="C19" s="241" t="inlineStr">
        <is>
          <t>DQ</t>
        </is>
      </c>
      <c r="D19" s="544" t="n"/>
      <c r="E19" s="228" t="n">
        <v>672552</v>
      </c>
      <c r="F19" s="277" t="n"/>
    </row>
    <row r="20" hidden="1" outlineLevel="1" ht="14.4" customHeight="1" s="1127">
      <c r="B20" s="225" t="n">
        <v>46129</v>
      </c>
      <c r="C20" s="238" t="inlineStr">
        <is>
          <t>ДФЗ</t>
        </is>
      </c>
      <c r="D20" s="242" t="n"/>
      <c r="E20" s="234" t="n">
        <v>5000000</v>
      </c>
      <c r="F20" s="277" t="n"/>
    </row>
    <row r="21" hidden="1" outlineLevel="1" ht="14.4" customHeight="1" s="1127">
      <c r="B21" s="225" t="n">
        <v>46129</v>
      </c>
      <c r="C21" s="238" t="inlineStr">
        <is>
          <t>KASPI</t>
        </is>
      </c>
      <c r="D21" s="242" t="n"/>
      <c r="E21" s="234" t="n">
        <v>1500000</v>
      </c>
      <c r="F21" s="231" t="n"/>
    </row>
    <row r="22" hidden="1" outlineLevel="1" ht="14.4" customHeight="1" s="1127">
      <c r="B22" s="225" t="n">
        <v>46132</v>
      </c>
      <c r="C22" s="238" t="inlineStr">
        <is>
          <t>ДФЗ</t>
        </is>
      </c>
      <c r="D22" s="242" t="n"/>
      <c r="E22" s="415" t="n">
        <v>11327800</v>
      </c>
      <c r="F22" s="231" t="n"/>
    </row>
    <row r="23" hidden="1" outlineLevel="1" ht="14.4" customHeight="1" s="1127">
      <c r="B23" s="244" t="n">
        <v>46133</v>
      </c>
      <c r="C23" s="245" t="inlineStr">
        <is>
          <t>KASPI</t>
        </is>
      </c>
      <c r="D23" s="544" t="n"/>
      <c r="E23" s="246" t="n">
        <v>900000</v>
      </c>
      <c r="F23" s="231" t="n"/>
    </row>
    <row r="24" hidden="1" outlineLevel="1" ht="14.4" customHeight="1" s="1127">
      <c r="B24" s="225" t="n">
        <v>46133</v>
      </c>
      <c r="C24" s="238" t="inlineStr">
        <is>
          <t>ДФЗ</t>
        </is>
      </c>
      <c r="D24" s="242" t="n"/>
      <c r="E24" s="415" t="n">
        <v>5305000</v>
      </c>
      <c r="F24" s="231" t="n"/>
    </row>
    <row r="25" hidden="1" outlineLevel="1" ht="14.4" customHeight="1" s="1127">
      <c r="B25" s="225" t="n">
        <v>46133</v>
      </c>
      <c r="C25" s="247" t="inlineStr">
        <is>
          <t>Яндекс</t>
        </is>
      </c>
      <c r="D25" s="237" t="n"/>
      <c r="E25" s="397" t="n">
        <v>7664529</v>
      </c>
      <c r="F25" s="277" t="n"/>
    </row>
    <row r="26" hidden="1" outlineLevel="1" ht="14.4" customHeight="1" s="1127">
      <c r="B26" s="225" t="n">
        <v>46133</v>
      </c>
      <c r="C26" s="249" t="inlineStr">
        <is>
          <t>Базилик</t>
        </is>
      </c>
      <c r="D26" s="544" t="n"/>
      <c r="E26" s="397" t="n">
        <v>979348</v>
      </c>
      <c r="F26" s="277" t="n"/>
    </row>
    <row r="27" hidden="1" outlineLevel="1" ht="14.4" customHeight="1" s="1127">
      <c r="B27" s="225" t="n">
        <v>46134</v>
      </c>
      <c r="C27" s="236" t="inlineStr">
        <is>
          <t>Wolf</t>
        </is>
      </c>
      <c r="D27" s="252" t="n"/>
      <c r="E27" s="397" t="n">
        <v>143759</v>
      </c>
      <c r="F27" s="277" t="n"/>
    </row>
    <row r="28" hidden="1" outlineLevel="1" ht="14.4" customHeight="1" s="1127">
      <c r="B28" s="225" t="n">
        <v>46134</v>
      </c>
      <c r="C28" s="238" t="inlineStr">
        <is>
          <t>KASPI</t>
        </is>
      </c>
      <c r="D28" s="252" t="n"/>
      <c r="E28" s="253" t="n">
        <v>1400000</v>
      </c>
      <c r="F28" s="231" t="n"/>
    </row>
    <row r="29" hidden="1" outlineLevel="1" ht="13.8" customHeight="1" s="1127">
      <c r="B29" s="403" t="n">
        <v>46135</v>
      </c>
      <c r="C29" s="255" t="inlineStr">
        <is>
          <t>Яндекс</t>
        </is>
      </c>
      <c r="D29" s="261" t="n"/>
      <c r="E29" s="257" t="n">
        <v>4436840</v>
      </c>
      <c r="F29" s="258" t="n"/>
    </row>
    <row r="30" hidden="1" outlineLevel="1" ht="13.8" customHeight="1" s="1127">
      <c r="B30" s="403" t="n">
        <v>46135</v>
      </c>
      <c r="C30" s="272" t="inlineStr">
        <is>
          <t>RP</t>
        </is>
      </c>
      <c r="D30" s="261" t="n"/>
      <c r="E30" s="397" t="n">
        <v>5000000</v>
      </c>
      <c r="F30" s="258" t="n"/>
    </row>
    <row r="31" hidden="1" outlineLevel="1" ht="13.8" customHeight="1" s="1127">
      <c r="B31" s="403" t="n">
        <v>46135</v>
      </c>
      <c r="C31" s="260" t="inlineStr">
        <is>
          <t>ДФЗ</t>
        </is>
      </c>
      <c r="D31" s="261" t="n"/>
      <c r="E31" s="397" t="n">
        <v>2530000</v>
      </c>
      <c r="F31" s="258" t="n"/>
    </row>
    <row r="32" hidden="1" outlineLevel="1" ht="13.8" customHeight="1" s="1127">
      <c r="B32" s="403" t="n">
        <v>46135</v>
      </c>
      <c r="C32" s="267" t="inlineStr">
        <is>
          <t>Фуд Вендинг</t>
        </is>
      </c>
      <c r="D32" s="263" t="n"/>
      <c r="E32" s="263" t="n"/>
      <c r="F32" s="258" t="n"/>
    </row>
    <row r="33" hidden="1" outlineLevel="1" ht="13.8" customHeight="1" s="1127">
      <c r="B33" s="403" t="n">
        <v>46135</v>
      </c>
      <c r="C33" s="264" t="inlineStr">
        <is>
          <t>Wolf</t>
        </is>
      </c>
      <c r="D33" s="269" t="n"/>
      <c r="E33" s="266" t="n">
        <v>29839</v>
      </c>
      <c r="F33" s="68" t="n"/>
    </row>
    <row r="34" hidden="1" outlineLevel="1" ht="13.8" customHeight="1" s="1127">
      <c r="B34" s="403" t="n">
        <v>46135</v>
      </c>
      <c r="C34" s="267" t="inlineStr">
        <is>
          <t>Базилик</t>
        </is>
      </c>
      <c r="D34" s="261" t="n"/>
      <c r="E34" s="253" t="n">
        <v>588058</v>
      </c>
      <c r="F34" s="68" t="n"/>
    </row>
    <row r="35" hidden="1" outlineLevel="1" ht="13.8" customHeight="1" s="1127">
      <c r="B35" s="403" t="n">
        <v>46135</v>
      </c>
      <c r="C35" s="269" t="inlineStr">
        <is>
          <t>Бобух</t>
        </is>
      </c>
      <c r="D35" s="269" t="n"/>
      <c r="E35" s="266">
        <f>337625+75706</f>
        <v/>
      </c>
      <c r="F35" s="68" t="n"/>
    </row>
    <row r="36" hidden="1" outlineLevel="1" ht="13.8" customHeight="1" s="1127">
      <c r="B36" s="403" t="n">
        <v>46135</v>
      </c>
      <c r="C36" s="272" t="inlineStr">
        <is>
          <t>KASPI</t>
        </is>
      </c>
      <c r="D36" s="269" t="n"/>
      <c r="E36" s="266" t="n">
        <v>1400000</v>
      </c>
      <c r="F36" s="68" t="n"/>
    </row>
    <row r="37" hidden="1" outlineLevel="1" ht="13.8" customHeight="1" s="1127">
      <c r="B37" s="403" t="n">
        <v>46136</v>
      </c>
      <c r="C37" s="268" t="inlineStr">
        <is>
          <t>Алга</t>
        </is>
      </c>
      <c r="D37" s="269" t="n"/>
      <c r="E37" s="266" t="n">
        <v>1000000</v>
      </c>
      <c r="F37" s="68" t="n"/>
    </row>
    <row r="38" hidden="1" outlineLevel="1" ht="13.8" customHeight="1" s="1127">
      <c r="B38" s="403" t="n">
        <v>46136</v>
      </c>
      <c r="C38" s="270" t="inlineStr">
        <is>
          <t>ДФЗ</t>
        </is>
      </c>
      <c r="D38" s="269" t="n"/>
      <c r="E38" s="271" t="n">
        <v>4880000</v>
      </c>
      <c r="F38" s="68" t="n"/>
    </row>
    <row r="39" hidden="1" outlineLevel="1" ht="13.8" customHeight="1" s="1127">
      <c r="B39" s="403" t="n">
        <v>46136</v>
      </c>
      <c r="C39" s="272" t="inlineStr">
        <is>
          <t>KASPI</t>
        </is>
      </c>
      <c r="D39" s="269" t="n"/>
      <c r="E39" s="266" t="n">
        <v>1500000</v>
      </c>
      <c r="F39" s="68" t="n"/>
    </row>
    <row r="40" hidden="1" outlineLevel="1" ht="13.8" customHeight="1" s="1127">
      <c r="B40" s="403" t="n">
        <v>46136</v>
      </c>
      <c r="C40" s="267" t="inlineStr">
        <is>
          <t>Фуд Вендинг</t>
        </is>
      </c>
      <c r="D40" s="266" t="n">
        <v>1500000</v>
      </c>
      <c r="E40" s="266" t="n"/>
      <c r="F40" s="68" t="n"/>
    </row>
    <row r="41" hidden="1" outlineLevel="1" ht="13.8" customHeight="1" s="1127">
      <c r="B41" s="403" t="n">
        <v>46136</v>
      </c>
      <c r="C41" s="272" t="inlineStr">
        <is>
          <t>Бобух</t>
        </is>
      </c>
      <c r="D41" s="269" t="n"/>
      <c r="E41" s="266" t="n">
        <v>84839</v>
      </c>
      <c r="F41" s="68" t="n"/>
    </row>
    <row r="42" hidden="1" outlineLevel="1" ht="13.8" customHeight="1" s="1127">
      <c r="B42" s="403" t="n">
        <v>46136</v>
      </c>
      <c r="C42" s="267" t="inlineStr">
        <is>
          <t>Базилик</t>
        </is>
      </c>
      <c r="D42" s="269" t="n"/>
      <c r="E42" s="271" t="n">
        <v>869592</v>
      </c>
      <c r="F42" s="68" t="n"/>
    </row>
    <row r="43" hidden="1" outlineLevel="1" ht="13.8" customHeight="1" s="1127">
      <c r="B43" s="403" t="n">
        <v>46136</v>
      </c>
      <c r="C43" s="273" t="inlineStr">
        <is>
          <t>DSF</t>
        </is>
      </c>
      <c r="D43" s="269" t="n"/>
      <c r="E43" s="266" t="n">
        <v>2000000</v>
      </c>
      <c r="F43" s="68" t="n"/>
    </row>
    <row r="44" hidden="1" outlineLevel="1" ht="13.8" customHeight="1" s="1127">
      <c r="B44" s="274" t="n">
        <v>46139</v>
      </c>
      <c r="C44" s="270" t="inlineStr">
        <is>
          <t>ДФЗ</t>
        </is>
      </c>
      <c r="D44" s="269" t="n"/>
      <c r="E44" s="271" t="n">
        <v>11900000</v>
      </c>
      <c r="F44" s="68" t="n"/>
      <c r="I44" s="275" t="inlineStr">
        <is>
          <t>Пикассо (актуализировать долг, брали продукт)</t>
        </is>
      </c>
      <c r="J44" s="68" t="n"/>
    </row>
    <row r="45" hidden="1" outlineLevel="1" ht="13.8" customHeight="1" s="1127">
      <c r="B45" s="274" t="n">
        <v>46139</v>
      </c>
      <c r="C45" s="272" t="inlineStr">
        <is>
          <t>KASPI</t>
        </is>
      </c>
      <c r="D45" s="269" t="n"/>
      <c r="E45" s="266" t="n">
        <v>1500000</v>
      </c>
      <c r="F45" s="277" t="n"/>
      <c r="I45" s="276" t="inlineStr">
        <is>
          <t>Элипс (логистическая компания)</t>
        </is>
      </c>
      <c r="J45" s="68" t="n"/>
    </row>
    <row r="46" hidden="1" outlineLevel="1" ht="13.8" customHeight="1" s="1127">
      <c r="B46" s="274" t="n">
        <v>46140</v>
      </c>
      <c r="C46" s="270" t="inlineStr">
        <is>
          <t>ДФЗ</t>
        </is>
      </c>
      <c r="D46" s="277" t="n"/>
      <c r="E46" s="271" t="n">
        <v>5540000</v>
      </c>
      <c r="F46" s="277" t="n"/>
      <c r="I46" s="278" t="inlineStr">
        <is>
          <t>АЛИШЕР (AL-Group)</t>
        </is>
      </c>
      <c r="J46" s="68" t="inlineStr">
        <is>
          <t>1,2 млн.тенге</t>
        </is>
      </c>
    </row>
    <row r="47" hidden="1" outlineLevel="1" ht="13.8" customHeight="1" s="1127">
      <c r="B47" s="274" t="n">
        <v>46140</v>
      </c>
      <c r="C47" s="272" t="inlineStr">
        <is>
          <t>Базилик</t>
        </is>
      </c>
      <c r="D47" s="277" t="n"/>
      <c r="E47" s="271" t="n">
        <v>676067</v>
      </c>
      <c r="F47" s="277" t="n"/>
      <c r="I47" s="279" t="inlineStr">
        <is>
          <t>ЛУКОЙЛ (ТОО АЛГА)</t>
        </is>
      </c>
      <c r="J47" s="68" t="inlineStr">
        <is>
          <t>3,3 млн.тенге</t>
        </is>
      </c>
    </row>
    <row r="48" hidden="1" outlineLevel="1" ht="13.8" customHeight="1" s="1127">
      <c r="B48" s="274" t="n">
        <v>46140</v>
      </c>
      <c r="C48" s="270" t="inlineStr">
        <is>
          <t>Яндекс</t>
        </is>
      </c>
      <c r="D48" s="277" t="n"/>
      <c r="E48" s="271" t="n">
        <v>8092147</v>
      </c>
      <c r="F48" s="277" t="n"/>
      <c r="I48" s="280" t="inlineStr">
        <is>
          <t>всех мелких-прошерстить</t>
        </is>
      </c>
      <c r="J48" s="68" t="n"/>
    </row>
    <row r="49" hidden="1" outlineLevel="1" ht="13.8" customHeight="1" s="1127">
      <c r="B49" s="274" t="n">
        <v>46140</v>
      </c>
      <c r="C49" s="279" t="inlineStr">
        <is>
          <t>МайМарт</t>
        </is>
      </c>
      <c r="D49" s="277" t="n"/>
      <c r="E49" s="271" t="n">
        <v>2000000</v>
      </c>
      <c r="F49" s="277" t="n"/>
      <c r="I49" s="281" t="inlineStr">
        <is>
          <t>ДФЗ (остаток)</t>
        </is>
      </c>
      <c r="J49" s="68" t="n"/>
    </row>
    <row r="50" hidden="1" outlineLevel="1" ht="13.8" customHeight="1" s="1127">
      <c r="B50" s="274" t="n">
        <v>46140</v>
      </c>
      <c r="C50" s="273" t="inlineStr">
        <is>
          <t>DSF</t>
        </is>
      </c>
      <c r="D50" s="282" t="n"/>
      <c r="E50" s="271" t="n">
        <v>2000000</v>
      </c>
      <c r="F50" s="277" t="n"/>
    </row>
    <row r="51" hidden="1" outlineLevel="1" ht="13.8" customHeight="1" s="1127">
      <c r="B51" s="274" t="n">
        <v>46140</v>
      </c>
      <c r="C51" s="279" t="inlineStr">
        <is>
          <t>ЧЛ</t>
        </is>
      </c>
      <c r="D51" s="277" t="n"/>
      <c r="E51" s="271">
        <f>38200+7000</f>
        <v/>
      </c>
      <c r="F51" s="277" t="n"/>
    </row>
    <row r="52" hidden="1" outlineLevel="1" ht="13.8" customHeight="1" s="1127">
      <c r="B52" s="274" t="n">
        <v>46140</v>
      </c>
      <c r="C52" s="279" t="inlineStr">
        <is>
          <t>Глово</t>
        </is>
      </c>
      <c r="D52" s="277" t="n"/>
      <c r="E52" s="271" t="n">
        <v>762501</v>
      </c>
      <c r="F52" s="277" t="n"/>
    </row>
    <row r="53" hidden="1" outlineLevel="1" ht="13.8" customHeight="1" s="1127">
      <c r="B53" s="274" t="n">
        <v>46141</v>
      </c>
      <c r="C53" s="272" t="inlineStr">
        <is>
          <t>ДФЗ</t>
        </is>
      </c>
      <c r="D53" s="277" t="n"/>
      <c r="E53" s="271" t="n">
        <v>1302000</v>
      </c>
      <c r="F53" s="277" t="n"/>
    </row>
    <row r="54" hidden="1" outlineLevel="1" ht="13.8" customHeight="1" s="1127">
      <c r="B54" s="274" t="n">
        <v>46141</v>
      </c>
      <c r="C54" s="264" t="inlineStr">
        <is>
          <t>Wolf</t>
        </is>
      </c>
      <c r="D54" s="277" t="n"/>
      <c r="E54" s="271" t="n">
        <v>106776</v>
      </c>
      <c r="F54" s="277" t="n"/>
    </row>
    <row r="55" hidden="1" outlineLevel="1" ht="13.8" customHeight="1" s="1127">
      <c r="B55" s="274" t="n">
        <v>46141</v>
      </c>
      <c r="C55" s="272" t="inlineStr">
        <is>
          <t>KASPI</t>
        </is>
      </c>
      <c r="D55" s="277" t="n"/>
      <c r="E55" s="271" t="n">
        <v>300000</v>
      </c>
      <c r="F55" s="277" t="n"/>
    </row>
    <row r="56" hidden="1" outlineLevel="1" ht="13.8" customHeight="1" s="1127">
      <c r="B56" s="274" t="n">
        <v>46141</v>
      </c>
      <c r="C56" s="279" t="inlineStr">
        <is>
          <t>Crave</t>
        </is>
      </c>
      <c r="D56" s="271" t="n"/>
      <c r="E56" s="271" t="n">
        <v>400000</v>
      </c>
      <c r="F56" s="277" t="n"/>
    </row>
    <row r="57" hidden="1" outlineLevel="1" ht="13.8" customHeight="1" s="1127">
      <c r="B57" s="274" t="n">
        <v>46141</v>
      </c>
      <c r="C57" s="279" t="inlineStr">
        <is>
          <t>ЧЛ</t>
        </is>
      </c>
      <c r="D57" s="277" t="n"/>
      <c r="E57" s="271">
        <f>3000+7500</f>
        <v/>
      </c>
      <c r="F57" s="277" t="n"/>
    </row>
    <row r="58" hidden="1" outlineLevel="1" ht="13.8" customHeight="1" s="1127">
      <c r="B58" s="274" t="n">
        <v>46142</v>
      </c>
      <c r="C58" s="273" t="inlineStr">
        <is>
          <t>Яндекс</t>
        </is>
      </c>
      <c r="D58" s="277" t="n"/>
      <c r="E58" s="271" t="n">
        <v>8000000</v>
      </c>
      <c r="F58" s="277" t="n"/>
    </row>
    <row r="59" hidden="1" outlineLevel="1" ht="13.8" customHeight="1" s="1127">
      <c r="B59" s="274" t="n">
        <v>46142</v>
      </c>
      <c r="C59" s="273" t="inlineStr">
        <is>
          <t>ДФЗ</t>
        </is>
      </c>
      <c r="D59" s="277" t="n"/>
      <c r="E59" s="271" t="n">
        <v>2000000</v>
      </c>
      <c r="F59" s="277" t="n"/>
    </row>
    <row r="60" hidden="1" outlineLevel="1" ht="13.8" customHeight="1" s="1127">
      <c r="B60" s="274" t="n">
        <v>46142</v>
      </c>
      <c r="C60" s="267" t="inlineStr">
        <is>
          <t>RP</t>
        </is>
      </c>
      <c r="D60" s="261" t="n"/>
      <c r="E60" s="397" t="n">
        <v>5000000</v>
      </c>
      <c r="F60" s="277" t="n"/>
    </row>
    <row r="61" hidden="1" outlineLevel="1" ht="13.8" customHeight="1" s="1127">
      <c r="B61" s="274" t="n">
        <v>46142</v>
      </c>
      <c r="C61" s="249" t="inlineStr">
        <is>
          <t>Даркстор</t>
        </is>
      </c>
      <c r="D61" s="283" t="n"/>
      <c r="E61" s="415" t="n">
        <v>1000000</v>
      </c>
      <c r="F61" s="277" t="n"/>
    </row>
    <row r="62" hidden="1" outlineLevel="1" ht="13.8" customHeight="1" s="1127">
      <c r="B62" s="284" t="n">
        <v>46146</v>
      </c>
      <c r="C62" s="285" t="inlineStr">
        <is>
          <t>ДФЗ</t>
        </is>
      </c>
      <c r="D62" s="286" t="n"/>
      <c r="E62" s="287" t="n">
        <v>16295000</v>
      </c>
      <c r="F62" s="277" t="n"/>
    </row>
    <row r="63" hidden="1" outlineLevel="1" ht="13.8" customHeight="1" s="1127">
      <c r="B63" s="284" t="n">
        <v>46146</v>
      </c>
      <c r="C63" s="285" t="inlineStr">
        <is>
          <t>Базилик 2, Базилик 5</t>
        </is>
      </c>
      <c r="D63" s="286" t="n"/>
      <c r="E63" s="287" t="n">
        <v>2218910</v>
      </c>
      <c r="F63" s="277" t="n"/>
    </row>
    <row r="64" hidden="1" outlineLevel="1" ht="13.8" customHeight="1" s="1127">
      <c r="B64" s="284" t="n">
        <v>46146</v>
      </c>
      <c r="C64" s="291" t="inlineStr">
        <is>
          <t>KASPI</t>
        </is>
      </c>
      <c r="D64" s="286" t="n"/>
      <c r="E64" s="287" t="n">
        <v>1500000</v>
      </c>
      <c r="F64" s="277" t="n"/>
    </row>
    <row r="65" hidden="1" outlineLevel="1" ht="13.8" customHeight="1" s="1127">
      <c r="B65" s="284" t="n">
        <v>46146</v>
      </c>
      <c r="C65" s="285" t="inlineStr">
        <is>
          <t>CRAVE</t>
        </is>
      </c>
      <c r="D65" s="319" t="n"/>
      <c r="E65" s="287">
        <f>600000+27107</f>
        <v/>
      </c>
      <c r="F65" s="277" t="n"/>
    </row>
    <row r="66" hidden="1" outlineLevel="1" ht="13.8" customHeight="1" s="1127">
      <c r="B66" s="284" t="n">
        <v>46146</v>
      </c>
      <c r="C66" s="285" t="inlineStr">
        <is>
          <t>ЧЛ</t>
        </is>
      </c>
      <c r="D66" s="319" t="n"/>
      <c r="E66" s="287">
        <f>10800+91846</f>
        <v/>
      </c>
      <c r="F66" s="277" t="n"/>
    </row>
    <row r="67" hidden="1" outlineLevel="1" ht="13.8" customHeight="1" s="1127">
      <c r="B67" s="284" t="n">
        <v>46147</v>
      </c>
      <c r="C67" s="290" t="inlineStr">
        <is>
          <t xml:space="preserve">85-ТОО Д.Ф.З. </t>
        </is>
      </c>
      <c r="D67" s="319" t="n"/>
      <c r="E67" s="287" t="n">
        <v>4500000</v>
      </c>
      <c r="F67" s="68" t="n"/>
    </row>
    <row r="68" hidden="1" outlineLevel="1" ht="13.8" customHeight="1" s="1127">
      <c r="B68" s="284" t="n">
        <v>46147</v>
      </c>
      <c r="C68" s="290" t="inlineStr">
        <is>
          <t>110 АЗС "Sinooil"</t>
        </is>
      </c>
      <c r="D68" s="319" t="n"/>
      <c r="E68" s="287" t="n">
        <v>185519</v>
      </c>
      <c r="F68" s="68" t="n"/>
    </row>
    <row r="69" hidden="1" outlineLevel="1" ht="13.8" customHeight="1" s="1127">
      <c r="B69" s="284" t="n">
        <v>46147</v>
      </c>
      <c r="C69" s="290" t="inlineStr">
        <is>
          <t>111 ТОО ГЛОВО ОСНОВНОЙ</t>
        </is>
      </c>
      <c r="D69" s="319" t="n"/>
      <c r="E69" s="287" t="n">
        <v>641457</v>
      </c>
      <c r="F69" s="68" t="n"/>
    </row>
    <row r="70" hidden="1" outlineLevel="1" ht="13.8" customHeight="1" s="1127">
      <c r="B70" s="284" t="n">
        <v>46147</v>
      </c>
      <c r="C70" s="290" t="inlineStr">
        <is>
          <t>113-Wolt Services Kazakhstan</t>
        </is>
      </c>
      <c r="D70" s="319" t="n"/>
      <c r="E70" s="287" t="n">
        <v>385362</v>
      </c>
      <c r="F70" s="68" t="n"/>
    </row>
    <row r="71" hidden="1" outlineLevel="1" ht="13.8" customHeight="1" s="1127">
      <c r="B71" s="284" t="n">
        <v>46147</v>
      </c>
      <c r="C71" s="290" t="inlineStr">
        <is>
          <t>556-Romantic (торты) Махамбетов Акзер</t>
        </is>
      </c>
      <c r="D71" s="319" t="n"/>
      <c r="E71" s="287" t="n">
        <v>333200</v>
      </c>
      <c r="F71" s="68" t="n"/>
    </row>
    <row r="72" hidden="1" outlineLevel="1" ht="13.8" customHeight="1" s="1127">
      <c r="B72" s="284" t="n">
        <v>46147</v>
      </c>
      <c r="C72" s="290" t="inlineStr">
        <is>
          <t>102-Яндекс лавка ОСНОВНОЙ</t>
        </is>
      </c>
      <c r="D72" s="319" t="n"/>
      <c r="E72" s="287" t="n">
        <v>7293368</v>
      </c>
      <c r="F72" s="68" t="n"/>
    </row>
    <row r="73" hidden="1" outlineLevel="1" ht="13.8" customHeight="1" s="1127">
      <c r="B73" s="284" t="n">
        <v>46147</v>
      </c>
      <c r="C73" s="291" t="inlineStr">
        <is>
          <t>110 АЗС "Sinooil"</t>
        </is>
      </c>
      <c r="D73" s="319" t="n"/>
      <c r="E73" s="287" t="n">
        <v>1242000</v>
      </c>
      <c r="F73" s="68" t="n"/>
    </row>
    <row r="74" hidden="1" outlineLevel="1" ht="13.8" customHeight="1" s="1127">
      <c r="B74" s="284" t="n">
        <v>46147</v>
      </c>
      <c r="C74" s="291" t="inlineStr">
        <is>
          <t>KASPI</t>
        </is>
      </c>
      <c r="D74" s="319" t="n"/>
      <c r="E74" s="287" t="n">
        <v>1600000</v>
      </c>
      <c r="F74" s="68" t="n"/>
    </row>
    <row r="75" hidden="1" outlineLevel="1" ht="13.8" customHeight="1" s="1127">
      <c r="B75" s="284" t="n">
        <v>46147</v>
      </c>
      <c r="C75" s="291" t="inlineStr">
        <is>
          <t>1-Базилик 1 (Шевченко)</t>
        </is>
      </c>
      <c r="D75" s="319" t="n"/>
      <c r="E75" s="287" t="n">
        <v>809110</v>
      </c>
      <c r="F75" s="68" t="n"/>
    </row>
    <row r="76" hidden="1" outlineLevel="1" ht="13.8" customHeight="1" s="1127">
      <c r="B76" s="284" t="n">
        <v>46147</v>
      </c>
      <c r="C76" s="285" t="inlineStr">
        <is>
          <t>ЧЛ</t>
        </is>
      </c>
      <c r="D76" s="319" t="n"/>
      <c r="E76" s="287">
        <f>28809+9000</f>
        <v/>
      </c>
      <c r="F76" s="68" t="n"/>
    </row>
    <row r="77" hidden="1" outlineLevel="1" ht="13.8" customHeight="1" s="1127">
      <c r="B77" s="284" t="n">
        <v>46148</v>
      </c>
      <c r="C77" s="291" t="inlineStr">
        <is>
          <t>85-ТОО Д.Ф.З.</t>
        </is>
      </c>
      <c r="D77" s="319" t="n"/>
      <c r="E77" s="287">
        <f>1170000+500000</f>
        <v/>
      </c>
      <c r="F77" s="68" t="n"/>
    </row>
    <row r="78" hidden="1" outlineLevel="1" ht="13.8" customHeight="1" s="1127">
      <c r="B78" s="284" t="n">
        <v>46148</v>
      </c>
      <c r="C78" s="292" t="inlineStr">
        <is>
          <t>108-GO Market KRG ИП</t>
        </is>
      </c>
      <c r="D78" s="319" t="n"/>
      <c r="E78" s="287" t="n">
        <v>340088</v>
      </c>
      <c r="F78" s="68" t="n"/>
    </row>
    <row r="79" hidden="1" outlineLevel="1" ht="13.8" customHeight="1" s="1127">
      <c r="B79" s="284" t="n">
        <v>46148</v>
      </c>
      <c r="C79" s="291" t="inlineStr">
        <is>
          <t>7-Kaspi Банк</t>
        </is>
      </c>
      <c r="D79" s="319" t="n"/>
      <c r="E79" s="287" t="n">
        <v>1200000</v>
      </c>
      <c r="F79" s="68" t="n"/>
    </row>
    <row r="80" hidden="1" outlineLevel="1" ht="13.8" customHeight="1" s="1127">
      <c r="B80" s="284" t="n">
        <v>46148</v>
      </c>
      <c r="C80" s="290" t="inlineStr">
        <is>
          <t>103-Бобух ИП</t>
        </is>
      </c>
      <c r="D80" s="287" t="n"/>
      <c r="E80" s="287" t="n">
        <v>89394</v>
      </c>
      <c r="F80" s="68" t="n"/>
    </row>
    <row r="81" hidden="1" outlineLevel="1" ht="13.8" customHeight="1" s="1127">
      <c r="B81" s="284" t="n">
        <v>46148</v>
      </c>
      <c r="C81" s="290" t="inlineStr">
        <is>
          <t>558- ТРИО Romantic (торты)</t>
        </is>
      </c>
      <c r="D81" s="319" t="n"/>
      <c r="E81" s="287" t="n">
        <v>84000</v>
      </c>
      <c r="F81" s="68" t="n"/>
    </row>
    <row r="82" hidden="1" outlineLevel="1" ht="13.8" customHeight="1" s="1127">
      <c r="B82" s="284" t="n">
        <v>46148</v>
      </c>
      <c r="C82" s="285" t="inlineStr">
        <is>
          <t>ЧЛ</t>
        </is>
      </c>
      <c r="D82" s="319" t="n"/>
      <c r="E82" s="287" t="n">
        <v>14000</v>
      </c>
      <c r="F82" s="68" t="n"/>
    </row>
    <row r="83" hidden="1" outlineLevel="1" ht="13.8" customHeight="1" s="1127">
      <c r="B83" s="274" t="n">
        <v>46149</v>
      </c>
      <c r="C83" s="279" t="inlineStr">
        <is>
          <t>Олив</t>
        </is>
      </c>
      <c r="D83" s="277" t="n"/>
      <c r="E83" s="271" t="n">
        <v>1500000</v>
      </c>
      <c r="F83" s="68" t="n"/>
    </row>
    <row r="84" hidden="1" outlineLevel="1" ht="13.8" customHeight="1" s="1127">
      <c r="B84" s="274" t="n">
        <v>46149</v>
      </c>
      <c r="C84" s="279" t="inlineStr">
        <is>
          <t xml:space="preserve"> Ник и Ко</t>
        </is>
      </c>
      <c r="D84" s="277" t="n"/>
      <c r="E84" s="271" t="n">
        <v>1647000</v>
      </c>
      <c r="F84" s="68" t="n"/>
    </row>
    <row r="85" hidden="1" outlineLevel="1" ht="13.8" customHeight="1" s="1127">
      <c r="B85" s="274" t="n">
        <v>46150</v>
      </c>
      <c r="C85" s="295" t="inlineStr">
        <is>
          <t>112 PRO OIL SERVICE ИП г. Талгар, с. Кендала, ул. Смыкова д.118 (LUKOIL)</t>
        </is>
      </c>
      <c r="D85" s="277" t="n"/>
      <c r="E85" s="296" t="n">
        <v>81893</v>
      </c>
      <c r="F85" s="68" t="n"/>
    </row>
    <row r="86" hidden="1" outlineLevel="1" ht="13.8" customHeight="1" s="1127">
      <c r="B86" s="274" t="n">
        <v>46150</v>
      </c>
      <c r="C86" s="295" t="inlineStr">
        <is>
          <t>85-ТОО Д.Ф.З. (дистрибьютор)</t>
        </is>
      </c>
      <c r="D86" s="277" t="n"/>
      <c r="E86" s="296" t="n">
        <v>5600000</v>
      </c>
      <c r="F86" s="68" t="n"/>
    </row>
    <row r="87" hidden="1" outlineLevel="1" ht="13.8" customHeight="1" s="1127">
      <c r="B87" s="274" t="n">
        <v>46150</v>
      </c>
      <c r="C87" s="295" t="inlineStr">
        <is>
          <t>85-ТОО Д.Ф.З. (дистрибьютор)</t>
        </is>
      </c>
      <c r="D87" s="277" t="n"/>
      <c r="E87" s="296" t="n">
        <v>4900000</v>
      </c>
      <c r="F87" s="68" t="n"/>
    </row>
    <row r="88" hidden="1" outlineLevel="1" ht="13.8" customHeight="1" s="1127">
      <c r="B88" s="274" t="n">
        <v>46150</v>
      </c>
      <c r="C88" s="295" t="inlineStr">
        <is>
          <t>558- ТРИО Romantic (торты) Нурлыбаев Алибек</t>
        </is>
      </c>
      <c r="D88" s="277" t="n"/>
      <c r="E88" s="296" t="n">
        <v>86800</v>
      </c>
      <c r="F88" s="68" t="n"/>
    </row>
    <row r="89" hidden="1" outlineLevel="1" ht="13.8" customHeight="1" s="1127">
      <c r="B89" s="274" t="n">
        <v>46150</v>
      </c>
      <c r="C89" s="295" t="inlineStr">
        <is>
          <t>85-ТОО Д.Ф.З. (дистрибьютор)</t>
        </is>
      </c>
      <c r="D89" s="277" t="n"/>
      <c r="E89" s="296" t="n">
        <v>1500000</v>
      </c>
      <c r="F89" s="68" t="n"/>
    </row>
    <row r="90" hidden="1" outlineLevel="1" ht="13.8" customHeight="1" s="1127">
      <c r="B90" s="274" t="n">
        <v>46150</v>
      </c>
      <c r="C90" s="295" t="inlineStr">
        <is>
          <t>99-RP АЗС основной</t>
        </is>
      </c>
      <c r="D90" s="277" t="n"/>
      <c r="E90" s="296" t="n">
        <v>7000000</v>
      </c>
      <c r="F90" s="68" t="n"/>
    </row>
    <row r="91" hidden="1" outlineLevel="1" ht="13.8" customHeight="1" s="1127">
      <c r="B91" s="274" t="n">
        <v>46150</v>
      </c>
      <c r="C91" s="295" t="inlineStr">
        <is>
          <t>104-DQ12 ТОО г.Тараз, Конаева 12</t>
        </is>
      </c>
      <c r="D91" s="277" t="n"/>
      <c r="E91" s="296" t="n">
        <v>324904</v>
      </c>
      <c r="F91" s="68" t="n"/>
    </row>
    <row r="92" hidden="1" outlineLevel="1" ht="13.8" customHeight="1" s="1127">
      <c r="B92" s="274" t="n">
        <v>46150</v>
      </c>
      <c r="C92" s="295" t="inlineStr">
        <is>
          <t>9-Базилик 5 (Аксай)</t>
        </is>
      </c>
      <c r="D92" s="277" t="n"/>
      <c r="E92" s="296" t="n">
        <v>499730</v>
      </c>
      <c r="F92" s="68" t="n"/>
    </row>
    <row r="93" hidden="1" outlineLevel="1" ht="13.8" customHeight="1" s="1127">
      <c r="B93" s="274" t="n">
        <v>46150</v>
      </c>
      <c r="C93" s="295" t="inlineStr">
        <is>
          <t>1-Базилик 1 (Шевченко)</t>
        </is>
      </c>
      <c r="D93" s="277" t="n"/>
      <c r="E93" s="296" t="n">
        <v>1561938</v>
      </c>
      <c r="F93" s="68" t="n"/>
    </row>
    <row r="94" hidden="1" outlineLevel="1" ht="13.8" customHeight="1" s="1127">
      <c r="B94" s="274" t="n">
        <v>46150</v>
      </c>
      <c r="C94" s="295" t="inlineStr">
        <is>
          <t>7-Kaspi Банк (Склад ГП)</t>
        </is>
      </c>
      <c r="D94" s="277" t="n"/>
      <c r="E94" s="296" t="n">
        <v>1500000</v>
      </c>
      <c r="F94" s="68" t="n"/>
    </row>
    <row r="95" hidden="1" outlineLevel="1" ht="13.8" customHeight="1" s="1127">
      <c r="B95" s="274" t="n">
        <v>46154</v>
      </c>
      <c r="C95" s="295" t="inlineStr">
        <is>
          <t>1-Базилик 1 (Шевченко)</t>
        </is>
      </c>
      <c r="D95" s="277" t="n"/>
      <c r="E95" s="296" t="n">
        <v>587904</v>
      </c>
      <c r="F95" s="68" t="n"/>
    </row>
    <row r="96" hidden="1" outlineLevel="1" ht="13.8" customHeight="1" s="1127">
      <c r="B96" s="274" t="n">
        <v>46154</v>
      </c>
      <c r="C96" s="295" t="inlineStr">
        <is>
          <t>9-Базилик 5 (Аксай)</t>
        </is>
      </c>
      <c r="D96" s="277" t="n"/>
      <c r="E96" s="296" t="n">
        <v>656280</v>
      </c>
      <c r="F96" s="68" t="n"/>
    </row>
    <row r="97" hidden="1" outlineLevel="1" ht="13.8" customHeight="1" s="1127">
      <c r="B97" s="274" t="n">
        <v>46154</v>
      </c>
      <c r="C97" s="295" t="inlineStr">
        <is>
          <t>102-Яндекс лавка ОСНОВНОЙ</t>
        </is>
      </c>
      <c r="D97" s="277" t="n"/>
      <c r="E97" s="296" t="n">
        <v>12457626</v>
      </c>
      <c r="F97" s="68" t="n"/>
    </row>
    <row r="98" hidden="1" outlineLevel="1" ht="13.8" customHeight="1" s="1127">
      <c r="B98" s="274" t="n">
        <v>46154</v>
      </c>
      <c r="C98" s="295" t="inlineStr">
        <is>
          <t>85-ТОО Д.Ф.З. (дистрибьютор)</t>
        </is>
      </c>
      <c r="D98" s="277" t="n"/>
      <c r="E98" s="296" t="n">
        <v>9700000</v>
      </c>
      <c r="F98" s="68" t="n"/>
    </row>
    <row r="99" hidden="1" outlineLevel="1" ht="13.8" customHeight="1" s="1127">
      <c r="B99" s="274" t="n">
        <v>46154</v>
      </c>
      <c r="C99" s="295" t="inlineStr">
        <is>
          <t>113-Wolt Services Kazakhstan</t>
        </is>
      </c>
      <c r="D99" s="277" t="n"/>
      <c r="E99" s="296" t="n">
        <v>389281</v>
      </c>
      <c r="F99" s="68" t="n"/>
    </row>
    <row r="100" hidden="1" outlineLevel="1" ht="13.8" customHeight="1" s="1127">
      <c r="B100" s="274" t="n">
        <v>46154</v>
      </c>
      <c r="C100" s="295" t="inlineStr">
        <is>
          <t>111 ТОО ГЛОВО ОСНОВНОЙ</t>
        </is>
      </c>
      <c r="D100" s="277" t="n"/>
      <c r="E100" s="296" t="n">
        <v>429986</v>
      </c>
      <c r="F100" s="68" t="n"/>
    </row>
    <row r="101" hidden="1" outlineLevel="1" ht="13.8" customHeight="1" s="1127">
      <c r="B101" s="274" t="n">
        <v>46155</v>
      </c>
      <c r="C101" s="295" t="inlineStr">
        <is>
          <t>85-ТОО Д.Ф.З. (дистрибьютор)</t>
        </is>
      </c>
      <c r="D101" s="277" t="n"/>
      <c r="E101" s="271" t="n">
        <v>10000000</v>
      </c>
      <c r="F101" s="68" t="n"/>
    </row>
    <row r="102" hidden="1" outlineLevel="1" ht="13.8" customHeight="1" s="1127">
      <c r="B102" s="274" t="n">
        <v>46155</v>
      </c>
      <c r="C102" s="297" t="inlineStr">
        <is>
          <t>Crave</t>
        </is>
      </c>
      <c r="D102" s="277" t="n"/>
      <c r="E102" s="271" t="n">
        <v>1500000</v>
      </c>
      <c r="F102" s="68" t="n"/>
    </row>
    <row r="103" hidden="1" outlineLevel="1" ht="13.8" customHeight="1" s="1127">
      <c r="B103" s="274" t="n">
        <v>46155</v>
      </c>
      <c r="C103" s="279" t="inlineStr">
        <is>
          <t xml:space="preserve">0Частное </t>
        </is>
      </c>
      <c r="D103" s="277">
        <f>25000</f>
        <v/>
      </c>
      <c r="E103" s="271" t="n"/>
      <c r="F103" s="68" t="n"/>
    </row>
    <row r="104" hidden="1" outlineLevel="1" ht="13.8" customHeight="1" s="1127">
      <c r="B104" s="274" t="n">
        <v>46156</v>
      </c>
      <c r="C104" s="295" t="inlineStr">
        <is>
          <t>102-Яндекс лавка ОСНОВНОЙ</t>
        </is>
      </c>
      <c r="D104" s="299" t="n"/>
      <c r="E104" s="296" t="n">
        <v>4779295</v>
      </c>
      <c r="F104" s="68" t="n"/>
    </row>
    <row r="105" hidden="1" outlineLevel="1" ht="13.8" customHeight="1" s="1127">
      <c r="B105" s="274" t="n">
        <v>46156</v>
      </c>
      <c r="C105" s="295" t="inlineStr">
        <is>
          <t>85-ТОО Д.Ф.З. (дистрибьютор)</t>
        </is>
      </c>
      <c r="D105" s="299" t="n"/>
      <c r="E105" s="296" t="n">
        <v>2800000</v>
      </c>
      <c r="F105" s="68" t="n"/>
    </row>
    <row r="106" hidden="1" outlineLevel="1" ht="13.8" customHeight="1" s="1127">
      <c r="B106" s="274" t="n">
        <v>46156</v>
      </c>
      <c r="C106" s="295" t="inlineStr">
        <is>
          <t>99-RP АЗС основной</t>
        </is>
      </c>
      <c r="D106" s="299" t="n"/>
      <c r="E106" s="296" t="n">
        <v>7000000</v>
      </c>
      <c r="F106" s="68" t="n"/>
    </row>
    <row r="107" hidden="1" outlineLevel="1" ht="13.8" customHeight="1" s="1127">
      <c r="B107" s="274" t="n">
        <v>46157</v>
      </c>
      <c r="C107" s="295" t="inlineStr">
        <is>
          <t>1-Базилик 1 (Шевченко)</t>
        </is>
      </c>
      <c r="D107" s="277" t="n"/>
      <c r="E107" s="271" t="inlineStr">
        <is>
          <t>909 275</t>
        </is>
      </c>
      <c r="F107" s="68" t="n"/>
    </row>
    <row r="108" hidden="1" outlineLevel="1" ht="13.8" customHeight="1" s="1127">
      <c r="B108" s="274" t="n">
        <v>46157</v>
      </c>
      <c r="C108" s="295" t="inlineStr">
        <is>
          <t>7-Kaspi Банк (Склад ГП)</t>
        </is>
      </c>
      <c r="D108" s="277" t="n"/>
      <c r="E108" s="271" t="inlineStr">
        <is>
          <t>500 000</t>
        </is>
      </c>
      <c r="F108" s="68" t="n"/>
    </row>
    <row r="109" hidden="1" outlineLevel="1" ht="13.8" customHeight="1" s="1127">
      <c r="B109" s="274" t="n">
        <v>46157</v>
      </c>
      <c r="C109" s="295" t="inlineStr">
        <is>
          <t>113-Wolt Services Kazakhstan ОСНОВНОЙ</t>
        </is>
      </c>
      <c r="D109" s="277" t="n"/>
      <c r="E109" s="296" t="n">
        <v>110776</v>
      </c>
      <c r="F109" s="68" t="n"/>
    </row>
    <row r="110" hidden="1" outlineLevel="1" ht="13.8" customHeight="1" s="1127">
      <c r="B110" s="274" t="n">
        <v>46157</v>
      </c>
      <c r="C110" s="295" t="inlineStr">
        <is>
          <t>105-Алга экспресс ОСНОВНОЙ</t>
        </is>
      </c>
      <c r="D110" s="277" t="n"/>
      <c r="E110" s="296" t="n">
        <v>500000</v>
      </c>
      <c r="F110" s="68" t="n"/>
    </row>
    <row r="111" hidden="1" outlineLevel="1" ht="13.8" customHeight="1" s="1127">
      <c r="B111" s="274" t="n">
        <v>46157</v>
      </c>
      <c r="C111" s="295" t="inlineStr">
        <is>
          <t>85-ТОО Д.Ф.З. (дистрибьютор)</t>
        </is>
      </c>
      <c r="D111" s="277" t="n"/>
      <c r="E111" s="296" t="n">
        <v>4950000</v>
      </c>
      <c r="F111" s="68" t="n"/>
    </row>
    <row r="112" hidden="1" outlineLevel="1" ht="13.8" customHeight="1" s="1127">
      <c r="B112" s="274" t="n">
        <v>46157</v>
      </c>
      <c r="C112" s="295" t="inlineStr">
        <is>
          <t>90-Маймарт</t>
        </is>
      </c>
      <c r="D112" s="277" t="n"/>
      <c r="E112" s="296" t="inlineStr">
        <is>
          <t>2 000 000</t>
        </is>
      </c>
      <c r="F112" s="68" t="n"/>
    </row>
    <row r="113" hidden="1" outlineLevel="1" ht="13.8" customHeight="1" s="1127">
      <c r="B113" s="274" t="n">
        <v>46160</v>
      </c>
      <c r="C113" s="295" t="inlineStr">
        <is>
          <t>556-Romantic (торты) Махамбетов Акзер</t>
        </is>
      </c>
      <c r="D113" s="299" t="n"/>
      <c r="E113" s="296" t="n">
        <v>294000</v>
      </c>
      <c r="F113" s="277" t="n"/>
    </row>
    <row r="114" hidden="1" outlineLevel="1" ht="13.8" customHeight="1" s="1127">
      <c r="B114" s="274" t="n">
        <v>46160</v>
      </c>
      <c r="C114" s="295" t="inlineStr">
        <is>
          <t>85-ТОО Д.Ф.З. (дистрибьютор)</t>
        </is>
      </c>
      <c r="D114" s="299" t="n"/>
      <c r="E114" s="296" t="n">
        <v>10522000</v>
      </c>
      <c r="F114" s="277" t="n"/>
    </row>
    <row r="115" hidden="1" outlineLevel="1" ht="13.8" customHeight="1" s="1127">
      <c r="B115" s="300" t="n">
        <v>46161</v>
      </c>
      <c r="C115" s="304" t="inlineStr">
        <is>
          <t>102-Яндекс лавка ОСНОВНОЙ</t>
        </is>
      </c>
      <c r="D115" s="305" t="n"/>
      <c r="E115" s="306" t="n">
        <v>8461065</v>
      </c>
      <c r="F115" s="68" t="n"/>
    </row>
    <row r="116" hidden="1" outlineLevel="1" ht="13.8" customHeight="1" s="1127">
      <c r="B116" s="300" t="n">
        <v>46161</v>
      </c>
      <c r="C116" s="304" t="inlineStr">
        <is>
          <t>85-ТОО Д.Ф.З. (дистрибьютор)</t>
        </is>
      </c>
      <c r="D116" s="305" t="n"/>
      <c r="E116" s="306" t="n">
        <v>4106000</v>
      </c>
      <c r="F116" s="68" t="n"/>
    </row>
    <row r="117" hidden="1" outlineLevel="1" ht="13.8" customHeight="1" s="1127">
      <c r="B117" s="300" t="n">
        <v>46161</v>
      </c>
      <c r="C117" s="304" t="inlineStr">
        <is>
          <t>111 ТОО ГЛОВО ОСНОВНОЙ</t>
        </is>
      </c>
      <c r="D117" s="305" t="n"/>
      <c r="E117" s="306" t="n">
        <v>822452</v>
      </c>
      <c r="F117" s="68" t="n"/>
    </row>
    <row r="118" hidden="1" outlineLevel="1" ht="13.8" customHeight="1" s="1127">
      <c r="B118" s="300" t="n">
        <v>46161</v>
      </c>
      <c r="C118" s="304" t="inlineStr">
        <is>
          <t>113-Wolt Services Kazakhstan ОСНОВНОЙ</t>
        </is>
      </c>
      <c r="D118" s="305" t="n"/>
      <c r="E118" s="306" t="n">
        <v>66282</v>
      </c>
      <c r="F118" s="68" t="n"/>
    </row>
    <row r="119" hidden="1" outlineLevel="1" ht="13.8" customHeight="1" s="1127">
      <c r="B119" s="300" t="n">
        <v>46161</v>
      </c>
      <c r="C119" s="304" t="inlineStr">
        <is>
          <t>110 АЗС "Sinooil" ШЫМКЕНТ</t>
        </is>
      </c>
      <c r="D119" s="305" t="n"/>
      <c r="E119" s="306" t="n">
        <v>301721</v>
      </c>
      <c r="F119" s="68" t="n"/>
    </row>
    <row r="120" hidden="1" outlineLevel="1" ht="13.8" customHeight="1" s="1127">
      <c r="B120" s="300" t="n">
        <v>46161</v>
      </c>
      <c r="C120" s="304" t="inlineStr">
        <is>
          <t>90-Маймарт</t>
        </is>
      </c>
      <c r="D120" s="305" t="n"/>
      <c r="E120" s="306" t="n">
        <v>3000000</v>
      </c>
      <c r="F120" s="68" t="n"/>
    </row>
    <row r="121" hidden="1" outlineLevel="1" ht="13.8" customHeight="1" s="1127">
      <c r="B121" s="300" t="n">
        <v>46162</v>
      </c>
      <c r="C121" s="304" t="inlineStr">
        <is>
          <t>7-Kaspi Банк (Склад ГП)</t>
        </is>
      </c>
      <c r="D121" s="305" t="n"/>
      <c r="E121" s="306" t="inlineStr">
        <is>
          <t>3 000 000</t>
        </is>
      </c>
      <c r="F121" s="68" t="n"/>
    </row>
    <row r="122" hidden="1" outlineLevel="1" ht="13.8" customHeight="1" s="1127">
      <c r="B122" s="300" t="n">
        <v>46162</v>
      </c>
      <c r="C122" s="304" t="inlineStr">
        <is>
          <t>EYWA TERRACE ТОО</t>
        </is>
      </c>
      <c r="D122" s="305" t="n"/>
      <c r="E122" s="306" t="inlineStr">
        <is>
          <t>17 890</t>
        </is>
      </c>
      <c r="F122" s="68" t="n"/>
    </row>
    <row r="123" hidden="1" outlineLevel="1" ht="13.8" customHeight="1" s="1127">
      <c r="B123" s="300" t="n">
        <v>46163</v>
      </c>
      <c r="C123" s="304" t="inlineStr">
        <is>
          <t>98- O-live</t>
        </is>
      </c>
      <c r="D123" s="305" t="n"/>
      <c r="E123" s="306" t="n">
        <v>1500000</v>
      </c>
      <c r="F123" s="68" t="n"/>
    </row>
    <row r="124" hidden="1" outlineLevel="1" ht="13.8" customHeight="1" s="1127">
      <c r="B124" s="300" t="n">
        <v>46163</v>
      </c>
      <c r="C124" s="304" t="inlineStr">
        <is>
          <t>9-Базилик 5 (Аксай)</t>
        </is>
      </c>
      <c r="D124" s="305" t="n"/>
      <c r="E124" s="306" t="n">
        <v>567085</v>
      </c>
      <c r="F124" s="68" t="n"/>
    </row>
    <row r="125" hidden="1" outlineLevel="1" ht="13.8" customHeight="1" s="1127">
      <c r="B125" s="300" t="n">
        <v>46163</v>
      </c>
      <c r="C125" s="304" t="inlineStr">
        <is>
          <t>102-Яндекс лавка ОСНОВНОЙ</t>
        </is>
      </c>
      <c r="D125" s="305" t="n"/>
      <c r="E125" s="306" t="n">
        <v>6060522</v>
      </c>
      <c r="F125" s="68" t="n"/>
    </row>
    <row r="126" hidden="1" outlineLevel="1" ht="13.8" customHeight="1" s="1127">
      <c r="B126" s="300" t="n">
        <v>46163</v>
      </c>
      <c r="C126" s="304" t="inlineStr">
        <is>
          <t>113-Wolt Services Kazakhstan ОСНОВНОЙ</t>
        </is>
      </c>
      <c r="D126" s="305" t="n"/>
      <c r="E126" s="306" t="n">
        <v>591818</v>
      </c>
      <c r="F126" s="68" t="n"/>
    </row>
    <row r="127" hidden="1" outlineLevel="1" ht="13.8" customHeight="1" s="1127">
      <c r="B127" s="300" t="n">
        <v>46163</v>
      </c>
      <c r="C127" s="304" t="inlineStr">
        <is>
          <t>105-Алга экспресс ОСНОВНОЙ</t>
        </is>
      </c>
      <c r="D127" s="305" t="n"/>
      <c r="E127" s="306" t="n">
        <v>800000</v>
      </c>
      <c r="F127" s="68" t="n"/>
    </row>
    <row r="128" hidden="1" outlineLevel="1" ht="13.8" customHeight="1" s="1127">
      <c r="B128" s="300" t="n">
        <v>46163</v>
      </c>
      <c r="C128" s="304" t="inlineStr">
        <is>
          <t>85-ДФЗ (дистрибьютор)</t>
        </is>
      </c>
      <c r="D128" s="305" t="n"/>
      <c r="E128" s="306" t="n">
        <v>2550000</v>
      </c>
      <c r="F128" s="68" t="n"/>
    </row>
    <row r="129" hidden="1" outlineLevel="1" ht="13.8" customHeight="1" s="1127">
      <c r="B129" s="300" t="n">
        <v>46163</v>
      </c>
      <c r="C129" s="304" t="inlineStr">
        <is>
          <t>99-RP АЗС основной</t>
        </is>
      </c>
      <c r="D129" s="305" t="n"/>
      <c r="E129" s="306" t="n">
        <v>5000000</v>
      </c>
      <c r="F129" s="68" t="n"/>
    </row>
    <row r="130" hidden="1" outlineLevel="1" ht="13.8" customHeight="1" s="1127">
      <c r="B130" s="300" t="n">
        <v>46167</v>
      </c>
      <c r="C130" s="304" t="inlineStr">
        <is>
          <t>85-ДФЗ (дистрибьютор)</t>
        </is>
      </c>
      <c r="D130" s="68" t="n"/>
      <c r="E130" s="307" t="n">
        <v>6500000</v>
      </c>
      <c r="F130" s="68" t="n"/>
    </row>
    <row r="131" hidden="1" outlineLevel="1" ht="13.8" customHeight="1" s="1127">
      <c r="B131" s="300" t="n">
        <v>46167</v>
      </c>
      <c r="C131" s="304" t="inlineStr">
        <is>
          <t>9-Базилик 5 (Аксай)</t>
        </is>
      </c>
      <c r="D131" s="68" t="n"/>
      <c r="E131" s="307" t="n"/>
      <c r="F131" s="68" t="n"/>
    </row>
    <row r="132" hidden="1" outlineLevel="1" ht="13.8" customHeight="1" s="1127">
      <c r="B132" s="300" t="n">
        <v>46167</v>
      </c>
      <c r="C132" s="281" t="inlineStr">
        <is>
          <t>Каспи</t>
        </is>
      </c>
      <c r="D132" s="68" t="n"/>
      <c r="E132" s="307" t="n">
        <v>1500000</v>
      </c>
      <c r="F132" s="68" t="n"/>
    </row>
    <row r="133" hidden="1" outlineLevel="1" ht="13.8" customHeight="1" s="1127">
      <c r="B133" s="300" t="n">
        <v>46168</v>
      </c>
      <c r="C133" s="311" t="inlineStr">
        <is>
          <t>102-Яндекс лавка ОСНОВНОЙ</t>
        </is>
      </c>
      <c r="D133" s="312" t="n"/>
      <c r="E133" s="313" t="n">
        <v>8460638</v>
      </c>
      <c r="F133" s="68" t="n"/>
    </row>
    <row r="134" hidden="1" outlineLevel="1" ht="13.8" customHeight="1" s="1127">
      <c r="B134" s="300" t="n">
        <v>46168</v>
      </c>
      <c r="C134" s="311" t="inlineStr">
        <is>
          <t>85-ДФЗ (дистрибьютор)</t>
        </is>
      </c>
      <c r="D134" s="312" t="n"/>
      <c r="E134" s="313" t="n">
        <v>4400000</v>
      </c>
      <c r="F134" s="68" t="n"/>
    </row>
    <row r="135" hidden="1" outlineLevel="1" ht="13.8" customHeight="1" s="1127">
      <c r="B135" s="300" t="n">
        <v>46168</v>
      </c>
      <c r="C135" s="311" t="inlineStr">
        <is>
          <t>111 ТОО ГЛОВО ОСНОВНОЙ</t>
        </is>
      </c>
      <c r="D135" s="312" t="n"/>
      <c r="E135" s="313" t="n">
        <v>658485</v>
      </c>
      <c r="F135" s="68" t="n"/>
    </row>
    <row r="136" hidden="1" outlineLevel="1" ht="13.8" customHeight="1" s="1127">
      <c r="B136" s="300" t="n">
        <v>46168</v>
      </c>
      <c r="C136" s="311" t="inlineStr">
        <is>
          <t>90-Маймарт</t>
        </is>
      </c>
      <c r="D136" s="312" t="n"/>
      <c r="E136" s="313" t="n">
        <v>4000000</v>
      </c>
      <c r="F136" s="68" t="n"/>
    </row>
    <row r="137" hidden="1" outlineLevel="1" ht="13.8" customHeight="1" s="1127">
      <c r="B137" s="300" t="n">
        <v>46169</v>
      </c>
      <c r="C137" s="311" t="inlineStr">
        <is>
          <t xml:space="preserve">0Частное </t>
        </is>
      </c>
      <c r="D137" s="314" t="n">
        <v>31772</v>
      </c>
      <c r="E137" s="307" t="n"/>
      <c r="F137" s="68" t="n"/>
    </row>
    <row r="138" hidden="1" outlineLevel="1" ht="13.2" customHeight="1" s="1127">
      <c r="B138" s="315" t="n">
        <v>46170</v>
      </c>
      <c r="C138" s="316" t="inlineStr">
        <is>
          <t>102-Яндекс лавка ОСНОВНОЙ</t>
        </is>
      </c>
      <c r="D138" s="317" t="n"/>
      <c r="E138" s="318" t="n">
        <v>5148948</v>
      </c>
      <c r="F138" s="319" t="n"/>
    </row>
    <row r="139" hidden="1" outlineLevel="1" ht="13.2" customHeight="1" s="1127">
      <c r="B139" s="315" t="n">
        <v>46170</v>
      </c>
      <c r="C139" s="316" t="inlineStr">
        <is>
          <t>113-Wolt Services Kazakhstan ОСНОВНОЙ</t>
        </is>
      </c>
      <c r="D139" s="317" t="n"/>
      <c r="E139" s="318" t="n">
        <v>500155</v>
      </c>
      <c r="F139" s="319" t="n"/>
    </row>
    <row r="140" hidden="1" outlineLevel="1" ht="13.2" customHeight="1" s="1127">
      <c r="B140" s="320" t="n">
        <v>46170</v>
      </c>
      <c r="C140" s="324" t="inlineStr">
        <is>
          <t>90-Маймарт</t>
        </is>
      </c>
      <c r="D140" s="325" t="n"/>
      <c r="E140" s="326" t="n">
        <v>2000000</v>
      </c>
      <c r="F140" s="319" t="n"/>
    </row>
    <row r="141" hidden="1" outlineLevel="1" ht="13.2" customHeight="1" s="1127">
      <c r="B141" s="320" t="n">
        <v>46170</v>
      </c>
      <c r="C141" s="324" t="inlineStr">
        <is>
          <t>99-RP АЗС основной</t>
        </is>
      </c>
      <c r="D141" s="325" t="n"/>
      <c r="E141" s="326" t="n">
        <v>2000000</v>
      </c>
      <c r="F141" s="319" t="n"/>
    </row>
    <row r="142" hidden="1" outlineLevel="1" ht="13.2" customHeight="1" s="1127">
      <c r="B142" s="320" t="n">
        <v>46170</v>
      </c>
      <c r="C142" s="324" t="inlineStr">
        <is>
          <t>85-ДФЗ (дистрибьютор)</t>
        </is>
      </c>
      <c r="D142" s="325" t="n"/>
      <c r="E142" s="326" t="n">
        <v>2470000</v>
      </c>
      <c r="F142" s="319" t="n"/>
    </row>
    <row r="143" hidden="1" outlineLevel="1" ht="13.2" customHeight="1" s="1127">
      <c r="A143" s="456" t="n"/>
      <c r="B143" s="320" t="n">
        <v>46171</v>
      </c>
      <c r="C143" s="324" t="inlineStr">
        <is>
          <t>7-Kaspi Банк (Склад ГП)</t>
        </is>
      </c>
      <c r="D143" s="325" t="n"/>
      <c r="E143" s="326" t="n">
        <v>2650000</v>
      </c>
      <c r="F143" s="68" t="n"/>
    </row>
    <row r="144" hidden="1" outlineLevel="1" ht="13.2" customHeight="1" s="1127">
      <c r="A144" s="456" t="n"/>
      <c r="B144" s="320" t="n">
        <v>46171</v>
      </c>
      <c r="C144" s="324" t="inlineStr">
        <is>
          <t>1-Базилик 1 (Шевченко)</t>
        </is>
      </c>
      <c r="D144" s="325" t="n"/>
      <c r="E144" s="326" t="n">
        <v>909188</v>
      </c>
      <c r="F144" s="68" t="n"/>
    </row>
    <row r="145" hidden="1" outlineLevel="1" ht="13.2" customHeight="1" s="1127">
      <c r="A145" s="456" t="n"/>
      <c r="B145" s="320" t="n">
        <v>46171</v>
      </c>
      <c r="C145" s="324" t="inlineStr">
        <is>
          <t>104-DQ12 ТОО г.Тараз, Конаева 12</t>
        </is>
      </c>
      <c r="D145" s="325" t="n"/>
      <c r="E145" s="326" t="n">
        <v>291920</v>
      </c>
      <c r="F145" s="68" t="n"/>
    </row>
    <row r="146" hidden="1" outlineLevel="1" ht="13.2" customHeight="1" s="1127">
      <c r="A146" s="456" t="n"/>
      <c r="B146" s="320" t="n">
        <v>46171</v>
      </c>
      <c r="C146" s="324" t="inlineStr">
        <is>
          <t>9-Базилик 5 (Аксай)</t>
        </is>
      </c>
      <c r="D146" s="325" t="n"/>
      <c r="E146" s="326" t="n">
        <v>433480</v>
      </c>
      <c r="F146" s="68" t="n"/>
    </row>
    <row r="147" hidden="1" outlineLevel="1" ht="13.2" customHeight="1" s="1127">
      <c r="A147" s="456" t="n"/>
      <c r="B147" s="320" t="n">
        <v>46171</v>
      </c>
      <c r="C147" s="324" t="inlineStr">
        <is>
          <t>113-Wolt Services Kazakhstan ОСНОВНОЙ</t>
        </is>
      </c>
      <c r="D147" s="325" t="n"/>
      <c r="E147" s="326" t="n">
        <v>34634</v>
      </c>
      <c r="F147" s="68" t="n"/>
    </row>
    <row r="148" hidden="1" outlineLevel="1" ht="13.2" customHeight="1" s="1127">
      <c r="A148" s="456" t="n"/>
      <c r="B148" s="320" t="n">
        <v>46171</v>
      </c>
      <c r="C148" s="324" t="inlineStr">
        <is>
          <t>85-ДФЗ (дистрибьютор)</t>
        </is>
      </c>
      <c r="D148" s="325" t="n"/>
      <c r="E148" s="326" t="n">
        <v>5150000</v>
      </c>
      <c r="F148" s="68" t="n"/>
    </row>
    <row r="149" hidden="1" outlineLevel="1" ht="13.2" customHeight="1" s="1127">
      <c r="A149" s="456" t="n"/>
      <c r="B149" s="320" t="n">
        <v>46171</v>
      </c>
      <c r="C149" s="327" t="inlineStr">
        <is>
          <t>96-ТОО DSF (дистрибьютор)</t>
        </is>
      </c>
      <c r="D149" s="328" t="n"/>
      <c r="E149" s="329" t="n">
        <v>5000000</v>
      </c>
      <c r="F149" s="68" t="n"/>
    </row>
    <row r="150" hidden="1" outlineLevel="1" ht="13.2" customHeight="1" s="1127">
      <c r="B150" s="320" t="n">
        <v>46174</v>
      </c>
      <c r="C150" s="330" t="inlineStr">
        <is>
          <t>85-ДФЗ (дистрибьютор)</t>
        </is>
      </c>
      <c r="D150" s="333" t="n"/>
      <c r="E150" s="332" t="n">
        <v>11400000</v>
      </c>
      <c r="F150" s="68" t="n"/>
    </row>
    <row r="151" hidden="1" outlineLevel="1" ht="13.2" customHeight="1" s="1127">
      <c r="B151" s="320" t="n">
        <v>46174</v>
      </c>
      <c r="C151" s="330" t="inlineStr">
        <is>
          <t>7-Kaspi Банк (Склад ГП)</t>
        </is>
      </c>
      <c r="D151" s="333" t="n"/>
      <c r="E151" s="332" t="n">
        <v>1300000</v>
      </c>
      <c r="F151" s="68" t="n"/>
    </row>
    <row r="152" hidden="1" outlineLevel="1" ht="13.2" customHeight="1" s="1127">
      <c r="B152" s="320" t="n">
        <v>46175</v>
      </c>
      <c r="C152" s="330" t="inlineStr">
        <is>
          <t>102-Яндекс лавка ОСНОВНОЙ</t>
        </is>
      </c>
      <c r="D152" s="333" t="n"/>
      <c r="E152" s="334" t="n">
        <v>8899435</v>
      </c>
      <c r="F152" s="68" t="n"/>
    </row>
    <row r="153" hidden="1" outlineLevel="1" ht="13.2" customHeight="1" s="1127">
      <c r="B153" s="335" t="n">
        <v>46175</v>
      </c>
      <c r="C153" s="330" t="inlineStr">
        <is>
          <t>113-Wolt Services Kazakhstan ОСНОВНОЙ</t>
        </is>
      </c>
      <c r="D153" s="333" t="n"/>
      <c r="E153" s="334" t="n">
        <v>289764</v>
      </c>
      <c r="F153" s="68" t="n"/>
    </row>
    <row r="154" hidden="1" outlineLevel="1" ht="13.2" customHeight="1" s="1127">
      <c r="B154" s="335" t="n">
        <v>46175</v>
      </c>
      <c r="C154" s="330" t="inlineStr">
        <is>
          <t>85-ДФЗ (дистрибьютор)</t>
        </is>
      </c>
      <c r="D154" s="333" t="n"/>
      <c r="E154" s="334" t="n">
        <v>4350000</v>
      </c>
      <c r="F154" s="68" t="n"/>
    </row>
    <row r="155" hidden="1" outlineLevel="1" ht="13.2" customHeight="1" s="1127">
      <c r="B155" s="335" t="n">
        <v>46175</v>
      </c>
      <c r="C155" s="330" t="inlineStr">
        <is>
          <t>111 ТОО ГЛОВО ОСНОВНОЙ</t>
        </is>
      </c>
      <c r="D155" s="333" t="n"/>
      <c r="E155" s="334" t="n">
        <v>1062629</v>
      </c>
      <c r="F155" s="68" t="n"/>
    </row>
    <row r="156" hidden="1" outlineLevel="1" ht="13.2" customHeight="1" s="1127">
      <c r="B156" s="335" t="n">
        <v>46175</v>
      </c>
      <c r="C156" s="330" t="inlineStr">
        <is>
          <t>7-Kaspi Банк (Склад ГП)</t>
        </is>
      </c>
      <c r="D156" s="333" t="n"/>
      <c r="E156" s="334" t="n">
        <v>1800000</v>
      </c>
      <c r="F156" s="68" t="n"/>
    </row>
    <row r="157" hidden="1" outlineLevel="1" ht="13.2" customHeight="1" s="1127">
      <c r="B157" s="335" t="n">
        <v>46175</v>
      </c>
      <c r="C157" s="330" t="inlineStr">
        <is>
          <t>1-Базилик 1 (Шевченко)</t>
        </is>
      </c>
      <c r="D157" s="333" t="n"/>
      <c r="E157" s="334" t="n">
        <v>568309</v>
      </c>
      <c r="F157" s="68" t="n"/>
    </row>
    <row r="158" hidden="1" outlineLevel="1" ht="13.2" customHeight="1" s="1127">
      <c r="B158" s="335" t="n">
        <v>46176</v>
      </c>
      <c r="C158" s="330" t="inlineStr">
        <is>
          <t>7-Kaspi Банк (Склад ГП)</t>
        </is>
      </c>
      <c r="D158" s="333" t="n"/>
      <c r="E158" s="336" t="n">
        <v>1600000</v>
      </c>
      <c r="F158" s="68" t="n"/>
    </row>
    <row r="159" hidden="1" outlineLevel="1" ht="13.2" customHeight="1" s="1127">
      <c r="B159" s="335" t="n">
        <v>46176</v>
      </c>
      <c r="C159" s="330" t="inlineStr">
        <is>
          <t>2-Базилик 2 (Желтоксан)</t>
        </is>
      </c>
      <c r="D159" s="333" t="n"/>
      <c r="E159" s="336" t="n">
        <v>1428190</v>
      </c>
      <c r="F159" s="68" t="n"/>
    </row>
    <row r="160" hidden="1" outlineLevel="1" ht="13.2" customHeight="1" s="1127">
      <c r="B160" s="335" t="n">
        <v>46176</v>
      </c>
      <c r="C160" s="330" t="inlineStr">
        <is>
          <t>0Частное лицо Покупатель</t>
        </is>
      </c>
      <c r="D160" s="333" t="n"/>
      <c r="E160" s="336" t="n">
        <v>7500</v>
      </c>
      <c r="F160" s="68" t="n"/>
    </row>
    <row r="161" hidden="1" outlineLevel="1" ht="13.2" customHeight="1" s="1127">
      <c r="B161" s="337" t="n">
        <v>46177</v>
      </c>
      <c r="C161" s="304" t="inlineStr">
        <is>
          <t>102-Яндекс лавка ОСНОВНОЙ</t>
        </is>
      </c>
      <c r="D161" s="305" t="n"/>
      <c r="E161" s="338" t="n">
        <v>6650191</v>
      </c>
      <c r="F161" s="68" t="n"/>
    </row>
    <row r="162" hidden="1" outlineLevel="1" ht="13.2" customHeight="1" s="1127">
      <c r="B162" s="337" t="n">
        <v>46177</v>
      </c>
      <c r="C162" s="304" t="inlineStr">
        <is>
          <t>99-RP АЗС основной</t>
        </is>
      </c>
      <c r="D162" s="305" t="n"/>
      <c r="E162" s="338" t="n">
        <v>4000000</v>
      </c>
      <c r="F162" s="68" t="n"/>
    </row>
    <row r="163" hidden="1" outlineLevel="1" ht="13.2" customHeight="1" s="1127">
      <c r="B163" s="337" t="n">
        <v>46177</v>
      </c>
      <c r="C163" s="304" t="inlineStr">
        <is>
          <t>110 АЗС "Sinooil" ШЫМКЕНТ</t>
        </is>
      </c>
      <c r="D163" s="305" t="n"/>
      <c r="E163" s="338" t="n">
        <v>531499</v>
      </c>
      <c r="F163" s="68" t="n"/>
    </row>
    <row r="164" hidden="1" outlineLevel="1" ht="13.2" customHeight="1" s="1127">
      <c r="B164" s="337" t="n">
        <v>46177</v>
      </c>
      <c r="C164" s="304" t="inlineStr">
        <is>
          <t>85-ДФЗ (дистрибьютор)</t>
        </is>
      </c>
      <c r="D164" s="305" t="n"/>
      <c r="E164" s="338" t="n">
        <v>500000</v>
      </c>
      <c r="F164" s="68" t="n"/>
    </row>
    <row r="165" hidden="1" outlineLevel="1" ht="13.2" customHeight="1" s="1127">
      <c r="B165" s="337" t="n">
        <v>46177</v>
      </c>
      <c r="C165" s="304" t="inlineStr">
        <is>
          <t>85-ДФЗ (дистрибьютор)</t>
        </is>
      </c>
      <c r="D165" s="305" t="n"/>
      <c r="E165" s="338" t="n">
        <v>1000000</v>
      </c>
      <c r="F165" s="68" t="n"/>
    </row>
    <row r="166" hidden="1" outlineLevel="1" ht="13.2" customHeight="1" s="1127">
      <c r="B166" s="337" t="n">
        <v>46177</v>
      </c>
      <c r="C166" s="343" t="inlineStr">
        <is>
          <t>90-Маймарт</t>
        </is>
      </c>
      <c r="D166" s="344" t="n"/>
      <c r="E166" s="341" t="n">
        <v>1000000</v>
      </c>
      <c r="F166" s="68" t="n"/>
    </row>
    <row r="167" hidden="1" outlineLevel="1" ht="13.2" customHeight="1" s="1127">
      <c r="B167" s="337" t="n">
        <v>46177</v>
      </c>
      <c r="C167" s="311" t="inlineStr">
        <is>
          <t>110 АЗС "Sinooil" ТАРАЗ</t>
        </is>
      </c>
      <c r="D167" s="312" t="n"/>
      <c r="E167" s="341" t="n">
        <v>66344</v>
      </c>
      <c r="F167" s="68" t="n"/>
    </row>
    <row r="168" hidden="1" outlineLevel="1" ht="13.2" customHeight="1" s="1127">
      <c r="B168" s="337" t="n">
        <v>46178</v>
      </c>
      <c r="C168" s="311" t="inlineStr">
        <is>
          <t>108-GO Market KRG ИП ОСНОВНОЙ</t>
        </is>
      </c>
      <c r="D168" s="312" t="n"/>
      <c r="E168" s="342" t="n">
        <v>364770</v>
      </c>
      <c r="F168" s="68" t="n"/>
    </row>
    <row r="169" hidden="1" outlineLevel="1" ht="13.2" customHeight="1" s="1127">
      <c r="B169" s="337" t="n">
        <v>46178</v>
      </c>
      <c r="C169" s="311" t="inlineStr">
        <is>
          <t>1-Базилик 1 (Шевченко)</t>
        </is>
      </c>
      <c r="D169" s="312" t="n"/>
      <c r="E169" s="342" t="n">
        <v>770618</v>
      </c>
      <c r="F169" s="68" t="n"/>
    </row>
    <row r="170" hidden="1" outlineLevel="1" ht="13.8" customHeight="1" s="1127">
      <c r="B170" s="337" t="n">
        <v>46178</v>
      </c>
      <c r="C170" s="311" t="inlineStr">
        <is>
          <t>96-ТОО DSF (дистрибьютор)</t>
        </is>
      </c>
      <c r="D170" s="312" t="n"/>
      <c r="E170" s="307" t="n">
        <v>3000000</v>
      </c>
      <c r="F170" s="68" t="n"/>
    </row>
    <row r="171" hidden="1" outlineLevel="1" ht="13.8" customHeight="1" s="1127">
      <c r="B171" s="337" t="n">
        <v>46178</v>
      </c>
      <c r="C171" s="311" t="inlineStr">
        <is>
          <t>85-ДФЗ (дистрибьютор)</t>
        </is>
      </c>
      <c r="D171" s="312" t="n"/>
      <c r="E171" s="307" t="n">
        <v>5000000</v>
      </c>
      <c r="F171" s="68" t="n"/>
    </row>
    <row r="172" hidden="1" outlineLevel="1" ht="13.8" customHeight="1" s="1127">
      <c r="B172" s="337" t="n">
        <v>46178</v>
      </c>
      <c r="C172" s="311" t="inlineStr">
        <is>
          <t>0Частное лицо Покупатель</t>
        </is>
      </c>
      <c r="D172" s="312" t="n"/>
      <c r="E172" s="307" t="n">
        <v>923403</v>
      </c>
      <c r="F172" s="68" t="n"/>
    </row>
    <row r="173" hidden="1" outlineLevel="1" ht="13.8" customHeight="1" s="1127">
      <c r="B173" s="337" t="n">
        <v>46181</v>
      </c>
      <c r="C173" s="311" t="inlineStr">
        <is>
          <t>85-ДФЗ (дистрибьютор)</t>
        </is>
      </c>
      <c r="D173" s="68" t="n"/>
      <c r="E173" s="307" t="n">
        <v>10600000</v>
      </c>
      <c r="F173" s="68" t="n"/>
    </row>
    <row r="174" hidden="1" outlineLevel="1" ht="13.8" customHeight="1" s="1127">
      <c r="B174" s="337" t="n">
        <v>46181</v>
      </c>
      <c r="C174" s="311" t="inlineStr">
        <is>
          <t>1-Базилик 1 (Шевченко)</t>
        </is>
      </c>
      <c r="D174" s="312" t="n"/>
      <c r="E174" s="307" t="n">
        <v>375270</v>
      </c>
      <c r="F174" s="68" t="n"/>
    </row>
    <row r="175" hidden="1" outlineLevel="1" ht="13.8" customHeight="1" s="1127">
      <c r="B175" s="337" t="n">
        <v>46181</v>
      </c>
      <c r="C175" s="311" t="inlineStr">
        <is>
          <t>ЧЛ</t>
        </is>
      </c>
      <c r="D175" s="312" t="n"/>
      <c r="E175" s="307">
        <f>9236+3000</f>
        <v/>
      </c>
      <c r="F175" s="68" t="n"/>
    </row>
    <row r="176" hidden="1" outlineLevel="1" ht="13.8" customHeight="1" s="1127">
      <c r="B176" s="337" t="n">
        <v>46182</v>
      </c>
      <c r="C176" s="311" t="inlineStr">
        <is>
          <t>107-AL Group ул.Мусатай Карима 12/12 офис 11</t>
        </is>
      </c>
      <c r="D176" s="312" t="n"/>
      <c r="E176" s="307" t="n">
        <v>100000</v>
      </c>
      <c r="F176" s="68" t="n"/>
    </row>
    <row r="177" hidden="1" outlineLevel="1" ht="13.8" customHeight="1" s="1127">
      <c r="B177" s="337" t="n">
        <v>46182</v>
      </c>
      <c r="C177" s="304" t="inlineStr">
        <is>
          <t>1-Базилик 1 (Шевченко)</t>
        </is>
      </c>
      <c r="D177" s="305" t="n"/>
      <c r="E177" s="307" t="n">
        <v>675839</v>
      </c>
      <c r="F177" s="68" t="n"/>
    </row>
    <row r="178" hidden="1" outlineLevel="1" ht="13.8" customHeight="1" s="1127">
      <c r="B178" s="337" t="n">
        <v>46182</v>
      </c>
      <c r="C178" s="311" t="inlineStr">
        <is>
          <t>102-Яндекс лавка ОСНОВНОЙ</t>
        </is>
      </c>
      <c r="D178" s="312" t="n"/>
      <c r="E178" s="307" t="n">
        <v>6228920</v>
      </c>
      <c r="F178" s="68" t="n"/>
    </row>
    <row r="179" hidden="1" outlineLevel="1" ht="13.8" customHeight="1" s="1127">
      <c r="B179" s="337" t="n">
        <v>46182</v>
      </c>
      <c r="C179" s="311" t="inlineStr">
        <is>
          <t>85-ДФЗ (дистрибьютор)</t>
        </is>
      </c>
      <c r="D179" s="312" t="n"/>
      <c r="E179" s="307" t="n">
        <v>4100000</v>
      </c>
      <c r="F179" s="68" t="n"/>
    </row>
    <row r="180" hidden="1" outlineLevel="1" ht="13.8" customHeight="1" s="1127">
      <c r="B180" s="337" t="n">
        <v>46182</v>
      </c>
      <c r="C180" s="311" t="inlineStr">
        <is>
          <t>111 ТОО ГЛОВО ОСНОВНОЙ</t>
        </is>
      </c>
      <c r="D180" s="312" t="n"/>
      <c r="E180" s="307" t="n">
        <v>413309</v>
      </c>
      <c r="F180" s="68" t="n"/>
    </row>
    <row r="181" hidden="1" outlineLevel="1" ht="13.8" customHeight="1" s="1127">
      <c r="B181" s="337" t="n">
        <v>46183</v>
      </c>
      <c r="C181" s="343" t="inlineStr">
        <is>
          <t>96-ТОО DSF (дистрибьютор)</t>
        </is>
      </c>
      <c r="D181" s="344" t="n"/>
      <c r="E181" s="307" t="n">
        <v>4000000</v>
      </c>
      <c r="F181" s="68" t="n"/>
    </row>
    <row r="182" hidden="1" outlineLevel="1" ht="13.8" customHeight="1" s="1127">
      <c r="B182" s="337" t="n">
        <v>46184</v>
      </c>
      <c r="C182" s="311" t="inlineStr">
        <is>
          <t>102-Яндекс лавка ОСНОВНОЙ</t>
        </is>
      </c>
      <c r="D182" s="312" t="n"/>
      <c r="E182" s="307" t="n">
        <v>5080274</v>
      </c>
      <c r="F182" s="68" t="n"/>
    </row>
    <row r="183" hidden="1" outlineLevel="1" ht="13.8" customHeight="1" s="1127">
      <c r="B183" s="337" t="n">
        <v>46184</v>
      </c>
      <c r="C183" s="311" t="inlineStr">
        <is>
          <t>85-ДФЗ (дистрибьютор)</t>
        </is>
      </c>
      <c r="D183" s="312" t="n"/>
      <c r="E183" s="307" t="n">
        <v>2530000</v>
      </c>
      <c r="F183" s="68" t="n"/>
    </row>
    <row r="184" hidden="1" outlineLevel="1" ht="13.8" customHeight="1" s="1127">
      <c r="B184" s="337" t="n">
        <v>46184</v>
      </c>
      <c r="C184" s="311" t="inlineStr">
        <is>
          <t>555 Zakazbuketov (торты)</t>
        </is>
      </c>
      <c r="D184" s="312" t="n"/>
      <c r="E184" s="307" t="n">
        <v>453600</v>
      </c>
      <c r="F184" s="68" t="n"/>
    </row>
    <row r="185" hidden="1" outlineLevel="1" ht="13.8" customHeight="1" s="1127">
      <c r="B185" s="337" t="n">
        <v>46184</v>
      </c>
      <c r="C185" s="311" t="inlineStr">
        <is>
          <t>99-RP АЗС основной</t>
        </is>
      </c>
      <c r="D185" s="312" t="n"/>
      <c r="E185" s="307" t="n">
        <v>5000000</v>
      </c>
      <c r="F185" s="68" t="n"/>
    </row>
    <row r="186" hidden="1" outlineLevel="1" ht="13.8" customHeight="1" s="1127">
      <c r="B186" s="337" t="n">
        <v>46184</v>
      </c>
      <c r="C186" s="311" t="inlineStr">
        <is>
          <t>90-Маймарт</t>
        </is>
      </c>
      <c r="D186" s="312" t="n"/>
      <c r="E186" s="307" t="n">
        <v>1500000</v>
      </c>
      <c r="F186" s="68" t="n"/>
    </row>
    <row r="187" hidden="1" outlineLevel="1" ht="13.8" customHeight="1" s="1127">
      <c r="B187" s="337" t="n">
        <v>46184</v>
      </c>
      <c r="C187" s="304" t="inlineStr">
        <is>
          <t>7-Kaspi Банк (Склад ГП)</t>
        </is>
      </c>
      <c r="D187" s="305" t="n"/>
      <c r="E187" s="307" t="n">
        <v>500000</v>
      </c>
      <c r="F187" s="68" t="n"/>
    </row>
    <row r="188" hidden="1" outlineLevel="1" ht="13.8" customHeight="1" s="1127">
      <c r="B188" s="337" t="n">
        <v>46184</v>
      </c>
      <c r="C188" s="304" t="inlineStr">
        <is>
          <t>107-AL Group ул.Мусатай Карима 12/12 офис 11</t>
        </is>
      </c>
      <c r="D188" s="305" t="n"/>
      <c r="E188" s="307" t="n">
        <v>126733</v>
      </c>
      <c r="F188" s="68" t="n"/>
    </row>
    <row r="189" hidden="1" outlineLevel="1" ht="13.8" customHeight="1" s="1127">
      <c r="B189" s="337" t="n">
        <v>46184</v>
      </c>
      <c r="C189" s="304" t="inlineStr">
        <is>
          <t>9-Базилик 5 (Аксай)</t>
        </is>
      </c>
      <c r="D189" s="305" t="n"/>
      <c r="E189" s="307" t="n">
        <v>279910</v>
      </c>
      <c r="F189" s="68" t="n"/>
    </row>
    <row r="190" hidden="1" outlineLevel="1" ht="13.8" customHeight="1" s="1127">
      <c r="B190" s="337" t="n">
        <v>46184</v>
      </c>
      <c r="C190" s="304" t="inlineStr">
        <is>
          <t>103-Бобух ИП, ул. Торетай 92, бутик 103</t>
        </is>
      </c>
      <c r="D190" s="305" t="n"/>
      <c r="E190" s="307" t="n">
        <v>165637</v>
      </c>
      <c r="F190" s="68" t="n"/>
    </row>
    <row r="191" hidden="1" outlineLevel="1" ht="13.8" customHeight="1" s="1127">
      <c r="B191" s="337" t="n">
        <v>46185</v>
      </c>
      <c r="C191" s="311" t="inlineStr">
        <is>
          <t>ЧЛ</t>
        </is>
      </c>
      <c r="D191" s="307" t="n"/>
      <c r="E191" s="307" t="n">
        <v>231067</v>
      </c>
      <c r="F191" s="68" t="n"/>
    </row>
    <row r="192" hidden="1" outlineLevel="1" ht="13.8" customHeight="1" s="1127">
      <c r="B192" s="337" t="n">
        <v>46185</v>
      </c>
      <c r="C192" s="304" t="inlineStr">
        <is>
          <t>1-Базилик 1 (Шевченко)</t>
        </is>
      </c>
      <c r="D192" s="305" t="n"/>
      <c r="E192" s="307" t="n">
        <v>666673</v>
      </c>
      <c r="F192" s="68" t="n"/>
    </row>
    <row r="193" hidden="1" outlineLevel="1" ht="13.8" customHeight="1" s="1127">
      <c r="B193" s="337" t="n">
        <v>46185</v>
      </c>
      <c r="C193" s="304" t="inlineStr">
        <is>
          <t>104-DQ12 ТОО г.Тараз, Конаева 12</t>
        </is>
      </c>
      <c r="D193" s="305" t="n"/>
      <c r="E193" s="307" t="n">
        <v>321872</v>
      </c>
      <c r="F193" s="68" t="n"/>
    </row>
    <row r="194" hidden="1" outlineLevel="1" ht="13.8" customHeight="1" s="1127">
      <c r="B194" s="337" t="n">
        <v>46185</v>
      </c>
      <c r="C194" s="304" t="inlineStr">
        <is>
          <t>98- O-live</t>
        </is>
      </c>
      <c r="D194" s="305" t="n"/>
      <c r="E194" s="307" t="n">
        <v>1000000</v>
      </c>
      <c r="F194" s="68" t="n"/>
    </row>
    <row r="195" hidden="1" outlineLevel="1" ht="13.8" customHeight="1" s="1127">
      <c r="B195" s="337" t="n">
        <v>46185</v>
      </c>
      <c r="C195" s="304" t="inlineStr">
        <is>
          <t>85-ДФЗ (дистрибьютор)</t>
        </is>
      </c>
      <c r="D195" s="305" t="n"/>
      <c r="E195" s="307" t="n">
        <v>4945000</v>
      </c>
      <c r="F195" s="68" t="n"/>
    </row>
    <row r="196" hidden="1" outlineLevel="1" ht="13.8" customHeight="1" s="1127">
      <c r="B196" s="337" t="n">
        <v>46185</v>
      </c>
      <c r="C196" s="343" t="inlineStr">
        <is>
          <t>105-Алга экспресс ОСНОВНОЙ</t>
        </is>
      </c>
      <c r="D196" s="344" t="n"/>
      <c r="E196" s="307" t="n">
        <v>300000</v>
      </c>
      <c r="F196" s="68" t="n"/>
    </row>
    <row r="197" outlineLevel="1" ht="13.2" customHeight="1" s="1127">
      <c r="B197" s="337" t="n">
        <v>46188</v>
      </c>
      <c r="C197" s="311" t="inlineStr">
        <is>
          <t>85-ДФЗ (дистрибьютор)</t>
        </is>
      </c>
      <c r="D197" s="68" t="n"/>
      <c r="E197" s="341" t="n">
        <v>10600000</v>
      </c>
      <c r="F197" s="68" t="n"/>
    </row>
    <row r="198" outlineLevel="1" ht="13.2" customHeight="1" s="1127">
      <c r="B198" s="337" t="n">
        <v>46188</v>
      </c>
      <c r="C198" s="311" t="inlineStr">
        <is>
          <t>08-GO Market KRG ИП ОСНОВНОЙ</t>
        </is>
      </c>
      <c r="D198" s="312" t="n"/>
      <c r="E198" s="341" t="n">
        <v>50230</v>
      </c>
      <c r="F198" s="68" t="n"/>
    </row>
    <row r="199" outlineLevel="1" ht="13.2" customHeight="1" s="1127">
      <c r="B199" s="337" t="n">
        <v>46188</v>
      </c>
      <c r="C199" s="311" t="inlineStr">
        <is>
          <t>97-ИП Ник и Ко (Кейтеринг)</t>
        </is>
      </c>
      <c r="D199" s="312" t="n"/>
      <c r="E199" s="341" t="n">
        <v>370000</v>
      </c>
      <c r="F199" s="68" t="n"/>
    </row>
    <row r="200" outlineLevel="1" ht="13.2" customHeight="1" s="1127">
      <c r="B200" s="337" t="n">
        <v>46189</v>
      </c>
      <c r="C200" s="311" t="inlineStr">
        <is>
          <t>102-Яндекс лавка ОСНОВНОЙ</t>
        </is>
      </c>
      <c r="D200" s="312" t="n"/>
      <c r="E200" s="341" t="n">
        <v>9377706</v>
      </c>
      <c r="F200" s="68" t="n"/>
    </row>
    <row r="201" outlineLevel="1" ht="13.2" customHeight="1" s="1127">
      <c r="B201" s="337" t="n">
        <v>46189</v>
      </c>
      <c r="C201" s="311" t="inlineStr">
        <is>
          <t>86-Crave Cafe (Жетысу-4,2а)</t>
        </is>
      </c>
      <c r="D201" s="312" t="n"/>
      <c r="E201" s="341" t="n">
        <v>1000000</v>
      </c>
      <c r="F201" s="68" t="n"/>
    </row>
    <row r="202" outlineLevel="1" ht="13.2" customHeight="1" s="1127">
      <c r="B202" s="337" t="n">
        <v>46189</v>
      </c>
      <c r="C202" s="311" t="inlineStr">
        <is>
          <t>1-Базилик 1 (Шевченко)</t>
        </is>
      </c>
      <c r="D202" s="312" t="n"/>
      <c r="E202" s="341" t="n">
        <v>392986</v>
      </c>
      <c r="F202" s="68" t="n"/>
    </row>
    <row r="203" outlineLevel="1" ht="13.2" customHeight="1" s="1127">
      <c r="B203" s="337" t="n">
        <v>46189</v>
      </c>
      <c r="C203" s="311" t="inlineStr">
        <is>
          <t>107-AL Group ул.Мусатай Карима 12/12 офис 11</t>
        </is>
      </c>
      <c r="D203" s="312" t="n"/>
      <c r="E203" s="341" t="n">
        <v>50000</v>
      </c>
      <c r="F203" s="68" t="n"/>
    </row>
    <row r="204" outlineLevel="1" ht="13.2" customHeight="1" s="1127">
      <c r="B204" s="337" t="n">
        <v>46189</v>
      </c>
      <c r="C204" s="311" t="inlineStr">
        <is>
          <t>96-ТОО DSF (дистрибьютор)</t>
        </is>
      </c>
      <c r="D204" s="312" t="n"/>
      <c r="E204" s="341" t="n">
        <v>5000000</v>
      </c>
      <c r="F204" s="68" t="n"/>
    </row>
    <row r="205" outlineLevel="1" ht="13.2" customHeight="1" s="1127">
      <c r="B205" s="337" t="n">
        <v>46189</v>
      </c>
      <c r="C205" s="311" t="inlineStr">
        <is>
          <t>110 АЗС "Sinooil" ШЫМКЕНТ</t>
        </is>
      </c>
      <c r="D205" s="312" t="n"/>
      <c r="E205" s="341" t="n">
        <v>15060</v>
      </c>
      <c r="F205" s="68" t="n"/>
    </row>
    <row r="206" outlineLevel="1" ht="13.2" customHeight="1" s="1127">
      <c r="B206" s="337" t="n">
        <v>46189</v>
      </c>
      <c r="C206" s="311" t="inlineStr">
        <is>
          <t>85-ДФЗ (дистрибьютор)</t>
        </is>
      </c>
      <c r="D206" s="312" t="n"/>
      <c r="E206" s="341" t="n">
        <v>4400000</v>
      </c>
      <c r="F206" s="68" t="n"/>
    </row>
    <row r="207" outlineLevel="1" ht="13.2" customHeight="1" s="1127">
      <c r="B207" s="337" t="n">
        <v>46189</v>
      </c>
      <c r="C207" s="311" t="inlineStr">
        <is>
          <t>90-Маймарт</t>
        </is>
      </c>
      <c r="D207" s="312" t="n"/>
      <c r="E207" s="341" t="n">
        <v>9086520</v>
      </c>
      <c r="F207" s="68" t="n"/>
    </row>
    <row r="208" outlineLevel="1" ht="13.2" customHeight="1" s="1127">
      <c r="B208" s="337" t="n">
        <v>46189</v>
      </c>
      <c r="C208" s="311" t="inlineStr">
        <is>
          <t>7-Kaspi Банк (Склад ГП)</t>
        </is>
      </c>
      <c r="D208" s="312" t="n"/>
      <c r="E208" s="345" t="n">
        <v>3000000</v>
      </c>
      <c r="F208" s="68" t="n"/>
    </row>
    <row r="209" outlineLevel="1" ht="13.2" customHeight="1" s="1127">
      <c r="B209" s="337" t="n">
        <v>46189</v>
      </c>
      <c r="C209" s="311" t="inlineStr">
        <is>
          <t>110 АЗС "Sinooil" АЛМАТЫ</t>
        </is>
      </c>
      <c r="D209" s="312" t="n"/>
      <c r="E209" s="345" t="n">
        <v>835493</v>
      </c>
      <c r="F209" s="68" t="n"/>
    </row>
    <row r="210" outlineLevel="1" ht="13.2" customHeight="1" s="1127">
      <c r="B210" s="337" t="n">
        <v>46189</v>
      </c>
      <c r="C210" s="311" t="inlineStr">
        <is>
          <t>111 ТОО ГЛОВО ОСНОВНОЙ</t>
        </is>
      </c>
      <c r="D210" s="312" t="n"/>
      <c r="E210" s="341" t="n">
        <v>702794</v>
      </c>
      <c r="F210" s="68" t="n"/>
    </row>
    <row r="211" outlineLevel="1" ht="13.2" customHeight="1" s="1127">
      <c r="B211" s="337" t="n">
        <v>46190</v>
      </c>
      <c r="C211" s="304" t="inlineStr">
        <is>
          <t>98- O-live</t>
        </is>
      </c>
      <c r="D211" s="305" t="n"/>
      <c r="E211" s="342" t="n">
        <v>2000000</v>
      </c>
      <c r="F211" s="68" t="n"/>
    </row>
    <row r="212" outlineLevel="1" ht="13.2" customHeight="1" s="1127">
      <c r="B212" s="337" t="n">
        <v>46191</v>
      </c>
      <c r="C212" s="304" t="inlineStr">
        <is>
          <t>102-Яндекс лавка ОСНОВНОЙ</t>
        </is>
      </c>
      <c r="D212" s="305" t="n"/>
      <c r="E212" s="342" t="n">
        <v>5699290</v>
      </c>
      <c r="F212" s="68" t="n"/>
    </row>
    <row r="213" outlineLevel="1" ht="13.2" customHeight="1" s="1127">
      <c r="B213" s="337" t="n">
        <v>46191</v>
      </c>
      <c r="C213" s="304" t="inlineStr">
        <is>
          <t>99-RP АЗС основной</t>
        </is>
      </c>
      <c r="D213" s="305" t="n"/>
      <c r="E213" s="342" t="n">
        <v>6000000</v>
      </c>
      <c r="F213" s="68" t="n"/>
    </row>
    <row r="214" outlineLevel="1" ht="13.2" customHeight="1" s="1127">
      <c r="B214" s="337" t="n">
        <v>46191</v>
      </c>
      <c r="C214" s="304" t="inlineStr">
        <is>
          <t>85-ДФЗ (дистрибьютор)</t>
        </is>
      </c>
      <c r="D214" s="305" t="n"/>
      <c r="E214" s="342" t="n">
        <v>2200000</v>
      </c>
      <c r="F214" s="68" t="n"/>
    </row>
    <row r="215" outlineLevel="1" ht="13.2" customHeight="1" s="1127">
      <c r="B215" s="337" t="n">
        <v>46191</v>
      </c>
      <c r="C215" s="304" t="inlineStr">
        <is>
          <t>110 АЗС "Sinooil" ТАРАЗ</t>
        </is>
      </c>
      <c r="D215" s="305" t="n"/>
      <c r="E215" s="342" t="n">
        <v>117802</v>
      </c>
      <c r="F215" s="68" t="n"/>
    </row>
    <row r="216" outlineLevel="1" ht="13.2" customHeight="1" s="1127">
      <c r="B216" s="337" t="n">
        <v>46191</v>
      </c>
      <c r="C216" s="304" t="inlineStr">
        <is>
          <t>0Частное лицо Покупатель</t>
        </is>
      </c>
      <c r="D216" s="312" t="n"/>
      <c r="E216" s="346" t="n">
        <v>1282108</v>
      </c>
      <c r="F216" s="68" t="n"/>
    </row>
    <row r="217" outlineLevel="1" ht="13.2" customHeight="1" s="1127">
      <c r="B217" s="337" t="n">
        <v>46191</v>
      </c>
      <c r="C217" s="311" t="inlineStr">
        <is>
          <t>9-Базилик 5 (Аксай)</t>
        </is>
      </c>
      <c r="D217" s="312" t="n"/>
      <c r="E217" s="342" t="n">
        <v>483030</v>
      </c>
      <c r="F217" s="68" t="n"/>
    </row>
    <row r="218" outlineLevel="1" ht="13.2" customHeight="1" s="1127">
      <c r="B218" s="337" t="n">
        <v>46191</v>
      </c>
      <c r="C218" s="311" t="inlineStr">
        <is>
          <t>7-Kaspi Банк (Склад ГП)</t>
        </is>
      </c>
      <c r="D218" s="68" t="n"/>
      <c r="E218" s="345" t="n">
        <v>3000000</v>
      </c>
      <c r="F218" s="68" t="n"/>
    </row>
    <row r="219" outlineLevel="1" ht="13.2" customHeight="1" s="1127">
      <c r="B219" s="337" t="n">
        <v>46192</v>
      </c>
      <c r="C219" s="304" t="inlineStr">
        <is>
          <t>104-DQ12 ТОО г.Тараз, Конаева 12</t>
        </is>
      </c>
      <c r="D219" s="305" t="n"/>
      <c r="E219" s="345" t="n">
        <v>374960</v>
      </c>
      <c r="F219" s="68" t="n"/>
    </row>
    <row r="220" outlineLevel="1" ht="13.2" customHeight="1" s="1127">
      <c r="B220" s="337" t="n">
        <v>46192</v>
      </c>
      <c r="C220" s="304" t="inlineStr">
        <is>
          <t>1-Базилик 1 (Шевченко)</t>
        </is>
      </c>
      <c r="D220" s="305" t="n"/>
      <c r="E220" s="342" t="n">
        <v>1008156</v>
      </c>
      <c r="F220" s="68" t="n"/>
    </row>
    <row r="221" outlineLevel="1" ht="13.2" customHeight="1" s="1127">
      <c r="B221" s="337" t="n">
        <v>46192</v>
      </c>
      <c r="C221" s="304" t="inlineStr">
        <is>
          <t>103-Бобух ИП, ул. Торетай 92, бутик 103</t>
        </is>
      </c>
      <c r="D221" s="305" t="n"/>
      <c r="E221" s="342" t="n">
        <v>264331</v>
      </c>
      <c r="F221" s="68" t="n"/>
    </row>
    <row r="222" outlineLevel="1" ht="13.2" customHeight="1" s="1127">
      <c r="B222" s="337" t="n">
        <v>46192</v>
      </c>
      <c r="C222" s="304" t="inlineStr">
        <is>
          <t>85-ДФЗ (дистрибьютор)</t>
        </is>
      </c>
      <c r="D222" s="305" t="n"/>
      <c r="E222" s="342" t="n">
        <v>5240000</v>
      </c>
      <c r="F222" s="68" t="n"/>
    </row>
    <row r="223" outlineLevel="1" ht="13.2" customHeight="1" s="1127">
      <c r="B223" s="337" t="n">
        <v>46192</v>
      </c>
      <c r="C223" s="311" t="inlineStr">
        <is>
          <t>9-Базилик 5 (Аксай)</t>
        </is>
      </c>
      <c r="D223" s="312" t="n"/>
      <c r="E223" s="346" t="n">
        <v>131047</v>
      </c>
      <c r="F223" s="68" t="n"/>
    </row>
    <row r="224" outlineLevel="1" ht="13.2" customHeight="1" s="1127">
      <c r="B224" s="337" t="n">
        <v>46195</v>
      </c>
      <c r="C224" s="311" t="inlineStr">
        <is>
          <t>85-ДФЗ (дистрибьютор)</t>
        </is>
      </c>
      <c r="D224" s="68" t="n"/>
      <c r="E224" s="341" t="n">
        <v>10900000</v>
      </c>
      <c r="F224" s="68" t="n"/>
    </row>
    <row r="225" outlineLevel="1" ht="13.2" customHeight="1" s="1127">
      <c r="B225" s="337" t="n">
        <v>46195</v>
      </c>
      <c r="C225" s="304" t="inlineStr">
        <is>
          <t>558- ТРИО Romantic (торты) Нурлыбаев Алибек</t>
        </is>
      </c>
      <c r="D225" s="312" t="n"/>
      <c r="E225" s="342" t="n">
        <v>100000</v>
      </c>
      <c r="F225" s="68" t="n"/>
    </row>
    <row r="226" outlineLevel="1" ht="13.2" customHeight="1" s="1127">
      <c r="B226" s="337" t="n">
        <v>46195</v>
      </c>
      <c r="C226" s="311" t="inlineStr">
        <is>
          <t>7-Kaspi Банк (Склад ГП)</t>
        </is>
      </c>
      <c r="D226" s="312" t="n"/>
      <c r="E226" s="342" t="n">
        <v>3000000</v>
      </c>
      <c r="F226" s="68" t="n"/>
    </row>
    <row r="227" outlineLevel="1" ht="13.2" customHeight="1" s="1127">
      <c r="B227" s="337" t="n">
        <v>46195</v>
      </c>
      <c r="C227" s="304" t="inlineStr">
        <is>
          <t>0Частное лицо Покупатель</t>
        </is>
      </c>
      <c r="D227" s="312" t="n"/>
      <c r="E227" s="342" t="n">
        <v>75600</v>
      </c>
      <c r="F227" s="68" t="n"/>
    </row>
    <row r="228" outlineLevel="1" ht="13.2" customHeight="1" s="1127">
      <c r="B228" s="337" t="n">
        <v>46195</v>
      </c>
      <c r="C228" s="304" t="inlineStr">
        <is>
          <t>556-Romantic (торты) Махамбетов Акзер</t>
        </is>
      </c>
      <c r="D228" s="312" t="n"/>
      <c r="E228" s="342" t="n">
        <v>226000</v>
      </c>
      <c r="F228" s="68" t="n"/>
    </row>
    <row r="229" outlineLevel="1" ht="13.2" customHeight="1" s="1127">
      <c r="B229" s="337" t="n">
        <v>46196</v>
      </c>
      <c r="C229" s="304" t="inlineStr">
        <is>
          <t>102-Яндекс лавка ОСНОВНОЙ</t>
        </is>
      </c>
      <c r="D229" s="305" t="n"/>
      <c r="E229" s="342" t="n">
        <v>8916748</v>
      </c>
      <c r="F229" s="68" t="n"/>
    </row>
    <row r="230" outlineLevel="1" ht="13.2" customHeight="1" s="1127">
      <c r="B230" s="337" t="n">
        <v>46196</v>
      </c>
      <c r="C230" s="304" t="inlineStr">
        <is>
          <t>85-ДФЗ (дистрибьютор)</t>
        </is>
      </c>
      <c r="D230" s="305" t="n"/>
      <c r="E230" s="342" t="n">
        <v>4890000</v>
      </c>
      <c r="F230" s="68" t="n"/>
    </row>
    <row r="231" outlineLevel="1" ht="13.2" customHeight="1" s="1127">
      <c r="B231" s="337" t="n">
        <v>46196</v>
      </c>
      <c r="C231" s="311" t="inlineStr">
        <is>
          <t>7-Kaspi Банк (Склад ГП)</t>
        </is>
      </c>
      <c r="D231" s="312" t="n"/>
      <c r="E231" s="342" t="n">
        <v>500000</v>
      </c>
      <c r="F231" s="68" t="n"/>
    </row>
    <row r="232" outlineLevel="1" ht="13.2" customHeight="1" s="1127">
      <c r="B232" s="337" t="n">
        <v>46196</v>
      </c>
      <c r="C232" s="304" t="inlineStr">
        <is>
          <t>0Частное лицо Покупатель</t>
        </is>
      </c>
      <c r="D232" s="312" t="n"/>
      <c r="E232" s="342" t="n">
        <v>173208</v>
      </c>
      <c r="F232" s="68" t="n"/>
    </row>
    <row r="233" outlineLevel="1" ht="13.2" customHeight="1" s="1127">
      <c r="B233" s="337" t="n">
        <v>46196</v>
      </c>
      <c r="C233" s="304" t="inlineStr">
        <is>
          <t>1-Базилик 1 (Шевченко)</t>
        </is>
      </c>
      <c r="D233" s="347" t="n"/>
      <c r="E233" s="348" t="n">
        <v>628979</v>
      </c>
      <c r="F233" s="68" t="n"/>
    </row>
    <row r="234" outlineLevel="1" ht="13.2" customHeight="1" s="1127">
      <c r="B234" s="337" t="n">
        <v>46196</v>
      </c>
      <c r="C234" s="304" t="inlineStr">
        <is>
          <t>558- ТРИО Romantic (торты) Нурлыбаев Алибек</t>
        </is>
      </c>
      <c r="D234" s="305" t="n"/>
      <c r="E234" s="342" t="n">
        <v>100000</v>
      </c>
      <c r="F234" s="68" t="n"/>
    </row>
    <row r="235" outlineLevel="1" ht="13.2" customHeight="1" s="1127">
      <c r="B235" s="337" t="n">
        <v>46196</v>
      </c>
      <c r="C235" s="304" t="inlineStr">
        <is>
          <t>111 ТОО ГЛОВО ОСНОВНОЙ</t>
        </is>
      </c>
      <c r="D235" s="305" t="n"/>
      <c r="E235" s="342" t="n">
        <v>573627</v>
      </c>
      <c r="F235" s="68" t="n"/>
    </row>
    <row r="236" outlineLevel="1" ht="13.2" customHeight="1" s="1127">
      <c r="B236" s="337" t="n">
        <v>46197</v>
      </c>
      <c r="C236" s="304" t="inlineStr">
        <is>
          <t>556-Romantic (торты) Махамбетов Акзер</t>
        </is>
      </c>
      <c r="D236" s="305" t="n"/>
      <c r="E236" s="349" t="inlineStr">
        <is>
          <t>40 000</t>
        </is>
      </c>
      <c r="F236" s="68" t="n"/>
    </row>
    <row r="237" outlineLevel="1" ht="13.2" customHeight="1" s="1127">
      <c r="B237" s="350" t="n">
        <v>46198</v>
      </c>
      <c r="C237" s="304" t="inlineStr">
        <is>
          <t>99-RP АЗС основной</t>
        </is>
      </c>
      <c r="D237" s="305" t="n"/>
      <c r="E237" s="342" t="n">
        <v>5000000</v>
      </c>
      <c r="F237" s="68" t="n"/>
    </row>
    <row r="238" outlineLevel="1" ht="13.2" customHeight="1" s="1127">
      <c r="B238" s="350" t="n">
        <v>46198</v>
      </c>
      <c r="C238" s="304" t="inlineStr">
        <is>
          <t>558- ТРИО Romantic (торты) Нурлыбаев Алибек</t>
        </is>
      </c>
      <c r="D238" s="305" t="n"/>
      <c r="E238" s="342" t="n">
        <v>50000</v>
      </c>
      <c r="F238" s="68" t="n"/>
    </row>
    <row r="239" outlineLevel="1" ht="13.2" customHeight="1" s="1127">
      <c r="B239" s="350" t="n">
        <v>46198</v>
      </c>
      <c r="C239" s="343" t="inlineStr">
        <is>
          <t>102-Яндекс лавка ОСНОВНОЙ</t>
        </is>
      </c>
      <c r="D239" s="312" t="n"/>
      <c r="E239" s="342" t="n">
        <v>4495277</v>
      </c>
      <c r="F239" s="68" t="n"/>
    </row>
    <row r="240" outlineLevel="1" ht="13.2" customHeight="1" s="1127">
      <c r="B240" s="350" t="n">
        <v>46198</v>
      </c>
      <c r="C240" s="311" t="inlineStr">
        <is>
          <t>85-ДФЗ (дистрибьютор)</t>
        </is>
      </c>
      <c r="D240" s="312" t="n"/>
      <c r="E240" s="342" t="n">
        <v>1300000</v>
      </c>
      <c r="F240" s="68" t="n"/>
    </row>
    <row r="241" outlineLevel="1" ht="13.2" customHeight="1" s="1127">
      <c r="B241" s="350" t="n">
        <v>46198</v>
      </c>
      <c r="C241" s="304" t="inlineStr">
        <is>
          <t>98- O-live</t>
        </is>
      </c>
      <c r="D241" s="305" t="n"/>
      <c r="E241" s="342" t="n">
        <v>800000</v>
      </c>
      <c r="F241" s="68" t="n"/>
    </row>
    <row r="242" outlineLevel="1" ht="13.2" customHeight="1" s="1127">
      <c r="B242" s="350" t="n">
        <v>46198</v>
      </c>
      <c r="C242" s="304" t="inlineStr">
        <is>
          <t>7-Kaspi Банк (Склад ГП)</t>
        </is>
      </c>
      <c r="D242" s="305" t="n"/>
      <c r="E242" s="342" t="n">
        <v>3500000</v>
      </c>
      <c r="F242" s="68" t="n"/>
    </row>
    <row r="243" outlineLevel="1" ht="13.2" customHeight="1" s="1127">
      <c r="B243" s="350" t="n">
        <v>46198</v>
      </c>
      <c r="C243" s="304" t="inlineStr">
        <is>
          <t>9-Базилик 5 (Аксай)</t>
        </is>
      </c>
      <c r="D243" s="305" t="n"/>
      <c r="E243" s="342" t="n">
        <v>372942</v>
      </c>
      <c r="F243" s="68" t="n"/>
    </row>
    <row r="244" outlineLevel="1" ht="13.2" customHeight="1" s="1127">
      <c r="B244" s="350" t="n">
        <v>46199</v>
      </c>
      <c r="C244" s="311" t="inlineStr">
        <is>
          <t>85-ДФЗ (дистрибьютор)</t>
        </is>
      </c>
      <c r="D244" s="312" t="n"/>
      <c r="E244" s="342" t="n">
        <v>4750000</v>
      </c>
      <c r="F244" s="68" t="n"/>
    </row>
    <row r="245" outlineLevel="1" ht="13.2" customHeight="1" s="1127">
      <c r="B245" s="350" t="n">
        <v>46199</v>
      </c>
      <c r="C245" s="304" t="inlineStr">
        <is>
          <t>1-Базилик 1 (Шевченко)</t>
        </is>
      </c>
      <c r="D245" s="305" t="n"/>
      <c r="E245" s="342" t="n">
        <v>817077</v>
      </c>
      <c r="F245" s="68" t="n"/>
    </row>
    <row r="246" outlineLevel="1" ht="13.2" customHeight="1" s="1127">
      <c r="B246" s="350" t="n">
        <v>46199</v>
      </c>
      <c r="C246" s="304" t="inlineStr">
        <is>
          <t>0Частное лицо Покупатель</t>
        </is>
      </c>
      <c r="D246" s="312" t="n"/>
      <c r="E246" s="342" t="n">
        <v>164668</v>
      </c>
      <c r="F246" s="68" t="n"/>
    </row>
    <row r="247" outlineLevel="1" ht="13.2" customHeight="1" s="1127">
      <c r="B247" s="350" t="n">
        <v>46202</v>
      </c>
      <c r="C247" s="304" t="inlineStr">
        <is>
          <t>85-ДФЗ (дистрибьютор)</t>
        </is>
      </c>
      <c r="D247" s="305" t="n"/>
      <c r="E247" s="341" t="n">
        <v>10000000</v>
      </c>
      <c r="F247" s="68" t="n"/>
    </row>
    <row r="248" outlineLevel="1" ht="13.2" customHeight="1" s="1127">
      <c r="B248" s="350" t="n">
        <v>46202</v>
      </c>
      <c r="C248" s="304" t="inlineStr">
        <is>
          <t>90-Маймарт</t>
        </is>
      </c>
      <c r="D248" s="305" t="n"/>
      <c r="E248" s="341" t="n">
        <v>2641144</v>
      </c>
      <c r="F248" s="68" t="n"/>
    </row>
    <row r="249" outlineLevel="1" ht="13.2" customHeight="1" s="1127">
      <c r="B249" s="350" t="n">
        <v>46202</v>
      </c>
      <c r="C249" s="304" t="inlineStr">
        <is>
          <t>85-ДФЗ (дистрибьютор)</t>
        </is>
      </c>
      <c r="D249" s="305" t="n"/>
      <c r="E249" s="342" t="n">
        <v>300000</v>
      </c>
      <c r="F249" s="68" t="n"/>
    </row>
    <row r="250" outlineLevel="1" ht="13.2" customHeight="1" s="1127">
      <c r="B250" s="350" t="n">
        <v>46202</v>
      </c>
      <c r="C250" s="304" t="inlineStr">
        <is>
          <t>7-Kaspi Банк (Склад ГП)</t>
        </is>
      </c>
      <c r="D250" s="305" t="n"/>
      <c r="E250" s="342" t="n">
        <v>1500000</v>
      </c>
      <c r="F250" s="68" t="n"/>
    </row>
    <row r="251" outlineLevel="1" ht="13.2" customHeight="1" s="1127">
      <c r="B251" s="350" t="n">
        <v>46203</v>
      </c>
      <c r="C251" s="304" t="inlineStr">
        <is>
          <t>102-Яндекс лавка ОСНОВНОЙ</t>
        </is>
      </c>
      <c r="D251" s="305" t="n"/>
      <c r="E251" s="342" t="n">
        <v>8900000</v>
      </c>
      <c r="F251" s="68" t="n"/>
    </row>
    <row r="252" outlineLevel="1" ht="13.2" customHeight="1" s="1127">
      <c r="B252" s="350" t="n">
        <v>46203</v>
      </c>
      <c r="C252" s="304" t="inlineStr">
        <is>
          <t>85-ДФЗ (дистрибьютор)</t>
        </is>
      </c>
      <c r="D252" s="305" t="n"/>
      <c r="E252" s="342" t="n">
        <v>4500000</v>
      </c>
      <c r="F252" s="68" t="n"/>
    </row>
    <row r="253" outlineLevel="1" ht="13.2" customHeight="1" s="1127">
      <c r="B253" s="350" t="n">
        <v>46204</v>
      </c>
      <c r="C253" s="311" t="n"/>
      <c r="D253" s="312" t="n"/>
      <c r="E253" s="342" t="n"/>
      <c r="F253" s="68" t="n"/>
    </row>
    <row r="254" outlineLevel="1" ht="13.2" customHeight="1" s="1127">
      <c r="B254" s="337" t="n"/>
      <c r="C254" s="311" t="n"/>
      <c r="D254" s="312" t="n"/>
      <c r="E254" s="342" t="n"/>
      <c r="F254" s="68" t="n"/>
    </row>
    <row r="255" outlineLevel="1" ht="13.2" customHeight="1" s="1127">
      <c r="B255" s="337" t="n"/>
      <c r="C255" s="311" t="n"/>
      <c r="D255" s="312" t="n"/>
      <c r="E255" s="342" t="n"/>
      <c r="F255" s="68" t="n"/>
    </row>
    <row r="256" outlineLevel="1" ht="13.2" customHeight="1" s="1127">
      <c r="B256" s="337" t="n"/>
      <c r="C256" s="311" t="n"/>
      <c r="D256" s="312" t="n"/>
      <c r="E256" s="342" t="n"/>
      <c r="F256" s="68" t="n"/>
    </row>
    <row r="257" outlineLevel="1" ht="13.2" customHeight="1" s="1127">
      <c r="B257" s="337" t="n"/>
      <c r="C257" s="311" t="n"/>
      <c r="D257" s="312" t="n"/>
      <c r="E257" s="342" t="n"/>
      <c r="F257" s="68" t="n"/>
    </row>
    <row r="258" outlineLevel="1" ht="13.2" customHeight="1" s="1127">
      <c r="B258" s="337" t="n"/>
      <c r="C258" s="311" t="n"/>
      <c r="D258" s="312" t="n"/>
      <c r="E258" s="342" t="n"/>
      <c r="F258" s="68" t="n"/>
    </row>
    <row r="259" outlineLevel="1" ht="13.2" customHeight="1" s="1127">
      <c r="B259" s="337" t="n"/>
      <c r="C259" s="311" t="n"/>
      <c r="D259" s="312" t="n"/>
      <c r="E259" s="342" t="n"/>
      <c r="F259" s="68" t="n"/>
    </row>
    <row r="260" outlineLevel="1" ht="13.8" customHeight="1" s="1127">
      <c r="B260" s="337" t="n"/>
      <c r="C260" s="311" t="n"/>
      <c r="D260" s="312" t="n"/>
      <c r="E260" s="307" t="n"/>
      <c r="F260" s="68" t="n"/>
    </row>
    <row r="261" ht="13.2" customHeight="1" s="1127">
      <c r="E261" s="219" t="n"/>
    </row>
    <row r="262" ht="13.8" customHeight="1" s="1127">
      <c r="B262" s="1211" t="n"/>
    </row>
    <row r="263" ht="17.4" customHeight="1" s="1127">
      <c r="B263" s="220" t="inlineStr">
        <is>
          <t>Выбытие</t>
        </is>
      </c>
      <c r="C263" s="221" t="n"/>
      <c r="D263" s="221" t="n"/>
      <c r="E263" s="222" t="n"/>
      <c r="F263" s="221" t="n"/>
    </row>
    <row r="264" outlineLevel="1" collapsed="1" ht="13.2" customHeight="1" s="1127">
      <c r="B264" s="223" t="inlineStr">
        <is>
          <t>Дата</t>
        </is>
      </c>
      <c r="C264" s="223" t="inlineStr">
        <is>
          <t>Основание</t>
        </is>
      </c>
      <c r="D264" s="223" t="inlineStr">
        <is>
          <t>Наличный</t>
        </is>
      </c>
      <c r="E264" s="224" t="inlineStr">
        <is>
          <t>Безналичный</t>
        </is>
      </c>
      <c r="F264" s="352" t="inlineStr">
        <is>
          <t>Комментарий</t>
        </is>
      </c>
      <c r="G264" s="353" t="n"/>
    </row>
    <row r="265" hidden="1" outlineLevel="2" ht="13.8" customHeight="1" s="1127">
      <c r="B265" s="354" t="n">
        <v>46121</v>
      </c>
      <c r="C265" s="771" t="inlineStr">
        <is>
          <t>Бригадиру Болатбек Даулету</t>
        </is>
      </c>
      <c r="D265" s="774" t="n">
        <v>50000</v>
      </c>
      <c r="E265" s="366" t="n"/>
      <c r="F265" s="73" t="inlineStr">
        <is>
          <t>Выплачено</t>
        </is>
      </c>
      <c r="G265" s="358" t="n"/>
    </row>
    <row r="266" hidden="1" outlineLevel="2" ht="13.8" customHeight="1" s="1127">
      <c r="B266" s="354" t="n">
        <v>46121</v>
      </c>
      <c r="C266" s="774" t="inlineStr">
        <is>
          <t xml:space="preserve">ЗП </t>
        </is>
      </c>
      <c r="D266" s="774" t="n"/>
      <c r="E266" s="360" t="n">
        <v>15223108.79</v>
      </c>
      <c r="F266" s="73" t="inlineStr">
        <is>
          <t>Выплачено</t>
        </is>
      </c>
      <c r="G266" s="358" t="n"/>
    </row>
    <row r="267" hidden="1" outlineLevel="2" ht="13.8" customHeight="1" s="1127">
      <c r="B267" s="354" t="n">
        <v>46121</v>
      </c>
      <c r="C267" s="771" t="inlineStr">
        <is>
          <t>закуп сырьё</t>
        </is>
      </c>
      <c r="D267" s="771" t="n"/>
      <c r="E267" s="360" t="n">
        <v>1776000</v>
      </c>
      <c r="F267" s="73" t="inlineStr">
        <is>
          <t>Выплачено</t>
        </is>
      </c>
      <c r="G267" s="358" t="n"/>
    </row>
    <row r="268" hidden="1" outlineLevel="2" ht="13.8" customHeight="1" s="1127">
      <c r="B268" s="354" t="n">
        <v>46121</v>
      </c>
      <c r="C268" s="774" t="inlineStr">
        <is>
          <t>ЗП лагманщикам</t>
        </is>
      </c>
      <c r="D268" s="774" t="n">
        <v>306000</v>
      </c>
      <c r="E268" s="360" t="n"/>
      <c r="F268" s="73" t="inlineStr">
        <is>
          <t>Выплачено</t>
        </is>
      </c>
      <c r="G268" s="358" t="n"/>
    </row>
    <row r="269" hidden="1" outlineLevel="2" ht="13.8" customHeight="1" s="1127">
      <c r="B269" s="354" t="n">
        <v>46121</v>
      </c>
      <c r="C269" s="777" t="inlineStr">
        <is>
          <t>Ли Станислав</t>
        </is>
      </c>
      <c r="D269" s="774" t="n">
        <v>600000</v>
      </c>
      <c r="E269" s="360" t="n"/>
      <c r="F269" s="73" t="inlineStr">
        <is>
          <t>Выплачено</t>
        </is>
      </c>
      <c r="G269" s="358" t="n"/>
    </row>
    <row r="270" hidden="1" outlineLevel="2" ht="13.8" customHeight="1" s="1127">
      <c r="B270" s="364" t="n">
        <v>46121</v>
      </c>
      <c r="C270" s="771" t="inlineStr">
        <is>
          <t>Дорожные</t>
        </is>
      </c>
      <c r="D270" s="771" t="n">
        <v>9000</v>
      </c>
      <c r="E270" s="360" t="n"/>
      <c r="F270" s="73" t="inlineStr">
        <is>
          <t>Выплачено</t>
        </is>
      </c>
      <c r="G270" s="358" t="n"/>
    </row>
    <row r="271" hidden="1" outlineLevel="2" ht="13.8" customHeight="1" s="1127">
      <c r="B271" s="354" t="n">
        <v>46122</v>
      </c>
      <c r="C271" s="777" t="inlineStr">
        <is>
          <t>ОСТАТОК КПН</t>
        </is>
      </c>
      <c r="D271" s="774" t="n"/>
      <c r="E271" s="360" t="n">
        <v>1104937</v>
      </c>
      <c r="F271" s="73" t="inlineStr">
        <is>
          <t>Выплачено</t>
        </is>
      </c>
      <c r="G271" s="358" t="n"/>
    </row>
    <row r="272" hidden="1" outlineLevel="2" ht="13.8" customHeight="1" s="1127">
      <c r="B272" s="354" t="n">
        <v>46122</v>
      </c>
      <c r="C272" s="777" t="inlineStr">
        <is>
          <t>ЗП Уволеных</t>
        </is>
      </c>
      <c r="D272" s="774" t="n">
        <v>2393824</v>
      </c>
      <c r="E272" s="360" t="n"/>
      <c r="F272" s="73" t="inlineStr">
        <is>
          <t>Выплачено</t>
        </is>
      </c>
      <c r="G272" s="358" t="n"/>
    </row>
    <row r="273" hidden="1" outlineLevel="2" ht="13.8" customHeight="1" s="1127">
      <c r="B273" s="354" t="n">
        <v>46122</v>
      </c>
      <c r="C273" s="777" t="inlineStr">
        <is>
          <t>На размещение платных объявлений</t>
        </is>
      </c>
      <c r="D273" s="774" t="n">
        <v>20000</v>
      </c>
      <c r="E273" s="360" t="n"/>
      <c r="F273" s="73" t="inlineStr">
        <is>
          <t>Выплачено</t>
        </is>
      </c>
      <c r="G273" s="1126" t="n"/>
    </row>
    <row r="274" hidden="1" outlineLevel="2" ht="13.8" customHeight="1" s="1127">
      <c r="B274" s="354" t="n">
        <v>46122</v>
      </c>
      <c r="C274" s="777" t="inlineStr">
        <is>
          <t>Дизайнер РП  (2 тейбл тента)</t>
        </is>
      </c>
      <c r="D274" s="774" t="n">
        <v>14000</v>
      </c>
      <c r="E274" s="360" t="n"/>
      <c r="F274" s="73" t="inlineStr">
        <is>
          <t>Выплачено</t>
        </is>
      </c>
      <c r="G274" s="1126" t="n"/>
    </row>
    <row r="275" hidden="1" outlineLevel="2" ht="13.8" customHeight="1" s="1127">
      <c r="B275" s="364" t="n">
        <v>46122</v>
      </c>
      <c r="C275" s="771" t="inlineStr">
        <is>
          <t xml:space="preserve">ЗП 5 сотрудникам  они получает до 12 число </t>
        </is>
      </c>
      <c r="D275" s="774" t="n">
        <v>1251000</v>
      </c>
      <c r="E275" s="360" t="n"/>
      <c r="F275" s="73" t="inlineStr">
        <is>
          <t>К оплате</t>
        </is>
      </c>
      <c r="G275" s="365" t="n"/>
    </row>
    <row r="276" hidden="1" outlineLevel="2" ht="13.8" customHeight="1" s="1127">
      <c r="B276" s="364" t="n">
        <v>46122</v>
      </c>
      <c r="C276" s="771" t="inlineStr">
        <is>
          <t>вызов ассенизаторской 2  машины</t>
        </is>
      </c>
      <c r="D276" s="774" t="n">
        <v>50000</v>
      </c>
      <c r="E276" s="366" t="n"/>
      <c r="F276" s="73" t="inlineStr">
        <is>
          <t>Выплачено</t>
        </is>
      </c>
      <c r="G276" s="367" t="n"/>
    </row>
    <row r="277" hidden="1" outlineLevel="2" ht="13.8" customHeight="1" s="1127">
      <c r="B277" s="364" t="n">
        <v>46122</v>
      </c>
      <c r="C277" s="777" t="inlineStr">
        <is>
          <t>за оплату почты</t>
        </is>
      </c>
      <c r="D277" s="368" t="n">
        <v>107000</v>
      </c>
      <c r="E277" s="360" t="n"/>
      <c r="F277" s="73" t="inlineStr">
        <is>
          <t>Выплачено</t>
        </is>
      </c>
    </row>
    <row r="278" hidden="1" outlineLevel="2" ht="13.8" customHeight="1" s="1127">
      <c r="B278" s="364" t="n">
        <v>46122</v>
      </c>
      <c r="C278" s="777" t="inlineStr">
        <is>
          <t>Оплата за логистику Демьянов</t>
        </is>
      </c>
      <c r="D278" s="368" t="n">
        <v>300000</v>
      </c>
      <c r="E278" s="360" t="n"/>
      <c r="F278" s="73" t="inlineStr">
        <is>
          <t>Выплачено</t>
        </is>
      </c>
    </row>
    <row r="279" hidden="1" outlineLevel="2" ht="13.8" customHeight="1" s="1127">
      <c r="B279" s="364" t="n">
        <v>46122</v>
      </c>
      <c r="C279" s="777" t="inlineStr">
        <is>
          <t>Даулет, нач. производства ЗП</t>
        </is>
      </c>
      <c r="D279" s="368" t="n">
        <v>1281165</v>
      </c>
      <c r="E279" s="360" t="n"/>
      <c r="F279" s="73" t="inlineStr">
        <is>
          <t>Выплачено</t>
        </is>
      </c>
    </row>
    <row r="280" hidden="1" outlineLevel="2" ht="13.8" customHeight="1" s="1127">
      <c r="B280" s="364" t="n">
        <v>46122</v>
      </c>
      <c r="C280" s="777" t="inlineStr">
        <is>
          <t>Астана</t>
        </is>
      </c>
      <c r="D280" s="368" t="n">
        <v>120000</v>
      </c>
      <c r="E280" s="360" t="n"/>
      <c r="F280" s="73" t="inlineStr">
        <is>
          <t>К оплате</t>
        </is>
      </c>
    </row>
    <row r="281" hidden="1" outlineLevel="2" ht="14.4" customHeight="1" s="1127">
      <c r="B281" s="364" t="n">
        <v>46122</v>
      </c>
      <c r="C281" s="771" t="inlineStr">
        <is>
          <t>закуп сырьё</t>
        </is>
      </c>
      <c r="D281" s="368" t="n"/>
      <c r="E281" s="369" t="n">
        <v>3778100</v>
      </c>
      <c r="F281" s="73" t="inlineStr">
        <is>
          <t>Выплачено</t>
        </is>
      </c>
    </row>
    <row r="282" hidden="1" outlineLevel="2" ht="14.4" customHeight="1" s="1127">
      <c r="B282" s="364" t="n">
        <v>46122</v>
      </c>
      <c r="C282" s="771" t="inlineStr">
        <is>
          <t xml:space="preserve">Веб касса </t>
        </is>
      </c>
      <c r="D282" s="368" t="n">
        <v>8200</v>
      </c>
      <c r="E282" s="369" t="n"/>
      <c r="F282" s="73" t="inlineStr">
        <is>
          <t>Выплачено</t>
        </is>
      </c>
    </row>
    <row r="283" hidden="1" outlineLevel="2" ht="14.4" customHeight="1" s="1127">
      <c r="B283" s="284" t="n">
        <v>46125</v>
      </c>
      <c r="C283" s="771" t="inlineStr">
        <is>
          <t>Герасименко (аренда+депозит за кв)</t>
        </is>
      </c>
      <c r="D283" s="370">
        <f>390000+150000</f>
        <v/>
      </c>
      <c r="E283" s="369" t="n"/>
      <c r="F283" s="73" t="inlineStr">
        <is>
          <t>Выплачено</t>
        </is>
      </c>
    </row>
    <row r="284" hidden="1" outlineLevel="2" ht="14.4" customHeight="1" s="1127">
      <c r="B284" s="284" t="n">
        <v>46125</v>
      </c>
      <c r="C284" s="771" t="inlineStr">
        <is>
          <t xml:space="preserve">Тоймарт </t>
        </is>
      </c>
      <c r="D284" s="371" t="inlineStr">
        <is>
          <t>390 344</t>
        </is>
      </c>
      <c r="E284" s="369" t="n"/>
      <c r="F284" s="73" t="inlineStr">
        <is>
          <t>Выплачено</t>
        </is>
      </c>
      <c r="G284" s="372" t="n"/>
    </row>
    <row r="285" hidden="1" outlineLevel="2" ht="13.8" customHeight="1" s="1127">
      <c r="B285" s="284" t="n">
        <v>46125</v>
      </c>
      <c r="C285" s="771" t="inlineStr">
        <is>
          <t>ЗАКУП СЫРЬЁ (безнал)</t>
        </is>
      </c>
      <c r="D285" s="368" t="n"/>
      <c r="E285" s="360" t="n">
        <v>6263921</v>
      </c>
      <c r="F285" s="73" t="inlineStr">
        <is>
          <t>Выплачено</t>
        </is>
      </c>
    </row>
    <row r="286" hidden="1" outlineLevel="2" ht="13.8" customHeight="1" s="1127">
      <c r="B286" s="284" t="n">
        <v>46125</v>
      </c>
      <c r="C286" s="777" t="inlineStr">
        <is>
          <t>Ayala Trade ТОО творг</t>
        </is>
      </c>
      <c r="D286" s="368" t="n"/>
      <c r="E286" s="360" t="n">
        <v>416500</v>
      </c>
      <c r="F286" s="73" t="inlineStr">
        <is>
          <t>Выплачено</t>
        </is>
      </c>
    </row>
    <row r="287" hidden="1" outlineLevel="2" ht="13.8" customHeight="1" s="1127">
      <c r="B287" s="284" t="n">
        <v>46125</v>
      </c>
      <c r="C287" s="148" t="inlineStr">
        <is>
          <t xml:space="preserve">квартира Узбеков </t>
        </is>
      </c>
      <c r="D287" s="148" t="n">
        <v>300000</v>
      </c>
      <c r="E287" s="373" t="n"/>
      <c r="F287" s="73" t="inlineStr">
        <is>
          <t>Выплачено</t>
        </is>
      </c>
    </row>
    <row r="288" hidden="1" outlineLevel="2" ht="15.6" customHeight="1" s="1127">
      <c r="B288" s="284" t="n">
        <v>46125</v>
      </c>
      <c r="C288" s="374" t="inlineStr">
        <is>
          <t>Сергей Сон ЗП март (часть)</t>
        </is>
      </c>
      <c r="D288" s="148" t="n">
        <v>54600</v>
      </c>
      <c r="E288" s="373" t="n"/>
      <c r="F288" s="73" t="inlineStr">
        <is>
          <t>Выплачено</t>
        </is>
      </c>
    </row>
    <row r="289" hidden="1" outlineLevel="2" ht="13.8" customHeight="1" s="1127">
      <c r="B289" s="284" t="n">
        <v>46125</v>
      </c>
      <c r="C289" s="393" t="n"/>
      <c r="D289" s="148" t="n">
        <v>1000000</v>
      </c>
      <c r="E289" s="373" t="n"/>
      <c r="F289" s="73" t="inlineStr">
        <is>
          <t>Выплачено</t>
        </is>
      </c>
    </row>
    <row r="290" hidden="1" outlineLevel="2" ht="13.8" customHeight="1" s="1127">
      <c r="B290" s="284" t="n">
        <v>46125</v>
      </c>
      <c r="C290" s="148" t="inlineStr">
        <is>
          <t xml:space="preserve">Ахмерова </t>
        </is>
      </c>
      <c r="D290" s="148" t="n"/>
      <c r="E290" s="373" t="n">
        <v>110160</v>
      </c>
      <c r="F290" s="73" t="inlineStr">
        <is>
          <t>Выплачено</t>
        </is>
      </c>
    </row>
    <row r="291" hidden="1" outlineLevel="2" ht="13.8" customHeight="1" s="1127">
      <c r="B291" s="284" t="n">
        <v>46125</v>
      </c>
      <c r="C291" s="375" t="inlineStr">
        <is>
          <t>Эрик Капуста</t>
        </is>
      </c>
      <c r="D291" s="376" t="n">
        <v>138400</v>
      </c>
      <c r="E291" s="373" t="n"/>
      <c r="F291" s="73" t="inlineStr">
        <is>
          <t>Выплачено</t>
        </is>
      </c>
      <c r="G291" s="456" t="inlineStr">
        <is>
          <t>повтор</t>
        </is>
      </c>
    </row>
    <row r="292" hidden="1" outlineLevel="2" ht="13.8" customHeight="1" s="1127">
      <c r="B292" s="284" t="n">
        <v>46125</v>
      </c>
      <c r="C292" s="777" t="inlineStr">
        <is>
          <t>ИП Демьянов</t>
        </is>
      </c>
      <c r="D292" s="368" t="n"/>
      <c r="E292" s="360" t="n">
        <v>1870000</v>
      </c>
      <c r="F292" s="73" t="inlineStr">
        <is>
          <t>Выплачено</t>
        </is>
      </c>
    </row>
    <row r="293" hidden="1" outlineLevel="2" ht="13.8" customHeight="1" s="1127">
      <c r="B293" s="377" t="n">
        <v>46126</v>
      </c>
      <c r="C293" s="378" t="inlineStr">
        <is>
          <t>Ли Станислав</t>
        </is>
      </c>
      <c r="D293" s="379" t="n">
        <v>1000000</v>
      </c>
      <c r="E293" s="380" t="n"/>
      <c r="F293" s="381" t="inlineStr">
        <is>
          <t>Выплачено</t>
        </is>
      </c>
    </row>
    <row r="294" hidden="1" outlineLevel="2" ht="13.8" customHeight="1" s="1127">
      <c r="B294" s="377" t="n">
        <v>46126</v>
      </c>
      <c r="C294" s="378" t="inlineStr">
        <is>
          <t>аванс по СЗ</t>
        </is>
      </c>
      <c r="D294" s="379" t="n">
        <v>150000</v>
      </c>
      <c r="E294" s="380" t="n"/>
      <c r="F294" s="381" t="inlineStr">
        <is>
          <t>Выплачено</t>
        </is>
      </c>
    </row>
    <row r="295" hidden="1" outlineLevel="2" ht="13.8" customHeight="1" s="1127">
      <c r="B295" s="377" t="n">
        <v>46126</v>
      </c>
      <c r="C295" s="382" t="inlineStr">
        <is>
          <t>за Нотариуса</t>
        </is>
      </c>
      <c r="D295" s="379" t="n">
        <v>10813</v>
      </c>
      <c r="E295" s="380" t="n"/>
      <c r="F295" s="381" t="inlineStr">
        <is>
          <t>Выплачено</t>
        </is>
      </c>
    </row>
    <row r="296" hidden="1" outlineLevel="2" ht="13.8" customHeight="1" s="1127">
      <c r="B296" s="377" t="n">
        <v>46126</v>
      </c>
      <c r="C296" s="378" t="inlineStr">
        <is>
          <t>Закуп сырьё</t>
        </is>
      </c>
      <c r="D296" s="379" t="n"/>
      <c r="E296" s="380" t="n">
        <v>9125564</v>
      </c>
      <c r="F296" s="381" t="inlineStr">
        <is>
          <t>Выплачено</t>
        </is>
      </c>
    </row>
    <row r="297" hidden="1" outlineLevel="2" ht="13.8" customHeight="1" s="1127">
      <c r="B297" s="377" t="n">
        <v>46126</v>
      </c>
      <c r="C297" s="378" t="inlineStr">
        <is>
          <t xml:space="preserve">Силиконовые шторы </t>
        </is>
      </c>
      <c r="D297" s="379" t="n"/>
      <c r="E297" s="380" t="n">
        <v>31000</v>
      </c>
      <c r="F297" s="381" t="inlineStr">
        <is>
          <t>Выплачено</t>
        </is>
      </c>
    </row>
    <row r="298" hidden="1" outlineLevel="2" ht="15" customHeight="1" s="1127">
      <c r="B298" s="377" t="n">
        <v>46126</v>
      </c>
      <c r="C298" s="383" t="inlineStr">
        <is>
          <t xml:space="preserve">Лампы </t>
        </is>
      </c>
      <c r="D298" s="379" t="n"/>
      <c r="E298" s="380" t="n"/>
      <c r="F298" s="381" t="inlineStr">
        <is>
          <t>К оплате</t>
        </is>
      </c>
    </row>
    <row r="299" hidden="1" outlineLevel="2" ht="13.8" customHeight="1" s="1127">
      <c r="B299" s="377" t="n">
        <v>46126</v>
      </c>
      <c r="C299" s="378" t="inlineStr">
        <is>
          <t>Масло подсолнечное</t>
        </is>
      </c>
      <c r="D299" s="379" t="n"/>
      <c r="E299" s="380" t="n">
        <v>120000</v>
      </c>
      <c r="F299" s="381" t="inlineStr">
        <is>
          <t>К оплате</t>
        </is>
      </c>
    </row>
    <row r="300" hidden="1" outlineLevel="2" ht="13.8" customHeight="1" s="1127">
      <c r="B300" s="364" t="n">
        <v>46127</v>
      </c>
      <c r="C300" s="777" t="inlineStr">
        <is>
          <t xml:space="preserve">Компенсация бензина (РОП) вчера не была деньги  </t>
        </is>
      </c>
      <c r="D300" s="368" t="n">
        <v>35000</v>
      </c>
      <c r="E300" s="360" t="n"/>
      <c r="F300" s="381" t="inlineStr">
        <is>
          <t>Выплачено</t>
        </is>
      </c>
      <c r="G300" s="384" t="inlineStr">
        <is>
          <t>создать приказ</t>
        </is>
      </c>
    </row>
    <row r="301" hidden="1" outlineLevel="2" ht="13.8" customHeight="1" s="1127">
      <c r="B301" s="385" t="n">
        <v>46127</v>
      </c>
      <c r="C301" s="386" t="inlineStr">
        <is>
          <t xml:space="preserve">Аренда помещения </t>
        </is>
      </c>
      <c r="D301" s="387" t="n"/>
      <c r="E301" s="388" t="n">
        <v>6655000</v>
      </c>
      <c r="F301" s="381" t="inlineStr">
        <is>
          <t>Выплачено</t>
        </is>
      </c>
    </row>
    <row r="302" hidden="1" outlineLevel="2" ht="13.8" customHeight="1" s="1127">
      <c r="B302" s="364" t="n">
        <v>46127</v>
      </c>
      <c r="C302" s="777" t="inlineStr">
        <is>
          <t>аванс по СЗ</t>
        </is>
      </c>
      <c r="D302" s="389" t="n">
        <v>100000</v>
      </c>
      <c r="E302" s="360" t="n"/>
      <c r="F302" s="381" t="inlineStr">
        <is>
          <t>Выплачено</t>
        </is>
      </c>
    </row>
    <row r="303" hidden="1" outlineLevel="2" ht="13.8" customHeight="1" s="1127">
      <c r="B303" s="364" t="n">
        <v>46127</v>
      </c>
      <c r="C303" s="777" t="inlineStr">
        <is>
          <t>Заиров Расулжан ЗП по Сз</t>
        </is>
      </c>
      <c r="D303" s="368" t="inlineStr">
        <is>
          <t>369 000</t>
        </is>
      </c>
      <c r="E303" s="360" t="n"/>
      <c r="F303" s="381" t="inlineStr">
        <is>
          <t>Выплачено</t>
        </is>
      </c>
    </row>
    <row r="304" hidden="1" outlineLevel="2" ht="14.4" customHeight="1" s="1127">
      <c r="B304" s="364" t="n">
        <v>46127</v>
      </c>
      <c r="C304" s="390" t="inlineStr">
        <is>
          <t xml:space="preserve">Исполнителный  лист </t>
        </is>
      </c>
      <c r="D304" s="391" t="n"/>
      <c r="E304" s="392" t="inlineStr">
        <is>
          <t>800 000</t>
        </is>
      </c>
      <c r="F304" s="381" t="inlineStr">
        <is>
          <t>Выплачено</t>
        </is>
      </c>
      <c r="G304" s="456" t="inlineStr">
        <is>
          <t>что входит</t>
        </is>
      </c>
    </row>
    <row r="305" hidden="1" outlineLevel="2" ht="13.8" customHeight="1" s="1127">
      <c r="B305" s="364" t="n">
        <v>46127</v>
      </c>
      <c r="C305" s="393" t="inlineStr">
        <is>
          <t>Public Health Inspection</t>
        </is>
      </c>
      <c r="D305" s="368" t="n"/>
      <c r="E305" s="360" t="inlineStr">
        <is>
          <t>144 800</t>
        </is>
      </c>
      <c r="F305" s="381" t="inlineStr">
        <is>
          <t>Выплачено</t>
        </is>
      </c>
    </row>
    <row r="306" hidden="1" outlineLevel="2" ht="13.8" customHeight="1" s="1127">
      <c r="B306" s="364" t="n">
        <v>46127</v>
      </c>
      <c r="C306" s="777" t="inlineStr">
        <is>
          <t>ТОО Horeca Guardian</t>
        </is>
      </c>
      <c r="D306" s="368" t="n"/>
      <c r="E306" s="360" t="inlineStr">
        <is>
          <t>340 000</t>
        </is>
      </c>
      <c r="F306" s="381" t="inlineStr">
        <is>
          <t>Выплачено</t>
        </is>
      </c>
    </row>
    <row r="307" hidden="1" outlineLevel="2" ht="13.8" customHeight="1" s="1127">
      <c r="B307" s="364" t="n">
        <v>46127</v>
      </c>
      <c r="C307" s="777" t="inlineStr">
        <is>
          <t>Ли Станислав</t>
        </is>
      </c>
      <c r="D307" s="389" t="inlineStr">
        <is>
          <t>500 000</t>
        </is>
      </c>
      <c r="E307" s="360" t="n"/>
      <c r="F307" s="381" t="inlineStr">
        <is>
          <t>Выплачено</t>
        </is>
      </c>
    </row>
    <row r="308" hidden="1" outlineLevel="2" ht="15.6" customHeight="1" s="1127">
      <c r="B308" s="364" t="n">
        <v>46127</v>
      </c>
      <c r="C308" s="374" t="inlineStr">
        <is>
          <t>Дашида</t>
        </is>
      </c>
      <c r="D308" s="394" t="n">
        <v>437200</v>
      </c>
      <c r="E308" s="360" t="n"/>
      <c r="F308" s="381" t="inlineStr">
        <is>
          <t>Выплачено</t>
        </is>
      </c>
    </row>
    <row r="309" hidden="1" outlineLevel="2" ht="13.8" customHeight="1" s="1127">
      <c r="B309" s="364" t="n">
        <v>46127</v>
      </c>
      <c r="C309" s="777" t="inlineStr">
        <is>
          <t>Закуп сырьё</t>
        </is>
      </c>
      <c r="D309" s="771" t="n"/>
      <c r="E309" s="360" t="n">
        <v>5000000</v>
      </c>
      <c r="F309" s="381" t="inlineStr">
        <is>
          <t>К оплате</t>
        </is>
      </c>
    </row>
    <row r="310" hidden="1" outlineLevel="2" ht="13.8" customHeight="1" s="1127">
      <c r="B310" s="395" t="n">
        <v>46128</v>
      </c>
      <c r="C310" s="443" t="inlineStr">
        <is>
          <t>аванс по СЗ</t>
        </is>
      </c>
      <c r="D310" s="397" t="n">
        <v>150000</v>
      </c>
      <c r="E310" s="398" t="n"/>
      <c r="F310" s="381" t="inlineStr">
        <is>
          <t>Выплачено</t>
        </is>
      </c>
    </row>
    <row r="311" hidden="1" outlineLevel="2" ht="13.8" customHeight="1" s="1127">
      <c r="B311" s="395" t="n">
        <v>46128</v>
      </c>
      <c r="C311" s="399" t="inlineStr">
        <is>
          <t>ЗП лагманщикам</t>
        </is>
      </c>
      <c r="D311" s="397" t="n">
        <v>316000</v>
      </c>
      <c r="E311" s="398" t="n"/>
      <c r="F311" s="381" t="inlineStr">
        <is>
          <t>Выплачено</t>
        </is>
      </c>
    </row>
    <row r="312" hidden="1" outlineLevel="2" ht="13.8" customHeight="1" s="1127">
      <c r="B312" s="395" t="n">
        <v>46128</v>
      </c>
      <c r="C312" s="399" t="inlineStr">
        <is>
          <t>Ли Станислав</t>
        </is>
      </c>
      <c r="D312" s="397" t="inlineStr">
        <is>
          <t>700 000</t>
        </is>
      </c>
      <c r="E312" s="398" t="n"/>
      <c r="F312" s="381" t="inlineStr">
        <is>
          <t>Выплачено</t>
        </is>
      </c>
    </row>
    <row r="313" hidden="1" outlineLevel="2" ht="13.8" customHeight="1" s="1127">
      <c r="B313" s="395" t="n">
        <v>46128</v>
      </c>
      <c r="C313" s="399" t="inlineStr">
        <is>
          <t xml:space="preserve">Закуп сырьё </t>
        </is>
      </c>
      <c r="D313" s="397" t="n"/>
      <c r="E313" s="398" t="n">
        <v>5526012</v>
      </c>
      <c r="F313" s="381" t="inlineStr">
        <is>
          <t>Выплачено</t>
        </is>
      </c>
    </row>
    <row r="314" hidden="1" outlineLevel="2" ht="13.8" customHeight="1" s="1127">
      <c r="B314" s="395" t="n">
        <v>46128</v>
      </c>
      <c r="C314" s="399" t="inlineStr">
        <is>
          <t>Логистика АСТАНА (выдать Александру)</t>
        </is>
      </c>
      <c r="D314" s="397" t="n">
        <v>54000</v>
      </c>
      <c r="E314" s="398" t="n"/>
      <c r="F314" s="381" t="inlineStr">
        <is>
          <t>Выплачено</t>
        </is>
      </c>
    </row>
    <row r="315" hidden="1" outlineLevel="2" ht="13.8" customHeight="1" s="1127">
      <c r="B315" s="395" t="n">
        <v>46128</v>
      </c>
      <c r="C315" s="399" t="inlineStr">
        <is>
          <t>Оплата дизайнеру</t>
        </is>
      </c>
      <c r="D315" s="397" t="n">
        <v>50000</v>
      </c>
      <c r="E315" s="398" t="n"/>
      <c r="F315" s="381" t="inlineStr">
        <is>
          <t>Выплачено</t>
        </is>
      </c>
    </row>
    <row r="316" hidden="1" outlineLevel="2" ht="13.8" customHeight="1" s="1127">
      <c r="B316" s="395" t="n">
        <v>46128</v>
      </c>
      <c r="C316" s="399" t="inlineStr">
        <is>
          <t>Аванс Барататова</t>
        </is>
      </c>
      <c r="D316" s="397" t="n">
        <v>150000</v>
      </c>
      <c r="E316" s="398" t="n"/>
      <c r="F316" s="381" t="inlineStr">
        <is>
          <t>Выплачено</t>
        </is>
      </c>
    </row>
    <row r="317" hidden="1" outlineLevel="2" ht="13.8" customHeight="1" s="1127">
      <c r="B317" s="395" t="n">
        <v>46128</v>
      </c>
      <c r="C317" s="399" t="inlineStr">
        <is>
          <t>Аванс Худобаева</t>
        </is>
      </c>
      <c r="D317" s="397" t="n">
        <v>100000</v>
      </c>
      <c r="E317" s="398" t="n"/>
      <c r="F317" s="381" t="inlineStr">
        <is>
          <t>Выплачено</t>
        </is>
      </c>
    </row>
    <row r="318" hidden="1" outlineLevel="2" ht="13.8" customHeight="1" s="1127">
      <c r="B318" s="395" t="n">
        <v>46128</v>
      </c>
      <c r="C318" s="399" t="inlineStr">
        <is>
          <t>Каталоги</t>
        </is>
      </c>
      <c r="D318" s="397" t="n"/>
      <c r="E318" s="415" t="inlineStr">
        <is>
          <t>15 760</t>
        </is>
      </c>
      <c r="F318" s="381" t="inlineStr">
        <is>
          <t>Выплачено</t>
        </is>
      </c>
    </row>
    <row r="319" hidden="1" outlineLevel="2" ht="13.8" customHeight="1" s="1127">
      <c r="B319" s="395" t="n">
        <v>46129</v>
      </c>
      <c r="C319" s="399" t="inlineStr">
        <is>
          <t>Ли Станислав</t>
        </is>
      </c>
      <c r="D319" s="401" t="inlineStr">
        <is>
          <t>500 000</t>
        </is>
      </c>
      <c r="E319" s="398" t="n"/>
      <c r="F319" s="381" t="inlineStr">
        <is>
          <t>Выплачено</t>
        </is>
      </c>
    </row>
    <row r="320" hidden="1" outlineLevel="2" ht="13.8" customHeight="1" s="1127">
      <c r="B320" s="395" t="n">
        <v>46129</v>
      </c>
      <c r="C320" s="399" t="inlineStr">
        <is>
          <t xml:space="preserve">Шашубаева </t>
        </is>
      </c>
      <c r="D320" s="401" t="inlineStr">
        <is>
          <t>50 000</t>
        </is>
      </c>
      <c r="E320" s="398" t="n"/>
      <c r="F320" s="381" t="inlineStr">
        <is>
          <t>Выплачено</t>
        </is>
      </c>
    </row>
    <row r="321" hidden="1" outlineLevel="2" ht="13.8" customHeight="1" s="1127">
      <c r="B321" s="395" t="n">
        <v>46129</v>
      </c>
      <c r="C321" s="402" t="inlineStr">
        <is>
          <t>удержание с логистической компании</t>
        </is>
      </c>
      <c r="D321" s="401" t="inlineStr">
        <is>
          <t>56 939</t>
        </is>
      </c>
      <c r="E321" s="398" t="n"/>
      <c r="F321" s="381" t="inlineStr">
        <is>
          <t>Выплачено</t>
        </is>
      </c>
    </row>
    <row r="322" hidden="1" outlineLevel="2" ht="13.8" customHeight="1" s="1127">
      <c r="B322" s="395" t="n">
        <v>46129</v>
      </c>
      <c r="C322" s="399" t="inlineStr">
        <is>
          <t>установка окна для курьера</t>
        </is>
      </c>
      <c r="D322" s="401" t="inlineStr">
        <is>
          <t>80 000</t>
        </is>
      </c>
      <c r="E322" s="398" t="n"/>
      <c r="F322" s="381" t="inlineStr">
        <is>
          <t>Выплачено</t>
        </is>
      </c>
    </row>
    <row r="323" hidden="1" outlineLevel="2" ht="13.8" customHeight="1" s="1127">
      <c r="B323" s="395" t="n">
        <v>46129</v>
      </c>
      <c r="C323" s="399" t="inlineStr">
        <is>
          <t xml:space="preserve">Аванс Имашев Улан </t>
        </is>
      </c>
      <c r="D323" s="401" t="inlineStr">
        <is>
          <t>300 000</t>
        </is>
      </c>
      <c r="E323" s="398" t="n"/>
      <c r="F323" s="381" t="inlineStr">
        <is>
          <t>Выплачено</t>
        </is>
      </c>
    </row>
    <row r="324" hidden="1" outlineLevel="2" ht="13.8" customHeight="1" s="1127">
      <c r="B324" s="395" t="n">
        <v>46129</v>
      </c>
      <c r="C324" s="399" t="inlineStr">
        <is>
          <t>Аванс Шишериной М.С</t>
        </is>
      </c>
      <c r="D324" s="401" t="inlineStr">
        <is>
          <t>110 000</t>
        </is>
      </c>
      <c r="E324" s="398" t="n"/>
      <c r="F324" s="381" t="inlineStr">
        <is>
          <t>Выплачено</t>
        </is>
      </c>
    </row>
    <row r="325" hidden="1" outlineLevel="2" ht="13.8" customHeight="1" s="1127">
      <c r="B325" s="403" t="n">
        <v>46129</v>
      </c>
      <c r="C325" s="399" t="inlineStr">
        <is>
          <t>Отложить на ЗП</t>
        </is>
      </c>
      <c r="D325" s="399" t="n"/>
      <c r="E325" s="398" t="n">
        <v>10000000</v>
      </c>
      <c r="F325" s="381" t="inlineStr">
        <is>
          <t>К оплате</t>
        </is>
      </c>
    </row>
    <row r="326" hidden="1" outlineLevel="2" ht="13.8" customHeight="1" s="1127">
      <c r="B326" s="395" t="n">
        <v>46129</v>
      </c>
      <c r="C326" s="399" t="inlineStr">
        <is>
          <t>Закуп сырьё утро</t>
        </is>
      </c>
      <c r="D326" s="402" t="n">
        <v>126000</v>
      </c>
      <c r="E326" s="398" t="n">
        <v>3680180</v>
      </c>
      <c r="F326" s="381" t="inlineStr">
        <is>
          <t>Выплачено</t>
        </is>
      </c>
    </row>
    <row r="327" hidden="1" outlineLevel="2" ht="13.8" customHeight="1" s="1127">
      <c r="B327" s="395" t="n">
        <v>46129</v>
      </c>
      <c r="C327" s="399" t="inlineStr">
        <is>
          <t>Аренда квартиры ф.дир (19.04-19.05)</t>
        </is>
      </c>
      <c r="D327" s="397" t="n">
        <v>390000</v>
      </c>
      <c r="E327" s="398" t="n"/>
      <c r="F327" s="381" t="inlineStr">
        <is>
          <t>Выплачено</t>
        </is>
      </c>
    </row>
    <row r="328" hidden="1" outlineLevel="2" ht="13.8" customHeight="1" s="1127">
      <c r="B328" s="395" t="n">
        <v>46129</v>
      </c>
      <c r="C328" s="399" t="inlineStr">
        <is>
          <t>Закуп сырьё вечер</t>
        </is>
      </c>
      <c r="D328" s="397" t="n"/>
      <c r="E328" s="398">
        <f>2000000+300000+263625</f>
        <v/>
      </c>
      <c r="F328" s="381" t="inlineStr">
        <is>
          <t>Выплачено</t>
        </is>
      </c>
    </row>
    <row r="329" hidden="1" outlineLevel="2" ht="13.8" customHeight="1" s="1127">
      <c r="B329" s="395" t="n">
        <v>46129</v>
      </c>
      <c r="C329" s="399" t="inlineStr">
        <is>
          <t>ЗП уволенных</t>
        </is>
      </c>
      <c r="D329" s="397" t="n">
        <v>2600000</v>
      </c>
      <c r="E329" s="398" t="n"/>
      <c r="F329" s="381" t="inlineStr">
        <is>
          <t>Выплачено</t>
        </is>
      </c>
    </row>
    <row r="330" hidden="1" outlineLevel="2" ht="13.8" customHeight="1" s="1127">
      <c r="B330" s="395" t="n">
        <v>46132</v>
      </c>
      <c r="C330" s="399" t="inlineStr">
        <is>
          <t xml:space="preserve">Айран и Газ балон </t>
        </is>
      </c>
      <c r="D330" s="401" t="n">
        <v>48600</v>
      </c>
      <c r="E330" s="398" t="n"/>
      <c r="F330" s="381" t="inlineStr">
        <is>
          <t>Выплачено</t>
        </is>
      </c>
    </row>
    <row r="331" hidden="1" outlineLevel="2" ht="13.8" customHeight="1" s="1127">
      <c r="B331" s="395" t="n">
        <v>46132</v>
      </c>
      <c r="C331" s="399" t="inlineStr">
        <is>
          <t>Оплата за разработку логотипа</t>
        </is>
      </c>
      <c r="D331" s="402" t="n"/>
      <c r="E331" s="398" t="n">
        <v>1000000</v>
      </c>
      <c r="F331" s="381" t="inlineStr">
        <is>
          <t>Выплачено</t>
        </is>
      </c>
    </row>
    <row r="332" hidden="1" outlineLevel="2" ht="13.8" customHeight="1" s="1127">
      <c r="B332" s="395" t="n">
        <v>46132</v>
      </c>
      <c r="C332" s="399" t="inlineStr">
        <is>
          <t xml:space="preserve">Ноутбук </t>
        </is>
      </c>
      <c r="D332" s="401" t="n">
        <v>173446</v>
      </c>
      <c r="E332" s="398" t="n"/>
      <c r="F332" s="381" t="inlineStr">
        <is>
          <t>Выплачено</t>
        </is>
      </c>
    </row>
    <row r="333" hidden="1" outlineLevel="2" ht="13.8" customHeight="1" s="1127">
      <c r="B333" s="395" t="n">
        <v>46132</v>
      </c>
      <c r="C333" s="399" t="inlineStr">
        <is>
          <t>ЗП</t>
        </is>
      </c>
      <c r="D333" s="404">
        <f>17826000+369000</f>
        <v/>
      </c>
      <c r="E333" s="398" t="n"/>
      <c r="F333" s="381" t="inlineStr">
        <is>
          <t>Выплачено</t>
        </is>
      </c>
    </row>
    <row r="334" hidden="1" outlineLevel="2" ht="13.8" customHeight="1" s="1127">
      <c r="B334" s="395" t="n">
        <v>46132</v>
      </c>
      <c r="C334" s="399" t="inlineStr">
        <is>
          <t>Закуп сырьё вечер</t>
        </is>
      </c>
      <c r="D334" s="397" t="n">
        <v>427620</v>
      </c>
      <c r="E334" s="415" t="n">
        <v>1886893</v>
      </c>
      <c r="F334" s="381" t="inlineStr">
        <is>
          <t>Выплачено</t>
        </is>
      </c>
    </row>
    <row r="335" hidden="1" outlineLevel="2" ht="13.8" customHeight="1" s="1127">
      <c r="B335" s="395" t="n">
        <v>46133</v>
      </c>
      <c r="C335" s="399" t="inlineStr">
        <is>
          <t>Закуп сырьё</t>
        </is>
      </c>
      <c r="D335" s="402" t="n"/>
      <c r="E335" s="398" t="n">
        <v>4040634</v>
      </c>
      <c r="F335" s="381" t="inlineStr">
        <is>
          <t>Выплачено</t>
        </is>
      </c>
    </row>
    <row r="336" hidden="1" outlineLevel="2" ht="13.8" customHeight="1" s="1127">
      <c r="B336" s="395" t="n">
        <v>46133</v>
      </c>
      <c r="C336" s="399" t="inlineStr">
        <is>
          <t>Зарплата не весь остаток (производство)</t>
        </is>
      </c>
      <c r="D336" s="405" t="n">
        <v>5961267</v>
      </c>
      <c r="E336" s="398" t="n"/>
      <c r="F336" s="381" t="inlineStr">
        <is>
          <t>Выплачено</t>
        </is>
      </c>
    </row>
    <row r="337" hidden="1" outlineLevel="2" ht="13.8" customHeight="1" s="1127">
      <c r="B337" s="395" t="n">
        <v>46133</v>
      </c>
      <c r="C337" s="399" t="inlineStr">
        <is>
          <t>Оплата грузчикам</t>
        </is>
      </c>
      <c r="D337" s="404" t="n">
        <v>24000</v>
      </c>
      <c r="E337" s="398" t="n"/>
      <c r="F337" s="381" t="inlineStr">
        <is>
          <t>Выплачено</t>
        </is>
      </c>
    </row>
    <row r="338" hidden="1" outlineLevel="2" ht="13.8" customHeight="1" s="1127">
      <c r="B338" s="395" t="n">
        <v>46133</v>
      </c>
      <c r="C338" s="406" t="inlineStr">
        <is>
          <t xml:space="preserve">Ли Станислав </t>
        </is>
      </c>
      <c r="D338" s="405" t="n">
        <v>500000</v>
      </c>
      <c r="E338" s="398" t="n"/>
      <c r="F338" s="381" t="inlineStr">
        <is>
          <t>Выплачено</t>
        </is>
      </c>
    </row>
    <row r="339" hidden="1" outlineLevel="2" ht="13.8" customHeight="1" s="1127">
      <c r="B339" s="395" t="n">
        <v>46134</v>
      </c>
      <c r="C339" s="399" t="inlineStr">
        <is>
          <t>Култаева Жадыра  За лекарства  по  СЗ</t>
        </is>
      </c>
      <c r="D339" s="404" t="n">
        <v>60329</v>
      </c>
      <c r="E339" s="398" t="n"/>
      <c r="F339" s="381" t="inlineStr">
        <is>
          <t>Выплачено</t>
        </is>
      </c>
    </row>
    <row r="340" hidden="1" outlineLevel="2" ht="13.8" customHeight="1" s="1127">
      <c r="B340" s="395" t="n">
        <v>46134</v>
      </c>
      <c r="C340" s="399" t="inlineStr">
        <is>
          <t xml:space="preserve">Ли Станислав </t>
        </is>
      </c>
      <c r="D340" s="404" t="n">
        <v>500000</v>
      </c>
      <c r="E340" s="398" t="n"/>
      <c r="F340" s="381" t="inlineStr">
        <is>
          <t>Выплачено</t>
        </is>
      </c>
    </row>
    <row r="341" hidden="1" outlineLevel="2" ht="13.8" customHeight="1" s="1127">
      <c r="B341" s="395" t="n">
        <v>46134</v>
      </c>
      <c r="C341" s="399" t="inlineStr">
        <is>
          <t>Ремонтные работы холодильного агрегата</t>
        </is>
      </c>
      <c r="D341" s="404" t="n"/>
      <c r="E341" s="398" t="n">
        <v>270000</v>
      </c>
      <c r="F341" s="381" t="inlineStr">
        <is>
          <t>Выплачено</t>
        </is>
      </c>
    </row>
    <row r="342" hidden="1" outlineLevel="2" ht="13.8" customHeight="1" s="1127">
      <c r="B342" s="395" t="n">
        <v>46134</v>
      </c>
      <c r="C342" s="399" t="inlineStr">
        <is>
          <t>На закуп поддона для микроволновки</t>
        </is>
      </c>
      <c r="D342" s="404" t="n">
        <v>13000</v>
      </c>
      <c r="E342" s="398" t="n"/>
      <c r="F342" s="381" t="inlineStr">
        <is>
          <t>Выплачено</t>
        </is>
      </c>
    </row>
    <row r="343" hidden="1" outlineLevel="2" ht="13.8" customHeight="1" s="1127">
      <c r="B343" s="395" t="n">
        <v>46134</v>
      </c>
      <c r="C343" s="407" t="inlineStr">
        <is>
          <t>Возврат переплаты согласно письма ИП БоБух</t>
        </is>
      </c>
      <c r="D343" s="404" t="n"/>
      <c r="E343" s="398" t="n">
        <v>75706</v>
      </c>
      <c r="F343" s="381" t="inlineStr">
        <is>
          <t>Выплачено</t>
        </is>
      </c>
    </row>
    <row r="344" hidden="1" outlineLevel="2" ht="13.8" customHeight="1" s="1127">
      <c r="B344" s="395" t="n">
        <v>46134</v>
      </c>
      <c r="C344" s="399" t="inlineStr">
        <is>
          <t>За негативное воздействие на окружающую среду</t>
        </is>
      </c>
      <c r="D344" s="404" t="n"/>
      <c r="E344" s="398" t="n">
        <v>21009</v>
      </c>
      <c r="F344" s="381" t="inlineStr">
        <is>
          <t>К оплате</t>
        </is>
      </c>
    </row>
    <row r="345" hidden="1" outlineLevel="2" ht="13.8" customHeight="1" s="1127">
      <c r="B345" s="395" t="n">
        <v>46134</v>
      </c>
      <c r="C345" s="399" t="inlineStr">
        <is>
          <t>Закуп утро</t>
        </is>
      </c>
      <c r="D345" s="405" t="n"/>
      <c r="E345" s="398" t="n">
        <v>1600000</v>
      </c>
      <c r="F345" s="381" t="inlineStr">
        <is>
          <t>Выплачено</t>
        </is>
      </c>
    </row>
    <row r="346" hidden="1" outlineLevel="2" ht="13.8" customHeight="1" s="1127">
      <c r="B346" s="395" t="n">
        <v>46134</v>
      </c>
      <c r="C346" s="399" t="inlineStr">
        <is>
          <t>Закуп вечер</t>
        </is>
      </c>
      <c r="D346" s="405" t="n"/>
      <c r="E346" s="398" t="n">
        <v>1538573</v>
      </c>
      <c r="F346" s="381" t="inlineStr">
        <is>
          <t>Выплачено</t>
        </is>
      </c>
    </row>
    <row r="347" hidden="1" outlineLevel="2" ht="13.8" customHeight="1" s="1127">
      <c r="B347" s="408" t="n">
        <v>46134</v>
      </c>
      <c r="C347" s="409" t="inlineStr">
        <is>
          <t>ЗП выдано</t>
        </is>
      </c>
      <c r="D347" s="409" t="n">
        <v>3190000</v>
      </c>
      <c r="E347" s="410" t="n"/>
      <c r="F347" s="381" t="inlineStr">
        <is>
          <t>Выплачено</t>
        </is>
      </c>
    </row>
    <row r="348" hidden="1" outlineLevel="2" ht="13.8" customHeight="1" s="1127">
      <c r="B348" s="395" t="n">
        <v>46135</v>
      </c>
      <c r="C348" s="399" t="inlineStr">
        <is>
          <t>Закуп утро</t>
        </is>
      </c>
      <c r="D348" s="402" t="n"/>
      <c r="E348" s="398" t="n">
        <v>1309364</v>
      </c>
      <c r="F348" s="381" t="inlineStr">
        <is>
          <t>Выплачено</t>
        </is>
      </c>
    </row>
    <row r="349" hidden="1" outlineLevel="2" ht="13.8" customHeight="1" s="1127">
      <c r="B349" s="395" t="n">
        <v>46135</v>
      </c>
      <c r="C349" s="399" t="inlineStr">
        <is>
          <t>Закуп вечер (заявка в 15.00 после подтв. прихода)</t>
        </is>
      </c>
      <c r="D349" s="404" t="n">
        <v>800000</v>
      </c>
      <c r="E349" s="411" t="n">
        <v>6755033</v>
      </c>
      <c r="F349" s="381" t="inlineStr">
        <is>
          <t>Выплачено</t>
        </is>
      </c>
    </row>
    <row r="350" hidden="1" outlineLevel="2" ht="13.8" customHeight="1" s="1127">
      <c r="B350" s="395" t="n">
        <v>46135</v>
      </c>
      <c r="C350" s="399" t="inlineStr">
        <is>
          <t>НАЛОГИ зарплатные (первая часть оставить в резерв)</t>
        </is>
      </c>
      <c r="D350" s="402" t="n"/>
      <c r="E350" s="398" t="n">
        <v>4000000</v>
      </c>
      <c r="F350" s="381" t="inlineStr">
        <is>
          <t>Выплачено</t>
        </is>
      </c>
    </row>
    <row r="351" hidden="1" outlineLevel="2" ht="13.8" customHeight="1" s="1127">
      <c r="B351" s="395" t="n">
        <v>46135</v>
      </c>
      <c r="C351" s="399" t="inlineStr">
        <is>
          <t xml:space="preserve">Ли Станислав </t>
        </is>
      </c>
      <c r="D351" s="412" t="inlineStr">
        <is>
          <t>600 000</t>
        </is>
      </c>
      <c r="E351" s="398" t="n"/>
      <c r="F351" s="381" t="inlineStr">
        <is>
          <t>К оплате</t>
        </is>
      </c>
    </row>
    <row r="352" hidden="1" outlineLevel="2" ht="13.8" customHeight="1" s="1127">
      <c r="B352" s="395" t="n">
        <v>46135</v>
      </c>
      <c r="C352" s="399" t="inlineStr">
        <is>
          <t>ЗП лагманщик  выдоно  172 000</t>
        </is>
      </c>
      <c r="D352" s="412" t="inlineStr">
        <is>
          <t>400 000</t>
        </is>
      </c>
      <c r="E352" s="398" t="n"/>
      <c r="F352" s="381" t="inlineStr">
        <is>
          <t>Выплачено</t>
        </is>
      </c>
    </row>
    <row r="353" hidden="1" outlineLevel="2" ht="13.8" customHeight="1" s="1127">
      <c r="B353" s="395" t="n">
        <v>46135</v>
      </c>
      <c r="C353" s="399" t="inlineStr">
        <is>
          <t xml:space="preserve">Дорожные  Маша </t>
        </is>
      </c>
      <c r="D353" s="402" t="n"/>
      <c r="E353" s="398" t="n"/>
      <c r="F353" s="381" t="inlineStr">
        <is>
          <t>К оплате</t>
        </is>
      </c>
    </row>
    <row r="354" hidden="1" outlineLevel="2" ht="13.8" customHeight="1" s="1127">
      <c r="B354" s="395" t="n">
        <v>46135</v>
      </c>
      <c r="C354" s="399" t="inlineStr">
        <is>
          <t>Налоги   (Соц налог 159 975, ИПН 2 530 458)</t>
        </is>
      </c>
      <c r="D354" s="402" t="n"/>
      <c r="E354" s="413" t="inlineStr">
        <is>
          <t>2 690 433</t>
        </is>
      </c>
      <c r="F354" s="381" t="inlineStr">
        <is>
          <t>Выплачено</t>
        </is>
      </c>
    </row>
    <row r="355" hidden="1" outlineLevel="2" ht="13.8" customHeight="1" s="1127">
      <c r="B355" s="395" t="n">
        <v>46136</v>
      </c>
      <c r="C355" s="399" t="inlineStr">
        <is>
          <t xml:space="preserve">Ли Станислав </t>
        </is>
      </c>
      <c r="D355" s="412" t="inlineStr">
        <is>
          <t>500 000</t>
        </is>
      </c>
      <c r="E355" s="398" t="n"/>
      <c r="F355" s="381" t="inlineStr">
        <is>
          <t>К оплате</t>
        </is>
      </c>
    </row>
    <row r="356" hidden="1" outlineLevel="2" ht="13.8" customHeight="1" s="1127">
      <c r="B356" s="395" t="n">
        <v>46136</v>
      </c>
      <c r="C356" s="443" t="inlineStr">
        <is>
          <t>TOO "Компания B&amp;A.kz"</t>
        </is>
      </c>
      <c r="D356" s="402" t="n"/>
      <c r="E356" s="413" t="inlineStr">
        <is>
          <t>145 116</t>
        </is>
      </c>
      <c r="F356" s="381" t="inlineStr">
        <is>
          <t>Выплачено</t>
        </is>
      </c>
    </row>
    <row r="357" hidden="1" outlineLevel="2" ht="13.8" customHeight="1" s="1127">
      <c r="B357" s="395" t="n">
        <v>46136</v>
      </c>
      <c r="C357" s="399" t="inlineStr">
        <is>
          <t>НАЛОГИ зарплатные (остаток, оплата до 25.04)</t>
        </is>
      </c>
      <c r="D357" s="402" t="n"/>
      <c r="E357" s="398" t="n">
        <v>7818239</v>
      </c>
      <c r="F357" s="381" t="inlineStr">
        <is>
          <t>К оплате</t>
        </is>
      </c>
    </row>
    <row r="358" hidden="1" outlineLevel="2" ht="13.8" customHeight="1" s="1127">
      <c r="B358" s="395" t="n">
        <v>46136</v>
      </c>
      <c r="C358" s="399" t="inlineStr">
        <is>
          <t>Гос. пошлина за судебное Фудтехника</t>
        </is>
      </c>
      <c r="D358" s="404" t="n"/>
      <c r="E358" s="398" t="n">
        <v>74286</v>
      </c>
      <c r="F358" s="381" t="inlineStr">
        <is>
          <t>Выплачено</t>
        </is>
      </c>
    </row>
    <row r="359" hidden="1" outlineLevel="2" ht="13.8" customHeight="1" s="1127">
      <c r="B359" s="395" t="n">
        <v>46136</v>
      </c>
      <c r="C359" s="399" t="inlineStr">
        <is>
          <t>Закуп (вечер)</t>
        </is>
      </c>
      <c r="D359" s="404" t="n"/>
      <c r="E359" s="398" t="n">
        <v>6109748</v>
      </c>
      <c r="F359" s="381" t="inlineStr">
        <is>
          <t>Выплачено</t>
        </is>
      </c>
    </row>
    <row r="360" hidden="1" outlineLevel="2" ht="13.8" customHeight="1" s="1127">
      <c r="B360" s="395" t="n">
        <v>46139</v>
      </c>
      <c r="C360" s="399" t="inlineStr">
        <is>
          <t xml:space="preserve">Уволенные </t>
        </is>
      </c>
      <c r="D360" s="412" t="inlineStr">
        <is>
          <t>2 034 252</t>
        </is>
      </c>
      <c r="E360" s="398" t="n"/>
      <c r="F360" s="381" t="inlineStr">
        <is>
          <t>Выплачено</t>
        </is>
      </c>
    </row>
    <row r="361" hidden="1" outlineLevel="2" ht="13.8" customHeight="1" s="1127">
      <c r="B361" s="395" t="n">
        <v>46139</v>
      </c>
      <c r="C361" s="399" t="inlineStr">
        <is>
          <t>ЗП (производство)</t>
        </is>
      </c>
      <c r="D361" s="404" t="n">
        <v>1927000</v>
      </c>
      <c r="E361" s="398" t="n"/>
      <c r="F361" s="381" t="inlineStr">
        <is>
          <t>Выплачено</t>
        </is>
      </c>
    </row>
    <row r="362" hidden="1" outlineLevel="2" ht="13.8" customHeight="1" s="1127">
      <c r="B362" s="395" t="n">
        <v>46139</v>
      </c>
      <c r="C362" s="399" t="inlineStr">
        <is>
          <t xml:space="preserve">Ли Станислав </t>
        </is>
      </c>
      <c r="D362" s="412" t="inlineStr">
        <is>
          <t>500 000</t>
        </is>
      </c>
      <c r="E362" s="398" t="n"/>
      <c r="F362" s="381" t="inlineStr">
        <is>
          <t>Выплачено</t>
        </is>
      </c>
    </row>
    <row r="363" hidden="1" outlineLevel="2" ht="13.8" customHeight="1" s="1127">
      <c r="B363" s="395" t="n">
        <v>46139</v>
      </c>
      <c r="C363" s="399" t="inlineStr">
        <is>
          <t xml:space="preserve">Кварира Олеся </t>
        </is>
      </c>
      <c r="D363" s="412" t="inlineStr">
        <is>
          <t>350 149</t>
        </is>
      </c>
      <c r="E363" s="398" t="n"/>
      <c r="F363" s="381" t="inlineStr">
        <is>
          <t>Выплачено</t>
        </is>
      </c>
    </row>
    <row r="364" hidden="1" outlineLevel="2" ht="13.8" customHeight="1" s="1127">
      <c r="B364" s="395" t="n">
        <v>46139</v>
      </c>
      <c r="C364" s="399" t="inlineStr">
        <is>
          <t>Сырьё заявка утро</t>
        </is>
      </c>
      <c r="D364" s="412" t="n"/>
      <c r="E364" s="398" t="n">
        <v>1227500</v>
      </c>
      <c r="F364" s="381" t="inlineStr">
        <is>
          <t>Выплачено</t>
        </is>
      </c>
    </row>
    <row r="365" hidden="1" outlineLevel="2" ht="13.8" customHeight="1" s="1127">
      <c r="B365" s="395" t="n">
        <v>46139</v>
      </c>
      <c r="C365" s="399" t="inlineStr">
        <is>
          <t>Сырьё заявка вечер</t>
        </is>
      </c>
      <c r="D365" s="412" t="n"/>
      <c r="E365" s="398" t="n">
        <v>6886949</v>
      </c>
      <c r="F365" s="381" t="inlineStr">
        <is>
          <t>Выплачено</t>
        </is>
      </c>
    </row>
    <row r="366" hidden="1" outlineLevel="2" ht="13.8" customHeight="1" s="1127">
      <c r="B366" s="395" t="n">
        <v>46139</v>
      </c>
      <c r="C366" s="414" t="inlineStr">
        <is>
          <t>Вызывных грузчиков</t>
        </is>
      </c>
      <c r="D366" s="412" t="inlineStr">
        <is>
          <t>72 000</t>
        </is>
      </c>
      <c r="E366" s="398" t="n"/>
      <c r="F366" s="381" t="inlineStr">
        <is>
          <t>Выплачено</t>
        </is>
      </c>
    </row>
    <row r="367" hidden="1" outlineLevel="2" ht="13.8" customHeight="1" s="1127">
      <c r="B367" s="395" t="n">
        <v>46139</v>
      </c>
      <c r="C367" s="399" t="inlineStr">
        <is>
          <t xml:space="preserve">Дорожные  Диана </t>
        </is>
      </c>
      <c r="D367" s="402" t="n">
        <v>4000</v>
      </c>
      <c r="E367" s="398" t="n"/>
      <c r="F367" s="381" t="inlineStr">
        <is>
          <t>Выплачено</t>
        </is>
      </c>
    </row>
    <row r="368" hidden="1" outlineLevel="2" ht="13.8" customHeight="1" s="1127">
      <c r="B368" s="395" t="n">
        <v>46139</v>
      </c>
      <c r="C368" s="399" t="inlineStr">
        <is>
          <t>Standard Life АО страхование</t>
        </is>
      </c>
      <c r="D368" s="402" t="n"/>
      <c r="E368" s="398" t="n">
        <v>427718</v>
      </c>
      <c r="F368" s="381" t="inlineStr">
        <is>
          <t>Выплачено</t>
        </is>
      </c>
    </row>
    <row r="369" hidden="1" outlineLevel="2" ht="13.8" customHeight="1" s="1127">
      <c r="B369" s="395" t="n">
        <v>46139</v>
      </c>
      <c r="C369" s="399" t="inlineStr">
        <is>
          <t>APF service company ИП</t>
        </is>
      </c>
      <c r="D369" s="402" t="n"/>
      <c r="E369" s="398" t="n">
        <v>535920</v>
      </c>
      <c r="F369" s="381" t="inlineStr">
        <is>
          <t>Выплачено</t>
        </is>
      </c>
    </row>
    <row r="370" hidden="1" outlineLevel="2" ht="13.8" customHeight="1" s="1127">
      <c r="B370" s="395" t="n">
        <v>46139</v>
      </c>
      <c r="C370" s="399" t="inlineStr">
        <is>
          <t>Алексеевское ИП</t>
        </is>
      </c>
      <c r="D370" s="402" t="n"/>
      <c r="E370" s="398" t="n">
        <v>100000</v>
      </c>
      <c r="F370" s="381" t="inlineStr">
        <is>
          <t>Выплачено</t>
        </is>
      </c>
    </row>
    <row r="371" hidden="1" outlineLevel="2" ht="13.8" customHeight="1" s="1127">
      <c r="B371" s="395" t="n">
        <v>46140</v>
      </c>
      <c r="C371" s="399" t="inlineStr">
        <is>
          <t xml:space="preserve">Экспресс-сервис  Коммуналка </t>
        </is>
      </c>
      <c r="D371" s="404" t="n"/>
      <c r="E371" s="415" t="n">
        <v>6534051</v>
      </c>
      <c r="F371" s="381" t="inlineStr">
        <is>
          <t>Выплачено</t>
        </is>
      </c>
    </row>
    <row r="372" hidden="1" outlineLevel="2" ht="13.8" customHeight="1" s="1127">
      <c r="B372" s="395" t="n">
        <v>46140</v>
      </c>
      <c r="C372" s="406" t="inlineStr">
        <is>
          <t xml:space="preserve">за починку сенсорного моноблока </t>
        </is>
      </c>
      <c r="D372" s="412" t="n">
        <v>32750</v>
      </c>
      <c r="E372" s="398" t="n"/>
      <c r="F372" s="381" t="inlineStr">
        <is>
          <t>Выплачено</t>
        </is>
      </c>
    </row>
    <row r="373" hidden="1" outlineLevel="2" ht="13.8" customHeight="1" s="1127">
      <c r="B373" s="395" t="n">
        <v>46140</v>
      </c>
      <c r="C373" s="399" t="inlineStr">
        <is>
          <t>Орешница (на производство)</t>
        </is>
      </c>
      <c r="D373" s="412" t="n">
        <v>85000</v>
      </c>
      <c r="E373" s="398" t="n"/>
      <c r="F373" s="381" t="inlineStr">
        <is>
          <t>Выплачено</t>
        </is>
      </c>
    </row>
    <row r="374" hidden="1" outlineLevel="2" ht="13.8" customHeight="1" s="1127">
      <c r="B374" s="395" t="n">
        <v>46140</v>
      </c>
      <c r="C374" s="399" t="inlineStr">
        <is>
          <t>Сырьё заявка вечер</t>
        </is>
      </c>
      <c r="D374" s="412" t="n"/>
      <c r="E374" s="413" t="inlineStr">
        <is>
          <t>7 183 400</t>
        </is>
      </c>
      <c r="F374" s="381" t="inlineStr">
        <is>
          <t>Выплачено</t>
        </is>
      </c>
    </row>
    <row r="375" hidden="1" outlineLevel="2" ht="13.8" customHeight="1" s="1127">
      <c r="B375" s="395" t="n">
        <v>46141</v>
      </c>
      <c r="C375" s="399" t="inlineStr">
        <is>
          <t>Гашение кредита</t>
        </is>
      </c>
      <c r="D375" s="412" t="n"/>
      <c r="E375" s="415" t="n">
        <v>2741000</v>
      </c>
      <c r="F375" s="381" t="inlineStr">
        <is>
          <t>Выплачено</t>
        </is>
      </c>
    </row>
    <row r="376" hidden="1" outlineLevel="2" ht="13.8" customHeight="1" s="1127">
      <c r="B376" s="395" t="n">
        <v>46141</v>
      </c>
      <c r="C376" s="399" t="inlineStr">
        <is>
          <t xml:space="preserve">Остаток по ЗП производство (после 16.00) </t>
        </is>
      </c>
      <c r="D376" s="404" t="n">
        <v>1950000</v>
      </c>
      <c r="E376" s="398" t="n"/>
      <c r="F376" s="381" t="inlineStr">
        <is>
          <t>Выплачено</t>
        </is>
      </c>
    </row>
    <row r="377" hidden="1" outlineLevel="2" ht="13.8" customHeight="1" s="1127">
      <c r="B377" s="395" t="n">
        <v>46141</v>
      </c>
      <c r="C377" s="399" t="inlineStr">
        <is>
          <t xml:space="preserve">Ли Станислав </t>
        </is>
      </c>
      <c r="D377" s="412" t="inlineStr">
        <is>
          <t>500 000</t>
        </is>
      </c>
      <c r="E377" s="398" t="n"/>
      <c r="F377" s="381" t="inlineStr">
        <is>
          <t>Выплачено</t>
        </is>
      </c>
    </row>
    <row r="378" hidden="1" outlineLevel="2" ht="13.8" customHeight="1" s="1127">
      <c r="B378" s="395" t="n">
        <v>46141</v>
      </c>
      <c r="C378" s="416" t="inlineStr">
        <is>
          <t>предоплаты по аренде авто на выездной тимбилдинг</t>
        </is>
      </c>
      <c r="D378" s="412" t="inlineStr">
        <is>
          <t>10 000</t>
        </is>
      </c>
      <c r="E378" s="398" t="n"/>
      <c r="F378" s="381" t="inlineStr">
        <is>
          <t>Выплачено</t>
        </is>
      </c>
    </row>
    <row r="379" hidden="1" outlineLevel="2" ht="13.8" customHeight="1" s="1127">
      <c r="B379" s="395" t="n">
        <v>46141</v>
      </c>
      <c r="C379" s="417" t="inlineStr">
        <is>
          <t>ЗА ИП «Айдана»</t>
        </is>
      </c>
      <c r="D379" s="412" t="inlineStr">
        <is>
          <t>100 000</t>
        </is>
      </c>
      <c r="E379" s="418" t="n"/>
      <c r="F379" s="381" t="inlineStr">
        <is>
          <t>Выплачено</t>
        </is>
      </c>
    </row>
    <row r="380" hidden="1" outlineLevel="2" ht="13.8" customHeight="1" s="1127">
      <c r="B380" s="395" t="n">
        <v>46141</v>
      </c>
      <c r="C380" s="419" t="inlineStr">
        <is>
          <t>ИП "AMP Printology"</t>
        </is>
      </c>
      <c r="D380" s="404" t="n"/>
      <c r="E380" s="413" t="inlineStr">
        <is>
          <t>36 100</t>
        </is>
      </c>
      <c r="F380" s="381" t="inlineStr">
        <is>
          <t>Выплачено</t>
        </is>
      </c>
    </row>
    <row r="381" hidden="1" outlineLevel="2" ht="13.8" customHeight="1" s="1127">
      <c r="B381" s="395" t="n">
        <v>46141</v>
      </c>
      <c r="C381" s="419" t="inlineStr">
        <is>
          <t>ИП "Qloom"</t>
        </is>
      </c>
      <c r="D381" s="404" t="n"/>
      <c r="E381" s="413" t="inlineStr">
        <is>
          <t>36 000</t>
        </is>
      </c>
      <c r="F381" s="381" t="inlineStr">
        <is>
          <t>Выплачено</t>
        </is>
      </c>
    </row>
    <row r="382" hidden="1" outlineLevel="2" ht="13.8" customHeight="1" s="1127">
      <c r="B382" s="395" t="n">
        <v>46141</v>
      </c>
      <c r="C382" s="420" t="inlineStr">
        <is>
          <t>Заявка утро и вечер</t>
        </is>
      </c>
      <c r="D382" s="412" t="n"/>
      <c r="E382" s="398" t="n">
        <v>5067065</v>
      </c>
      <c r="F382" s="381" t="inlineStr">
        <is>
          <t>Выплачено</t>
        </is>
      </c>
    </row>
    <row r="383" hidden="1" outlineLevel="2" ht="13.8" customHeight="1" s="1127">
      <c r="B383" s="395" t="n">
        <v>46141</v>
      </c>
      <c r="C383" s="420" t="inlineStr">
        <is>
          <t>ЗП на карту</t>
        </is>
      </c>
      <c r="D383" s="412" t="n"/>
      <c r="E383" s="413" t="n">
        <v>2080000</v>
      </c>
      <c r="F383" s="381" t="inlineStr">
        <is>
          <t>Выплачено</t>
        </is>
      </c>
    </row>
    <row r="384" hidden="1" outlineLevel="2" ht="13.8" customHeight="1" s="1127">
      <c r="B384" s="395" t="n">
        <v>46141</v>
      </c>
      <c r="C384" s="399" t="inlineStr">
        <is>
          <t>Налог остаток за 25 год</t>
        </is>
      </c>
      <c r="D384" s="404" t="n"/>
      <c r="E384" s="437" t="n">
        <v>3309798</v>
      </c>
      <c r="F384" s="381" t="inlineStr">
        <is>
          <t>Выплачено</t>
        </is>
      </c>
    </row>
    <row r="385" hidden="1" outlineLevel="2" ht="13.8" customHeight="1" s="1127">
      <c r="B385" s="422" t="n">
        <v>46142</v>
      </c>
      <c r="C385" s="68" t="inlineStr">
        <is>
          <t>Закуп вечер</t>
        </is>
      </c>
      <c r="D385" s="423" t="n"/>
      <c r="E385" s="424" t="n">
        <v>6463639</v>
      </c>
      <c r="F385" s="381" t="inlineStr">
        <is>
          <t>Выплачено</t>
        </is>
      </c>
    </row>
    <row r="386" hidden="1" outlineLevel="2" ht="13.8" customHeight="1" s="1127">
      <c r="B386" s="422" t="n">
        <v>46142</v>
      </c>
      <c r="C386" s="68" t="inlineStr">
        <is>
          <t>ЗП АУП</t>
        </is>
      </c>
      <c r="D386" s="423" t="n">
        <v>3417000</v>
      </c>
      <c r="E386" s="424" t="n"/>
      <c r="F386" s="381" t="inlineStr">
        <is>
          <t>Выплачено</t>
        </is>
      </c>
    </row>
    <row r="387" hidden="1" outlineLevel="2" ht="13.8" customHeight="1" s="1127">
      <c r="B387" s="422" t="n">
        <v>46142</v>
      </c>
      <c r="C387" s="68" t="inlineStr">
        <is>
          <t xml:space="preserve">Служебки вызывной  сотрудник </t>
        </is>
      </c>
      <c r="D387" s="423" t="n">
        <v>35000</v>
      </c>
      <c r="E387" s="424" t="n"/>
      <c r="F387" s="381" t="inlineStr">
        <is>
          <t>Выплачено</t>
        </is>
      </c>
    </row>
    <row r="388" hidden="1" outlineLevel="2" ht="13.8" customHeight="1" s="1127">
      <c r="B388" s="422" t="n">
        <v>46142</v>
      </c>
      <c r="C388" s="425" t="inlineStr">
        <is>
          <t>ЗП лагманщик</t>
        </is>
      </c>
      <c r="D388" s="426" t="n">
        <v>400000</v>
      </c>
      <c r="E388" s="427" t="n"/>
      <c r="F388" s="381" t="inlineStr">
        <is>
          <t>Выплачено</t>
        </is>
      </c>
    </row>
    <row r="389" hidden="1" outlineLevel="2" ht="13.8" customHeight="1" s="1127">
      <c r="B389" s="422" t="n">
        <v>46142</v>
      </c>
      <c r="C389" s="425" t="inlineStr">
        <is>
          <t xml:space="preserve">Налог ИП Айдана </t>
        </is>
      </c>
      <c r="D389" s="426" t="n"/>
      <c r="E389" s="427" t="n">
        <v>43350</v>
      </c>
      <c r="F389" s="381" t="inlineStr">
        <is>
          <t>Выплачено</t>
        </is>
      </c>
    </row>
    <row r="390" hidden="1" outlineLevel="2" ht="13.8" customHeight="1" s="1127">
      <c r="B390" s="422" t="n">
        <v>46146</v>
      </c>
      <c r="C390" s="425" t="inlineStr">
        <is>
          <t>ЗП АУП</t>
        </is>
      </c>
      <c r="D390" s="426" t="n">
        <v>116000</v>
      </c>
      <c r="E390" s="427" t="n"/>
      <c r="F390" s="381" t="inlineStr">
        <is>
          <t>Выплачено</t>
        </is>
      </c>
      <c r="G390" s="456" t="inlineStr">
        <is>
          <t xml:space="preserve">Олеся,Сергей,Руслан,Адиль,Александр </t>
        </is>
      </c>
    </row>
    <row r="391" hidden="1" outlineLevel="2" ht="13.8" customHeight="1" s="1127">
      <c r="B391" s="422" t="n">
        <v>46146</v>
      </c>
      <c r="C391" s="425" t="inlineStr">
        <is>
          <t>Закуп утро</t>
        </is>
      </c>
      <c r="D391" s="426" t="n"/>
      <c r="E391" s="427" t="n">
        <v>2674740</v>
      </c>
      <c r="F391" s="381" t="inlineStr">
        <is>
          <t>Выплачено</t>
        </is>
      </c>
    </row>
    <row r="392" hidden="1" outlineLevel="2" ht="13.8" customHeight="1" s="1127">
      <c r="B392" s="422" t="n">
        <v>46146</v>
      </c>
      <c r="C392" s="425" t="inlineStr">
        <is>
          <t>Закуп вечер</t>
        </is>
      </c>
      <c r="D392" s="426" t="n"/>
      <c r="E392" s="427" t="n">
        <v>5776917</v>
      </c>
      <c r="F392" s="381" t="inlineStr">
        <is>
          <t>Выплачено</t>
        </is>
      </c>
    </row>
    <row r="393" hidden="1" outlineLevel="2" ht="13.8" customHeight="1" s="1127">
      <c r="B393" s="422" t="n">
        <v>46147</v>
      </c>
      <c r="C393" s="425" t="inlineStr">
        <is>
          <t>ЗП Ермагамбет Каламкас  (она уежает  06.05)</t>
        </is>
      </c>
      <c r="D393" s="426" t="inlineStr">
        <is>
          <t>600 000</t>
        </is>
      </c>
      <c r="E393" s="427" t="n"/>
      <c r="F393" s="381" t="inlineStr">
        <is>
          <t>Выплачено</t>
        </is>
      </c>
    </row>
    <row r="394" hidden="1" outlineLevel="2" ht="13.8" customHeight="1" s="1127">
      <c r="B394" s="422" t="n">
        <v>46147</v>
      </c>
      <c r="C394" s="425" t="inlineStr">
        <is>
          <t xml:space="preserve">ЗП аванс выдала   450 000 ост сегодня выдадим </t>
        </is>
      </c>
      <c r="D394" s="426" t="n">
        <v>640000</v>
      </c>
      <c r="E394" s="427" t="n"/>
      <c r="F394" s="381" t="inlineStr">
        <is>
          <t>Выплачено</t>
        </is>
      </c>
    </row>
    <row r="395" hidden="1" outlineLevel="2" ht="13.8" customHeight="1" s="1127">
      <c r="B395" s="422" t="n">
        <v>46147</v>
      </c>
      <c r="C395" s="456" t="inlineStr">
        <is>
          <t>Закуп утро</t>
        </is>
      </c>
      <c r="D395" s="426" t="n"/>
      <c r="E395" s="424" t="n">
        <v>2782518</v>
      </c>
      <c r="F395" s="381" t="inlineStr">
        <is>
          <t>Выплачено</t>
        </is>
      </c>
    </row>
    <row r="396" hidden="1" outlineLevel="2" ht="13.8" customHeight="1" s="1127">
      <c r="B396" s="422" t="n">
        <v>46147</v>
      </c>
      <c r="C396" s="425" t="inlineStr">
        <is>
          <t xml:space="preserve">ЗП АУП    451 000  выдала </t>
        </is>
      </c>
      <c r="D396" s="426" t="n">
        <v>4623440</v>
      </c>
      <c r="E396" s="427" t="n"/>
      <c r="F396" s="381" t="inlineStr">
        <is>
          <t>Выплачено</t>
        </is>
      </c>
    </row>
    <row r="397" hidden="1" outlineLevel="2" ht="13.8" customHeight="1" s="1127">
      <c r="B397" s="422" t="n">
        <v>46147</v>
      </c>
      <c r="C397" s="425" t="inlineStr">
        <is>
          <t xml:space="preserve">Ли Станислав </t>
        </is>
      </c>
      <c r="D397" s="426" t="inlineStr">
        <is>
          <t>600 000</t>
        </is>
      </c>
      <c r="E397" s="427" t="n"/>
      <c r="F397" s="381" t="inlineStr">
        <is>
          <t>Выплачено</t>
        </is>
      </c>
    </row>
    <row r="398" hidden="1" outlineLevel="2" ht="13.8" customHeight="1" s="1127">
      <c r="B398" s="422" t="n">
        <v>46147</v>
      </c>
      <c r="C398" s="425" t="inlineStr">
        <is>
          <t>ЗП Ермагамбет Каламкас  (она уежает  06.05)</t>
        </is>
      </c>
      <c r="D398" s="426" t="inlineStr">
        <is>
          <t>600 000</t>
        </is>
      </c>
      <c r="E398" s="427" t="n"/>
      <c r="F398" s="381" t="inlineStr">
        <is>
          <t>Выплачено</t>
        </is>
      </c>
    </row>
    <row r="399" hidden="1" outlineLevel="2" ht="13.8" customHeight="1" s="1127">
      <c r="B399" s="422" t="n">
        <v>46147</v>
      </c>
      <c r="C399" s="456" t="inlineStr">
        <is>
          <t>Закуп вечер</t>
        </is>
      </c>
      <c r="D399" s="426" t="n"/>
      <c r="E399" s="424" t="n">
        <v>5397117</v>
      </c>
      <c r="F399" s="381" t="inlineStr">
        <is>
          <t>Выплачено</t>
        </is>
      </c>
    </row>
    <row r="400" hidden="1" outlineLevel="2" ht="13.8" customHeight="1" s="1127">
      <c r="B400" s="422" t="n">
        <v>46148</v>
      </c>
      <c r="C400" s="425" t="inlineStr">
        <is>
          <t xml:space="preserve">Кафе Софт KZ ТОО </t>
        </is>
      </c>
      <c r="D400" s="426" t="n"/>
      <c r="E400" s="424" t="inlineStr">
        <is>
          <t>85 400</t>
        </is>
      </c>
      <c r="F400" s="381" t="inlineStr">
        <is>
          <t>Выплачено</t>
        </is>
      </c>
    </row>
    <row r="401" hidden="1" outlineLevel="2" ht="13.8" customHeight="1" s="1127">
      <c r="B401" s="422" t="n">
        <v>46148</v>
      </c>
      <c r="C401" s="425" t="inlineStr">
        <is>
          <t xml:space="preserve">Access Group ТОО </t>
        </is>
      </c>
      <c r="D401" s="426" t="n"/>
      <c r="E401" s="427" t="n">
        <v>85177</v>
      </c>
      <c r="F401" s="381" t="inlineStr">
        <is>
          <t>Выплачено</t>
        </is>
      </c>
    </row>
    <row r="402" hidden="1" outlineLevel="2" ht="13.8" customHeight="1" s="1127">
      <c r="B402" s="422" t="n">
        <v>46148</v>
      </c>
      <c r="C402" s="425" t="inlineStr">
        <is>
          <t>Закуп утро</t>
        </is>
      </c>
      <c r="D402" s="426" t="n"/>
      <c r="E402" s="427" t="n">
        <v>2033006</v>
      </c>
      <c r="F402" s="381" t="inlineStr">
        <is>
          <t>Выплачено</t>
        </is>
      </c>
    </row>
    <row r="403" hidden="1" outlineLevel="2" ht="13.8" customHeight="1" s="1127">
      <c r="B403" s="422" t="n">
        <v>46148</v>
      </c>
      <c r="C403" s="425" t="inlineStr">
        <is>
          <t>Закуп вечер</t>
        </is>
      </c>
      <c r="D403" s="426" t="n"/>
      <c r="E403" s="427" t="n">
        <v>8933232</v>
      </c>
      <c r="F403" s="381" t="inlineStr">
        <is>
          <t>Выплачено</t>
        </is>
      </c>
    </row>
    <row r="404" hidden="1" outlineLevel="2" ht="15" customHeight="1" s="1127">
      <c r="B404" s="422" t="n">
        <v>46148</v>
      </c>
      <c r="C404" s="428" t="inlineStr">
        <is>
          <t>Согласование выплаты удаленному рекрутеру</t>
        </is>
      </c>
      <c r="D404" s="426" t="n">
        <v>20000</v>
      </c>
      <c r="E404" s="427" t="n"/>
      <c r="F404" s="381" t="inlineStr">
        <is>
          <t>Выплачено</t>
        </is>
      </c>
    </row>
    <row r="405" hidden="1" outlineLevel="2" ht="13.8" customHeight="1" s="1127">
      <c r="B405" s="422" t="n">
        <v>46148</v>
      </c>
      <c r="C405" s="425" t="inlineStr">
        <is>
          <t xml:space="preserve">ИП "ABAY" </t>
        </is>
      </c>
      <c r="D405" s="426" t="n"/>
      <c r="E405" s="427" t="n">
        <v>600000</v>
      </c>
      <c r="F405" s="381" t="inlineStr">
        <is>
          <t>Выплачено</t>
        </is>
      </c>
    </row>
    <row r="406" hidden="1" outlineLevel="2" ht="13.8" customHeight="1" s="1127">
      <c r="B406" s="422" t="n">
        <v>46148</v>
      </c>
      <c r="C406" s="425" t="inlineStr">
        <is>
          <t>AMP Printology ИП</t>
        </is>
      </c>
      <c r="D406" s="426" t="n"/>
      <c r="E406" s="427" t="n">
        <v>44200</v>
      </c>
      <c r="F406" s="381" t="inlineStr">
        <is>
          <t>Выплачено</t>
        </is>
      </c>
    </row>
    <row r="407" hidden="1" outlineLevel="2" ht="13.8" customHeight="1" s="1127">
      <c r="B407" s="422" t="n">
        <v>46149</v>
      </c>
      <c r="C407" s="425" t="inlineStr">
        <is>
          <t>Закуп оборудования Александр М.</t>
        </is>
      </c>
      <c r="D407" s="426" t="n">
        <v>600000</v>
      </c>
      <c r="E407" s="427" t="n"/>
      <c r="F407" s="381" t="inlineStr">
        <is>
          <t>Выплачено</t>
        </is>
      </c>
    </row>
    <row r="408" hidden="1" outlineLevel="2" ht="13.8" customHeight="1" s="1127">
      <c r="B408" s="422" t="n">
        <v>45784</v>
      </c>
      <c r="C408" s="425" t="inlineStr">
        <is>
          <t xml:space="preserve">Закуп кур филе Стас рынок </t>
        </is>
      </c>
      <c r="D408" s="426" t="n">
        <v>500000</v>
      </c>
      <c r="E408" s="427" t="n"/>
      <c r="F408" s="381" t="inlineStr">
        <is>
          <t>Выплачено</t>
        </is>
      </c>
    </row>
    <row r="409" hidden="1" outlineLevel="2" ht="15" customHeight="1" s="1127">
      <c r="B409" s="422" t="n">
        <v>45784</v>
      </c>
      <c r="C409" s="428" t="inlineStr">
        <is>
          <t>закуп подарков для мужчин производства 7 мая</t>
        </is>
      </c>
      <c r="D409" s="426" t="n">
        <v>159000</v>
      </c>
      <c r="E409" s="427" t="n"/>
      <c r="F409" s="381" t="inlineStr">
        <is>
          <t>Выплачено</t>
        </is>
      </c>
    </row>
    <row r="410" hidden="1" outlineLevel="2" ht="13.8" customHeight="1" s="1127">
      <c r="B410" s="422" t="n">
        <v>46149</v>
      </c>
      <c r="C410" s="425" t="inlineStr">
        <is>
          <t xml:space="preserve">ЗП лагманщик </t>
        </is>
      </c>
      <c r="D410" s="426" t="n">
        <v>306000</v>
      </c>
      <c r="E410" s="427" t="n"/>
      <c r="F410" s="381" t="inlineStr">
        <is>
          <t>Выплачено</t>
        </is>
      </c>
    </row>
    <row r="411" hidden="1" outlineLevel="2" ht="13.8" customHeight="1" s="1127">
      <c r="B411" s="422" t="n">
        <v>46149</v>
      </c>
      <c r="C411" s="425" t="inlineStr">
        <is>
          <t xml:space="preserve">Ли Станислав </t>
        </is>
      </c>
      <c r="D411" s="426" t="n">
        <v>800000</v>
      </c>
      <c r="E411" s="427" t="n"/>
      <c r="F411" s="381" t="inlineStr">
        <is>
          <t>Выплачено</t>
        </is>
      </c>
    </row>
    <row r="412" hidden="1" outlineLevel="2" ht="13.8" customHeight="1" s="1127">
      <c r="B412" s="422" t="n">
        <v>46150</v>
      </c>
      <c r="C412" s="425" t="inlineStr">
        <is>
          <t>ЗП ОЛЖАС</t>
        </is>
      </c>
      <c r="D412" s="426" t="n">
        <v>472928</v>
      </c>
      <c r="E412" s="427" t="n"/>
      <c r="F412" s="381" t="inlineStr">
        <is>
          <t>Выплачено</t>
        </is>
      </c>
    </row>
    <row r="413" hidden="1" outlineLevel="2" ht="13.8" customHeight="1" s="1127">
      <c r="B413" s="422" t="n">
        <v>46150</v>
      </c>
      <c r="C413" s="425" t="inlineStr">
        <is>
          <t xml:space="preserve">Ли Станислав </t>
        </is>
      </c>
      <c r="D413" s="426" t="n">
        <v>500000</v>
      </c>
      <c r="E413" s="427" t="n"/>
      <c r="F413" s="381" t="inlineStr">
        <is>
          <t>Выплачено</t>
        </is>
      </c>
    </row>
    <row r="414" hidden="1" outlineLevel="2" ht="13.8" customHeight="1" s="1127">
      <c r="B414" s="422" t="n">
        <v>46150</v>
      </c>
      <c r="C414" s="425" t="inlineStr">
        <is>
          <t>ЗП уволенных</t>
        </is>
      </c>
      <c r="D414" s="426" t="n">
        <v>781097</v>
      </c>
      <c r="E414" s="427" t="n"/>
      <c r="F414" s="381" t="inlineStr">
        <is>
          <t>Выплачено</t>
        </is>
      </c>
    </row>
    <row r="415" hidden="1" outlineLevel="2" ht="13.8" customHeight="1" s="1127">
      <c r="B415" s="422" t="n">
        <v>46150</v>
      </c>
      <c r="C415" s="425" t="inlineStr">
        <is>
          <t xml:space="preserve">Закуп </t>
        </is>
      </c>
      <c r="D415" s="426" t="n">
        <v>2003360</v>
      </c>
      <c r="E415" s="427" t="n"/>
      <c r="F415" s="381" t="inlineStr">
        <is>
          <t>Выплачено</t>
        </is>
      </c>
    </row>
    <row r="416" hidden="1" outlineLevel="2" ht="13.8" customHeight="1" s="1127">
      <c r="B416" s="422" t="n">
        <v>46153</v>
      </c>
      <c r="C416" s="425" t="inlineStr">
        <is>
          <t>ИП Uchet SK</t>
        </is>
      </c>
      <c r="D416" s="426" t="n"/>
      <c r="E416" s="427" t="n">
        <v>950000</v>
      </c>
      <c r="F416" s="381" t="inlineStr">
        <is>
          <t>Выплачено</t>
        </is>
      </c>
    </row>
    <row r="417" hidden="1" outlineLevel="2" ht="13.8" customHeight="1" s="1127">
      <c r="B417" s="422" t="n">
        <v>46153</v>
      </c>
      <c r="C417" s="425" t="inlineStr">
        <is>
          <t>ЗП Дюсембин Руслан</t>
        </is>
      </c>
      <c r="D417" s="426" t="n">
        <v>244000</v>
      </c>
      <c r="E417" s="427" t="n"/>
      <c r="F417" s="381" t="inlineStr">
        <is>
          <t>Выплачено</t>
        </is>
      </c>
    </row>
    <row r="418" hidden="1" outlineLevel="2" ht="13.8" customHeight="1" s="1127">
      <c r="B418" s="422" t="n">
        <v>46153</v>
      </c>
      <c r="C418" s="425" t="inlineStr">
        <is>
          <t xml:space="preserve">Оплата бонус Той Март (снять к 16.00) </t>
        </is>
      </c>
      <c r="D418" s="429" t="n">
        <v>404817</v>
      </c>
      <c r="E418" s="427" t="n"/>
      <c r="F418" s="381" t="inlineStr">
        <is>
          <t>Выплачено</t>
        </is>
      </c>
    </row>
    <row r="419" hidden="1" outlineLevel="2" ht="13.8" customHeight="1" s="1127">
      <c r="B419" s="422" t="n">
        <v>46153</v>
      </c>
      <c r="C419" s="425" t="inlineStr">
        <is>
          <t>Д.Эрик Капуста</t>
        </is>
      </c>
      <c r="D419" s="426" t="n">
        <v>1017650</v>
      </c>
      <c r="E419" s="427" t="n"/>
      <c r="F419" s="381" t="inlineStr">
        <is>
          <t>Выплачено</t>
        </is>
      </c>
    </row>
    <row r="420" hidden="1" outlineLevel="2" ht="13.8" customHeight="1" s="1127">
      <c r="B420" s="422" t="n">
        <v>46153</v>
      </c>
      <c r="C420" s="425" t="inlineStr">
        <is>
          <t xml:space="preserve">Ли Станислав </t>
        </is>
      </c>
      <c r="D420" s="426" t="n">
        <v>500000</v>
      </c>
      <c r="E420" s="427" t="n"/>
      <c r="F420" s="381" t="inlineStr">
        <is>
          <t>Выплачено</t>
        </is>
      </c>
    </row>
    <row r="421" hidden="1" outlineLevel="2" ht="13.8" customHeight="1" s="1127">
      <c r="B421" s="422" t="n">
        <v>46154</v>
      </c>
      <c r="C421" s="425" t="inlineStr">
        <is>
          <t xml:space="preserve">Ли Станислав </t>
        </is>
      </c>
      <c r="D421" s="426" t="n">
        <v>500000</v>
      </c>
      <c r="E421" s="427" t="n"/>
      <c r="F421" s="381" t="inlineStr">
        <is>
          <t>Выплачено</t>
        </is>
      </c>
    </row>
    <row r="422" hidden="1" outlineLevel="2" ht="13.8" customHeight="1" s="1127">
      <c r="B422" s="422" t="n">
        <v>46154</v>
      </c>
      <c r="C422" s="425" t="inlineStr">
        <is>
          <t>Ваня (1/3 часть зп)</t>
        </is>
      </c>
      <c r="D422" s="426" t="n">
        <v>800000</v>
      </c>
      <c r="E422" s="427" t="n"/>
      <c r="F422" s="381" t="inlineStr">
        <is>
          <t>Выплачено</t>
        </is>
      </c>
    </row>
    <row r="423" hidden="1" outlineLevel="2" ht="13.8" customHeight="1" s="1127">
      <c r="B423" s="422" t="n">
        <v>46154</v>
      </c>
      <c r="C423" s="425" t="inlineStr">
        <is>
          <t xml:space="preserve">Олеся (добавлено снять к 16.00)   За газ </t>
        </is>
      </c>
      <c r="D423" s="426" t="n">
        <v>1100000</v>
      </c>
      <c r="E423" s="427" t="n"/>
      <c r="F423" s="381" t="inlineStr">
        <is>
          <t>Выплачено</t>
        </is>
      </c>
    </row>
    <row r="424" hidden="1" outlineLevel="2" ht="13.8" customHeight="1" s="1127">
      <c r="B424" s="422" t="n">
        <v>46154</v>
      </c>
      <c r="C424" s="425" t="inlineStr">
        <is>
          <t>ЗП (нал полностью) Жансултан</t>
        </is>
      </c>
      <c r="D424" s="426" t="n">
        <v>389000</v>
      </c>
      <c r="E424" s="427" t="n"/>
      <c r="F424" s="381" t="inlineStr">
        <is>
          <t>Выплачено</t>
        </is>
      </c>
    </row>
    <row r="425" hidden="1" outlineLevel="2" ht="13.8" customHeight="1" s="1127">
      <c r="B425" s="422" t="n">
        <v>46154</v>
      </c>
      <c r="C425" s="425" t="inlineStr">
        <is>
          <t>ЗП (нал полностью) Мария Шишенина</t>
        </is>
      </c>
      <c r="D425" s="426" t="n">
        <v>462000</v>
      </c>
      <c r="E425" s="427" t="n"/>
      <c r="F425" s="381" t="inlineStr">
        <is>
          <t>Выплачено</t>
        </is>
      </c>
    </row>
    <row r="426" hidden="1" outlineLevel="2" ht="13.8" customHeight="1" s="1127">
      <c r="B426" s="422" t="n">
        <v>46154</v>
      </c>
      <c r="C426" s="425" t="inlineStr">
        <is>
          <t>НДС (часть)</t>
        </is>
      </c>
      <c r="D426" s="426" t="n"/>
      <c r="E426" s="427" t="n">
        <v>7200000</v>
      </c>
      <c r="F426" s="381" t="inlineStr">
        <is>
          <t>Выплачено</t>
        </is>
      </c>
    </row>
    <row r="427" hidden="1" outlineLevel="2" ht="13.8" customHeight="1" s="1127">
      <c r="B427" s="422" t="n">
        <v>46154</v>
      </c>
      <c r="C427" s="425" t="inlineStr">
        <is>
          <t>Закуп утро</t>
        </is>
      </c>
      <c r="D427" s="426" t="n"/>
      <c r="E427" s="427" t="n">
        <v>6196685</v>
      </c>
      <c r="F427" s="381" t="inlineStr">
        <is>
          <t>Выплачено</t>
        </is>
      </c>
    </row>
    <row r="428" hidden="1" outlineLevel="2" ht="13.8" customHeight="1" s="1127">
      <c r="B428" s="422" t="n">
        <v>46154</v>
      </c>
      <c r="C428" s="430" t="inlineStr">
        <is>
          <t xml:space="preserve">дополнительная декларация за 4 кв 2025 ПЕНЯ </t>
        </is>
      </c>
      <c r="D428" s="426" t="n"/>
      <c r="E428" s="431" t="inlineStr">
        <is>
          <t>133 262.79</t>
        </is>
      </c>
      <c r="F428" s="381" t="inlineStr">
        <is>
          <t>Выплачено</t>
        </is>
      </c>
    </row>
    <row r="429" hidden="1" outlineLevel="2" ht="13.8" customHeight="1" s="1127">
      <c r="B429" s="422" t="n">
        <v>46154</v>
      </c>
      <c r="C429" s="456" t="inlineStr">
        <is>
          <t>ИП PRODVIG</t>
        </is>
      </c>
      <c r="D429" s="426" t="n"/>
      <c r="E429" s="427" t="n">
        <v>220400</v>
      </c>
      <c r="F429" s="381" t="inlineStr">
        <is>
          <t>Выплачено</t>
        </is>
      </c>
    </row>
    <row r="430" hidden="1" outlineLevel="2" ht="13.8" customHeight="1" s="1127">
      <c r="B430" s="422" t="n">
        <v>46154</v>
      </c>
      <c r="C430" s="430" t="inlineStr">
        <is>
          <t>ЗП на карту</t>
        </is>
      </c>
      <c r="D430" s="426" t="n"/>
      <c r="E430" s="427" t="n">
        <v>13803793.39</v>
      </c>
      <c r="F430" s="381" t="inlineStr">
        <is>
          <t>Выплачено</t>
        </is>
      </c>
    </row>
    <row r="431" hidden="1" outlineLevel="2" ht="13.8" customHeight="1" s="1127">
      <c r="B431" s="422" t="n">
        <v>46154</v>
      </c>
      <c r="C431" s="425" t="inlineStr">
        <is>
          <t>Заиров Расулжан ЗП по Сз</t>
        </is>
      </c>
      <c r="D431" s="426" t="n">
        <v>100000</v>
      </c>
      <c r="E431" s="427" t="n"/>
      <c r="F431" s="381" t="inlineStr">
        <is>
          <t>Выплачено</t>
        </is>
      </c>
    </row>
    <row r="432" hidden="1" outlineLevel="2" ht="13.8" customHeight="1" s="1127">
      <c r="B432" s="422" t="n">
        <v>46154</v>
      </c>
      <c r="C432" s="456" t="inlineStr">
        <is>
          <t xml:space="preserve">ТОО "JOYU"  дезинсекция </t>
        </is>
      </c>
      <c r="D432" s="426" t="n"/>
      <c r="E432" s="427" t="n">
        <v>150000</v>
      </c>
      <c r="F432" s="381" t="inlineStr">
        <is>
          <t>Выплачено</t>
        </is>
      </c>
    </row>
    <row r="433" hidden="1" outlineLevel="2" ht="13.8" customHeight="1" s="1127">
      <c r="B433" s="422" t="n">
        <v>46154</v>
      </c>
      <c r="C433" s="425" t="inlineStr">
        <is>
          <t>Закуп вечер</t>
        </is>
      </c>
      <c r="D433" s="426" t="n"/>
      <c r="E433" s="427" t="n">
        <v>4291667</v>
      </c>
      <c r="F433" s="381" t="inlineStr">
        <is>
          <t>Выплачено</t>
        </is>
      </c>
    </row>
    <row r="434" hidden="1" outlineLevel="2" ht="13.8" customHeight="1" s="1127">
      <c r="B434" s="422" t="n">
        <v>46154</v>
      </c>
      <c r="C434" s="425" t="inlineStr">
        <is>
          <t>Баратова Мадина (аванс по СЗ)</t>
        </is>
      </c>
      <c r="D434" s="426" t="n">
        <v>120000</v>
      </c>
      <c r="E434" s="427" t="n"/>
      <c r="F434" s="381" t="inlineStr">
        <is>
          <t>Выплачено</t>
        </is>
      </c>
    </row>
    <row r="435" hidden="1" outlineLevel="2" ht="13.8" customHeight="1" s="1127">
      <c r="B435" s="432" t="n">
        <v>46155</v>
      </c>
      <c r="C435" s="433" t="inlineStr">
        <is>
          <t>Ибрайханов  (он должен получить до 12 число )</t>
        </is>
      </c>
      <c r="D435" s="434" t="n">
        <v>246000</v>
      </c>
      <c r="E435" s="435" t="n"/>
      <c r="F435" s="381" t="inlineStr">
        <is>
          <t>Выплачено</t>
        </is>
      </c>
    </row>
    <row r="436" hidden="1" outlineLevel="2" ht="13.8" customHeight="1" s="1127">
      <c r="B436" s="432" t="n">
        <v>46155</v>
      </c>
      <c r="C436" s="433" t="inlineStr">
        <is>
          <t xml:space="preserve">Ли Станислав </t>
        </is>
      </c>
      <c r="D436" s="434" t="n">
        <v>500000</v>
      </c>
      <c r="E436" s="435" t="n"/>
      <c r="F436" s="381" t="inlineStr">
        <is>
          <t>Выплачено</t>
        </is>
      </c>
    </row>
    <row r="437" hidden="1" outlineLevel="2" ht="13.8" customHeight="1" s="1127">
      <c r="B437" s="432" t="n">
        <v>46155</v>
      </c>
      <c r="C437" s="433" t="inlineStr">
        <is>
          <t>Болатбеков Даулет Болатбекович</t>
        </is>
      </c>
      <c r="D437" s="436" t="n">
        <v>700000</v>
      </c>
      <c r="E437" s="437" t="n"/>
      <c r="F437" s="381" t="inlineStr">
        <is>
          <t>Выплачено</t>
        </is>
      </c>
    </row>
    <row r="438" hidden="1" outlineLevel="2" ht="13.8" customHeight="1" s="1127">
      <c r="B438" s="432" t="n">
        <v>46155</v>
      </c>
      <c r="C438" s="438" t="inlineStr">
        <is>
          <t>Малышев А под отчет</t>
        </is>
      </c>
      <c r="D438" s="434" t="n">
        <v>605000</v>
      </c>
      <c r="E438" s="435" t="n"/>
      <c r="F438" s="381" t="inlineStr">
        <is>
          <t>Выплачено</t>
        </is>
      </c>
    </row>
    <row r="439" hidden="1" outlineLevel="2" ht="13.8" customHeight="1" s="1127">
      <c r="B439" s="432" t="n">
        <v>46155</v>
      </c>
      <c r="C439" s="433" t="inlineStr">
        <is>
          <t>Закуп утро</t>
        </is>
      </c>
      <c r="D439" s="434" t="n"/>
      <c r="E439" s="435" t="n">
        <v>8414812</v>
      </c>
      <c r="F439" s="381" t="inlineStr">
        <is>
          <t>Выплачено</t>
        </is>
      </c>
    </row>
    <row r="440" hidden="1" outlineLevel="2" ht="13.8" customHeight="1" s="1127">
      <c r="B440" s="432" t="n">
        <v>46155</v>
      </c>
      <c r="C440" s="438" t="inlineStr">
        <is>
          <t>ЗП Шухрат</t>
        </is>
      </c>
      <c r="D440" s="434" t="n">
        <v>529665</v>
      </c>
      <c r="E440" s="435" t="n"/>
      <c r="F440" s="381" t="inlineStr">
        <is>
          <t>Выплачено</t>
        </is>
      </c>
    </row>
    <row r="441" hidden="1" outlineLevel="2" ht="13.8" customHeight="1" s="1127">
      <c r="B441" s="432" t="n">
        <v>46155</v>
      </c>
      <c r="C441" s="433" t="inlineStr">
        <is>
          <t xml:space="preserve">Рынок  приправа Дашида  </t>
        </is>
      </c>
      <c r="D441" s="434" t="n">
        <v>301200</v>
      </c>
      <c r="E441" s="435" t="n"/>
      <c r="F441" s="381" t="inlineStr">
        <is>
          <t>Выплачено</t>
        </is>
      </c>
    </row>
    <row r="442" hidden="1" outlineLevel="2" ht="13.8" customHeight="1" s="1127">
      <c r="B442" s="432" t="n">
        <v>46155</v>
      </c>
      <c r="C442" s="433" t="inlineStr">
        <is>
          <t>Хаджид Бахатул</t>
        </is>
      </c>
      <c r="D442" s="439" t="n">
        <v>36348</v>
      </c>
      <c r="E442" s="398" t="n"/>
      <c r="F442" s="381" t="inlineStr">
        <is>
          <t>Выплачено</t>
        </is>
      </c>
    </row>
    <row r="443" hidden="1" outlineLevel="2" ht="13.8" customHeight="1" s="1127">
      <c r="B443" s="432" t="n">
        <v>46156</v>
      </c>
      <c r="C443" s="399" t="inlineStr">
        <is>
          <t>ЗП лагаман</t>
        </is>
      </c>
      <c r="D443" s="439" t="n">
        <v>295000</v>
      </c>
      <c r="E443" s="398" t="n"/>
      <c r="F443" s="381" t="inlineStr">
        <is>
          <t>Выплачено</t>
        </is>
      </c>
    </row>
    <row r="444" hidden="1" outlineLevel="2" ht="13.8" customHeight="1" s="1127">
      <c r="B444" s="432" t="n">
        <v>46156</v>
      </c>
      <c r="C444" s="399" t="inlineStr">
        <is>
          <t xml:space="preserve">Ли Станислав </t>
        </is>
      </c>
      <c r="D444" s="439" t="n">
        <v>500000</v>
      </c>
      <c r="E444" s="398" t="n"/>
      <c r="F444" s="381" t="inlineStr">
        <is>
          <t>Выплачено</t>
        </is>
      </c>
    </row>
    <row r="445" hidden="1" outlineLevel="2" ht="13.8" customHeight="1" s="1127">
      <c r="B445" s="432" t="n">
        <v>46156</v>
      </c>
      <c r="C445" s="399" t="inlineStr">
        <is>
          <t xml:space="preserve">Закуп </t>
        </is>
      </c>
      <c r="D445" s="439" t="n"/>
      <c r="E445" s="398" t="n">
        <v>2347894</v>
      </c>
      <c r="F445" s="381" t="inlineStr">
        <is>
          <t>Выплачено</t>
        </is>
      </c>
    </row>
    <row r="446" hidden="1" outlineLevel="2" ht="13.8" customHeight="1" s="1127">
      <c r="B446" s="432" t="n">
        <v>46156</v>
      </c>
      <c r="C446" s="399" t="inlineStr">
        <is>
          <t xml:space="preserve">Закуп </t>
        </is>
      </c>
      <c r="D446" s="439" t="n"/>
      <c r="E446" s="398" t="n">
        <v>7376147</v>
      </c>
      <c r="F446" s="381" t="inlineStr">
        <is>
          <t>Выплачено</t>
        </is>
      </c>
    </row>
    <row r="447" hidden="1" outlineLevel="2" ht="13.8" customHeight="1" s="1127">
      <c r="B447" s="432" t="n">
        <v>46156</v>
      </c>
      <c r="C447" s="438" t="inlineStr">
        <is>
          <t>Малышев А под отчет колеса трессилер</t>
        </is>
      </c>
      <c r="D447" s="434" t="n">
        <v>10000</v>
      </c>
      <c r="E447" s="398" t="n"/>
      <c r="F447" s="381" t="inlineStr">
        <is>
          <t>Выплачено</t>
        </is>
      </c>
    </row>
    <row r="448" hidden="1" outlineLevel="2" ht="13.8" customHeight="1" s="1127">
      <c r="B448" s="432" t="n">
        <v>46156</v>
      </c>
      <c r="C448" s="440" t="inlineStr">
        <is>
          <t xml:space="preserve">Фатыкова Аяжан </t>
        </is>
      </c>
      <c r="D448" s="439" t="n">
        <v>219000</v>
      </c>
      <c r="E448" s="398" t="n"/>
      <c r="F448" s="381" t="inlineStr">
        <is>
          <t>Выплачено</t>
        </is>
      </c>
    </row>
    <row r="449" hidden="1" outlineLevel="2" ht="13.8" customHeight="1" s="1127">
      <c r="B449" s="395" t="n">
        <v>46156</v>
      </c>
      <c r="C449" s="399" t="inlineStr">
        <is>
          <t>Ельдар Кабиев за хранение и доставку Яндекс Лавка</t>
        </is>
      </c>
      <c r="D449" s="439" t="n">
        <v>73300</v>
      </c>
      <c r="E449" s="398" t="n"/>
      <c r="F449" s="381" t="inlineStr">
        <is>
          <t>Отложено</t>
        </is>
      </c>
    </row>
    <row r="450" hidden="1" outlineLevel="2" ht="13.8" customHeight="1" s="1127">
      <c r="B450" s="395" t="n">
        <v>46157</v>
      </c>
      <c r="C450" s="441" t="inlineStr">
        <is>
          <t xml:space="preserve">Аренда помещения </t>
        </is>
      </c>
      <c r="D450" s="439" t="n"/>
      <c r="E450" s="398" t="n">
        <v>6655000</v>
      </c>
      <c r="F450" s="381" t="inlineStr">
        <is>
          <t>Выплачено</t>
        </is>
      </c>
    </row>
    <row r="451" hidden="1" outlineLevel="2" ht="13.8" customHeight="1" s="1127">
      <c r="B451" s="395" t="n">
        <v>46156</v>
      </c>
      <c r="C451" s="442" t="inlineStr">
        <is>
          <t>чистке канализации</t>
        </is>
      </c>
      <c r="D451" s="439" t="n">
        <v>40000</v>
      </c>
      <c r="E451" s="398" t="n"/>
      <c r="F451" s="381" t="inlineStr">
        <is>
          <t>Выплачено</t>
        </is>
      </c>
    </row>
    <row r="452" hidden="1" outlineLevel="2" ht="13.8" customHeight="1" s="1127">
      <c r="B452" s="395" t="n">
        <v>46157</v>
      </c>
      <c r="C452" s="399" t="inlineStr">
        <is>
          <t>ЗП  Александр</t>
        </is>
      </c>
      <c r="D452" s="439" t="n">
        <v>700000</v>
      </c>
      <c r="E452" s="398" t="n"/>
      <c r="F452" s="381" t="inlineStr">
        <is>
          <t>Выплачено</t>
        </is>
      </c>
    </row>
    <row r="453" hidden="1" outlineLevel="2" ht="13.8" customHeight="1" s="1127">
      <c r="B453" s="395" t="n">
        <v>46157</v>
      </c>
      <c r="C453" s="399" t="n"/>
      <c r="D453" s="439" t="n"/>
      <c r="E453" s="398" t="n"/>
      <c r="F453" s="381" t="inlineStr">
        <is>
          <t>К оплате</t>
        </is>
      </c>
    </row>
    <row r="454" hidden="1" outlineLevel="2" ht="13.8" customHeight="1" s="1127">
      <c r="B454" s="395" t="n">
        <v>46157</v>
      </c>
      <c r="C454" s="443" t="inlineStr">
        <is>
          <t>НДС (часть)</t>
        </is>
      </c>
      <c r="D454" s="443" t="n"/>
      <c r="E454" s="398" t="n">
        <v>4200000</v>
      </c>
      <c r="F454" s="381" t="inlineStr">
        <is>
          <t>К оплате</t>
        </is>
      </c>
    </row>
    <row r="455" hidden="1" outlineLevel="2" ht="13.8" customHeight="1" s="1127">
      <c r="B455" s="395" t="n">
        <v>46157</v>
      </c>
      <c r="C455" s="443" t="inlineStr">
        <is>
          <t xml:space="preserve">Витамин </t>
        </is>
      </c>
      <c r="D455" s="439" t="n"/>
      <c r="E455" s="398" t="n">
        <v>1000000</v>
      </c>
      <c r="F455" s="381" t="inlineStr">
        <is>
          <t>Выплачено</t>
        </is>
      </c>
    </row>
    <row r="456" hidden="1" outlineLevel="2" ht="13.8" customHeight="1" s="1127">
      <c r="B456" s="395" t="n">
        <v>46157</v>
      </c>
      <c r="C456" s="399" t="inlineStr">
        <is>
          <t>Александру М (за блендр погружной)</t>
        </is>
      </c>
      <c r="D456" s="439" t="n">
        <v>295800</v>
      </c>
      <c r="E456" s="398" t="n"/>
      <c r="F456" s="381" t="inlineStr">
        <is>
          <t>Выплачено</t>
        </is>
      </c>
      <c r="G456" s="445" t="n"/>
      <c r="H456" s="445" t="n"/>
    </row>
    <row r="457" hidden="1" outlineLevel="2" ht="13.8" customHeight="1" s="1127">
      <c r="B457" s="395" t="n">
        <v>46157</v>
      </c>
      <c r="C457" s="399" t="inlineStr">
        <is>
          <t>Александру М (оплата кран Трессилер Олив)</t>
        </is>
      </c>
      <c r="D457" s="439" t="n">
        <v>50000</v>
      </c>
      <c r="E457" s="398" t="n"/>
      <c r="F457" s="381" t="inlineStr">
        <is>
          <t>К оплате</t>
        </is>
      </c>
    </row>
    <row r="458" hidden="1" outlineLevel="2" ht="13.8" customHeight="1" s="1127">
      <c r="B458" s="395" t="n">
        <v>46157</v>
      </c>
      <c r="C458" s="399" t="inlineStr">
        <is>
          <t>Уволенные</t>
        </is>
      </c>
      <c r="D458" s="439" t="n">
        <v>1947577</v>
      </c>
      <c r="E458" s="398" t="n"/>
      <c r="F458" s="381" t="inlineStr">
        <is>
          <t>К оплате</t>
        </is>
      </c>
    </row>
    <row r="459" hidden="1" outlineLevel="2" ht="13.8" customHeight="1" s="1127">
      <c r="B459" s="395" t="n">
        <v>46160</v>
      </c>
      <c r="C459" s="277" t="inlineStr">
        <is>
          <t>ИП "АМР Printology"</t>
        </is>
      </c>
      <c r="D459" s="439" t="n"/>
      <c r="E459" s="446" t="n">
        <v>54100</v>
      </c>
      <c r="F459" s="381" t="inlineStr">
        <is>
          <t>К оплате</t>
        </is>
      </c>
    </row>
    <row r="460" hidden="1" outlineLevel="2" ht="13.8" customHeight="1" s="1127">
      <c r="B460" s="395" t="n">
        <v>46160</v>
      </c>
      <c r="C460" s="442" t="inlineStr">
        <is>
          <t>Услуги асенизатора</t>
        </is>
      </c>
      <c r="D460" s="439" t="n">
        <v>50000</v>
      </c>
      <c r="E460" s="398" t="n"/>
      <c r="F460" s="381" t="inlineStr">
        <is>
          <t>Выплачено</t>
        </is>
      </c>
    </row>
    <row r="461" hidden="1" outlineLevel="2" ht="13.8" customHeight="1" s="1127">
      <c r="B461" s="395" t="n">
        <v>46160</v>
      </c>
      <c r="C461" s="406" t="inlineStr">
        <is>
          <t>За оплату корпоративной почты</t>
        </is>
      </c>
      <c r="D461" s="439" t="n">
        <v>110000</v>
      </c>
      <c r="E461" s="446" t="n"/>
      <c r="F461" s="381" t="inlineStr">
        <is>
          <t>Выплачено</t>
        </is>
      </c>
    </row>
    <row r="462" hidden="1" outlineLevel="2" ht="13.8" customHeight="1" s="1127">
      <c r="B462" s="395" t="n">
        <v>46160</v>
      </c>
      <c r="C462" s="442" t="inlineStr">
        <is>
          <t>Маркетинговые расходы (Заказ флагов)</t>
        </is>
      </c>
      <c r="D462" s="439" t="n">
        <v>34040</v>
      </c>
      <c r="E462" s="398" t="n"/>
      <c r="F462" s="381" t="inlineStr">
        <is>
          <t>Выплачено</t>
        </is>
      </c>
    </row>
    <row r="463" hidden="1" outlineLevel="2" ht="13.8" customHeight="1" s="1127">
      <c r="B463" s="395" t="n">
        <v>46160</v>
      </c>
      <c r="C463" s="399" t="inlineStr">
        <is>
          <t>Закуп утро</t>
        </is>
      </c>
      <c r="D463" s="439" t="n"/>
      <c r="E463" s="398" t="n">
        <v>2674230</v>
      </c>
      <c r="F463" s="381" t="inlineStr">
        <is>
          <t>Выплачено</t>
        </is>
      </c>
    </row>
    <row r="464" hidden="1" outlineLevel="2" ht="13.8" customHeight="1" s="1127">
      <c r="B464" s="395" t="n">
        <v>46160</v>
      </c>
      <c r="C464" s="399" t="inlineStr">
        <is>
          <t>Закуп вечер</t>
        </is>
      </c>
      <c r="D464" s="439" t="n"/>
      <c r="E464" s="398" t="n">
        <v>6957182</v>
      </c>
      <c r="F464" s="381" t="inlineStr">
        <is>
          <t>Выплачено</t>
        </is>
      </c>
    </row>
    <row r="465" hidden="1" outlineLevel="2" ht="13.8" customHeight="1" s="1127">
      <c r="B465" s="395" t="n">
        <v>46160</v>
      </c>
      <c r="C465" s="399" t="inlineStr">
        <is>
          <t>Уволенные (остаток)</t>
        </is>
      </c>
      <c r="D465" s="439" t="n">
        <v>600000</v>
      </c>
      <c r="E465" s="398" t="n"/>
      <c r="F465" s="381" t="inlineStr">
        <is>
          <t>К оплате</t>
        </is>
      </c>
    </row>
    <row r="466" hidden="1" outlineLevel="2" ht="13.8" customHeight="1" s="1127">
      <c r="B466" s="395" t="n">
        <v>46160</v>
      </c>
      <c r="C466" s="399" t="inlineStr">
        <is>
          <t xml:space="preserve">Бонус за возврать Бухгалтерия  </t>
        </is>
      </c>
      <c r="D466" s="439" t="n">
        <v>350000</v>
      </c>
      <c r="E466" s="398" t="n"/>
      <c r="F466" s="381" t="inlineStr">
        <is>
          <t>Выплачено</t>
        </is>
      </c>
    </row>
    <row r="467" hidden="1" outlineLevel="2" ht="13.8" customHeight="1" s="1127">
      <c r="B467" s="395" t="n">
        <v>46160</v>
      </c>
      <c r="C467" s="442" t="inlineStr">
        <is>
          <t>Жунисгуловой Гульжазиры</t>
        </is>
      </c>
      <c r="D467" s="439" t="n">
        <v>40000</v>
      </c>
      <c r="E467" s="398" t="n"/>
      <c r="F467" s="381" t="inlineStr">
        <is>
          <t>Отложено</t>
        </is>
      </c>
    </row>
    <row r="468" hidden="1" outlineLevel="2" ht="13.8" customHeight="1" s="1127">
      <c r="B468" s="395" t="n">
        <v>46160</v>
      </c>
      <c r="C468" s="399" t="inlineStr">
        <is>
          <t>Аренда КВ. О.С.</t>
        </is>
      </c>
      <c r="D468" s="439" t="n">
        <v>390000</v>
      </c>
      <c r="E468" s="398" t="n"/>
      <c r="F468" s="381" t="inlineStr">
        <is>
          <t>Выплачено</t>
        </is>
      </c>
    </row>
    <row r="469" hidden="1" outlineLevel="2" ht="13.8" customHeight="1" s="1127">
      <c r="B469" s="422" t="n">
        <v>46161</v>
      </c>
      <c r="C469" s="68" t="inlineStr">
        <is>
          <t xml:space="preserve">Ли Станислав </t>
        </is>
      </c>
      <c r="D469" s="426" t="n">
        <v>500000</v>
      </c>
      <c r="E469" s="427" t="n"/>
      <c r="F469" s="381" t="inlineStr">
        <is>
          <t>Выплачено</t>
        </is>
      </c>
    </row>
    <row r="470" hidden="1" outlineLevel="2" ht="13.8" customHeight="1" s="1127">
      <c r="B470" s="422" t="n">
        <v>46161</v>
      </c>
      <c r="C470" s="425" t="inlineStr">
        <is>
          <t>Закуп утро</t>
        </is>
      </c>
      <c r="D470" s="426" t="n"/>
      <c r="E470" s="427" t="n">
        <v>2000000</v>
      </c>
      <c r="F470" s="381" t="inlineStr">
        <is>
          <t>Выплачено</t>
        </is>
      </c>
    </row>
    <row r="471" hidden="1" outlineLevel="2" ht="13.8" customHeight="1" s="1127">
      <c r="B471" s="422" t="n">
        <v>46161</v>
      </c>
      <c r="C471" s="425" t="inlineStr">
        <is>
          <t>Закуп вечер</t>
        </is>
      </c>
      <c r="D471" s="426" t="n"/>
      <c r="E471" s="427" t="n">
        <v>6011532</v>
      </c>
      <c r="F471" s="381" t="inlineStr">
        <is>
          <t>Выплачено</t>
        </is>
      </c>
    </row>
    <row r="472" hidden="1" outlineLevel="2" ht="13.8" customHeight="1" s="1127">
      <c r="B472" s="422" t="n">
        <v>46161</v>
      </c>
      <c r="C472" s="447" t="inlineStr">
        <is>
          <t xml:space="preserve">Алыбаев Акжол </t>
        </is>
      </c>
      <c r="D472" s="426" t="n">
        <v>50000</v>
      </c>
      <c r="E472" s="427" t="n"/>
      <c r="F472" s="381" t="inlineStr">
        <is>
          <t>Выплачено</t>
        </is>
      </c>
    </row>
    <row r="473" hidden="1" outlineLevel="2" ht="15" customHeight="1" s="1127">
      <c r="B473" s="422" t="n">
        <v>46161</v>
      </c>
      <c r="C473" s="448" t="inlineStr">
        <is>
          <t>Айнабекова Куралай</t>
        </is>
      </c>
      <c r="D473" s="426" t="n">
        <v>150000</v>
      </c>
      <c r="E473" s="427" t="n"/>
      <c r="F473" s="381" t="inlineStr">
        <is>
          <t>Выплачено</t>
        </is>
      </c>
    </row>
    <row r="474" hidden="1" outlineLevel="2" ht="13.8" customHeight="1" s="1127">
      <c r="B474" s="422" t="n">
        <v>46161</v>
      </c>
      <c r="C474" s="447" t="inlineStr">
        <is>
          <t xml:space="preserve">Ойшынов Жансултан </t>
        </is>
      </c>
      <c r="D474" s="426" t="n">
        <v>180000</v>
      </c>
      <c r="E474" s="427" t="n"/>
      <c r="F474" s="381" t="inlineStr">
        <is>
          <t>Выплачено</t>
        </is>
      </c>
    </row>
    <row r="475" hidden="1" outlineLevel="2" ht="13.8" customHeight="1" s="1127">
      <c r="B475" s="422" t="n">
        <v>46161</v>
      </c>
      <c r="C475" s="430" t="inlineStr">
        <is>
          <t>за пополнение тарифа роутера</t>
        </is>
      </c>
      <c r="D475" s="426" t="n">
        <v>15000</v>
      </c>
      <c r="E475" s="427" t="n"/>
      <c r="F475" s="381" t="inlineStr">
        <is>
          <t>Выплачено</t>
        </is>
      </c>
    </row>
    <row r="476" hidden="1" outlineLevel="2" ht="13.8" customHeight="1" s="1127">
      <c r="B476" s="422" t="n">
        <v>46161</v>
      </c>
      <c r="C476" s="447" t="inlineStr">
        <is>
          <t xml:space="preserve">уволенный Бауржан,Толегенов Нурбол  </t>
        </is>
      </c>
      <c r="D476" s="426" t="n">
        <v>705076</v>
      </c>
      <c r="E476" s="427" t="n"/>
      <c r="F476" s="381" t="inlineStr">
        <is>
          <t>Выплачено</t>
        </is>
      </c>
    </row>
    <row r="477" hidden="1" outlineLevel="2" ht="13.8" customHeight="1" s="1127">
      <c r="B477" s="422" t="n">
        <v>46161</v>
      </c>
      <c r="C477" s="447" t="inlineStr">
        <is>
          <t>Александр, подотчёт, закуп ТМЦ</t>
        </is>
      </c>
      <c r="D477" s="426" t="n">
        <v>281200</v>
      </c>
      <c r="E477" s="427" t="n"/>
      <c r="F477" s="381" t="inlineStr">
        <is>
          <t>Выплачено</t>
        </is>
      </c>
    </row>
    <row r="478" hidden="1" outlineLevel="2" ht="13.8" customHeight="1" s="1127">
      <c r="B478" s="422" t="n">
        <v>46162</v>
      </c>
      <c r="C478" s="447" t="inlineStr">
        <is>
          <t xml:space="preserve">Ли Станислав </t>
        </is>
      </c>
      <c r="D478" s="426" t="n">
        <v>400000</v>
      </c>
      <c r="E478" s="427" t="n"/>
      <c r="F478" s="381" t="inlineStr">
        <is>
          <t>Выплачено</t>
        </is>
      </c>
    </row>
    <row r="479" hidden="1" outlineLevel="2" ht="13.8" customHeight="1" s="1127">
      <c r="B479" s="422" t="n">
        <v>46162</v>
      </c>
      <c r="C479" s="456" t="inlineStr">
        <is>
          <t>ЗП Производство</t>
        </is>
      </c>
      <c r="D479" s="426" t="n">
        <v>6953000</v>
      </c>
      <c r="E479" s="427" t="n"/>
      <c r="F479" s="381" t="inlineStr">
        <is>
          <t>Выплачено</t>
        </is>
      </c>
    </row>
    <row r="480" hidden="1" outlineLevel="2" ht="13.8" customHeight="1" s="1127">
      <c r="B480" s="422" t="n">
        <v>46163</v>
      </c>
      <c r="C480" s="447" t="inlineStr">
        <is>
          <t>Тобулова Динара  она получает 20.05 число</t>
        </is>
      </c>
      <c r="D480" s="426" t="n">
        <v>319000</v>
      </c>
      <c r="E480" s="427" t="n"/>
      <c r="F480" s="381" t="inlineStr">
        <is>
          <t>Выплачено</t>
        </is>
      </c>
    </row>
    <row r="481" hidden="1" outlineLevel="2" ht="13.8" customHeight="1" s="1127">
      <c r="B481" s="422" t="n">
        <v>46163</v>
      </c>
      <c r="C481" s="449" t="inlineStr">
        <is>
          <t xml:space="preserve">Ли Станислав </t>
        </is>
      </c>
      <c r="D481" s="426" t="n">
        <v>700000</v>
      </c>
      <c r="E481" s="427" t="n"/>
      <c r="F481" s="381" t="inlineStr">
        <is>
          <t>Выплачено</t>
        </is>
      </c>
    </row>
    <row r="482" hidden="1" outlineLevel="2" ht="13.8" customHeight="1" s="1127">
      <c r="B482" s="422" t="n">
        <v>46163</v>
      </c>
      <c r="C482" s="450" t="inlineStr">
        <is>
          <t>Оплата вызовных</t>
        </is>
      </c>
      <c r="D482" s="426" t="n">
        <v>24000</v>
      </c>
      <c r="E482" s="427" t="n"/>
      <c r="F482" s="381" t="inlineStr">
        <is>
          <t>Выплачено</t>
        </is>
      </c>
    </row>
    <row r="483" hidden="1" outlineLevel="2" ht="13.8" customHeight="1" s="1127">
      <c r="B483" s="422" t="n">
        <v>46163</v>
      </c>
      <c r="C483" s="447" t="inlineStr">
        <is>
          <t>НАЛОГИ (НДС) предоплата</t>
        </is>
      </c>
      <c r="D483" s="426" t="n"/>
      <c r="E483" s="427" t="n">
        <v>6000000</v>
      </c>
      <c r="F483" s="381" t="inlineStr">
        <is>
          <t>К оплате</t>
        </is>
      </c>
    </row>
    <row r="484" hidden="1" outlineLevel="2" ht="13.8" customHeight="1" s="1127">
      <c r="B484" s="422" t="n">
        <v>46163</v>
      </c>
      <c r="C484" s="447" t="inlineStr">
        <is>
          <t>ЗП Производство</t>
        </is>
      </c>
      <c r="D484" s="426" t="n">
        <v>10312000</v>
      </c>
      <c r="E484" s="427" t="n"/>
      <c r="F484" s="381" t="inlineStr">
        <is>
          <t>Выплачено</t>
        </is>
      </c>
    </row>
    <row r="485" hidden="1" outlineLevel="2" ht="13.8" customHeight="1" s="1127">
      <c r="B485" s="422" t="n">
        <v>46163</v>
      </c>
      <c r="C485" s="447" t="inlineStr">
        <is>
          <t xml:space="preserve">Зп Лагманщик </t>
        </is>
      </c>
      <c r="D485" s="426" t="n">
        <v>222000</v>
      </c>
      <c r="E485" s="427" t="n"/>
      <c r="F485" s="381" t="inlineStr">
        <is>
          <t>Выплачено</t>
        </is>
      </c>
    </row>
    <row r="486" hidden="1" outlineLevel="2" ht="13.8" customHeight="1" s="1127">
      <c r="B486" s="422" t="n">
        <v>46163</v>
      </c>
      <c r="C486" s="456" t="inlineStr">
        <is>
          <t>Компания Э-КОМ ПРАЙМ</t>
        </is>
      </c>
      <c r="D486" s="426" t="n"/>
      <c r="E486" s="427" t="n">
        <v>90000</v>
      </c>
      <c r="F486" s="381" t="inlineStr">
        <is>
          <t>Выплачено</t>
        </is>
      </c>
    </row>
    <row r="487" hidden="1" outlineLevel="2" ht="13.8" customHeight="1" s="1127">
      <c r="B487" s="422" t="n">
        <v>46164</v>
      </c>
      <c r="C487" s="447" t="inlineStr">
        <is>
          <t>ЗП уволенным</t>
        </is>
      </c>
      <c r="D487" s="426" t="n">
        <v>2009334</v>
      </c>
      <c r="E487" s="427" t="n"/>
      <c r="F487" s="381" t="inlineStr">
        <is>
          <t>Выплачено</t>
        </is>
      </c>
    </row>
    <row r="488" hidden="1" outlineLevel="2" ht="13.8" customHeight="1" s="1127">
      <c r="B488" s="422" t="n">
        <v>46164</v>
      </c>
      <c r="C488" s="447" t="inlineStr">
        <is>
          <t>ЗП офис</t>
        </is>
      </c>
      <c r="D488" s="426" t="inlineStr">
        <is>
          <t>700 000</t>
        </is>
      </c>
      <c r="E488" s="427" t="n"/>
      <c r="F488" s="381" t="inlineStr">
        <is>
          <t>Выплачено</t>
        </is>
      </c>
    </row>
    <row r="489" hidden="1" outlineLevel="2" ht="13.8" customHeight="1" s="1127">
      <c r="B489" s="422" t="n">
        <v>46164</v>
      </c>
      <c r="C489" s="447" t="inlineStr">
        <is>
          <t>ЗП (производство)</t>
        </is>
      </c>
      <c r="D489" s="451" t="n">
        <v>2000000</v>
      </c>
      <c r="E489" s="427" t="n"/>
      <c r="F489" s="381" t="inlineStr">
        <is>
          <t>К оплате</t>
        </is>
      </c>
    </row>
    <row r="490" hidden="1" outlineLevel="2" ht="13.8" customHeight="1" s="1127">
      <c r="B490" s="422" t="n">
        <v>46164</v>
      </c>
      <c r="C490" s="447" t="inlineStr">
        <is>
          <t>Закуп тенов (Александр) через Битрикс</t>
        </is>
      </c>
      <c r="D490" s="426" t="inlineStr">
        <is>
          <t>95 000</t>
        </is>
      </c>
      <c r="E490" s="427" t="n"/>
      <c r="F490" s="381" t="inlineStr">
        <is>
          <t>К оплате</t>
        </is>
      </c>
    </row>
    <row r="491" hidden="1" outlineLevel="2" ht="13.8" customHeight="1" s="1127">
      <c r="B491" s="422" t="n">
        <v>46164</v>
      </c>
      <c r="C491" s="430" t="inlineStr">
        <is>
          <t>За поездку в банк</t>
        </is>
      </c>
      <c r="D491" s="426" t="n">
        <v>5810</v>
      </c>
      <c r="E491" s="427" t="n"/>
      <c r="F491" s="381" t="inlineStr">
        <is>
          <t>Выплачено</t>
        </is>
      </c>
    </row>
    <row r="492" hidden="1" outlineLevel="2" ht="13.8" customHeight="1" s="1127">
      <c r="B492" s="422" t="n">
        <v>46164</v>
      </c>
      <c r="C492" s="447" t="inlineStr">
        <is>
          <t>НАЛОГ НДС</t>
        </is>
      </c>
      <c r="D492" s="426" t="n"/>
      <c r="E492" s="427" t="n">
        <v>5000000</v>
      </c>
      <c r="F492" s="381" t="inlineStr">
        <is>
          <t>К оплате</t>
        </is>
      </c>
    </row>
    <row r="493" hidden="1" outlineLevel="2" ht="15" customHeight="1" s="1127">
      <c r="B493" s="422" t="n">
        <v>46164</v>
      </c>
      <c r="C493" s="448" t="inlineStr">
        <is>
          <t xml:space="preserve">уволенный  Нурлан Ляззат  </t>
        </is>
      </c>
      <c r="D493" s="426" t="n">
        <v>600000</v>
      </c>
      <c r="E493" s="427" t="n"/>
      <c r="F493" s="381" t="inlineStr">
        <is>
          <t>Выплачено</t>
        </is>
      </c>
    </row>
    <row r="494" hidden="1" outlineLevel="2" ht="14.4" customHeight="1" s="1127">
      <c r="B494" s="422" t="n">
        <v>46164</v>
      </c>
      <c r="C494" s="452" t="inlineStr">
        <is>
          <t>Закуп Тены</t>
        </is>
      </c>
      <c r="D494" s="453" t="inlineStr">
        <is>
          <t>1 000 000</t>
        </is>
      </c>
      <c r="E494" s="524" t="n"/>
      <c r="F494" s="381" t="inlineStr">
        <is>
          <t>К оплате</t>
        </is>
      </c>
    </row>
    <row r="495" hidden="1" outlineLevel="2" ht="13.8" customHeight="1" s="1127">
      <c r="B495" s="422" t="n">
        <v>46167</v>
      </c>
      <c r="C495" s="447" t="inlineStr">
        <is>
          <t>Сергей Вон (остаток по зп)</t>
        </is>
      </c>
      <c r="D495" s="426" t="n">
        <v>1063274</v>
      </c>
      <c r="E495" s="427" t="n"/>
      <c r="F495" s="381" t="inlineStr">
        <is>
          <t>Выплачено</t>
        </is>
      </c>
      <c r="G495" s="456" t="n">
        <v>27200000</v>
      </c>
    </row>
    <row r="496" hidden="1" outlineLevel="2" ht="13.8" customHeight="1" s="1127">
      <c r="B496" s="422" t="n">
        <v>46167</v>
      </c>
      <c r="C496" s="425" t="inlineStr">
        <is>
          <t>Комуналка (ээ, газ, мусор)</t>
        </is>
      </c>
      <c r="D496" s="493" t="n"/>
      <c r="E496" s="427" t="n">
        <v>8626227</v>
      </c>
      <c r="F496" s="381" t="inlineStr">
        <is>
          <t>Выплачено</t>
        </is>
      </c>
      <c r="G496" s="456">
        <f>G495-6000000</f>
        <v/>
      </c>
    </row>
    <row r="497" hidden="1" outlineLevel="2" ht="13.8" customHeight="1" s="1127">
      <c r="B497" s="422" t="n">
        <v>46167</v>
      </c>
      <c r="C497" s="425" t="inlineStr">
        <is>
          <t>налоги</t>
        </is>
      </c>
      <c r="D497" s="493" t="n"/>
      <c r="E497" s="427" t="n">
        <v>13247636</v>
      </c>
      <c r="F497" s="381" t="inlineStr">
        <is>
          <t>Выплачено</t>
        </is>
      </c>
    </row>
    <row r="498" hidden="1" outlineLevel="2" ht="13.8" customHeight="1" s="1127">
      <c r="B498" s="422" t="n">
        <v>46167</v>
      </c>
      <c r="C498" s="456" t="inlineStr">
        <is>
          <t xml:space="preserve">Закуп </t>
        </is>
      </c>
      <c r="D498" s="493" t="n"/>
      <c r="E498" s="427" t="n">
        <v>16797147</v>
      </c>
      <c r="F498" s="381" t="inlineStr">
        <is>
          <t>Выплачено</t>
        </is>
      </c>
    </row>
    <row r="499" hidden="1" outlineLevel="2" ht="13.8" customHeight="1" s="1127">
      <c r="B499" s="457" t="n">
        <v>46168</v>
      </c>
      <c r="C499" s="425" t="inlineStr">
        <is>
          <t>ЗП Производство (нал)</t>
        </is>
      </c>
      <c r="D499" s="493" t="n">
        <v>8559000</v>
      </c>
      <c r="E499" s="219" t="n"/>
      <c r="F499" s="381" t="inlineStr">
        <is>
          <t>Выплачено</t>
        </is>
      </c>
      <c r="G499" s="445" t="inlineStr">
        <is>
          <t>ост зп по производства  10 729 000</t>
        </is>
      </c>
      <c r="H499" s="445" t="n"/>
    </row>
    <row r="500" hidden="1" outlineLevel="2" ht="13.8" customHeight="1" s="1127">
      <c r="B500" s="422" t="n">
        <v>46168</v>
      </c>
      <c r="C500" s="425" t="inlineStr">
        <is>
          <t>Компания  Standard Life АО страхование</t>
        </is>
      </c>
      <c r="D500" s="426" t="n"/>
      <c r="E500" s="427" t="n">
        <v>427718</v>
      </c>
      <c r="F500" s="381" t="inlineStr">
        <is>
          <t>Выплачено</t>
        </is>
      </c>
    </row>
    <row r="501" hidden="1" outlineLevel="2" ht="13.8" customHeight="1" s="1127">
      <c r="B501" s="457" t="n">
        <v>46168</v>
      </c>
      <c r="C501" s="425" t="inlineStr">
        <is>
          <t xml:space="preserve">Ли Станислав </t>
        </is>
      </c>
      <c r="D501" s="493" t="n">
        <v>800000</v>
      </c>
      <c r="E501" s="427" t="n"/>
      <c r="F501" s="381" t="inlineStr">
        <is>
          <t>Выплачено</t>
        </is>
      </c>
    </row>
    <row r="502" hidden="1" outlineLevel="2" ht="17.4" customHeight="1" s="1127">
      <c r="B502" s="457" t="n">
        <v>46168</v>
      </c>
      <c r="C502" s="458" t="inlineStr">
        <is>
          <t>дорожные за 21.05</t>
        </is>
      </c>
      <c r="D502" s="493" t="n">
        <v>4000</v>
      </c>
      <c r="E502" s="427" t="n"/>
      <c r="F502" s="381" t="inlineStr">
        <is>
          <t>Выплачено</t>
        </is>
      </c>
    </row>
    <row r="503" hidden="1" outlineLevel="2" ht="16.8" customHeight="1" s="1127">
      <c r="B503" s="457" t="n">
        <v>46169</v>
      </c>
      <c r="C503" s="459" t="inlineStr">
        <is>
          <t xml:space="preserve">Ли Станислав </t>
        </is>
      </c>
      <c r="D503" s="493" t="n">
        <v>500000</v>
      </c>
      <c r="E503" s="427" t="n"/>
      <c r="F503" s="381" t="inlineStr">
        <is>
          <t>Выплачено</t>
        </is>
      </c>
    </row>
    <row r="504" hidden="1" outlineLevel="2" ht="13.8" customHeight="1" s="1127">
      <c r="B504" s="457" t="n">
        <v>46169</v>
      </c>
      <c r="C504" s="425" t="inlineStr">
        <is>
          <t>ЗП АУП (нал)</t>
        </is>
      </c>
      <c r="D504" s="493" t="n">
        <v>4239252</v>
      </c>
      <c r="E504" s="427" t="n"/>
      <c r="F504" s="381" t="inlineStr">
        <is>
          <t>Выплачено</t>
        </is>
      </c>
    </row>
    <row r="505" hidden="1" outlineLevel="2" ht="13.8" customHeight="1" s="1127">
      <c r="B505" s="457" t="n">
        <v>46169</v>
      </c>
      <c r="C505" s="425" t="inlineStr">
        <is>
          <t xml:space="preserve">ЧП №1 за лекарства и прем врача ребилитолога </t>
        </is>
      </c>
      <c r="D505" s="493" t="n">
        <v>60329</v>
      </c>
      <c r="E505" s="427" t="n"/>
      <c r="F505" s="381" t="inlineStr">
        <is>
          <t>Выплачено</t>
        </is>
      </c>
    </row>
    <row r="506" hidden="1" outlineLevel="2" ht="13.8" customHeight="1" s="1127">
      <c r="B506" s="457" t="n">
        <v>46169</v>
      </c>
      <c r="C506" s="425" t="inlineStr">
        <is>
          <t>Вывоз мусора</t>
        </is>
      </c>
      <c r="D506" s="493" t="n"/>
      <c r="E506" s="427" t="n">
        <v>635920</v>
      </c>
      <c r="F506" s="381" t="inlineStr">
        <is>
          <t>Выплачено</t>
        </is>
      </c>
    </row>
    <row r="507" hidden="1" outlineLevel="2" ht="13.8" customHeight="1" s="1127">
      <c r="B507" s="457" t="n">
        <v>46169</v>
      </c>
      <c r="C507" s="425" t="inlineStr">
        <is>
          <t>Александр М. (за барана)</t>
        </is>
      </c>
      <c r="D507" s="460" t="n">
        <v>130000</v>
      </c>
      <c r="E507" s="427" t="n"/>
      <c r="F507" s="381" t="inlineStr">
        <is>
          <t>Выплачено</t>
        </is>
      </c>
    </row>
    <row r="508" hidden="1" outlineLevel="2" ht="13.8" customHeight="1" s="1127">
      <c r="B508" s="457" t="n">
        <v>46169</v>
      </c>
      <c r="C508" s="456" t="inlineStr">
        <is>
          <t xml:space="preserve">Дорожный Жанна  </t>
        </is>
      </c>
      <c r="D508" s="493" t="n">
        <v>7198</v>
      </c>
      <c r="E508" s="427" t="n"/>
      <c r="F508" s="381" t="inlineStr">
        <is>
          <t>Выплачено</t>
        </is>
      </c>
    </row>
    <row r="509" hidden="1" outlineLevel="2" ht="13.8" customHeight="1" s="1127">
      <c r="B509" s="422" t="n">
        <v>46169</v>
      </c>
      <c r="C509" s="425" t="inlineStr">
        <is>
          <t>Подотчёт снабжение (Жибек)</t>
        </is>
      </c>
      <c r="D509" s="493" t="n">
        <v>100000</v>
      </c>
      <c r="E509" s="427" t="n"/>
      <c r="F509" s="381" t="inlineStr">
        <is>
          <t>Выплачено</t>
        </is>
      </c>
    </row>
    <row r="510" hidden="1" outlineLevel="2" ht="13.8" customHeight="1" s="1127">
      <c r="B510" s="422" t="n">
        <v>46169</v>
      </c>
      <c r="C510" s="456" t="inlineStr">
        <is>
          <t>Вызывной техперсонал   и грузчики</t>
        </is>
      </c>
      <c r="D510" s="493" t="n">
        <v>48000</v>
      </c>
      <c r="E510" s="219" t="n"/>
      <c r="F510" s="381" t="inlineStr">
        <is>
          <t>Выплачено</t>
        </is>
      </c>
    </row>
    <row r="511" hidden="1" outlineLevel="2" ht="13.8" customHeight="1" s="1127">
      <c r="B511" s="422" t="n">
        <v>46170</v>
      </c>
      <c r="C511" s="68" t="inlineStr">
        <is>
          <t xml:space="preserve">ЗП Лагман </t>
        </is>
      </c>
      <c r="D511" s="493" t="n">
        <v>296000</v>
      </c>
      <c r="E511" s="427" t="n"/>
      <c r="F511" s="381" t="inlineStr">
        <is>
          <t>Выплачено</t>
        </is>
      </c>
    </row>
    <row r="512" hidden="1" outlineLevel="2" ht="13.8" customHeight="1" s="1127">
      <c r="B512" s="422" t="n">
        <v>46170</v>
      </c>
      <c r="C512" s="425" t="inlineStr">
        <is>
          <t>Униформа ИП Craft</t>
        </is>
      </c>
      <c r="D512" s="426" t="n">
        <v>520000</v>
      </c>
      <c r="E512" s="427" t="n"/>
      <c r="F512" s="381" t="inlineStr">
        <is>
          <t>Выплачено</t>
        </is>
      </c>
    </row>
    <row r="513" hidden="1" outlineLevel="2" ht="13.8" customHeight="1" s="1127">
      <c r="B513" s="422" t="n">
        <v>46170</v>
      </c>
      <c r="C513" s="425" t="inlineStr">
        <is>
          <t>ЗП АУП (нал)</t>
        </is>
      </c>
      <c r="D513" s="426" t="n">
        <v>3669773</v>
      </c>
      <c r="E513" s="427" t="n"/>
      <c r="F513" s="381" t="inlineStr">
        <is>
          <t>Выплачено</t>
        </is>
      </c>
    </row>
    <row r="514" hidden="1" outlineLevel="2" ht="13.8" customHeight="1" s="1127">
      <c r="B514" s="422" t="n">
        <v>46170</v>
      </c>
      <c r="C514" s="450" t="inlineStr">
        <is>
          <t>Компания Экологического проектирования</t>
        </is>
      </c>
      <c r="D514" s="426" t="n"/>
      <c r="E514" s="427" t="n">
        <v>70000</v>
      </c>
      <c r="F514" s="381" t="inlineStr">
        <is>
          <t>Выплачено</t>
        </is>
      </c>
    </row>
    <row r="515" hidden="1" outlineLevel="2" ht="13.8" customHeight="1" s="1127">
      <c r="B515" s="422" t="n">
        <v>46170</v>
      </c>
      <c r="C515" s="450" t="inlineStr">
        <is>
          <t>Коннекторы RJ-45 в количестве 100 штук</t>
        </is>
      </c>
      <c r="D515" s="493" t="n">
        <v>6600</v>
      </c>
      <c r="E515" s="427" t="n"/>
      <c r="F515" s="381" t="inlineStr">
        <is>
          <t>Выплачено</t>
        </is>
      </c>
    </row>
    <row r="516" hidden="1" outlineLevel="2" ht="13.8" customHeight="1" s="1127">
      <c r="B516" s="422" t="n">
        <v>46170</v>
      </c>
      <c r="C516" s="68" t="inlineStr">
        <is>
          <t>Кварира Олеся С</t>
        </is>
      </c>
      <c r="D516" s="493" t="n">
        <v>350000</v>
      </c>
      <c r="E516" s="427" t="n"/>
      <c r="F516" s="381" t="inlineStr">
        <is>
          <t>Выплачено</t>
        </is>
      </c>
    </row>
    <row r="517" hidden="1" outlineLevel="2" ht="13.8" customHeight="1" s="1127">
      <c r="A517" s="461" t="inlineStr">
        <is>
          <t>расход</t>
        </is>
      </c>
      <c r="B517" s="422" t="n">
        <v>46171</v>
      </c>
      <c r="C517" s="425" t="inlineStr">
        <is>
          <t>APF service company ИП</t>
        </is>
      </c>
      <c r="D517" s="493" t="n"/>
      <c r="E517" s="424" t="inlineStr">
        <is>
          <t>478 500</t>
        </is>
      </c>
      <c r="F517" s="381" t="inlineStr">
        <is>
          <t>Выплачено</t>
        </is>
      </c>
    </row>
    <row r="518" hidden="1" outlineLevel="2" ht="13.8" customHeight="1" s="1127">
      <c r="A518" s="461" t="inlineStr">
        <is>
          <t>расход</t>
        </is>
      </c>
      <c r="B518" s="422" t="n">
        <v>46171</v>
      </c>
      <c r="C518" s="425" t="inlineStr">
        <is>
          <t>Алексеевское ИП пищевые отходы</t>
        </is>
      </c>
      <c r="D518" s="493" t="n"/>
      <c r="E518" s="427" t="n">
        <v>100000</v>
      </c>
      <c r="F518" s="381" t="inlineStr">
        <is>
          <t>Выплачено</t>
        </is>
      </c>
    </row>
    <row r="519" hidden="1" outlineLevel="2" ht="13.8" customHeight="1" s="1127">
      <c r="A519" s="461" t="inlineStr">
        <is>
          <t>расход</t>
        </is>
      </c>
      <c r="B519" s="422" t="n">
        <v>46171</v>
      </c>
      <c r="C519" s="425" t="inlineStr">
        <is>
          <t>Аванс Каспи</t>
        </is>
      </c>
      <c r="D519" s="493" t="n">
        <v>1760000</v>
      </c>
      <c r="E519" s="427" t="n"/>
      <c r="F519" s="381" t="inlineStr">
        <is>
          <t>Выплачено</t>
        </is>
      </c>
    </row>
    <row r="520" hidden="1" outlineLevel="2" ht="13.8" customHeight="1" s="1127">
      <c r="A520" s="461" t="inlineStr">
        <is>
          <t>расход</t>
        </is>
      </c>
      <c r="B520" s="457" t="n">
        <v>46171</v>
      </c>
      <c r="C520" s="425" t="inlineStr">
        <is>
          <t xml:space="preserve">Аванс Акерке  </t>
        </is>
      </c>
      <c r="D520" s="424" t="n">
        <v>150000</v>
      </c>
      <c r="E520" s="427" t="n"/>
      <c r="F520" s="381" t="inlineStr">
        <is>
          <t>Выплачено</t>
        </is>
      </c>
    </row>
    <row r="521" hidden="1" outlineLevel="2" ht="14.4" customHeight="1" s="1127">
      <c r="A521" s="461" t="inlineStr">
        <is>
          <t>расход</t>
        </is>
      </c>
      <c r="B521" s="462" t="n">
        <v>46170</v>
      </c>
      <c r="C521" s="463" t="inlineStr">
        <is>
          <t>Дубницкий Роман</t>
        </is>
      </c>
      <c r="D521" s="479" t="n">
        <v>414773</v>
      </c>
      <c r="E521" s="465" t="n"/>
      <c r="F521" s="381" t="inlineStr">
        <is>
          <t>Выплачено</t>
        </is>
      </c>
    </row>
    <row r="522" hidden="1" outlineLevel="2" ht="14.4" customHeight="1" s="1127">
      <c r="A522" s="461" t="inlineStr">
        <is>
          <t>расход</t>
        </is>
      </c>
      <c r="B522" s="462" t="n">
        <v>46171</v>
      </c>
      <c r="C522" s="463" t="inlineStr">
        <is>
          <t>Тен Николай</t>
        </is>
      </c>
      <c r="D522" s="479" t="n">
        <v>1246187</v>
      </c>
      <c r="E522" s="466" t="n"/>
      <c r="F522" s="381" t="inlineStr">
        <is>
          <t>Выплачено</t>
        </is>
      </c>
    </row>
    <row r="523" hidden="1" outlineLevel="2" ht="14.4" customHeight="1" s="1127">
      <c r="A523" s="461" t="inlineStr">
        <is>
          <t>расход</t>
        </is>
      </c>
      <c r="B523" s="462" t="n">
        <v>46171</v>
      </c>
      <c r="C523" s="467" t="inlineStr">
        <is>
          <t>Акбарова Турсынай</t>
        </is>
      </c>
      <c r="D523" s="468" t="n">
        <v>217111</v>
      </c>
      <c r="E523" s="465" t="n"/>
      <c r="F523" s="381" t="inlineStr">
        <is>
          <t>Выплачено</t>
        </is>
      </c>
    </row>
    <row r="524" hidden="1" outlineLevel="2" ht="14.4" customHeight="1" s="1127">
      <c r="A524" s="461" t="inlineStr">
        <is>
          <t>расход</t>
        </is>
      </c>
      <c r="B524" s="462" t="n">
        <v>46171</v>
      </c>
      <c r="C524" s="463" t="inlineStr">
        <is>
          <t>Якупов Артем</t>
        </is>
      </c>
      <c r="D524" s="468" t="n">
        <v>170000</v>
      </c>
      <c r="E524" s="465" t="n"/>
      <c r="F524" s="381" t="inlineStr">
        <is>
          <t>Выплачено</t>
        </is>
      </c>
    </row>
    <row r="525" hidden="1" outlineLevel="2" ht="13.8" customHeight="1" s="1127">
      <c r="A525" s="461" t="inlineStr">
        <is>
          <t>расход</t>
        </is>
      </c>
      <c r="B525" s="462" t="n">
        <v>46171</v>
      </c>
      <c r="C525" s="223" t="inlineStr">
        <is>
          <t xml:space="preserve">Елеусиз Бакдаулет </t>
        </is>
      </c>
      <c r="D525" s="469" t="inlineStr">
        <is>
          <t>396 440</t>
        </is>
      </c>
      <c r="E525" s="465" t="n"/>
      <c r="F525" s="381" t="inlineStr">
        <is>
          <t>Выплачено</t>
        </is>
      </c>
    </row>
    <row r="526" hidden="1" outlineLevel="2" ht="13.8" customHeight="1" s="1127">
      <c r="A526" s="461" t="inlineStr">
        <is>
          <t>расход</t>
        </is>
      </c>
      <c r="B526" s="457" t="n">
        <v>46171</v>
      </c>
      <c r="C526" s="456" t="inlineStr">
        <is>
          <t xml:space="preserve">Бижан </t>
        </is>
      </c>
      <c r="E526" s="427" t="n">
        <v>800000</v>
      </c>
      <c r="F526" s="381" t="inlineStr">
        <is>
          <t>Выплачено</t>
        </is>
      </c>
    </row>
    <row r="527" hidden="1" outlineLevel="2" ht="13.8" customHeight="1" s="1127">
      <c r="A527" s="461" t="inlineStr">
        <is>
          <t>расход</t>
        </is>
      </c>
      <c r="B527" s="457" t="n">
        <v>46171</v>
      </c>
      <c r="C527" s="425" t="inlineStr">
        <is>
          <t xml:space="preserve">Кумархан Айжан </t>
        </is>
      </c>
      <c r="D527" s="493" t="n">
        <v>425000</v>
      </c>
      <c r="E527" s="427" t="n"/>
      <c r="F527" s="381" t="inlineStr">
        <is>
          <t>Выплачено</t>
        </is>
      </c>
    </row>
    <row r="528" outlineLevel="1" ht="13.8" customHeight="1" s="1127">
      <c r="A528" s="461" t="inlineStr">
        <is>
          <t>расход</t>
        </is>
      </c>
      <c r="B528" s="457" t="n">
        <v>46174</v>
      </c>
      <c r="C528" s="425" t="inlineStr">
        <is>
          <t>Закуп утро (до 10.00 с учётом начальных остатков)</t>
        </is>
      </c>
      <c r="D528" s="424" t="n"/>
      <c r="E528" s="427" t="n">
        <v>3341596</v>
      </c>
      <c r="F528" s="381" t="inlineStr">
        <is>
          <t>Выплачено</t>
        </is>
      </c>
    </row>
    <row r="529" outlineLevel="1" ht="13.8" customHeight="1" s="1127">
      <c r="A529" s="461" t="inlineStr">
        <is>
          <t>расход</t>
        </is>
      </c>
      <c r="B529" s="457" t="n">
        <v>46175</v>
      </c>
      <c r="C529" s="456" t="inlineStr">
        <is>
          <t xml:space="preserve">Закуп утро </t>
        </is>
      </c>
      <c r="D529" s="493" t="n"/>
      <c r="E529" s="427" t="n">
        <v>8662102</v>
      </c>
      <c r="F529" s="381" t="inlineStr">
        <is>
          <t>Выплачено</t>
        </is>
      </c>
    </row>
    <row r="530" outlineLevel="1" ht="13.8" customHeight="1" s="1127">
      <c r="A530" s="461" t="inlineStr">
        <is>
          <t>расход</t>
        </is>
      </c>
      <c r="B530" s="457" t="n">
        <v>46175</v>
      </c>
      <c r="C530" s="425" t="inlineStr">
        <is>
          <t>уволенные</t>
        </is>
      </c>
      <c r="D530" s="424" t="n">
        <v>1078552</v>
      </c>
      <c r="E530" s="427" t="n"/>
      <c r="F530" s="381" t="inlineStr">
        <is>
          <t>Выплачено</t>
        </is>
      </c>
    </row>
    <row r="531" outlineLevel="1" ht="13.8" customHeight="1" s="1127">
      <c r="A531" s="461" t="inlineStr">
        <is>
          <t>расход</t>
        </is>
      </c>
      <c r="B531" s="457" t="n">
        <v>46175</v>
      </c>
      <c r="C531" s="425" t="inlineStr">
        <is>
          <t xml:space="preserve">Ли Станислав </t>
        </is>
      </c>
      <c r="D531" s="424" t="n">
        <v>600000</v>
      </c>
      <c r="E531" s="427" t="n"/>
      <c r="F531" s="381" t="inlineStr">
        <is>
          <t>Выплачено</t>
        </is>
      </c>
    </row>
    <row r="532" outlineLevel="1" ht="13.8" customHeight="1" s="1127">
      <c r="A532" s="461" t="inlineStr">
        <is>
          <t>расход</t>
        </is>
      </c>
      <c r="B532" s="457" t="n">
        <v>46144</v>
      </c>
      <c r="C532" s="425" t="inlineStr">
        <is>
          <t xml:space="preserve">Айран и по СЗ Жибек  </t>
        </is>
      </c>
      <c r="D532" s="424" t="n">
        <v>79320</v>
      </c>
      <c r="E532" s="427" t="n"/>
      <c r="F532" s="381" t="inlineStr">
        <is>
          <t>Выплачено</t>
        </is>
      </c>
    </row>
    <row r="533" outlineLevel="1" ht="13.8" customHeight="1" s="1127">
      <c r="A533" s="461" t="inlineStr">
        <is>
          <t>расход</t>
        </is>
      </c>
      <c r="B533" s="457" t="n">
        <v>46175</v>
      </c>
      <c r="C533" s="425" t="inlineStr">
        <is>
          <t>Закуп вечер</t>
        </is>
      </c>
      <c r="D533" s="68" t="n"/>
      <c r="E533" s="427" t="n">
        <v>7116060</v>
      </c>
      <c r="F533" s="381" t="inlineStr">
        <is>
          <t>Выплачено</t>
        </is>
      </c>
    </row>
    <row r="534" outlineLevel="1" ht="13.8" customHeight="1" s="1127">
      <c r="A534" s="461" t="inlineStr">
        <is>
          <t>расход</t>
        </is>
      </c>
      <c r="B534" s="457" t="n">
        <v>46175</v>
      </c>
      <c r="C534" s="68" t="inlineStr">
        <is>
          <t>ABAY ИП</t>
        </is>
      </c>
      <c r="D534" s="68" t="n"/>
      <c r="E534" s="427" t="n">
        <v>586000</v>
      </c>
      <c r="F534" s="381" t="inlineStr">
        <is>
          <t>Выплачено</t>
        </is>
      </c>
    </row>
    <row r="535" outlineLevel="1" ht="13.8" customHeight="1" s="1127">
      <c r="A535" s="461" t="inlineStr">
        <is>
          <t>расход</t>
        </is>
      </c>
      <c r="B535" s="470" t="n">
        <v>46176</v>
      </c>
      <c r="C535" s="471" t="inlineStr">
        <is>
          <t xml:space="preserve">Access Group </t>
        </is>
      </c>
      <c r="D535" s="474" t="n"/>
      <c r="E535" s="473" t="n">
        <v>82177</v>
      </c>
      <c r="F535" s="381" t="inlineStr">
        <is>
          <t>Выплачено</t>
        </is>
      </c>
    </row>
    <row r="536" outlineLevel="1" ht="13.8" customHeight="1" s="1127">
      <c r="A536" s="461" t="inlineStr">
        <is>
          <t>расход</t>
        </is>
      </c>
      <c r="B536" s="470" t="n">
        <v>46176</v>
      </c>
      <c r="C536" s="474" t="inlineStr">
        <is>
          <t xml:space="preserve">Закуп утро </t>
        </is>
      </c>
      <c r="D536" s="475" t="n"/>
      <c r="E536" s="473">
        <f>300000+1498200</f>
        <v/>
      </c>
      <c r="F536" s="381" t="inlineStr">
        <is>
          <t>Выплачено</t>
        </is>
      </c>
    </row>
    <row r="537" outlineLevel="1" ht="13.8" customHeight="1" s="1127">
      <c r="A537" s="461" t="inlineStr">
        <is>
          <t>расход</t>
        </is>
      </c>
      <c r="B537" s="470" t="n">
        <v>46176</v>
      </c>
      <c r="C537" s="471" t="inlineStr">
        <is>
          <t>За заправку картриджей</t>
        </is>
      </c>
      <c r="D537" s="477" t="n"/>
      <c r="E537" s="473" t="n">
        <v>49500</v>
      </c>
      <c r="F537" s="381" t="inlineStr">
        <is>
          <t>Выплачено</t>
        </is>
      </c>
    </row>
    <row r="538" outlineLevel="1" ht="13.8" customHeight="1" s="1127">
      <c r="A538" s="461" t="inlineStr">
        <is>
          <t>расход</t>
        </is>
      </c>
      <c r="B538" s="470" t="n">
        <v>46176</v>
      </c>
      <c r="C538" s="471" t="inlineStr">
        <is>
          <t>За лицензию Wazzup для работа call центра</t>
        </is>
      </c>
      <c r="D538" s="477" t="n"/>
      <c r="E538" s="473" t="n">
        <v>36000</v>
      </c>
      <c r="F538" s="381" t="inlineStr">
        <is>
          <t>Выплачено</t>
        </is>
      </c>
    </row>
    <row r="539" outlineLevel="1" ht="13.8" customHeight="1" s="1127">
      <c r="A539" s="461" t="inlineStr">
        <is>
          <t>расход</t>
        </is>
      </c>
      <c r="B539" s="470" t="n">
        <v>46176</v>
      </c>
      <c r="C539" s="471" t="inlineStr">
        <is>
          <t xml:space="preserve">Кафе софт </t>
        </is>
      </c>
      <c r="D539" s="475" t="n"/>
      <c r="E539" s="473" t="n">
        <v>85400</v>
      </c>
      <c r="F539" s="381" t="inlineStr">
        <is>
          <t>Выплачено</t>
        </is>
      </c>
    </row>
    <row r="540" outlineLevel="1" ht="13.8" customHeight="1" s="1127">
      <c r="A540" s="461" t="inlineStr">
        <is>
          <t>расход</t>
        </is>
      </c>
      <c r="B540" s="470" t="n">
        <v>46176</v>
      </c>
      <c r="C540" s="477" t="inlineStr">
        <is>
          <t>ТОО "Компания Э-КОМ ПРАЙМ"</t>
        </is>
      </c>
      <c r="D540" s="475" t="n"/>
      <c r="E540" s="473" t="n">
        <v>90000</v>
      </c>
      <c r="F540" s="381" t="inlineStr">
        <is>
          <t>Выплачено</t>
        </is>
      </c>
    </row>
    <row r="541" outlineLevel="1" ht="13.8" customHeight="1" s="1127">
      <c r="A541" s="461" t="inlineStr">
        <is>
          <t>расход</t>
        </is>
      </c>
      <c r="B541" s="470" t="n">
        <v>46176</v>
      </c>
      <c r="C541" s="471" t="inlineStr">
        <is>
          <t xml:space="preserve">Жибек СЗ </t>
        </is>
      </c>
      <c r="D541" s="475" t="n">
        <v>15800</v>
      </c>
      <c r="E541" s="473" t="n"/>
      <c r="F541" s="381" t="inlineStr">
        <is>
          <t>Выплачено</t>
        </is>
      </c>
    </row>
    <row r="542" outlineLevel="1" ht="13.8" customHeight="1" s="1127">
      <c r="A542" s="461" t="inlineStr">
        <is>
          <t>расход</t>
        </is>
      </c>
      <c r="B542" s="470" t="n">
        <v>46176</v>
      </c>
      <c r="C542" s="471" t="inlineStr">
        <is>
          <t>На размещение платных обьявлений</t>
        </is>
      </c>
      <c r="D542" s="475" t="n">
        <v>20000</v>
      </c>
      <c r="E542" s="477" t="n"/>
      <c r="F542" s="381" t="inlineStr">
        <is>
          <t>Выплачено</t>
        </is>
      </c>
    </row>
    <row r="543" outlineLevel="1" ht="13.8" customHeight="1" s="1127">
      <c r="A543" s="461" t="inlineStr">
        <is>
          <t>расход</t>
        </is>
      </c>
      <c r="B543" s="470" t="n">
        <v>46176</v>
      </c>
      <c r="C543" s="471" t="inlineStr">
        <is>
          <t>Аванс Нал (выдавала  750 000)</t>
        </is>
      </c>
      <c r="D543" s="478" t="n">
        <v>750000</v>
      </c>
      <c r="E543" s="477" t="n"/>
      <c r="F543" s="381" t="inlineStr">
        <is>
          <t>Выплачено</t>
        </is>
      </c>
    </row>
    <row r="544" outlineLevel="1" ht="13.8" customHeight="1" s="1127">
      <c r="A544" s="461" t="inlineStr">
        <is>
          <t>расход</t>
        </is>
      </c>
      <c r="B544" s="470" t="n">
        <v>46176</v>
      </c>
      <c r="C544" s="471" t="inlineStr">
        <is>
          <t>Дорожные за  28/05</t>
        </is>
      </c>
      <c r="D544" s="475" t="n">
        <v>6000</v>
      </c>
      <c r="E544" s="477" t="n"/>
      <c r="F544" s="381" t="inlineStr">
        <is>
          <t>Выплачено</t>
        </is>
      </c>
    </row>
    <row r="545" outlineLevel="1" ht="13.8" customHeight="1" s="1127">
      <c r="A545" s="461" t="inlineStr">
        <is>
          <t>расход</t>
        </is>
      </c>
      <c r="B545" s="470" t="n">
        <v>46176</v>
      </c>
      <c r="C545" s="477" t="inlineStr">
        <is>
          <t xml:space="preserve">Эрик капуста </t>
        </is>
      </c>
      <c r="D545" s="475" t="n">
        <v>536450</v>
      </c>
      <c r="E545" s="473" t="n"/>
      <c r="F545" s="381" t="inlineStr">
        <is>
          <t>Выплачено</t>
        </is>
      </c>
    </row>
    <row r="546" outlineLevel="1" ht="13.8" customHeight="1" s="1127">
      <c r="A546" s="461" t="inlineStr">
        <is>
          <t>расход</t>
        </is>
      </c>
      <c r="B546" s="470" t="n">
        <v>46176</v>
      </c>
      <c r="C546" s="477" t="inlineStr">
        <is>
          <t xml:space="preserve">Ли Станислав </t>
        </is>
      </c>
      <c r="D546" s="475" t="n">
        <v>500000</v>
      </c>
      <c r="E546" s="473" t="n"/>
      <c r="F546" s="381" t="inlineStr">
        <is>
          <t>Выплачено</t>
        </is>
      </c>
    </row>
    <row r="547" outlineLevel="1" ht="13.8" customHeight="1" s="1127">
      <c r="A547" s="461" t="inlineStr">
        <is>
          <t>расход</t>
        </is>
      </c>
      <c r="B547" s="470" t="n">
        <v>46176</v>
      </c>
      <c r="C547" s="471" t="inlineStr">
        <is>
          <t>За оплату хостинга и домена для сайта olive-nutri-baza</t>
        </is>
      </c>
      <c r="D547" s="475" t="n">
        <v>14380</v>
      </c>
      <c r="E547" s="473" t="n"/>
      <c r="F547" s="381" t="inlineStr">
        <is>
          <t>Выплачено</t>
        </is>
      </c>
    </row>
    <row r="548" outlineLevel="1" ht="13.8" customHeight="1" s="1127">
      <c r="A548" s="461" t="inlineStr">
        <is>
          <t>расход</t>
        </is>
      </c>
      <c r="B548" s="457" t="n">
        <v>46176</v>
      </c>
      <c r="C548" s="68" t="inlineStr">
        <is>
          <t>Вызывной техперсонал   и грузчики 01.06</t>
        </is>
      </c>
      <c r="D548" s="424" t="n">
        <v>48000</v>
      </c>
      <c r="E548" s="427" t="n"/>
      <c r="F548" s="381" t="inlineStr">
        <is>
          <t>Выплачено</t>
        </is>
      </c>
    </row>
    <row r="549" outlineLevel="1" ht="13.8" customHeight="1" s="1127">
      <c r="A549" s="461" t="inlineStr">
        <is>
          <t>расход</t>
        </is>
      </c>
      <c r="B549" s="457" t="n">
        <v>46176</v>
      </c>
      <c r="C549" s="68" t="inlineStr">
        <is>
          <t xml:space="preserve">Кадирова Гульжахирам ЗП за апрель </t>
        </is>
      </c>
      <c r="D549" s="424" t="n">
        <v>77000</v>
      </c>
      <c r="E549" s="427" t="n"/>
      <c r="F549" s="381" t="inlineStr">
        <is>
          <t>Выплачено</t>
        </is>
      </c>
    </row>
    <row r="550" outlineLevel="1" ht="13.8" customHeight="1" s="1127">
      <c r="A550" s="461" t="inlineStr">
        <is>
          <t>расход</t>
        </is>
      </c>
      <c r="B550" s="457" t="n">
        <v>46145</v>
      </c>
      <c r="C550" s="425" t="inlineStr">
        <is>
          <t>Рынок сырье</t>
        </is>
      </c>
      <c r="D550" s="424" t="n">
        <v>264000</v>
      </c>
      <c r="E550" s="427" t="n"/>
      <c r="F550" s="381" t="inlineStr">
        <is>
          <t>Выплачено</t>
        </is>
      </c>
    </row>
    <row r="551" outlineLevel="1" ht="13.8" customHeight="1" s="1127">
      <c r="A551" s="461" t="inlineStr">
        <is>
          <t>расход</t>
        </is>
      </c>
      <c r="B551" s="457" t="n">
        <v>46177</v>
      </c>
      <c r="C551" s="425" t="inlineStr">
        <is>
          <t>ЗП Олеся за апрель</t>
        </is>
      </c>
      <c r="D551" s="424" t="n">
        <v>1000000</v>
      </c>
      <c r="E551" s="427" t="n"/>
      <c r="F551" s="381" t="inlineStr">
        <is>
          <t>Выплачено</t>
        </is>
      </c>
    </row>
    <row r="552" outlineLevel="1" ht="13.8" customHeight="1" s="1127">
      <c r="A552" s="461" t="inlineStr">
        <is>
          <t>расход</t>
        </is>
      </c>
      <c r="B552" s="457" t="n">
        <v>46177</v>
      </c>
      <c r="C552" s="425" t="inlineStr">
        <is>
          <t>ЗП Сергей за апрель</t>
        </is>
      </c>
      <c r="D552" s="427" t="n">
        <v>1000000</v>
      </c>
      <c r="F552" s="381" t="inlineStr">
        <is>
          <t>Выплачено</t>
        </is>
      </c>
    </row>
    <row r="553" outlineLevel="1" ht="13.8" customHeight="1" s="1127">
      <c r="A553" s="461" t="inlineStr">
        <is>
          <t>расход</t>
        </is>
      </c>
      <c r="B553" s="457" t="n">
        <v>46177</v>
      </c>
      <c r="C553" s="425" t="inlineStr">
        <is>
          <t>Закуп утро</t>
        </is>
      </c>
      <c r="D553" s="424" t="n"/>
      <c r="E553" s="427" t="n">
        <v>3239169</v>
      </c>
      <c r="F553" s="381" t="inlineStr">
        <is>
          <t>Выплачено</t>
        </is>
      </c>
    </row>
    <row r="554" outlineLevel="1" ht="18" customHeight="1" s="1127">
      <c r="A554" s="461" t="inlineStr">
        <is>
          <t>расход</t>
        </is>
      </c>
      <c r="B554" s="457" t="n">
        <v>46177</v>
      </c>
      <c r="C554" s="425" t="inlineStr">
        <is>
          <t>Закуп вечер</t>
        </is>
      </c>
      <c r="D554" s="424" t="n">
        <v>500000</v>
      </c>
      <c r="E554" s="427" t="n">
        <v>5964642</v>
      </c>
      <c r="F554" s="381" t="inlineStr">
        <is>
          <t>Выплачено</t>
        </is>
      </c>
    </row>
    <row r="555" outlineLevel="1" ht="13.8" customHeight="1" s="1127">
      <c r="A555" s="461" t="inlineStr">
        <is>
          <t>расход</t>
        </is>
      </c>
      <c r="B555" s="457" t="n">
        <v>46146</v>
      </c>
      <c r="C555" s="425" t="inlineStr">
        <is>
          <t xml:space="preserve">Ли Станислав </t>
        </is>
      </c>
      <c r="D555" s="493" t="n">
        <v>500000</v>
      </c>
      <c r="E555" s="427" t="n"/>
      <c r="F555" s="381" t="inlineStr">
        <is>
          <t>Выплачено</t>
        </is>
      </c>
    </row>
    <row r="556" outlineLevel="1" ht="13.8" customHeight="1" s="1127">
      <c r="A556" s="461" t="inlineStr">
        <is>
          <t>расход</t>
        </is>
      </c>
      <c r="B556" s="457" t="n">
        <v>46177</v>
      </c>
      <c r="C556" s="425" t="inlineStr">
        <is>
          <t xml:space="preserve">Лагманщики недельная ЗП </t>
        </is>
      </c>
      <c r="D556" s="493" t="n">
        <v>400000</v>
      </c>
      <c r="E556" s="427" t="n"/>
      <c r="F556" s="381" t="inlineStr">
        <is>
          <t>Выплачено</t>
        </is>
      </c>
    </row>
    <row r="557" outlineLevel="1" ht="13.8" customHeight="1" s="1127">
      <c r="A557" s="461" t="inlineStr">
        <is>
          <t>расход</t>
        </is>
      </c>
      <c r="B557" s="457" t="n">
        <v>46177</v>
      </c>
      <c r="C557" s="425" t="inlineStr">
        <is>
          <t xml:space="preserve">Вызов  откачки жиро уловителя. </t>
        </is>
      </c>
      <c r="D557" s="493" t="n">
        <v>50000</v>
      </c>
      <c r="E557" s="427" t="n"/>
      <c r="F557" s="381" t="inlineStr">
        <is>
          <t>Выплачено</t>
        </is>
      </c>
    </row>
    <row r="558" outlineLevel="1" ht="13.8" customHeight="1" s="1127">
      <c r="A558" s="461" t="inlineStr">
        <is>
          <t>расход</t>
        </is>
      </c>
      <c r="B558" s="457" t="n">
        <v>46177</v>
      </c>
      <c r="C558" s="425" t="inlineStr">
        <is>
          <t>Айнабекова Куралай</t>
        </is>
      </c>
      <c r="D558" s="493" t="n">
        <v>200000</v>
      </c>
      <c r="E558" s="427" t="n"/>
      <c r="F558" s="381" t="inlineStr">
        <is>
          <t>Выплачено</t>
        </is>
      </c>
    </row>
    <row r="559" outlineLevel="1" ht="13.8" customHeight="1" s="1127">
      <c r="A559" s="461" t="inlineStr">
        <is>
          <t>расход</t>
        </is>
      </c>
      <c r="B559" s="457" t="n">
        <v>46177</v>
      </c>
      <c r="C559" s="425" t="inlineStr">
        <is>
          <t>Бонус Той Март</t>
        </is>
      </c>
      <c r="D559" s="493" t="n">
        <v>397469</v>
      </c>
      <c r="E559" s="427" t="n"/>
      <c r="F559" s="381" t="inlineStr">
        <is>
          <t>Выплачено</t>
        </is>
      </c>
    </row>
    <row r="560" outlineLevel="1" ht="13.8" customHeight="1" s="1127">
      <c r="A560" s="461" t="inlineStr">
        <is>
          <t>расход</t>
        </is>
      </c>
      <c r="B560" s="457" t="n">
        <v>46178</v>
      </c>
      <c r="C560" s="425" t="inlineStr">
        <is>
          <t>Закуп форм маффины подотчет (служебка!)</t>
        </is>
      </c>
      <c r="D560" s="493" t="n">
        <v>200000</v>
      </c>
      <c r="E560" s="427" t="n"/>
      <c r="F560" s="381" t="inlineStr">
        <is>
          <t>Выплачено</t>
        </is>
      </c>
    </row>
    <row r="561" outlineLevel="1" ht="13.8" customHeight="1" s="1127">
      <c r="A561" s="461" t="inlineStr">
        <is>
          <t>расход</t>
        </is>
      </c>
      <c r="B561" s="457" t="n">
        <v>46178</v>
      </c>
      <c r="C561" s="425" t="inlineStr">
        <is>
          <t xml:space="preserve">Витамин + </t>
        </is>
      </c>
      <c r="D561" s="493" t="n"/>
      <c r="E561" s="427" t="n">
        <v>1006506</v>
      </c>
      <c r="F561" s="381" t="inlineStr">
        <is>
          <t>Выплачено</t>
        </is>
      </c>
    </row>
    <row r="562" outlineLevel="1" ht="13.8" customHeight="1" s="1127">
      <c r="A562" s="461" t="inlineStr">
        <is>
          <t>расход</t>
        </is>
      </c>
      <c r="B562" s="457" t="n">
        <v>46178</v>
      </c>
      <c r="C562" s="425" t="inlineStr">
        <is>
          <t>Handy Yummy яйцо</t>
        </is>
      </c>
      <c r="D562" s="493" t="n"/>
      <c r="E562" s="427" t="n">
        <v>691200</v>
      </c>
      <c r="F562" s="381" t="inlineStr">
        <is>
          <t>Выплачено</t>
        </is>
      </c>
    </row>
    <row r="563" outlineLevel="1" ht="13.8" customHeight="1" s="1127">
      <c r="A563" s="461" t="inlineStr">
        <is>
          <t>расход</t>
        </is>
      </c>
      <c r="B563" s="457" t="n">
        <v>46178</v>
      </c>
      <c r="C563" s="425" t="inlineStr">
        <is>
          <t xml:space="preserve">Champello </t>
        </is>
      </c>
      <c r="D563" s="493" t="n"/>
      <c r="E563" s="427" t="n">
        <v>170000</v>
      </c>
      <c r="F563" s="381" t="inlineStr">
        <is>
          <t>Выплачено</t>
        </is>
      </c>
    </row>
    <row r="564" outlineLevel="1" ht="14.4" customHeight="1" s="1127">
      <c r="A564" s="461" t="inlineStr">
        <is>
          <t>расход</t>
        </is>
      </c>
      <c r="B564" s="462" t="n">
        <v>46178</v>
      </c>
      <c r="C564" s="463" t="inlineStr">
        <is>
          <t>Куликова Татьяна</t>
        </is>
      </c>
      <c r="D564" s="479" t="n">
        <v>260585</v>
      </c>
      <c r="E564" s="465" t="n"/>
      <c r="F564" s="381" t="inlineStr">
        <is>
          <t>Выплачено</t>
        </is>
      </c>
    </row>
    <row r="565" outlineLevel="1" ht="14.4" customHeight="1" s="1127">
      <c r="A565" s="461" t="inlineStr">
        <is>
          <t>расход</t>
        </is>
      </c>
      <c r="B565" s="462" t="n">
        <v>46178</v>
      </c>
      <c r="C565" s="463" t="inlineStr">
        <is>
          <t>Шакенов Еламан</t>
        </is>
      </c>
      <c r="D565" s="479" t="n">
        <v>186267</v>
      </c>
      <c r="E565" s="465" t="n"/>
      <c r="F565" s="381" t="inlineStr">
        <is>
          <t>Выплачено</t>
        </is>
      </c>
    </row>
    <row r="566" outlineLevel="1" ht="14.4" customHeight="1" s="1127">
      <c r="A566" s="461" t="inlineStr">
        <is>
          <t>расход</t>
        </is>
      </c>
      <c r="B566" s="462" t="n">
        <v>46178</v>
      </c>
      <c r="C566" s="463" t="inlineStr">
        <is>
          <t>Актамкулова Жазира</t>
        </is>
      </c>
      <c r="D566" s="479" t="n">
        <v>160417</v>
      </c>
      <c r="E566" s="465" t="n"/>
      <c r="F566" s="381" t="inlineStr">
        <is>
          <t>Выплачено</t>
        </is>
      </c>
    </row>
    <row r="567" outlineLevel="1" ht="14.4" customHeight="1" s="1127">
      <c r="A567" s="461" t="inlineStr">
        <is>
          <t>расход</t>
        </is>
      </c>
      <c r="B567" s="462" t="n">
        <v>46178</v>
      </c>
      <c r="C567" s="463" t="inlineStr">
        <is>
          <t>Алыбаев Акжол</t>
        </is>
      </c>
      <c r="D567" s="479" t="n">
        <v>137000</v>
      </c>
      <c r="E567" s="465" t="n"/>
      <c r="F567" s="381" t="inlineStr">
        <is>
          <t>Выплачено</t>
        </is>
      </c>
    </row>
    <row r="568" outlineLevel="1" ht="14.4" customHeight="1" s="1127">
      <c r="A568" s="461" t="inlineStr">
        <is>
          <t>расход</t>
        </is>
      </c>
      <c r="B568" s="462" t="n">
        <v>46178</v>
      </c>
      <c r="C568" s="463" t="inlineStr">
        <is>
          <t>Мухпулов Ислам</t>
        </is>
      </c>
      <c r="D568" s="479" t="n">
        <v>252600</v>
      </c>
      <c r="E568" s="465" t="n"/>
      <c r="F568" s="381" t="inlineStr">
        <is>
          <t>Выплачено</t>
        </is>
      </c>
    </row>
    <row r="569" outlineLevel="1" ht="14.4" customHeight="1" s="1127">
      <c r="A569" s="461" t="inlineStr">
        <is>
          <t>расход</t>
        </is>
      </c>
      <c r="B569" s="462" t="n">
        <v>46178</v>
      </c>
      <c r="C569" s="463" t="inlineStr">
        <is>
          <t>Шевчук</t>
        </is>
      </c>
      <c r="D569" s="479" t="n">
        <v>740378</v>
      </c>
      <c r="E569" s="465" t="n"/>
      <c r="F569" s="381" t="inlineStr">
        <is>
          <t>Выплачено</t>
        </is>
      </c>
    </row>
    <row r="570" outlineLevel="1" ht="14.4" customHeight="1" s="1127">
      <c r="A570" s="461" t="inlineStr">
        <is>
          <t>расход</t>
        </is>
      </c>
      <c r="B570" s="462" t="n">
        <v>46178</v>
      </c>
      <c r="C570" s="463" t="inlineStr">
        <is>
          <t>Кубеева Эльмира</t>
        </is>
      </c>
      <c r="D570" s="479" t="inlineStr">
        <is>
          <t>153 862</t>
        </is>
      </c>
      <c r="E570" s="465" t="n"/>
      <c r="F570" s="381" t="inlineStr">
        <is>
          <t>Выплачено</t>
        </is>
      </c>
    </row>
    <row r="571" outlineLevel="1" ht="14.4" customHeight="1" s="1127">
      <c r="A571" s="461" t="inlineStr">
        <is>
          <t>расход</t>
        </is>
      </c>
      <c r="B571" s="462" t="n">
        <v>46178</v>
      </c>
      <c r="C571" s="463" t="inlineStr">
        <is>
          <t>Толегенова Акжунис</t>
        </is>
      </c>
      <c r="D571" s="479" t="inlineStr">
        <is>
          <t>172 394</t>
        </is>
      </c>
      <c r="E571" s="465" t="n"/>
      <c r="F571" s="381" t="inlineStr">
        <is>
          <t>Выплачено</t>
        </is>
      </c>
    </row>
    <row r="572" outlineLevel="1" ht="13.8" customHeight="1" s="1127">
      <c r="A572" s="461" t="inlineStr">
        <is>
          <t>расход</t>
        </is>
      </c>
      <c r="B572" s="462" t="n">
        <v>46178</v>
      </c>
      <c r="C572" s="480" t="inlineStr">
        <is>
          <t xml:space="preserve">Нурымбетова </t>
        </is>
      </c>
      <c r="D572" s="481" t="n">
        <v>100000</v>
      </c>
      <c r="E572" s="465" t="n"/>
      <c r="F572" s="482" t="inlineStr">
        <is>
          <t>Выплачено</t>
        </is>
      </c>
    </row>
    <row r="573" outlineLevel="1" ht="13.8" customHeight="1" s="1127">
      <c r="A573" s="461" t="inlineStr">
        <is>
          <t>расход</t>
        </is>
      </c>
      <c r="B573" s="462" t="n">
        <v>46178</v>
      </c>
      <c r="C573" s="480" t="inlineStr">
        <is>
          <t xml:space="preserve">Сарсенбек Айгерим У ост зп  </t>
        </is>
      </c>
      <c r="D573" s="481" t="n">
        <v>15439</v>
      </c>
      <c r="E573" s="465" t="n"/>
      <c r="F573" s="381" t="inlineStr">
        <is>
          <t>Выплачено</t>
        </is>
      </c>
    </row>
    <row r="574" outlineLevel="1" ht="13.8" customHeight="1" s="1127">
      <c r="A574" s="461" t="inlineStr">
        <is>
          <t>расход</t>
        </is>
      </c>
      <c r="B574" s="462" t="n">
        <v>46178</v>
      </c>
      <c r="C574" s="480" t="inlineStr">
        <is>
          <t>Садвакасова Мадина</t>
        </is>
      </c>
      <c r="D574" s="481" t="n">
        <v>26500</v>
      </c>
      <c r="E574" s="465" t="n"/>
      <c r="F574" s="381" t="inlineStr">
        <is>
          <t>Выплачено</t>
        </is>
      </c>
    </row>
    <row r="575" outlineLevel="1" ht="13.8" customHeight="1" s="1127">
      <c r="A575" s="461" t="inlineStr">
        <is>
          <t>расход</t>
        </is>
      </c>
      <c r="B575" s="462" t="n">
        <v>46178</v>
      </c>
      <c r="C575" s="480" t="inlineStr">
        <is>
          <t>Балтруконис Константин</t>
        </is>
      </c>
      <c r="D575" s="481" t="n">
        <v>21000</v>
      </c>
      <c r="E575" s="465" t="n"/>
      <c r="F575" s="381" t="inlineStr">
        <is>
          <t>Выплачено</t>
        </is>
      </c>
    </row>
    <row r="576" outlineLevel="1" ht="13.8" customHeight="1" s="1127">
      <c r="A576" s="461" t="inlineStr">
        <is>
          <t>расход</t>
        </is>
      </c>
      <c r="B576" s="462" t="n">
        <v>46178</v>
      </c>
      <c r="C576" s="480" t="inlineStr">
        <is>
          <t xml:space="preserve">Арипбаева Айкен </t>
        </is>
      </c>
      <c r="D576" s="481" t="n"/>
      <c r="E576" s="465" t="n"/>
      <c r="F576" s="381" t="inlineStr">
        <is>
          <t>Выплачено</t>
        </is>
      </c>
    </row>
    <row r="577" outlineLevel="1" ht="13.8" customHeight="1" s="1127">
      <c r="A577" s="461" t="inlineStr">
        <is>
          <t>расход</t>
        </is>
      </c>
      <c r="B577" s="483" t="n">
        <v>46181</v>
      </c>
      <c r="C577" s="484" t="inlineStr">
        <is>
          <t xml:space="preserve">Закуп утро </t>
        </is>
      </c>
      <c r="D577" s="485" t="n"/>
      <c r="E577" s="486" t="n">
        <v>3636993</v>
      </c>
      <c r="F577" s="381" t="inlineStr">
        <is>
          <t>Выплачено</t>
        </is>
      </c>
    </row>
    <row r="578" outlineLevel="1" ht="13.8" customHeight="1" s="1127">
      <c r="A578" s="461" t="inlineStr">
        <is>
          <t>расход</t>
        </is>
      </c>
      <c r="B578" s="483" t="n">
        <v>46181</v>
      </c>
      <c r="C578" s="456" t="inlineStr">
        <is>
          <t>Закуп вечер</t>
        </is>
      </c>
      <c r="D578" s="485" t="n"/>
      <c r="E578" s="486" t="n">
        <v>1930982</v>
      </c>
      <c r="F578" s="381" t="inlineStr">
        <is>
          <t>Выплачено</t>
        </is>
      </c>
    </row>
    <row r="579" outlineLevel="1" ht="14.4" customHeight="1" s="1127">
      <c r="A579" s="461" t="inlineStr">
        <is>
          <t>расход</t>
        </is>
      </c>
      <c r="B579" s="483" t="n">
        <v>46181</v>
      </c>
      <c r="C579" s="487" t="inlineStr">
        <is>
          <t>Толеубай Жанель</t>
        </is>
      </c>
      <c r="D579" s="488" t="n">
        <v>316847</v>
      </c>
      <c r="E579" s="486" t="n"/>
      <c r="F579" s="381" t="inlineStr">
        <is>
          <t>Выплачено</t>
        </is>
      </c>
    </row>
    <row r="580" outlineLevel="1" ht="14.4" customHeight="1" s="1127">
      <c r="A580" s="461" t="inlineStr">
        <is>
          <t>расход</t>
        </is>
      </c>
      <c r="B580" s="483" t="n">
        <v>46181</v>
      </c>
      <c r="C580" s="487" t="inlineStr">
        <is>
          <t>Баетова Гульчехра</t>
        </is>
      </c>
      <c r="D580" s="488" t="n">
        <v>174000</v>
      </c>
      <c r="E580" s="427" t="n"/>
      <c r="F580" s="381" t="inlineStr">
        <is>
          <t>Выплачено</t>
        </is>
      </c>
    </row>
    <row r="581" outlineLevel="1" ht="13.8" customHeight="1" s="1127">
      <c r="A581" s="461" t="inlineStr">
        <is>
          <t>расход</t>
        </is>
      </c>
      <c r="B581" s="483" t="n">
        <v>46181</v>
      </c>
      <c r="C581" s="425" t="inlineStr">
        <is>
          <t>На зп</t>
        </is>
      </c>
      <c r="D581" s="493" t="n"/>
      <c r="E581" s="427" t="n">
        <v>5500000</v>
      </c>
      <c r="F581" s="381" t="inlineStr">
        <is>
          <t>Выплачено</t>
        </is>
      </c>
    </row>
    <row r="582" outlineLevel="1" ht="13.8" customHeight="1" s="1127">
      <c r="A582" s="461" t="inlineStr">
        <is>
          <t>расход</t>
        </is>
      </c>
      <c r="B582" s="483" t="n">
        <v>46182</v>
      </c>
      <c r="C582" s="425" t="inlineStr">
        <is>
          <t xml:space="preserve">Фаткова зп за май  </t>
        </is>
      </c>
      <c r="D582" s="493" t="n">
        <v>132000</v>
      </c>
      <c r="E582" s="427" t="n"/>
      <c r="F582" s="381" t="inlineStr">
        <is>
          <t>Выплачено</t>
        </is>
      </c>
    </row>
    <row r="583" outlineLevel="1" ht="13.8" customHeight="1" s="1127">
      <c r="A583" s="461" t="inlineStr">
        <is>
          <t>расход</t>
        </is>
      </c>
      <c r="B583" s="483" t="n">
        <v>46182</v>
      </c>
      <c r="C583" s="425" t="inlineStr">
        <is>
          <t xml:space="preserve">Дорожный за 28.05  </t>
        </is>
      </c>
      <c r="D583" s="493" t="n">
        <v>15000</v>
      </c>
      <c r="E583" s="427" t="n"/>
      <c r="F583" s="381" t="inlineStr">
        <is>
          <t>Выплачено</t>
        </is>
      </c>
    </row>
    <row r="584" outlineLevel="1" ht="13.8" customHeight="1" s="1127">
      <c r="A584" s="461" t="inlineStr">
        <is>
          <t>расход</t>
        </is>
      </c>
      <c r="B584" s="483" t="n">
        <v>46182</v>
      </c>
      <c r="C584" s="425" t="inlineStr">
        <is>
          <t xml:space="preserve">Ли Станислав </t>
        </is>
      </c>
      <c r="D584" s="493" t="n">
        <v>500000</v>
      </c>
      <c r="E584" s="427" t="n"/>
      <c r="F584" s="381" t="inlineStr">
        <is>
          <t>Выплачено</t>
        </is>
      </c>
    </row>
    <row r="585" outlineLevel="1" ht="13.8" customHeight="1" s="1127">
      <c r="A585" s="461" t="inlineStr">
        <is>
          <t>расход</t>
        </is>
      </c>
      <c r="B585" s="483" t="n">
        <v>46182</v>
      </c>
      <c r="C585" s="425" t="inlineStr">
        <is>
          <t xml:space="preserve">За доставка  10 проц сырники </t>
        </is>
      </c>
      <c r="D585" s="493" t="n">
        <v>2050</v>
      </c>
      <c r="E585" s="427" t="n"/>
      <c r="F585" s="381" t="inlineStr">
        <is>
          <t>Выплачено</t>
        </is>
      </c>
    </row>
    <row r="586" outlineLevel="1" ht="13.8" customHeight="1" s="1127">
      <c r="A586" s="461" t="inlineStr">
        <is>
          <t>расход</t>
        </is>
      </c>
      <c r="B586" s="483" t="n">
        <v>46183</v>
      </c>
      <c r="C586" s="425" t="inlineStr">
        <is>
          <t xml:space="preserve">Ремонт холодилник </t>
        </is>
      </c>
      <c r="D586" s="493" t="n"/>
      <c r="E586" s="493" t="n">
        <v>463000</v>
      </c>
      <c r="F586" s="381" t="inlineStr">
        <is>
          <t>Выплачено</t>
        </is>
      </c>
    </row>
    <row r="587" outlineLevel="1" ht="15" customHeight="1" s="1127">
      <c r="A587" s="461" t="inlineStr">
        <is>
          <t>расход</t>
        </is>
      </c>
      <c r="B587" s="483" t="n">
        <v>46183</v>
      </c>
      <c r="C587" s="489" t="inlineStr">
        <is>
          <t>Ремонту холодильного агрегата</t>
        </is>
      </c>
      <c r="D587" s="493" t="n"/>
      <c r="E587" s="427" t="n">
        <v>196000</v>
      </c>
      <c r="F587" s="381" t="inlineStr">
        <is>
          <t>Выплачено</t>
        </is>
      </c>
    </row>
    <row r="588" outlineLevel="1" ht="13.8" customHeight="1" s="1127">
      <c r="A588" s="461" t="inlineStr">
        <is>
          <t>расход</t>
        </is>
      </c>
      <c r="B588" s="483" t="n">
        <v>46183</v>
      </c>
      <c r="C588" s="68" t="inlineStr">
        <is>
          <t>Закуп вечер</t>
        </is>
      </c>
      <c r="D588" s="493" t="n"/>
      <c r="E588" s="427" t="n">
        <v>291120</v>
      </c>
      <c r="F588" s="381" t="inlineStr">
        <is>
          <t>Выплачено</t>
        </is>
      </c>
    </row>
    <row r="589" outlineLevel="1" ht="13.8" customHeight="1" s="1127">
      <c r="A589" s="461" t="inlineStr">
        <is>
          <t>расход</t>
        </is>
      </c>
      <c r="B589" s="483" t="n">
        <v>46183</v>
      </c>
      <c r="C589" s="425" t="inlineStr">
        <is>
          <t xml:space="preserve">СЗ Жибек </t>
        </is>
      </c>
      <c r="D589" s="493" t="n">
        <v>48680</v>
      </c>
      <c r="E589" s="427" t="n"/>
      <c r="F589" s="381" t="inlineStr">
        <is>
          <t>Выплачено</t>
        </is>
      </c>
    </row>
    <row r="590" outlineLevel="1" ht="13.8" customHeight="1" s="1127">
      <c r="A590" s="461" t="inlineStr">
        <is>
          <t>расход</t>
        </is>
      </c>
      <c r="B590" s="483" t="n">
        <v>46183</v>
      </c>
      <c r="C590" s="68" t="inlineStr">
        <is>
          <t xml:space="preserve">Ли Станислав </t>
        </is>
      </c>
      <c r="D590" s="493" t="n">
        <v>500000</v>
      </c>
      <c r="E590" s="427" t="n"/>
      <c r="F590" s="381" t="inlineStr">
        <is>
          <t>Выплачено</t>
        </is>
      </c>
    </row>
    <row r="591" outlineLevel="1" ht="13.8" customHeight="1" s="1127">
      <c r="A591" s="461" t="inlineStr">
        <is>
          <t>расход</t>
        </is>
      </c>
      <c r="B591" s="483" t="n">
        <v>46183</v>
      </c>
      <c r="C591" s="68" t="inlineStr">
        <is>
          <t>Capital managment (инспекционный контроль СМБПП )</t>
        </is>
      </c>
      <c r="D591" s="68" t="n"/>
      <c r="E591" s="427" t="n">
        <v>174000</v>
      </c>
      <c r="F591" s="381" t="inlineStr">
        <is>
          <t>Выплачено</t>
        </is>
      </c>
    </row>
    <row r="592" outlineLevel="1" ht="13.8" customHeight="1" s="1127">
      <c r="A592" s="461" t="inlineStr">
        <is>
          <t>расход</t>
        </is>
      </c>
      <c r="B592" s="483" t="n">
        <v>46183</v>
      </c>
      <c r="C592" s="425" t="inlineStr">
        <is>
          <t>ИП PRODVIG (Лицензия "Энтерпрайз-250" (облако, 1 мес.))</t>
        </is>
      </c>
      <c r="D592" s="493" t="n"/>
      <c r="E592" s="427" t="n">
        <v>220400</v>
      </c>
      <c r="F592" s="381" t="inlineStr">
        <is>
          <t>Выплачено</t>
        </is>
      </c>
    </row>
    <row r="593" outlineLevel="1" ht="13.8" customHeight="1" s="1127">
      <c r="A593" s="461" t="inlineStr">
        <is>
          <t>расход</t>
        </is>
      </c>
      <c r="B593" s="457" t="n">
        <v>46183</v>
      </c>
      <c r="C593" s="425" t="inlineStr">
        <is>
          <t>Зарплатные налоги (часть)</t>
        </is>
      </c>
      <c r="D593" s="493" t="n"/>
      <c r="E593" s="427" t="n">
        <v>3000000</v>
      </c>
      <c r="F593" s="381" t="inlineStr">
        <is>
          <t>Выплачено</t>
        </is>
      </c>
    </row>
    <row r="594" outlineLevel="1" ht="13.8" customHeight="1" s="1127">
      <c r="A594" s="461" t="inlineStr">
        <is>
          <t>расход</t>
        </is>
      </c>
      <c r="B594" s="457" t="n">
        <v>46183</v>
      </c>
      <c r="C594" s="731" t="inlineStr">
        <is>
          <t>Шишерина Мария</t>
        </is>
      </c>
      <c r="D594" s="493" t="n">
        <v>341000</v>
      </c>
      <c r="E594" s="427" t="n"/>
      <c r="F594" s="381" t="inlineStr">
        <is>
          <t>Выплачено</t>
        </is>
      </c>
    </row>
    <row r="595" outlineLevel="1" ht="13.8" customHeight="1" s="1127">
      <c r="A595" s="461" t="inlineStr">
        <is>
          <t>расход</t>
        </is>
      </c>
      <c r="B595" s="457" t="n">
        <v>46183</v>
      </c>
      <c r="C595" s="491" t="inlineStr">
        <is>
          <t xml:space="preserve">Зарплата на каспи </t>
        </is>
      </c>
      <c r="D595" s="493" t="n"/>
      <c r="E595" s="427" t="n">
        <v>16858726.39</v>
      </c>
      <c r="F595" s="381" t="inlineStr">
        <is>
          <t>Выплачено</t>
        </is>
      </c>
    </row>
    <row r="596" outlineLevel="1" ht="13.8" customHeight="1" s="1127">
      <c r="A596" s="461" t="inlineStr">
        <is>
          <t>расход</t>
        </is>
      </c>
      <c r="B596" s="457" t="n">
        <v>46184</v>
      </c>
      <c r="C596" s="456" t="inlineStr">
        <is>
          <t xml:space="preserve">Ли Станислав </t>
        </is>
      </c>
      <c r="D596" s="493" t="n">
        <v>600000</v>
      </c>
      <c r="E596" s="427" t="n"/>
      <c r="F596" s="381" t="inlineStr">
        <is>
          <t>Выплачено</t>
        </is>
      </c>
    </row>
    <row r="597" outlineLevel="1" ht="13.8" customHeight="1" s="1127">
      <c r="A597" s="461" t="inlineStr">
        <is>
          <t>расход</t>
        </is>
      </c>
      <c r="B597" s="483" t="n">
        <v>46184</v>
      </c>
      <c r="C597" s="425" t="inlineStr">
        <is>
          <t xml:space="preserve">Закуп утро </t>
        </is>
      </c>
      <c r="D597" s="493" t="n"/>
      <c r="E597" s="427" t="n">
        <v>4433916</v>
      </c>
      <c r="F597" s="381" t="inlineStr">
        <is>
          <t>Выплачено</t>
        </is>
      </c>
    </row>
    <row r="598" outlineLevel="1" ht="13.8" customHeight="1" s="1127">
      <c r="A598" s="461" t="inlineStr">
        <is>
          <t>расход</t>
        </is>
      </c>
      <c r="B598" s="483" t="n">
        <v>46184</v>
      </c>
      <c r="C598" s="171" t="inlineStr">
        <is>
          <t xml:space="preserve">Закуп вечер </t>
        </is>
      </c>
      <c r="D598" s="493" t="n"/>
      <c r="E598" s="427" t="n">
        <v>8167749</v>
      </c>
      <c r="F598" s="381" t="inlineStr">
        <is>
          <t>Выплачено</t>
        </is>
      </c>
    </row>
    <row r="599" outlineLevel="1" ht="13.8" customHeight="1" s="1127">
      <c r="A599" s="461" t="inlineStr">
        <is>
          <t>расход</t>
        </is>
      </c>
      <c r="B599" s="483" t="n">
        <v>46184</v>
      </c>
      <c r="C599" s="68" t="inlineStr">
        <is>
          <t>ИП ABAY (услуга по техническому обслуживанию)</t>
        </is>
      </c>
      <c r="D599" s="493" t="n"/>
      <c r="E599" s="427" t="n">
        <v>435000</v>
      </c>
      <c r="F599" s="381" t="inlineStr">
        <is>
          <t>Выплачено</t>
        </is>
      </c>
    </row>
    <row r="600" outlineLevel="1" ht="13.8" customHeight="1" s="1127">
      <c r="A600" s="461" t="inlineStr">
        <is>
          <t>расход</t>
        </is>
      </c>
      <c r="B600" s="483" t="n">
        <v>46184</v>
      </c>
      <c r="C600" s="68" t="inlineStr">
        <is>
          <t xml:space="preserve">ЗП лагманщиков  </t>
        </is>
      </c>
      <c r="D600" s="493" t="n">
        <v>400000</v>
      </c>
      <c r="E600" s="427" t="n"/>
      <c r="F600" s="381" t="inlineStr">
        <is>
          <t>Выплачено</t>
        </is>
      </c>
    </row>
    <row r="601" outlineLevel="1" ht="13.8" customHeight="1" s="1127">
      <c r="A601" s="461" t="inlineStr">
        <is>
          <t>расход</t>
        </is>
      </c>
      <c r="B601" s="483" t="n">
        <v>46184</v>
      </c>
      <c r="C601" s="492" t="inlineStr">
        <is>
          <t>Блендер погружной Robot Coupe MINI MP190 V.V. 34750 1шт,</t>
        </is>
      </c>
      <c r="D601" s="493" t="n"/>
      <c r="E601" s="493" t="n">
        <v>460000</v>
      </c>
      <c r="F601" s="381" t="inlineStr">
        <is>
          <t>К оплате</t>
        </is>
      </c>
    </row>
    <row r="602" outlineLevel="1" ht="13.8" customHeight="1" s="1127">
      <c r="A602" s="461" t="inlineStr">
        <is>
          <t>расход</t>
        </is>
      </c>
      <c r="B602" s="483" t="n">
        <v>46184</v>
      </c>
      <c r="C602" s="425" t="inlineStr">
        <is>
          <t>Аванс по СЗ</t>
        </is>
      </c>
      <c r="D602" s="493" t="n">
        <v>150000</v>
      </c>
      <c r="E602" s="427" t="n"/>
      <c r="F602" s="381" t="inlineStr">
        <is>
          <t>Выплачено</t>
        </is>
      </c>
    </row>
    <row r="603" outlineLevel="1" ht="13.8" customHeight="1" s="1127">
      <c r="A603" s="461" t="inlineStr">
        <is>
          <t>расход</t>
        </is>
      </c>
      <c r="B603" s="483" t="n">
        <v>46185</v>
      </c>
      <c r="C603" s="425" t="inlineStr">
        <is>
          <t>Аванс по СЗ</t>
        </is>
      </c>
      <c r="D603" s="493" t="n">
        <v>210000</v>
      </c>
      <c r="E603" s="427" t="n"/>
      <c r="F603" s="381" t="inlineStr">
        <is>
          <t>Выплачено</t>
        </is>
      </c>
    </row>
    <row r="604" outlineLevel="1" ht="13.8" customHeight="1" s="1127">
      <c r="A604" s="461" t="inlineStr">
        <is>
          <t>расход</t>
        </is>
      </c>
      <c r="B604" s="483" t="n">
        <v>46185</v>
      </c>
      <c r="C604" s="425" t="inlineStr">
        <is>
          <t xml:space="preserve">Ойшынов Жансултан </t>
        </is>
      </c>
      <c r="D604" s="493" t="n">
        <v>578054</v>
      </c>
      <c r="E604" s="427" t="n"/>
      <c r="F604" s="381" t="inlineStr">
        <is>
          <t>Выплачено</t>
        </is>
      </c>
    </row>
    <row r="605" outlineLevel="1" ht="13.8" customHeight="1" s="1127">
      <c r="A605" s="461" t="inlineStr">
        <is>
          <t>расход</t>
        </is>
      </c>
      <c r="B605" s="483" t="n">
        <v>46185</v>
      </c>
      <c r="C605" s="425" t="inlineStr">
        <is>
          <t xml:space="preserve">Подотчёт снабжение (Жибек) </t>
        </is>
      </c>
      <c r="D605" s="493" t="n">
        <v>100000</v>
      </c>
      <c r="E605" s="427" t="n"/>
      <c r="F605" s="381" t="inlineStr">
        <is>
          <t>Выплачено</t>
        </is>
      </c>
    </row>
    <row r="606" outlineLevel="1" ht="13.8" customHeight="1" s="1127">
      <c r="A606" s="461" t="n"/>
      <c r="B606" s="462" t="n">
        <v>46185</v>
      </c>
      <c r="C606" s="480" t="inlineStr">
        <is>
          <t>Масыгут Нурланбек У</t>
        </is>
      </c>
      <c r="D606" s="481" t="n">
        <v>74000</v>
      </c>
      <c r="E606" s="465" t="n"/>
      <c r="F606" s="381" t="inlineStr">
        <is>
          <t>Выплачено</t>
        </is>
      </c>
    </row>
    <row r="607" outlineLevel="1" ht="13.8" customHeight="1" s="1127">
      <c r="A607" s="461" t="inlineStr">
        <is>
          <t>расход</t>
        </is>
      </c>
      <c r="B607" s="462" t="n">
        <v>46185</v>
      </c>
      <c r="C607" s="480" t="inlineStr">
        <is>
          <t>ФИО Юшизе Надежда У</t>
        </is>
      </c>
      <c r="D607" s="481" t="n">
        <v>355627</v>
      </c>
      <c r="E607" s="465" t="n"/>
      <c r="F607" s="381" t="inlineStr">
        <is>
          <t>Выплачено</t>
        </is>
      </c>
    </row>
    <row r="608" outlineLevel="1" ht="13.8" customHeight="1" s="1127">
      <c r="A608" s="461" t="inlineStr">
        <is>
          <t>расход</t>
        </is>
      </c>
      <c r="B608" s="462" t="n">
        <v>46185</v>
      </c>
      <c r="C608" s="480" t="inlineStr">
        <is>
          <t>ФИО Урденко Ольга У</t>
        </is>
      </c>
      <c r="D608" s="481" t="n">
        <v>370600</v>
      </c>
      <c r="E608" s="465" t="n"/>
      <c r="F608" s="381" t="inlineStr">
        <is>
          <t>Выплачено</t>
        </is>
      </c>
    </row>
    <row r="609" outlineLevel="1" ht="13.8" customHeight="1" s="1127">
      <c r="A609" s="461" t="inlineStr">
        <is>
          <t>расход</t>
        </is>
      </c>
      <c r="B609" s="462" t="n">
        <v>46185</v>
      </c>
      <c r="C609" s="480" t="inlineStr">
        <is>
          <t>ФИО Турсумбаева Мадина У</t>
        </is>
      </c>
      <c r="D609" s="481" t="n">
        <v>106000</v>
      </c>
      <c r="E609" s="465" t="n"/>
      <c r="F609" s="381" t="inlineStr">
        <is>
          <t>Выплачено</t>
        </is>
      </c>
    </row>
    <row r="610" outlineLevel="1" ht="13.8" customHeight="1" s="1127">
      <c r="A610" s="461" t="inlineStr">
        <is>
          <t>расход</t>
        </is>
      </c>
      <c r="B610" s="462" t="n">
        <v>46185</v>
      </c>
      <c r="C610" s="480" t="inlineStr">
        <is>
          <t>ФИО Тахиров Батиржан У</t>
        </is>
      </c>
      <c r="D610" s="481" t="n">
        <v>83000</v>
      </c>
      <c r="E610" s="465" t="n"/>
      <c r="F610" s="381" t="inlineStr">
        <is>
          <t>Выплачено</t>
        </is>
      </c>
    </row>
    <row r="611" outlineLevel="1" ht="13.8" customHeight="1" s="1127">
      <c r="A611" s="461" t="inlineStr">
        <is>
          <t>расход</t>
        </is>
      </c>
      <c r="B611" s="462" t="n">
        <v>46185</v>
      </c>
      <c r="C611" s="480" t="inlineStr">
        <is>
          <t>ФИО Солдаткина Екатерина У</t>
        </is>
      </c>
      <c r="D611" s="481" t="n">
        <v>112283</v>
      </c>
      <c r="E611" s="465" t="n"/>
      <c r="F611" s="381" t="inlineStr">
        <is>
          <t>Выплачено</t>
        </is>
      </c>
    </row>
    <row r="612" outlineLevel="1" ht="13.8" customHeight="1" s="1127">
      <c r="A612" s="461" t="inlineStr">
        <is>
          <t>расход</t>
        </is>
      </c>
      <c r="B612" s="462" t="n">
        <v>46185</v>
      </c>
      <c r="C612" s="480" t="inlineStr">
        <is>
          <t>ФИО Молжигитова Сериккуль У</t>
        </is>
      </c>
      <c r="D612" s="481" t="n">
        <v>228000</v>
      </c>
      <c r="E612" s="465" t="n"/>
      <c r="F612" s="381" t="inlineStr">
        <is>
          <t>Выплачено</t>
        </is>
      </c>
    </row>
    <row r="613" outlineLevel="1" ht="13.8" customHeight="1" s="1127">
      <c r="A613" s="461" t="inlineStr">
        <is>
          <t>расход</t>
        </is>
      </c>
      <c r="B613" s="462" t="n">
        <v>46185</v>
      </c>
      <c r="C613" s="480" t="inlineStr">
        <is>
          <t>ФИО Кожаназаров Бахтияр У</t>
        </is>
      </c>
      <c r="D613" s="481" t="n">
        <v>102228</v>
      </c>
      <c r="E613" s="465" t="n"/>
      <c r="F613" s="381" t="inlineStr">
        <is>
          <t>Выплачено</t>
        </is>
      </c>
    </row>
    <row r="614" outlineLevel="1" ht="13.8" customHeight="1" s="1127">
      <c r="A614" s="461" t="inlineStr">
        <is>
          <t>расход</t>
        </is>
      </c>
      <c r="B614" s="462" t="n">
        <v>46185</v>
      </c>
      <c r="C614" s="480" t="inlineStr">
        <is>
          <t>ФИО Гараев Вепа У</t>
        </is>
      </c>
      <c r="D614" s="481" t="n">
        <v>61000</v>
      </c>
      <c r="E614" s="465" t="n"/>
      <c r="F614" s="381" t="inlineStr">
        <is>
          <t>Выплачено</t>
        </is>
      </c>
    </row>
    <row r="615" outlineLevel="1" ht="13.8" customHeight="1" s="1127">
      <c r="A615" s="461" t="inlineStr">
        <is>
          <t>расход</t>
        </is>
      </c>
      <c r="B615" s="462" t="n">
        <v>46185</v>
      </c>
      <c r="C615" s="480" t="inlineStr">
        <is>
          <t>ФИО Нургожаев Шокан</t>
        </is>
      </c>
      <c r="D615" s="481" t="n">
        <v>51000</v>
      </c>
      <c r="E615" s="465" t="n"/>
      <c r="F615" s="381" t="inlineStr">
        <is>
          <t>Выплачено</t>
        </is>
      </c>
    </row>
    <row r="616" outlineLevel="1" ht="13.8" customHeight="1" s="1127">
      <c r="A616" s="461" t="inlineStr">
        <is>
          <t>расход</t>
        </is>
      </c>
      <c r="B616" s="462" t="n">
        <v>46185</v>
      </c>
      <c r="C616" s="480" t="inlineStr">
        <is>
          <t>Марианна!</t>
        </is>
      </c>
      <c r="D616" s="481" t="n">
        <v>409090</v>
      </c>
      <c r="E616" s="465" t="n"/>
      <c r="F616" s="381" t="inlineStr">
        <is>
          <t>Выплачено</t>
        </is>
      </c>
    </row>
    <row r="617" outlineLevel="1" ht="13.8" customHeight="1" s="1127">
      <c r="A617" s="461" t="inlineStr">
        <is>
          <t>расход</t>
        </is>
      </c>
      <c r="B617" s="457" t="n">
        <v>46188</v>
      </c>
      <c r="C617" s="425" t="inlineStr">
        <is>
          <t>Аренда помещения</t>
        </is>
      </c>
      <c r="D617" s="493" t="n"/>
      <c r="E617" s="427" t="n">
        <v>6655000</v>
      </c>
      <c r="F617" s="381" t="inlineStr">
        <is>
          <t>Выплачено</t>
        </is>
      </c>
    </row>
    <row r="618" outlineLevel="1" ht="13.8" customHeight="1" s="1127">
      <c r="A618" s="461" t="inlineStr">
        <is>
          <t>расход</t>
        </is>
      </c>
      <c r="B618" s="457" t="n">
        <v>46188</v>
      </c>
      <c r="C618" s="68" t="inlineStr">
        <is>
          <t xml:space="preserve">Закуп утро </t>
        </is>
      </c>
      <c r="D618" s="493" t="n"/>
      <c r="E618" s="427" t="n">
        <v>3613879</v>
      </c>
      <c r="F618" s="381" t="inlineStr">
        <is>
          <t>Выплачено</t>
        </is>
      </c>
    </row>
    <row r="619" outlineLevel="1" ht="13.8" customHeight="1" s="1127">
      <c r="A619" s="461" t="inlineStr">
        <is>
          <t>расход</t>
        </is>
      </c>
      <c r="B619" s="457" t="n">
        <v>46188</v>
      </c>
      <c r="C619" s="68" t="inlineStr">
        <is>
          <t xml:space="preserve">Закуп вечер </t>
        </is>
      </c>
      <c r="D619" s="493" t="n"/>
      <c r="E619" s="427" t="n">
        <v>6346222</v>
      </c>
      <c r="F619" s="381" t="inlineStr">
        <is>
          <t>Выплачено</t>
        </is>
      </c>
    </row>
    <row r="620" outlineLevel="1" ht="13.8" customHeight="1" s="1127">
      <c r="A620" s="461" t="inlineStr">
        <is>
          <t>расход</t>
        </is>
      </c>
      <c r="B620" s="457" t="n">
        <v>46188</v>
      </c>
      <c r="C620" s="68" t="inlineStr">
        <is>
          <t xml:space="preserve">Ли Станислав </t>
        </is>
      </c>
      <c r="D620" s="493" t="n">
        <v>600000</v>
      </c>
      <c r="E620" s="427" t="n"/>
      <c r="F620" s="381" t="inlineStr">
        <is>
          <t>Выплачено</t>
        </is>
      </c>
    </row>
    <row r="621" outlineLevel="1" ht="13.8" customHeight="1" s="1127">
      <c r="A621" s="461" t="inlineStr">
        <is>
          <t>расход</t>
        </is>
      </c>
      <c r="B621" s="462" t="n">
        <v>46189</v>
      </c>
      <c r="C621" s="480" t="inlineStr">
        <is>
          <t>Тулегенова Жанар</t>
        </is>
      </c>
      <c r="D621" s="481" t="n">
        <v>70253</v>
      </c>
      <c r="E621" s="465" t="n"/>
      <c r="F621" s="381" t="inlineStr">
        <is>
          <t>Выплачено</t>
        </is>
      </c>
    </row>
    <row r="622" outlineLevel="1" ht="13.8" customHeight="1" s="1127">
      <c r="A622" s="461" t="inlineStr">
        <is>
          <t>расход</t>
        </is>
      </c>
      <c r="B622" s="462" t="n">
        <v>46189</v>
      </c>
      <c r="C622" s="480" t="inlineStr">
        <is>
          <t>Жагыпар Жангир У</t>
        </is>
      </c>
      <c r="D622" s="481" t="n">
        <v>68000</v>
      </c>
      <c r="E622" s="465" t="n"/>
      <c r="F622" s="381" t="inlineStr">
        <is>
          <t>Выплачено</t>
        </is>
      </c>
    </row>
    <row r="623" outlineLevel="1" ht="13.8" customHeight="1" s="1127">
      <c r="A623" s="461" t="inlineStr">
        <is>
          <t>расход</t>
        </is>
      </c>
      <c r="B623" s="457" t="n">
        <v>46189</v>
      </c>
      <c r="C623" s="425" t="inlineStr">
        <is>
          <t xml:space="preserve">Бекетаева Татьяна </t>
        </is>
      </c>
      <c r="D623" s="493" t="n">
        <v>50000</v>
      </c>
      <c r="E623" s="427" t="n"/>
      <c r="F623" s="381" t="inlineStr">
        <is>
          <t>Выплачено</t>
        </is>
      </c>
    </row>
    <row r="624" outlineLevel="1" ht="13.8" customHeight="1" s="1127">
      <c r="A624" s="461" t="inlineStr">
        <is>
          <t>расход</t>
        </is>
      </c>
      <c r="B624" s="462" t="n">
        <v>46189</v>
      </c>
      <c r="C624" s="480" t="inlineStr">
        <is>
          <t xml:space="preserve">Сарышаева Жанар </t>
        </is>
      </c>
      <c r="D624" s="481" t="n">
        <v>67000</v>
      </c>
      <c r="E624" s="465" t="n"/>
      <c r="F624" s="381" t="inlineStr">
        <is>
          <t>Выплачено</t>
        </is>
      </c>
    </row>
    <row r="625" outlineLevel="1" ht="13.8" customHeight="1" s="1127">
      <c r="A625" s="461" t="inlineStr">
        <is>
          <t>расход</t>
        </is>
      </c>
      <c r="B625" s="457" t="n">
        <v>46189</v>
      </c>
      <c r="C625" s="425" t="inlineStr">
        <is>
          <t xml:space="preserve">Квартира Узбек </t>
        </is>
      </c>
      <c r="D625" s="493" t="n">
        <v>300000</v>
      </c>
      <c r="E625" s="427" t="n"/>
      <c r="F625" s="381" t="inlineStr">
        <is>
          <t>Выплачено</t>
        </is>
      </c>
    </row>
    <row r="626" outlineLevel="1" ht="13.8" customHeight="1" s="1127">
      <c r="A626" s="461" t="inlineStr">
        <is>
          <t>расход</t>
        </is>
      </c>
      <c r="B626" s="457" t="n">
        <v>46189</v>
      </c>
      <c r="C626" s="447" t="inlineStr">
        <is>
          <t>На оплату счета для хостинга на сайт</t>
        </is>
      </c>
      <c r="D626" s="493" t="n">
        <v>4800</v>
      </c>
      <c r="E626" s="427" t="n"/>
      <c r="F626" s="381" t="inlineStr">
        <is>
          <t>Выплачено</t>
        </is>
      </c>
    </row>
    <row r="627" outlineLevel="1" ht="13.8" customHeight="1" s="1127">
      <c r="A627" s="461" t="inlineStr">
        <is>
          <t>расход</t>
        </is>
      </c>
      <c r="B627" s="457" t="n">
        <v>46189</v>
      </c>
      <c r="C627" s="68" t="inlineStr">
        <is>
          <t xml:space="preserve">Ли Станислав </t>
        </is>
      </c>
      <c r="D627" s="494" t="n">
        <v>500000</v>
      </c>
      <c r="E627" s="427" t="n"/>
      <c r="F627" s="381" t="inlineStr">
        <is>
          <t>Выплачено</t>
        </is>
      </c>
      <c r="G627" s="456" t="inlineStr">
        <is>
          <t>передать в снабжение, что он покупает!!!!!!!!!!!!</t>
        </is>
      </c>
    </row>
    <row r="628" outlineLevel="1" ht="13.8" customHeight="1" s="1127">
      <c r="A628" s="461" t="inlineStr">
        <is>
          <t>расход</t>
        </is>
      </c>
      <c r="B628" s="457" t="n">
        <v>46189</v>
      </c>
      <c r="C628" s="447" t="inlineStr">
        <is>
          <t xml:space="preserve"> Александр  за контактор</t>
        </is>
      </c>
      <c r="D628" s="493" t="n">
        <v>20010</v>
      </c>
      <c r="E628" s="427" t="n"/>
      <c r="F628" s="381" t="inlineStr">
        <is>
          <t>Выплачено</t>
        </is>
      </c>
    </row>
    <row r="629" outlineLevel="1" ht="13.8" customHeight="1" s="1127">
      <c r="A629" s="461" t="inlineStr">
        <is>
          <t>расход</t>
        </is>
      </c>
      <c r="B629" s="457" t="n">
        <v>46189</v>
      </c>
      <c r="C629" s="425" t="inlineStr">
        <is>
          <t>ЗП Сергей Сон ( за апрель), полный расчёт сумму уточнить</t>
        </is>
      </c>
      <c r="D629" s="494" t="n">
        <v>2155351</v>
      </c>
      <c r="E629" s="427" t="n"/>
      <c r="F629" s="381" t="inlineStr">
        <is>
          <t>Выплачено</t>
        </is>
      </c>
    </row>
    <row r="630" outlineLevel="1" ht="13.8" customHeight="1" s="1127">
      <c r="A630" s="461" t="inlineStr">
        <is>
          <t>расход</t>
        </is>
      </c>
      <c r="B630" s="457" t="n">
        <v>46189</v>
      </c>
      <c r="C630" s="425" t="inlineStr">
        <is>
          <t>ЗП Олеся за апрель (вечером после 16.00 занести)</t>
        </is>
      </c>
      <c r="D630" s="493" t="n">
        <v>1000000</v>
      </c>
      <c r="E630" s="427" t="n"/>
      <c r="F630" s="381" t="inlineStr">
        <is>
          <t>Выплачено</t>
        </is>
      </c>
    </row>
    <row r="631" outlineLevel="1" ht="13.8" customHeight="1" s="1127">
      <c r="A631" s="461" t="inlineStr">
        <is>
          <t>расход</t>
        </is>
      </c>
      <c r="B631" s="457" t="n">
        <v>46189</v>
      </c>
      <c r="C631" s="425" t="inlineStr">
        <is>
          <t>Оплата за холодильники</t>
        </is>
      </c>
      <c r="D631" s="493" t="n"/>
      <c r="E631" s="427" t="n">
        <v>282000</v>
      </c>
      <c r="F631" s="381" t="inlineStr">
        <is>
          <t>Выплачено</t>
        </is>
      </c>
    </row>
    <row r="632" outlineLevel="1" ht="13.8" customHeight="1" s="1127">
      <c r="A632" s="461" t="inlineStr">
        <is>
          <t>расход</t>
        </is>
      </c>
      <c r="B632" s="457" t="n">
        <v>46189</v>
      </c>
      <c r="C632" s="447" t="inlineStr">
        <is>
          <t>Заправку картриджей</t>
        </is>
      </c>
      <c r="D632" s="493" t="n"/>
      <c r="E632" s="427" t="n">
        <v>32800</v>
      </c>
      <c r="F632" s="381" t="inlineStr">
        <is>
          <t>Выплачено</t>
        </is>
      </c>
    </row>
    <row r="633" outlineLevel="1" ht="13.8" customHeight="1" s="1127">
      <c r="A633" s="461" t="inlineStr">
        <is>
          <t>расход</t>
        </is>
      </c>
      <c r="B633" s="457" t="n">
        <v>46189</v>
      </c>
      <c r="C633" s="425" t="inlineStr">
        <is>
          <t>Ялкунжан Дияр</t>
        </is>
      </c>
      <c r="D633" s="493" t="n">
        <v>171877</v>
      </c>
      <c r="E633" s="427" t="n"/>
      <c r="F633" s="381" t="inlineStr">
        <is>
          <t>Выплачено</t>
        </is>
      </c>
    </row>
    <row r="634" outlineLevel="1" ht="13.8" customHeight="1" s="1127">
      <c r="A634" s="461" t="inlineStr">
        <is>
          <t>расход</t>
        </is>
      </c>
      <c r="B634" s="457" t="n">
        <v>46189</v>
      </c>
      <c r="C634" s="425" t="inlineStr">
        <is>
          <t>Овощерезка (подотчёт закуп Александр)</t>
        </is>
      </c>
      <c r="D634" s="493" t="n">
        <v>1200000</v>
      </c>
      <c r="E634" s="427" t="n"/>
      <c r="F634" s="381" t="inlineStr">
        <is>
          <t>Выплачено</t>
        </is>
      </c>
    </row>
    <row r="635" outlineLevel="1" ht="13.8" customHeight="1" s="1127">
      <c r="A635" s="461" t="inlineStr">
        <is>
          <t>расход</t>
        </is>
      </c>
      <c r="B635" s="457" t="n">
        <v>46189</v>
      </c>
      <c r="C635" s="425" t="inlineStr">
        <is>
          <t>Закуп вечер</t>
        </is>
      </c>
      <c r="D635" s="493" t="n"/>
      <c r="E635" s="427" t="n">
        <v>4753377</v>
      </c>
      <c r="F635" s="381" t="inlineStr">
        <is>
          <t>Выплачено</t>
        </is>
      </c>
      <c r="G635" s="496" t="n"/>
      <c r="H635" s="496" t="n"/>
    </row>
    <row r="636" outlineLevel="1" ht="13.8" customHeight="1" s="1127">
      <c r="A636" s="461" t="inlineStr">
        <is>
          <t>расход</t>
        </is>
      </c>
      <c r="B636" s="457" t="n">
        <v>46190</v>
      </c>
      <c r="C636" s="430" t="inlineStr">
        <is>
          <t>За оплату тарифа корпоративной почты</t>
        </is>
      </c>
      <c r="D636" s="493" t="n">
        <v>114000</v>
      </c>
      <c r="E636" s="427" t="n"/>
      <c r="F636" s="381" t="inlineStr">
        <is>
          <t>Выплачено</t>
        </is>
      </c>
      <c r="G636" s="496" t="n"/>
      <c r="H636" s="496" t="n"/>
    </row>
    <row r="637" outlineLevel="1" ht="13.8" customHeight="1" s="1127">
      <c r="A637" s="461" t="inlineStr">
        <is>
          <t>расход</t>
        </is>
      </c>
      <c r="B637" s="457" t="n">
        <v>46190</v>
      </c>
      <c r="C637" s="425" t="inlineStr">
        <is>
          <t>Квартира май Ольга</t>
        </is>
      </c>
      <c r="D637" s="493" t="n">
        <v>390000</v>
      </c>
      <c r="E637" s="427" t="n"/>
      <c r="F637" s="381" t="inlineStr">
        <is>
          <t>Выплачено</t>
        </is>
      </c>
      <c r="G637" s="496" t="n"/>
      <c r="H637" s="496" t="n"/>
    </row>
    <row r="638" outlineLevel="1" ht="13.8" customHeight="1" s="1127">
      <c r="A638" s="461" t="inlineStr">
        <is>
          <t>расход</t>
        </is>
      </c>
      <c r="B638" s="457" t="n">
        <v>46190</v>
      </c>
      <c r="C638" s="425" t="inlineStr">
        <is>
          <t>Аванс по СЗ Шиш ериной Марии и Жалалова З</t>
        </is>
      </c>
      <c r="D638" s="493" t="n">
        <v>200000</v>
      </c>
      <c r="E638" s="427" t="n"/>
      <c r="F638" s="381" t="inlineStr">
        <is>
          <t>Выплачено</t>
        </is>
      </c>
      <c r="G638" s="496" t="n"/>
      <c r="H638" s="496" t="n"/>
    </row>
    <row r="639" outlineLevel="1" ht="13.8" customHeight="1" s="1127">
      <c r="A639" s="461" t="inlineStr">
        <is>
          <t>расход</t>
        </is>
      </c>
      <c r="B639" s="457" t="n">
        <v>46191</v>
      </c>
      <c r="C639" s="425" t="inlineStr">
        <is>
          <t>Для проекта Астана (необходимо срочно )</t>
        </is>
      </c>
      <c r="D639" s="493" t="n">
        <v>200000</v>
      </c>
      <c r="E639" s="427" t="n"/>
      <c r="F639" s="381" t="inlineStr">
        <is>
          <t>Выплачено</t>
        </is>
      </c>
      <c r="G639" s="496" t="n"/>
      <c r="H639" s="496" t="n"/>
    </row>
    <row r="640" outlineLevel="1" ht="13.8" customHeight="1" s="1127">
      <c r="A640" s="461" t="inlineStr">
        <is>
          <t>расход</t>
        </is>
      </c>
      <c r="B640" s="457" t="n">
        <v>46191</v>
      </c>
      <c r="C640" s="425" t="inlineStr">
        <is>
          <t xml:space="preserve">Лагманщики недельная ЗП </t>
        </is>
      </c>
      <c r="D640" s="493" t="n">
        <v>404000</v>
      </c>
      <c r="E640" s="427" t="n"/>
      <c r="F640" s="381" t="inlineStr">
        <is>
          <t>Выплачено</t>
        </is>
      </c>
      <c r="G640" s="496" t="n"/>
      <c r="H640" s="496" t="n"/>
    </row>
    <row r="641" outlineLevel="1" ht="13.8" customHeight="1" s="1127">
      <c r="A641" s="461" t="inlineStr">
        <is>
          <t>расход</t>
        </is>
      </c>
      <c r="B641" s="457" t="n">
        <v>46191</v>
      </c>
      <c r="C641" s="425" t="inlineStr">
        <is>
          <t xml:space="preserve">Закуп утро </t>
        </is>
      </c>
      <c r="D641" s="493" t="n"/>
      <c r="E641" s="427" t="n">
        <v>2100000</v>
      </c>
      <c r="F641" s="381" t="inlineStr">
        <is>
          <t>Выплачено</t>
        </is>
      </c>
      <c r="G641" s="496" t="n"/>
      <c r="H641" s="496" t="n"/>
    </row>
    <row r="642" outlineLevel="1" ht="13.8" customHeight="1" s="1127">
      <c r="A642" s="461" t="inlineStr">
        <is>
          <t>расход</t>
        </is>
      </c>
      <c r="B642" s="457" t="n">
        <v>46191</v>
      </c>
      <c r="C642" s="425" t="inlineStr">
        <is>
          <t xml:space="preserve">Закуп вечер </t>
        </is>
      </c>
      <c r="D642" s="493" t="n"/>
      <c r="E642" s="427" t="n">
        <v>7663934</v>
      </c>
      <c r="F642" s="381" t="inlineStr">
        <is>
          <t>Выплачено</t>
        </is>
      </c>
      <c r="G642" s="496" t="n"/>
      <c r="H642" s="496" t="n"/>
    </row>
    <row r="643" outlineLevel="1" ht="13.8" customHeight="1" s="1127">
      <c r="A643" s="461" t="inlineStr">
        <is>
          <t>расход</t>
        </is>
      </c>
      <c r="B643" s="457" t="n">
        <v>46191</v>
      </c>
      <c r="C643" s="430" t="inlineStr">
        <is>
          <t xml:space="preserve">За услуги по оформлению уведомления Саттаров Шухрат </t>
        </is>
      </c>
      <c r="D643" s="493" t="n">
        <v>5000</v>
      </c>
      <c r="E643" s="427" t="n"/>
      <c r="F643" s="381" t="inlineStr">
        <is>
          <t>Выплачено</t>
        </is>
      </c>
      <c r="G643" s="496" t="n"/>
      <c r="H643" s="496" t="n"/>
    </row>
    <row r="644" outlineLevel="1" ht="13.8" customHeight="1" s="1127">
      <c r="A644" s="461" t="inlineStr">
        <is>
          <t>расход</t>
        </is>
      </c>
      <c r="B644" s="457" t="n">
        <v>46161</v>
      </c>
      <c r="C644" s="425" t="inlineStr">
        <is>
          <t xml:space="preserve">Meat to eat ИП </t>
        </is>
      </c>
      <c r="D644" s="493" t="n"/>
      <c r="E644" s="427" t="n">
        <v>27532.4</v>
      </c>
      <c r="F644" s="381" t="inlineStr">
        <is>
          <t>Выплачено</t>
        </is>
      </c>
      <c r="G644" s="496" t="n"/>
      <c r="H644" s="496" t="n"/>
    </row>
    <row r="645" outlineLevel="1" ht="13.8" customHeight="1" s="1127">
      <c r="A645" s="461" t="inlineStr">
        <is>
          <t>расход</t>
        </is>
      </c>
      <c r="B645" s="462" t="n">
        <v>46192</v>
      </c>
      <c r="C645" s="480" t="inlineStr">
        <is>
          <t>Грачева Кристина У</t>
        </is>
      </c>
      <c r="D645" s="481" t="n">
        <v>368781</v>
      </c>
      <c r="E645" s="465" t="n"/>
      <c r="F645" s="381" t="inlineStr">
        <is>
          <t>Выплачено</t>
        </is>
      </c>
      <c r="G645" s="496" t="n"/>
      <c r="H645" s="496" t="n"/>
    </row>
    <row r="646" outlineLevel="1" ht="13.8" customHeight="1" s="1127">
      <c r="A646" s="461" t="inlineStr">
        <is>
          <t>расход</t>
        </is>
      </c>
      <c r="B646" s="462" t="n">
        <v>46192</v>
      </c>
      <c r="C646" s="480" t="inlineStr">
        <is>
          <t>Тобулова Динара У</t>
        </is>
      </c>
      <c r="D646" s="481" t="n">
        <v>1067693</v>
      </c>
      <c r="E646" s="465" t="n"/>
      <c r="F646" s="381" t="inlineStr">
        <is>
          <t>Выплачено</t>
        </is>
      </c>
      <c r="G646" s="496" t="n"/>
      <c r="H646" s="496" t="n"/>
    </row>
    <row r="647" outlineLevel="1" ht="13.8" customHeight="1" s="1127">
      <c r="A647" s="461" t="inlineStr">
        <is>
          <t>расход</t>
        </is>
      </c>
      <c r="B647" s="462" t="n">
        <v>46192</v>
      </c>
      <c r="C647" s="480" t="inlineStr">
        <is>
          <t>Мухидова Алтынай У.</t>
        </is>
      </c>
      <c r="D647" s="481" t="n">
        <v>100079</v>
      </c>
      <c r="E647" s="465" t="n"/>
      <c r="F647" s="381" t="inlineStr">
        <is>
          <t>Выплачено</t>
        </is>
      </c>
      <c r="G647" s="496" t="n"/>
      <c r="H647" s="496" t="n"/>
    </row>
    <row r="648" outlineLevel="1" ht="13.8" customHeight="1" s="1127">
      <c r="A648" s="461" t="inlineStr">
        <is>
          <t>расход</t>
        </is>
      </c>
      <c r="B648" s="462" t="n">
        <v>46192</v>
      </c>
      <c r="C648" s="480" t="inlineStr">
        <is>
          <t>Кунчуаков Ержан У</t>
        </is>
      </c>
      <c r="D648" s="481" t="n">
        <v>66233</v>
      </c>
      <c r="E648" s="465" t="n"/>
      <c r="F648" s="381" t="inlineStr">
        <is>
          <t>Выплачено</t>
        </is>
      </c>
      <c r="G648" s="496" t="n"/>
      <c r="H648" s="496" t="n"/>
    </row>
    <row r="649" outlineLevel="1" ht="13.8" customHeight="1" s="1127">
      <c r="A649" s="461" t="inlineStr">
        <is>
          <t>расход</t>
        </is>
      </c>
      <c r="B649" s="462" t="n">
        <v>46192</v>
      </c>
      <c r="C649" s="480" t="inlineStr">
        <is>
          <t>Кубеева Эльмира У</t>
        </is>
      </c>
      <c r="D649" s="481" t="n">
        <v>23862</v>
      </c>
      <c r="E649" s="465" t="n"/>
      <c r="F649" s="381" t="inlineStr">
        <is>
          <t>Выплачено</t>
        </is>
      </c>
      <c r="G649" s="496" t="n"/>
      <c r="H649" s="496" t="n"/>
    </row>
    <row r="650" outlineLevel="1" ht="13.8" customHeight="1" s="1127">
      <c r="A650" s="461" t="inlineStr">
        <is>
          <t>расход</t>
        </is>
      </c>
      <c r="B650" s="462" t="n">
        <v>46192</v>
      </c>
      <c r="C650" s="223" t="inlineStr">
        <is>
          <t xml:space="preserve">Акимжан Улболсын </t>
        </is>
      </c>
      <c r="D650" s="481" t="n">
        <v>31801</v>
      </c>
      <c r="E650" s="465" t="n"/>
      <c r="F650" s="381" t="inlineStr">
        <is>
          <t>Выплачено</t>
        </is>
      </c>
      <c r="G650" s="496" t="n"/>
      <c r="H650" s="496" t="n"/>
    </row>
    <row r="651" outlineLevel="1" ht="13.8" customHeight="1" s="1127">
      <c r="A651" s="461" t="inlineStr">
        <is>
          <t>расход</t>
        </is>
      </c>
      <c r="B651" s="462" t="n">
        <v>46192</v>
      </c>
      <c r="C651" s="480" t="inlineStr">
        <is>
          <t>Сагиндыкова Айгуль У.</t>
        </is>
      </c>
      <c r="D651" s="481" t="n">
        <v>32200</v>
      </c>
      <c r="E651" s="465" t="n"/>
      <c r="F651" s="381" t="inlineStr">
        <is>
          <t>Выплачено</t>
        </is>
      </c>
      <c r="G651" s="496" t="n"/>
      <c r="H651" s="496" t="n"/>
    </row>
    <row r="652" outlineLevel="1" ht="13.8" customHeight="1" s="1127">
      <c r="A652" s="461" t="inlineStr">
        <is>
          <t>расход</t>
        </is>
      </c>
      <c r="B652" s="457" t="n">
        <v>46192</v>
      </c>
      <c r="C652" s="425" t="inlineStr">
        <is>
          <t xml:space="preserve">ЗП Клининг Склад/гручик </t>
        </is>
      </c>
      <c r="D652" s="493" t="n">
        <v>2463000</v>
      </c>
      <c r="E652" s="427" t="n"/>
      <c r="F652" s="381" t="inlineStr">
        <is>
          <t>Выплачено</t>
        </is>
      </c>
      <c r="G652" s="496" t="n"/>
      <c r="H652" s="496" t="n"/>
    </row>
    <row r="653" outlineLevel="1" ht="13.8" customHeight="1" s="1127">
      <c r="A653" s="461" t="inlineStr">
        <is>
          <t>расход</t>
        </is>
      </c>
      <c r="B653" s="457" t="n">
        <v>46192</v>
      </c>
      <c r="C653" s="425" t="inlineStr">
        <is>
          <t xml:space="preserve">Закуп вечер </t>
        </is>
      </c>
      <c r="D653" s="493" t="n"/>
      <c r="E653" s="427" t="n">
        <v>5358728</v>
      </c>
      <c r="F653" s="381" t="inlineStr">
        <is>
          <t>Выплачено</t>
        </is>
      </c>
      <c r="G653" s="496" t="n"/>
      <c r="H653" s="496" t="n"/>
    </row>
    <row r="654" outlineLevel="1" ht="13.8" customHeight="1" s="1127">
      <c r="A654" s="461" t="inlineStr">
        <is>
          <t>расход</t>
        </is>
      </c>
      <c r="B654" s="457" t="n">
        <v>46192</v>
      </c>
      <c r="C654" s="425" t="inlineStr">
        <is>
          <t>Остаток зп Апрель (Олеся)</t>
        </is>
      </c>
      <c r="D654" s="493" t="n">
        <v>932710</v>
      </c>
      <c r="E654" s="427" t="n"/>
      <c r="F654" s="381" t="inlineStr">
        <is>
          <t>Выплачено</t>
        </is>
      </c>
      <c r="G654" s="496" t="n"/>
      <c r="H654" s="496" t="n"/>
    </row>
    <row r="655" outlineLevel="1" ht="13.8" customHeight="1" s="1127">
      <c r="A655" s="461" t="inlineStr">
        <is>
          <t>расход</t>
        </is>
      </c>
      <c r="B655" s="457" t="n">
        <v>46195</v>
      </c>
      <c r="C655" s="425" t="inlineStr">
        <is>
          <t>ЗП производство</t>
        </is>
      </c>
      <c r="D655" s="493" t="n">
        <v>16270600</v>
      </c>
      <c r="E655" s="427" t="n"/>
      <c r="F655" s="381" t="inlineStr">
        <is>
          <t>Выплачено</t>
        </is>
      </c>
      <c r="G655" s="496" t="n"/>
      <c r="H655" s="496" t="n"/>
    </row>
    <row r="656" outlineLevel="1" ht="13.8" customHeight="1" s="1127">
      <c r="A656" s="461" t="inlineStr">
        <is>
          <t>расход</t>
        </is>
      </c>
      <c r="B656" s="457" t="n">
        <v>46195</v>
      </c>
      <c r="C656" s="425" t="inlineStr">
        <is>
          <t>ЗП офис</t>
        </is>
      </c>
      <c r="D656" s="493" t="n">
        <v>1823000</v>
      </c>
      <c r="E656" s="427" t="n"/>
      <c r="F656" s="381" t="inlineStr">
        <is>
          <t>Выплачено</t>
        </is>
      </c>
      <c r="G656" s="496" t="n"/>
      <c r="H656" s="496" t="n"/>
    </row>
    <row r="657" outlineLevel="1" ht="13.8" customHeight="1" s="1127">
      <c r="A657" s="461" t="inlineStr">
        <is>
          <t>расход</t>
        </is>
      </c>
      <c r="B657" s="457" t="n">
        <v>46195</v>
      </c>
      <c r="C657" s="425" t="inlineStr">
        <is>
          <t>закуп</t>
        </is>
      </c>
      <c r="D657" s="493" t="n"/>
      <c r="E657" s="427" t="n">
        <v>6301360</v>
      </c>
      <c r="F657" s="381" t="inlineStr">
        <is>
          <t>Выплачено</t>
        </is>
      </c>
      <c r="G657" s="496" t="n"/>
      <c r="H657" s="496" t="n"/>
    </row>
    <row r="658" outlineLevel="1" ht="16.5" customHeight="1" s="1127">
      <c r="A658" s="461" t="inlineStr">
        <is>
          <t>расход</t>
        </is>
      </c>
      <c r="B658" s="457" t="n">
        <v>46196</v>
      </c>
      <c r="C658" s="425" t="inlineStr">
        <is>
          <t>Standard Life АО страхование</t>
        </is>
      </c>
      <c r="D658" s="493" t="n"/>
      <c r="E658" s="427" t="n">
        <v>427718</v>
      </c>
      <c r="F658" s="381" t="inlineStr">
        <is>
          <t>Выплачено</t>
        </is>
      </c>
      <c r="G658" s="496" t="n"/>
      <c r="H658" s="496" t="n"/>
    </row>
    <row r="659" outlineLevel="1" ht="16.5" customHeight="1" s="1127">
      <c r="A659" s="461" t="inlineStr">
        <is>
          <t>расход</t>
        </is>
      </c>
      <c r="B659" s="457" t="n">
        <v>46196</v>
      </c>
      <c r="C659" s="68" t="inlineStr">
        <is>
          <t>ТОО "Компания Э-КОМ ПРАЙМ"</t>
        </is>
      </c>
      <c r="D659" s="68" t="n"/>
      <c r="E659" s="427" t="n">
        <v>90000</v>
      </c>
      <c r="F659" s="381" t="inlineStr">
        <is>
          <t>Выплачено</t>
        </is>
      </c>
      <c r="G659" s="496" t="n"/>
      <c r="H659" s="496" t="n"/>
    </row>
    <row r="660" outlineLevel="1" ht="16.5" customHeight="1" s="1127">
      <c r="A660" s="461" t="inlineStr">
        <is>
          <t>расход</t>
        </is>
      </c>
      <c r="B660" s="457" t="n">
        <v>46196</v>
      </c>
      <c r="C660" s="449" t="inlineStr">
        <is>
          <t>за починку принтера бухгалтерии</t>
        </is>
      </c>
      <c r="D660" s="493" t="n"/>
      <c r="E660" s="427" t="n">
        <v>72100</v>
      </c>
      <c r="F660" s="381" t="inlineStr">
        <is>
          <t>Выплачено</t>
        </is>
      </c>
      <c r="G660" s="496" t="n"/>
      <c r="H660" s="496" t="n"/>
    </row>
    <row r="661" outlineLevel="1" ht="16.5" customHeight="1" s="1127">
      <c r="A661" s="461" t="inlineStr">
        <is>
          <t>расход</t>
        </is>
      </c>
      <c r="B661" s="457" t="n">
        <v>46196</v>
      </c>
      <c r="C661" s="68" t="inlineStr">
        <is>
          <t>Public Health Inspection лабораторный 
самоконтроль</t>
        </is>
      </c>
      <c r="D661" s="493" t="n"/>
      <c r="E661" s="427" t="n">
        <v>101100</v>
      </c>
      <c r="F661" s="381" t="inlineStr">
        <is>
          <t>Выплачено</t>
        </is>
      </c>
      <c r="G661" s="496" t="n"/>
      <c r="H661" s="496" t="n"/>
    </row>
    <row r="662" outlineLevel="1" ht="16.5" customHeight="1" s="1127">
      <c r="A662" s="461" t="inlineStr">
        <is>
          <t>расход</t>
        </is>
      </c>
      <c r="B662" s="457" t="n">
        <v>46196</v>
      </c>
      <c r="C662" s="425" t="inlineStr">
        <is>
          <t xml:space="preserve">Закуп утро </t>
        </is>
      </c>
      <c r="D662" s="68" t="n"/>
      <c r="E662" s="427" t="n">
        <v>4580490</v>
      </c>
      <c r="F662" s="381" t="inlineStr">
        <is>
          <t>Выплачено</t>
        </is>
      </c>
      <c r="G662" s="496" t="n"/>
      <c r="H662" s="496" t="n"/>
    </row>
    <row r="663" outlineLevel="1" ht="16.5" customHeight="1" s="1127">
      <c r="A663" s="461" t="inlineStr">
        <is>
          <t>расход</t>
        </is>
      </c>
      <c r="B663" s="457" t="n">
        <v>46196</v>
      </c>
      <c r="C663" s="425" t="inlineStr">
        <is>
          <t xml:space="preserve">Закуп вечер </t>
        </is>
      </c>
      <c r="D663" s="68" t="n"/>
      <c r="E663" s="427" t="n">
        <v>2503420</v>
      </c>
      <c r="F663" s="381" t="inlineStr">
        <is>
          <t>Выплачено</t>
        </is>
      </c>
      <c r="G663" s="496" t="n"/>
      <c r="H663" s="496" t="n"/>
    </row>
    <row r="664" outlineLevel="1" ht="16.5" customHeight="1" s="1127">
      <c r="A664" s="461" t="inlineStr">
        <is>
          <t>расход</t>
        </is>
      </c>
      <c r="B664" s="457" t="n">
        <v>46196</v>
      </c>
      <c r="C664" s="425" t="inlineStr">
        <is>
          <t>Зарплатные налоги</t>
        </is>
      </c>
      <c r="D664" s="68" t="n"/>
      <c r="E664" s="427" t="n">
        <v>5516383</v>
      </c>
      <c r="F664" s="381" t="inlineStr">
        <is>
          <t>Выплачено</t>
        </is>
      </c>
      <c r="G664" s="496" t="n">
        <v>3109565</v>
      </c>
      <c r="H664" s="496" t="n"/>
    </row>
    <row r="665" outlineLevel="1" ht="16.5" customHeight="1" s="1127">
      <c r="A665" s="461" t="inlineStr">
        <is>
          <t>расход</t>
        </is>
      </c>
      <c r="B665" s="457" t="n">
        <v>46196</v>
      </c>
      <c r="C665" s="447" t="inlineStr">
        <is>
          <t xml:space="preserve">Ремонта кондицианера в бух отделе </t>
        </is>
      </c>
      <c r="D665" s="493" t="n">
        <v>15000</v>
      </c>
      <c r="E665" s="427" t="n"/>
      <c r="F665" s="381" t="inlineStr">
        <is>
          <t>Выплачено</t>
        </is>
      </c>
      <c r="G665" s="496" t="n"/>
      <c r="H665" s="496" t="n"/>
    </row>
    <row r="666" outlineLevel="1" ht="16.5" customHeight="1" s="1127">
      <c r="A666" s="461" t="inlineStr">
        <is>
          <t>расход</t>
        </is>
      </c>
      <c r="B666" s="457" t="n">
        <v>46196</v>
      </c>
      <c r="C666" s="447" t="inlineStr">
        <is>
          <t>На тариф роутера altel.</t>
        </is>
      </c>
      <c r="D666" s="493" t="n">
        <v>15000</v>
      </c>
      <c r="E666" s="427" t="n"/>
      <c r="F666" s="381" t="inlineStr">
        <is>
          <t>Выплачено</t>
        </is>
      </c>
      <c r="G666" s="496" t="n"/>
      <c r="H666" s="496" t="n"/>
    </row>
    <row r="667" outlineLevel="1" ht="16.5" customHeight="1" s="1127">
      <c r="A667" s="461" t="inlineStr">
        <is>
          <t>расход</t>
        </is>
      </c>
      <c r="B667" s="457" t="n">
        <v>46196</v>
      </c>
      <c r="C667" s="425" t="inlineStr">
        <is>
          <t>Зарплата АУП (уточнить остаток)</t>
        </is>
      </c>
      <c r="D667" s="493" t="n">
        <v>3499000</v>
      </c>
      <c r="E667" s="427" t="n"/>
      <c r="F667" s="381" t="inlineStr">
        <is>
          <t>Выплачено</t>
        </is>
      </c>
      <c r="G667" s="496" t="n"/>
      <c r="H667" s="496" t="n"/>
    </row>
    <row r="668" outlineLevel="1" ht="16.5" customHeight="1" s="1127">
      <c r="A668" s="461" t="inlineStr">
        <is>
          <t>расход</t>
        </is>
      </c>
      <c r="B668" s="457" t="n">
        <v>46196</v>
      </c>
      <c r="C668" s="68" t="inlineStr">
        <is>
          <t>ЗП производство</t>
        </is>
      </c>
      <c r="D668" s="493" t="n">
        <v>1907000</v>
      </c>
      <c r="E668" s="68" t="n"/>
      <c r="F668" s="381" t="inlineStr">
        <is>
          <t>Выплачено</t>
        </is>
      </c>
      <c r="G668" s="496" t="n"/>
      <c r="H668" s="496" t="n"/>
    </row>
    <row r="669" outlineLevel="1" ht="16.5" customHeight="1" s="1127">
      <c r="A669" s="461" t="inlineStr">
        <is>
          <t>расход</t>
        </is>
      </c>
      <c r="B669" s="457" t="n">
        <v>46196</v>
      </c>
      <c r="C669" s="448" t="inlineStr">
        <is>
          <t>Айнабекова Куралай</t>
        </is>
      </c>
      <c r="D669" s="493" t="n">
        <v>200000</v>
      </c>
      <c r="E669" s="68" t="n"/>
      <c r="F669" s="381" t="inlineStr">
        <is>
          <t>Выплачено</t>
        </is>
      </c>
      <c r="G669" s="496" t="n"/>
      <c r="H669" s="496" t="n"/>
    </row>
    <row r="670" outlineLevel="1" ht="16.5" customHeight="1" s="1127">
      <c r="A670" s="461" t="inlineStr">
        <is>
          <t>расход</t>
        </is>
      </c>
      <c r="B670" s="457" t="n">
        <v>46196</v>
      </c>
      <c r="C670" s="449" t="inlineStr">
        <is>
          <t>вызывного техника Ибраиханов Муратбек</t>
        </is>
      </c>
      <c r="D670" s="493" t="n">
        <v>80000</v>
      </c>
      <c r="E670" s="427" t="n"/>
      <c r="F670" s="381" t="inlineStr">
        <is>
          <t>Выплачено</t>
        </is>
      </c>
      <c r="G670" s="496" t="n"/>
      <c r="H670" s="496" t="n"/>
    </row>
    <row r="671" outlineLevel="1" ht="16.5" customHeight="1" s="1127">
      <c r="A671" s="461" t="inlineStr">
        <is>
          <t>расход</t>
        </is>
      </c>
      <c r="B671" s="457" t="n">
        <v>46197</v>
      </c>
      <c r="C671" s="68" t="inlineStr">
        <is>
          <t xml:space="preserve">Остаток зп  производство </t>
        </is>
      </c>
      <c r="D671" s="493" t="n">
        <v>692000</v>
      </c>
      <c r="E671" s="427" t="n"/>
      <c r="F671" s="381" t="inlineStr">
        <is>
          <t>Выплачено</t>
        </is>
      </c>
      <c r="G671" s="496" t="n"/>
      <c r="H671" s="496" t="n"/>
    </row>
    <row r="672" outlineLevel="1" ht="16.5" customHeight="1" s="1127">
      <c r="A672" s="461" t="inlineStr">
        <is>
          <t>расход</t>
        </is>
      </c>
      <c r="B672" s="457" t="n">
        <v>46197</v>
      </c>
      <c r="C672" s="448" t="inlineStr">
        <is>
          <t>оформления документов, РВП на Саттаров</t>
        </is>
      </c>
      <c r="D672" s="493" t="n">
        <v>380000</v>
      </c>
      <c r="E672" s="427" t="n"/>
      <c r="F672" s="381" t="inlineStr">
        <is>
          <t>Выплачено</t>
        </is>
      </c>
      <c r="G672" s="496" t="n"/>
      <c r="H672" s="496" t="n"/>
    </row>
    <row r="673" outlineLevel="1" ht="16.5" customHeight="1" s="1127">
      <c r="A673" s="461" t="inlineStr">
        <is>
          <t>расход</t>
        </is>
      </c>
      <c r="B673" s="457" t="n">
        <v>46197</v>
      </c>
      <c r="C673" s="68" t="inlineStr">
        <is>
          <t>ЗП АУП (нал)</t>
        </is>
      </c>
      <c r="D673" s="493" t="n">
        <v>5827180</v>
      </c>
      <c r="E673" s="427" t="n"/>
      <c r="F673" s="381" t="inlineStr">
        <is>
          <t>Выплачено</t>
        </is>
      </c>
      <c r="G673" s="496" t="n"/>
      <c r="H673" s="496" t="n"/>
    </row>
    <row r="674" outlineLevel="1" ht="16.5" customHeight="1" s="1127">
      <c r="A674" s="461" t="inlineStr">
        <is>
          <t>расход</t>
        </is>
      </c>
      <c r="B674" s="457" t="n">
        <v>46197</v>
      </c>
      <c r="C674" s="68" t="inlineStr">
        <is>
          <t xml:space="preserve">Закуп утро </t>
        </is>
      </c>
      <c r="D674" s="493" t="n"/>
      <c r="E674" s="427" t="n">
        <v>5034236</v>
      </c>
      <c r="F674" s="381" t="inlineStr">
        <is>
          <t>Выплачено</t>
        </is>
      </c>
      <c r="G674" s="496" t="n"/>
      <c r="H674" s="496" t="n"/>
    </row>
    <row r="675" outlineLevel="1" ht="16.5" customHeight="1" s="1127">
      <c r="A675" s="461" t="inlineStr">
        <is>
          <t>расход</t>
        </is>
      </c>
      <c r="B675" s="457" t="n">
        <v>46198</v>
      </c>
      <c r="C675" s="68" t="inlineStr">
        <is>
          <t>Лагманщики недельная ЗП   Ануар Оркен лагман</t>
        </is>
      </c>
      <c r="D675" s="424" t="n">
        <v>108000</v>
      </c>
      <c r="E675" s="427" t="n"/>
      <c r="F675" s="381" t="inlineStr">
        <is>
          <t>Выплачено</t>
        </is>
      </c>
      <c r="G675" s="496" t="n"/>
      <c r="H675" s="496" t="n"/>
    </row>
    <row r="676" outlineLevel="1" ht="16.5" customHeight="1" s="1127">
      <c r="A676" s="461" t="inlineStr">
        <is>
          <t>расход</t>
        </is>
      </c>
      <c r="B676" s="457" t="n">
        <v>46198</v>
      </c>
      <c r="C676" s="68" t="inlineStr">
        <is>
          <t>Квартира Олеся С</t>
        </is>
      </c>
      <c r="D676" s="424" t="n">
        <v>350149</v>
      </c>
      <c r="E676" s="427" t="n"/>
      <c r="F676" s="381" t="inlineStr">
        <is>
          <t>Выплачено</t>
        </is>
      </c>
      <c r="G676" s="496" t="n"/>
      <c r="H676" s="496" t="n"/>
    </row>
    <row r="677" outlineLevel="1" ht="13.8" customHeight="1" s="1127">
      <c r="A677" s="461" t="inlineStr">
        <is>
          <t>расход</t>
        </is>
      </c>
      <c r="B677" s="457" t="n">
        <v>46198</v>
      </c>
      <c r="C677" s="425" t="inlineStr">
        <is>
          <t>Налоги (зарплатные остаток)</t>
        </is>
      </c>
      <c r="D677" s="493" t="n"/>
      <c r="E677" s="424" t="n">
        <v>3109565</v>
      </c>
      <c r="F677" s="381" t="inlineStr">
        <is>
          <t>Выплачено</t>
        </is>
      </c>
      <c r="G677" s="496" t="n"/>
      <c r="H677" s="496" t="n"/>
    </row>
    <row r="678" outlineLevel="1" ht="13.8" customHeight="1" s="1127">
      <c r="A678" s="461" t="inlineStr">
        <is>
          <t>расход</t>
        </is>
      </c>
      <c r="B678" s="457" t="n">
        <v>46198</v>
      </c>
      <c r="C678" s="425" t="inlineStr">
        <is>
          <t>Закуп утро</t>
        </is>
      </c>
      <c r="D678" s="493" t="n"/>
      <c r="E678" s="424" t="n">
        <v>2757797</v>
      </c>
      <c r="F678" s="381" t="inlineStr">
        <is>
          <t>Выплачено</t>
        </is>
      </c>
      <c r="G678" s="496" t="n"/>
      <c r="H678" s="496" t="n"/>
    </row>
    <row r="679" outlineLevel="1" ht="13.8" customHeight="1" s="1127">
      <c r="A679" s="461" t="inlineStr">
        <is>
          <t>расход</t>
        </is>
      </c>
      <c r="B679" s="457" t="n">
        <v>46198</v>
      </c>
      <c r="C679" s="68" t="inlineStr">
        <is>
          <t>Закуп вечер</t>
        </is>
      </c>
      <c r="D679" s="493" t="n"/>
      <c r="E679" s="427" t="n">
        <v>7640880</v>
      </c>
      <c r="F679" s="381" t="inlineStr">
        <is>
          <t>Выплачено</t>
        </is>
      </c>
      <c r="G679" s="496" t="n"/>
      <c r="H679" s="496" t="n"/>
    </row>
    <row r="680" outlineLevel="1" ht="13.8" customHeight="1" s="1127">
      <c r="A680" s="461" t="inlineStr">
        <is>
          <t>расход</t>
        </is>
      </c>
      <c r="B680" s="457" t="n">
        <v>46198</v>
      </c>
      <c r="C680" s="68" t="inlineStr">
        <is>
          <t>ИП «Алексеевское» (пищевой отходы)</t>
        </is>
      </c>
      <c r="D680" s="493" t="n"/>
      <c r="E680" s="427" t="n">
        <v>100000</v>
      </c>
      <c r="F680" s="381" t="inlineStr">
        <is>
          <t>Выплачено</t>
        </is>
      </c>
      <c r="G680" s="496" t="n"/>
      <c r="H680" s="496" t="n"/>
    </row>
    <row r="681" outlineLevel="1" ht="13.8" customHeight="1" s="1127">
      <c r="A681" s="461" t="inlineStr">
        <is>
          <t>расход</t>
        </is>
      </c>
      <c r="B681" s="457" t="n">
        <v>46198</v>
      </c>
      <c r="C681" s="447" t="inlineStr">
        <is>
          <t xml:space="preserve">Газовые балоны,асенезатора,айран </t>
        </is>
      </c>
      <c r="D681" s="493" t="n">
        <v>83600</v>
      </c>
      <c r="E681" s="427" t="n"/>
      <c r="F681" s="381" t="inlineStr">
        <is>
          <t>Выплачено</t>
        </is>
      </c>
      <c r="G681" s="496" t="n"/>
      <c r="H681" s="496" t="n"/>
    </row>
    <row r="682" outlineLevel="1" ht="13.8" customHeight="1" s="1127">
      <c r="A682" s="461" t="inlineStr">
        <is>
          <t>расход</t>
        </is>
      </c>
      <c r="B682" s="457" t="n">
        <v>46198</v>
      </c>
      <c r="C682" s="447" t="inlineStr">
        <is>
          <t xml:space="preserve">Оплата вызовных  </t>
        </is>
      </c>
      <c r="D682" s="493" t="n">
        <v>12000</v>
      </c>
      <c r="E682" s="427" t="n"/>
      <c r="F682" s="381" t="inlineStr">
        <is>
          <t>Выплачено</t>
        </is>
      </c>
      <c r="G682" s="496" t="n"/>
      <c r="H682" s="496" t="n"/>
    </row>
    <row r="683" outlineLevel="1" ht="13.8" customHeight="1" s="1127">
      <c r="A683" s="461" t="inlineStr">
        <is>
          <t>расход</t>
        </is>
      </c>
      <c r="B683" s="457" t="n">
        <v>46198</v>
      </c>
      <c r="C683" s="425" t="inlineStr">
        <is>
          <t>Куанышбек Гулдераим</t>
        </is>
      </c>
      <c r="D683" s="493" t="n">
        <v>280000</v>
      </c>
      <c r="E683" s="427" t="n"/>
      <c r="F683" s="381" t="inlineStr">
        <is>
          <t>Выплачено</t>
        </is>
      </c>
      <c r="G683" s="496" t="n"/>
      <c r="H683" s="496" t="n"/>
    </row>
    <row r="684" outlineLevel="1" ht="13.8" customHeight="1" s="1127">
      <c r="A684" s="461" t="inlineStr">
        <is>
          <t>расход</t>
        </is>
      </c>
      <c r="B684" s="457" t="n">
        <v>46198</v>
      </c>
      <c r="C684" s="425" t="inlineStr">
        <is>
          <t>Амувакиров Адиль</t>
        </is>
      </c>
      <c r="D684" s="493" t="n">
        <v>68000</v>
      </c>
      <c r="E684" s="427" t="n"/>
      <c r="F684" s="381" t="inlineStr">
        <is>
          <t>Выплачено</t>
        </is>
      </c>
      <c r="G684" s="496" t="n"/>
      <c r="H684" s="496" t="n"/>
    </row>
    <row r="685" outlineLevel="1" ht="13.8" customHeight="1" s="1127">
      <c r="A685" s="461" t="inlineStr">
        <is>
          <t>расход</t>
        </is>
      </c>
      <c r="B685" s="457" t="n">
        <v>46198</v>
      </c>
      <c r="C685" s="425" t="inlineStr">
        <is>
          <t>Касенов Ерик</t>
        </is>
      </c>
      <c r="D685" s="493" t="n">
        <v>128000</v>
      </c>
      <c r="E685" s="427" t="n"/>
      <c r="F685" s="381" t="inlineStr">
        <is>
          <t>Выплачено</t>
        </is>
      </c>
      <c r="G685" s="496" t="n"/>
      <c r="H685" s="496" t="n"/>
    </row>
    <row r="686" outlineLevel="1" ht="13.8" customHeight="1" s="1127">
      <c r="A686" s="461" t="inlineStr">
        <is>
          <t>расход</t>
        </is>
      </c>
      <c r="B686" s="457" t="n">
        <v>46199</v>
      </c>
      <c r="C686" s="430" t="inlineStr">
        <is>
          <t>На запчасти заводу</t>
        </is>
      </c>
      <c r="D686" s="424" t="n">
        <v>200000</v>
      </c>
      <c r="E686" s="427" t="n"/>
      <c r="F686" s="381" t="inlineStr">
        <is>
          <t>Выплачено</t>
        </is>
      </c>
      <c r="H686" s="496" t="n"/>
    </row>
    <row r="687" outlineLevel="1" ht="13.8" customHeight="1" s="1127">
      <c r="A687" s="461" t="inlineStr">
        <is>
          <t>расход</t>
        </is>
      </c>
      <c r="B687" s="457" t="n">
        <v>46199</v>
      </c>
      <c r="C687" s="425" t="inlineStr">
        <is>
          <t>Заиров Расулжан</t>
        </is>
      </c>
      <c r="D687" s="493" t="n">
        <v>158000</v>
      </c>
      <c r="E687" s="427" t="n"/>
      <c r="F687" s="381" t="inlineStr">
        <is>
          <t>Выплачено</t>
        </is>
      </c>
    </row>
    <row r="688" outlineLevel="1" ht="13.8" customHeight="1" s="1127">
      <c r="A688" s="461" t="inlineStr">
        <is>
          <t>расход</t>
        </is>
      </c>
      <c r="B688" s="457" t="n">
        <v>46199</v>
      </c>
      <c r="C688" s="425" t="inlineStr">
        <is>
          <t>Маулетханулы Даулет лагманщик</t>
        </is>
      </c>
      <c r="D688" s="493" t="n">
        <v>90000</v>
      </c>
      <c r="E688" s="427" t="n"/>
      <c r="F688" s="381" t="inlineStr">
        <is>
          <t>Выплачено</t>
        </is>
      </c>
    </row>
    <row r="689" outlineLevel="1" ht="13.8" customHeight="1" s="1127">
      <c r="A689" s="461" t="inlineStr">
        <is>
          <t>расход</t>
        </is>
      </c>
      <c r="B689" s="457" t="n">
        <v>46199</v>
      </c>
      <c r="C689" s="425" t="inlineStr">
        <is>
          <t>Турсынжан Казия лагман</t>
        </is>
      </c>
      <c r="D689" s="493" t="n">
        <v>108000</v>
      </c>
      <c r="E689" s="427" t="n"/>
      <c r="F689" s="381" t="inlineStr">
        <is>
          <t>Выплачено</t>
        </is>
      </c>
    </row>
    <row r="690" outlineLevel="1" ht="13.8" customHeight="1" s="1127">
      <c r="A690" s="461" t="inlineStr">
        <is>
          <t>расход</t>
        </is>
      </c>
      <c r="B690" s="457" t="n">
        <v>46199</v>
      </c>
      <c r="C690" s="425" t="inlineStr">
        <is>
          <t>Арифуллина Ясмина</t>
        </is>
      </c>
      <c r="D690" s="493" t="n">
        <v>84079</v>
      </c>
      <c r="E690" s="427" t="n"/>
      <c r="F690" s="381" t="inlineStr">
        <is>
          <t>Выплачено</t>
        </is>
      </c>
    </row>
    <row r="691" outlineLevel="1" ht="13.8" customHeight="1" s="1127">
      <c r="A691" s="461" t="inlineStr">
        <is>
          <t>расход</t>
        </is>
      </c>
      <c r="B691" s="457" t="n">
        <v>46199</v>
      </c>
      <c r="C691" s="425" t="inlineStr">
        <is>
          <t>Бадыров Князь</t>
        </is>
      </c>
      <c r="D691" s="493" t="n">
        <v>652738</v>
      </c>
      <c r="E691" s="427" t="n"/>
      <c r="F691" s="381" t="inlineStr">
        <is>
          <t>Выплачено</t>
        </is>
      </c>
    </row>
    <row r="692" outlineLevel="1" ht="13.8" customHeight="1" s="1127">
      <c r="A692" s="461" t="inlineStr">
        <is>
          <t>расход</t>
        </is>
      </c>
      <c r="B692" s="457" t="n">
        <v>46199</v>
      </c>
      <c r="C692" s="425" t="inlineStr">
        <is>
          <t>Байсеит Думан</t>
        </is>
      </c>
      <c r="D692" s="493" t="n">
        <v>224896</v>
      </c>
      <c r="E692" s="427" t="n"/>
      <c r="F692" s="381" t="inlineStr">
        <is>
          <t>Выплачено</t>
        </is>
      </c>
    </row>
    <row r="693" outlineLevel="1" ht="13.8" customHeight="1" s="1127">
      <c r="A693" s="461" t="inlineStr">
        <is>
          <t>расход</t>
        </is>
      </c>
      <c r="B693" s="457" t="n">
        <v>46199</v>
      </c>
      <c r="C693" s="425" t="inlineStr">
        <is>
          <t>Алламбергенова Айнаш</t>
        </is>
      </c>
      <c r="D693" s="493" t="n">
        <v>133807</v>
      </c>
      <c r="E693" s="427" t="n"/>
      <c r="F693" s="381" t="inlineStr">
        <is>
          <t>Выплачено</t>
        </is>
      </c>
    </row>
    <row r="694" outlineLevel="1" ht="13.8" customHeight="1" s="1127">
      <c r="A694" s="461" t="inlineStr">
        <is>
          <t>расход</t>
        </is>
      </c>
      <c r="B694" s="457" t="n">
        <v>46199</v>
      </c>
      <c r="C694" s="456" t="inlineStr">
        <is>
          <t>Есжанова Гюзяль</t>
        </is>
      </c>
      <c r="D694" s="493" t="n">
        <v>100000</v>
      </c>
      <c r="E694" s="427" t="n"/>
      <c r="F694" s="381" t="inlineStr">
        <is>
          <t>Выплачено</t>
        </is>
      </c>
    </row>
    <row r="695" outlineLevel="1" ht="13.8" customHeight="1" s="1127">
      <c r="A695" s="461" t="inlineStr">
        <is>
          <t>расход</t>
        </is>
      </c>
      <c r="B695" s="457" t="n">
        <v>46199</v>
      </c>
      <c r="C695" s="456" t="inlineStr">
        <is>
          <t xml:space="preserve">Есжанова Гюзяль За фотограф </t>
        </is>
      </c>
      <c r="D695" s="493" t="n">
        <v>25000</v>
      </c>
      <c r="E695" s="427" t="n"/>
      <c r="F695" s="381" t="inlineStr">
        <is>
          <t>Выплачено</t>
        </is>
      </c>
    </row>
    <row r="696" outlineLevel="1" ht="13.8" customHeight="1" s="1127">
      <c r="A696" s="461" t="n"/>
      <c r="B696" s="457" t="n">
        <v>46199</v>
      </c>
      <c r="C696" s="497" t="inlineStr">
        <is>
          <t>Құлбек Ырысты</t>
        </is>
      </c>
      <c r="D696" s="493" t="n">
        <v>62433</v>
      </c>
      <c r="E696" s="427" t="n"/>
      <c r="F696" s="381" t="inlineStr">
        <is>
          <t>Выплачено</t>
        </is>
      </c>
    </row>
    <row r="697" outlineLevel="1" ht="13.8" customHeight="1" s="1127">
      <c r="A697" s="461" t="n"/>
      <c r="B697" s="457" t="n">
        <v>46199</v>
      </c>
      <c r="C697" s="497" t="inlineStr">
        <is>
          <t xml:space="preserve">Наемных техников </t>
        </is>
      </c>
      <c r="D697" s="493" t="n">
        <v>200000</v>
      </c>
      <c r="E697" s="427" t="n"/>
      <c r="F697" s="381" t="inlineStr">
        <is>
          <t>Выплачено</t>
        </is>
      </c>
    </row>
    <row r="698" outlineLevel="1" ht="13.8" customHeight="1" s="1127">
      <c r="A698" s="461" t="inlineStr">
        <is>
          <t>расход</t>
        </is>
      </c>
      <c r="B698" s="457" t="n">
        <v>46202</v>
      </c>
      <c r="C698" s="425" t="inlineStr">
        <is>
          <t>Жунискулова Гульжазира</t>
        </is>
      </c>
      <c r="D698" s="493" t="n">
        <v>203000</v>
      </c>
      <c r="E698" s="427" t="n"/>
      <c r="F698" s="381" t="inlineStr">
        <is>
          <t>Выплачено</t>
        </is>
      </c>
    </row>
    <row r="699" outlineLevel="1" ht="13.8" customHeight="1" s="1127">
      <c r="A699" s="461" t="n"/>
      <c r="B699" s="457" t="n">
        <v>46202</v>
      </c>
      <c r="C699" s="425" t="inlineStr">
        <is>
          <t>Инкарбекова Шугыла</t>
        </is>
      </c>
      <c r="D699" s="493" t="n">
        <v>109288</v>
      </c>
      <c r="E699" s="427" t="n"/>
      <c r="F699" s="381" t="inlineStr">
        <is>
          <t>Выплачено</t>
        </is>
      </c>
    </row>
    <row r="700" outlineLevel="1" ht="13.8" customHeight="1" s="1127">
      <c r="A700" s="461" t="n"/>
      <c r="B700" s="457" t="n">
        <v>46202</v>
      </c>
      <c r="C700" s="456" t="inlineStr">
        <is>
          <t>Эринбетова Жибек</t>
        </is>
      </c>
      <c r="D700" s="493" t="n">
        <v>140546</v>
      </c>
      <c r="E700" s="427" t="n"/>
      <c r="F700" s="381" t="inlineStr">
        <is>
          <t>Выплачено</t>
        </is>
      </c>
    </row>
    <row r="701" outlineLevel="1" ht="13.8" customHeight="1" s="1127">
      <c r="A701" s="461" t="inlineStr">
        <is>
          <t>расход</t>
        </is>
      </c>
      <c r="B701" s="457" t="n">
        <v>46202</v>
      </c>
      <c r="C701" s="456" t="inlineStr">
        <is>
          <t>Коковкин Владимир</t>
        </is>
      </c>
      <c r="D701" s="493" t="n">
        <v>215000</v>
      </c>
      <c r="E701" s="427" t="n"/>
      <c r="F701" s="381" t="inlineStr">
        <is>
          <t>Выплачено</t>
        </is>
      </c>
    </row>
    <row r="702" outlineLevel="1" ht="13.8" customHeight="1" s="1127">
      <c r="A702" s="461" t="inlineStr">
        <is>
          <t>расход</t>
        </is>
      </c>
      <c r="B702" s="457" t="n">
        <v>46202</v>
      </c>
      <c r="C702" s="425" t="inlineStr">
        <is>
          <t>Оплата счёта за ээ</t>
        </is>
      </c>
      <c r="D702" s="493" t="n"/>
      <c r="E702" s="427" t="n">
        <v>9432232</v>
      </c>
      <c r="F702" s="381" t="inlineStr">
        <is>
          <t>Выплачено</t>
        </is>
      </c>
    </row>
    <row r="703" outlineLevel="1" ht="13.8" customHeight="1" s="1127">
      <c r="A703" s="461" t="inlineStr">
        <is>
          <t>расход</t>
        </is>
      </c>
      <c r="B703" s="457" t="n">
        <v>46202</v>
      </c>
      <c r="C703" s="425" t="inlineStr">
        <is>
          <t>Закуп утро</t>
        </is>
      </c>
      <c r="D703" s="493" t="n"/>
      <c r="E703" s="427" t="n">
        <v>2000000</v>
      </c>
      <c r="F703" s="381" t="inlineStr">
        <is>
          <t>К оплате</t>
        </is>
      </c>
    </row>
    <row r="704" outlineLevel="1" ht="13.8" customHeight="1" s="1127">
      <c r="A704" s="461" t="inlineStr">
        <is>
          <t>расход</t>
        </is>
      </c>
      <c r="B704" s="457" t="n">
        <v>46202</v>
      </c>
      <c r="C704" s="425" t="inlineStr">
        <is>
          <t>Закуп вечер</t>
        </is>
      </c>
      <c r="D704" s="493" t="n"/>
      <c r="E704" s="427" t="n">
        <v>2000000</v>
      </c>
      <c r="F704" s="381" t="inlineStr">
        <is>
          <t>К оплате</t>
        </is>
      </c>
    </row>
    <row r="705" outlineLevel="1" ht="13.8" customHeight="1" s="1127">
      <c r="A705" s="461" t="inlineStr">
        <is>
          <t>расход</t>
        </is>
      </c>
      <c r="B705" s="457" t="n">
        <v>46202</v>
      </c>
      <c r="C705" s="430" t="inlineStr">
        <is>
          <t>Стройматериалы заводу</t>
        </is>
      </c>
      <c r="D705" s="493" t="n">
        <v>200000</v>
      </c>
      <c r="E705" s="427" t="n"/>
      <c r="F705" s="381" t="inlineStr">
        <is>
          <t>Выплачено</t>
        </is>
      </c>
    </row>
    <row r="706" outlineLevel="1" ht="13.8" customHeight="1" s="1127">
      <c r="A706" s="461" t="inlineStr">
        <is>
          <t>расход</t>
        </is>
      </c>
      <c r="B706" s="457" t="n">
        <v>46202</v>
      </c>
      <c r="C706" s="450" t="inlineStr">
        <is>
          <t>Оплата рекрутер Олжас</t>
        </is>
      </c>
      <c r="D706" s="493" t="n">
        <v>100000</v>
      </c>
      <c r="E706" s="427" t="n"/>
      <c r="F706" s="381" t="inlineStr">
        <is>
          <t>Выплачено</t>
        </is>
      </c>
    </row>
    <row r="707" outlineLevel="1" ht="13.8" customHeight="1" s="1127">
      <c r="A707" s="461" t="inlineStr">
        <is>
          <t>расход</t>
        </is>
      </c>
      <c r="B707" s="457" t="n">
        <v>46202</v>
      </c>
      <c r="C707" s="425" t="inlineStr">
        <is>
          <t xml:space="preserve">Дорожный Саттаров </t>
        </is>
      </c>
      <c r="D707" s="493" t="n">
        <v>20000</v>
      </c>
      <c r="E707" s="427" t="n"/>
      <c r="F707" s="381" t="inlineStr">
        <is>
          <t>Выплачено</t>
        </is>
      </c>
    </row>
    <row r="708" outlineLevel="1" ht="13.8" customHeight="1" s="1127">
      <c r="A708" s="461" t="inlineStr">
        <is>
          <t>расход</t>
        </is>
      </c>
      <c r="B708" s="457" t="n">
        <v>46203</v>
      </c>
      <c r="C708" s="425" t="inlineStr">
        <is>
          <t>Закуп утро</t>
        </is>
      </c>
      <c r="D708" s="493" t="n"/>
      <c r="E708" s="427" t="n">
        <v>9000000</v>
      </c>
      <c r="F708" s="381" t="inlineStr">
        <is>
          <t>К оплате</t>
        </is>
      </c>
    </row>
    <row r="709" outlineLevel="1" ht="13.8" customHeight="1" s="1127">
      <c r="A709" s="461" t="inlineStr">
        <is>
          <t>расход</t>
        </is>
      </c>
      <c r="B709" s="457" t="n">
        <v>46203</v>
      </c>
      <c r="C709" s="425" t="inlineStr">
        <is>
          <t>Закуп вечер</t>
        </is>
      </c>
      <c r="D709" s="493" t="n"/>
      <c r="E709" s="427" t="n">
        <v>1000000</v>
      </c>
      <c r="F709" s="381" t="inlineStr">
        <is>
          <t>К оплате</t>
        </is>
      </c>
    </row>
    <row r="710" outlineLevel="1" ht="13.8" customHeight="1" s="1127">
      <c r="A710" s="461" t="inlineStr">
        <is>
          <t>расход</t>
        </is>
      </c>
      <c r="B710" s="457" t="n">
        <v>46203</v>
      </c>
      <c r="C710" s="425" t="inlineStr">
        <is>
          <t xml:space="preserve">Снятие нал </t>
        </is>
      </c>
      <c r="D710" s="493" t="n">
        <v>2000000</v>
      </c>
      <c r="E710" s="427" t="n"/>
      <c r="F710" s="381" t="inlineStr">
        <is>
          <t>К оплате</t>
        </is>
      </c>
    </row>
    <row r="711" outlineLevel="1" ht="13.8" customHeight="1" s="1127">
      <c r="A711" s="461" t="inlineStr">
        <is>
          <t>расход</t>
        </is>
      </c>
      <c r="B711" s="457" t="n">
        <v>46203</v>
      </c>
      <c r="C711" s="450" t="n"/>
      <c r="D711" s="493" t="n"/>
      <c r="E711" s="427" t="n"/>
      <c r="F711" s="381" t="inlineStr">
        <is>
          <t>К оплате</t>
        </is>
      </c>
    </row>
    <row r="712" outlineLevel="1" ht="13.8" customHeight="1" s="1127">
      <c r="A712" s="461" t="inlineStr">
        <is>
          <t>расход</t>
        </is>
      </c>
      <c r="B712" s="457" t="n"/>
      <c r="C712" s="425" t="inlineStr">
        <is>
          <t>Садыбаева Гаухар</t>
        </is>
      </c>
      <c r="D712" s="493" t="n">
        <v>117526</v>
      </c>
      <c r="E712" s="427" t="n"/>
      <c r="F712" s="381" t="inlineStr">
        <is>
          <t>К оплате</t>
        </is>
      </c>
    </row>
    <row r="713" outlineLevel="1" ht="13.8" customHeight="1" s="1127">
      <c r="A713" s="461" t="inlineStr">
        <is>
          <t>расход</t>
        </is>
      </c>
      <c r="B713" s="457" t="n"/>
      <c r="C713" s="425" t="inlineStr">
        <is>
          <t>Укертаев Санжар</t>
        </is>
      </c>
      <c r="D713" s="493" t="n">
        <v>263696</v>
      </c>
      <c r="E713" s="427" t="n"/>
      <c r="F713" s="381" t="inlineStr">
        <is>
          <t>К оплате</t>
        </is>
      </c>
    </row>
    <row r="714" outlineLevel="1" ht="13.8" customHeight="1" s="1127">
      <c r="A714" s="461" t="inlineStr">
        <is>
          <t>расход</t>
        </is>
      </c>
      <c r="B714" s="457" t="n"/>
      <c r="C714" s="425" t="n"/>
      <c r="D714" s="493" t="n"/>
      <c r="E714" s="427" t="n"/>
      <c r="F714" s="381" t="inlineStr">
        <is>
          <t>К оплате</t>
        </is>
      </c>
    </row>
    <row r="715" outlineLevel="1" ht="13.8" customHeight="1" s="1127">
      <c r="A715" s="461" t="inlineStr">
        <is>
          <t>расход</t>
        </is>
      </c>
      <c r="B715" s="457" t="n"/>
      <c r="C715" s="425" t="n"/>
      <c r="D715" s="493" t="n"/>
      <c r="E715" s="427" t="n"/>
      <c r="F715" s="381" t="inlineStr">
        <is>
          <t>К оплате</t>
        </is>
      </c>
    </row>
    <row r="716" outlineLevel="1" ht="13.8" customHeight="1" s="1127">
      <c r="A716" s="461" t="inlineStr">
        <is>
          <t>расход</t>
        </is>
      </c>
      <c r="B716" s="457" t="n"/>
      <c r="C716" s="425" t="n"/>
      <c r="D716" s="493" t="n"/>
      <c r="E716" s="427" t="n"/>
      <c r="F716" s="381" t="inlineStr">
        <is>
          <t>К оплате</t>
        </is>
      </c>
    </row>
    <row r="717" outlineLevel="1" ht="13.8" customHeight="1" s="1127">
      <c r="A717" s="461" t="inlineStr">
        <is>
          <t>расход</t>
        </is>
      </c>
      <c r="B717" s="457" t="n"/>
      <c r="C717" s="425" t="n"/>
      <c r="D717" s="493" t="n"/>
      <c r="E717" s="427" t="n"/>
      <c r="F717" s="381" t="inlineStr">
        <is>
          <t>К оплате</t>
        </is>
      </c>
    </row>
    <row r="718" outlineLevel="1" ht="13.8" customHeight="1" s="1127">
      <c r="A718" s="461" t="inlineStr">
        <is>
          <t>расход</t>
        </is>
      </c>
      <c r="B718" s="457" t="n"/>
      <c r="C718" s="425" t="n"/>
      <c r="D718" s="493" t="n"/>
      <c r="E718" s="427" t="n"/>
      <c r="F718" s="381" t="inlineStr">
        <is>
          <t>К оплате</t>
        </is>
      </c>
    </row>
    <row r="719" outlineLevel="1" ht="13.8" customHeight="1" s="1127">
      <c r="A719" s="461" t="inlineStr">
        <is>
          <t>расход</t>
        </is>
      </c>
      <c r="B719" s="457" t="n"/>
      <c r="C719" s="425" t="n"/>
      <c r="D719" s="493" t="n"/>
      <c r="E719" s="427" t="n"/>
      <c r="F719" s="381" t="inlineStr">
        <is>
          <t>К оплате</t>
        </is>
      </c>
    </row>
    <row r="720" outlineLevel="1" ht="13.2" customHeight="1" s="1127"/>
    <row r="721" outlineLevel="1" ht="13.2" customHeight="1" s="1127"/>
    <row r="722" outlineLevel="1" ht="13.8" customHeight="1" s="1127">
      <c r="B722" s="498" t="n"/>
      <c r="C722" s="497" t="n"/>
      <c r="D722" s="499" t="n"/>
      <c r="E722" s="500" t="n"/>
      <c r="F722" s="501" t="n"/>
    </row>
    <row r="723" ht="13.8" customHeight="1" s="1127">
      <c r="B723" s="498" t="n"/>
      <c r="C723" s="497" t="n"/>
      <c r="D723" s="499" t="n"/>
      <c r="E723" s="500" t="n"/>
      <c r="F723" s="501" t="n"/>
    </row>
    <row r="724" ht="13.8" customHeight="1" s="1127">
      <c r="B724" s="498" t="n"/>
      <c r="C724" s="497" t="n"/>
      <c r="D724" s="499" t="n"/>
      <c r="E724" s="500" t="n"/>
      <c r="F724" s="501" t="n"/>
    </row>
    <row r="725" ht="17.4" customHeight="1" s="1127">
      <c r="B725" s="502" t="inlineStr">
        <is>
          <t>ЗАКУП СЫРЬЁ ОПЛАТА</t>
        </is>
      </c>
      <c r="C725" s="503" t="n"/>
      <c r="D725" s="503" t="n"/>
      <c r="E725" s="466" t="n"/>
      <c r="F725" s="503" t="n"/>
    </row>
    <row r="726" outlineLevel="1" ht="13.2" customHeight="1" s="1127">
      <c r="B726" s="223" t="n"/>
      <c r="C726" s="223" t="inlineStr">
        <is>
          <t>Контрагент</t>
        </is>
      </c>
      <c r="D726" s="223" t="inlineStr">
        <is>
          <t>Наименование товара</t>
        </is>
      </c>
      <c r="E726" s="224" t="inlineStr">
        <is>
          <t>Сумма</t>
        </is>
      </c>
      <c r="F726" s="223" t="inlineStr">
        <is>
          <t>Степень важности</t>
        </is>
      </c>
    </row>
    <row r="727" outlineLevel="1" ht="14.4" customHeight="1" s="1127">
      <c r="A727" s="456" t="n"/>
      <c r="B727" s="504" t="n">
        <v>46141</v>
      </c>
      <c r="C727" s="505" t="inlineStr">
        <is>
          <t>Компания Фудмастер-Трэйд ТОО</t>
        </is>
      </c>
      <c r="D727" s="506" t="n"/>
      <c r="E727" s="507" t="n">
        <v>99738</v>
      </c>
      <c r="F727" s="73" t="inlineStr">
        <is>
          <t xml:space="preserve">Оплачено </t>
        </is>
      </c>
    </row>
    <row r="728" outlineLevel="1" ht="14.4" customHeight="1" s="1127">
      <c r="A728" s="456" t="n"/>
      <c r="B728" s="422" t="n"/>
      <c r="C728" s="505" t="inlineStr">
        <is>
          <t>Сергей логист</t>
        </is>
      </c>
      <c r="D728" s="506" t="n"/>
      <c r="E728" s="507" t="n">
        <v>500000</v>
      </c>
      <c r="F728" s="73" t="inlineStr">
        <is>
          <t xml:space="preserve">Оплачено </t>
        </is>
      </c>
    </row>
    <row r="729" outlineLevel="1" ht="14.4" customHeight="1" s="1127">
      <c r="A729" s="456" t="n"/>
      <c r="B729" s="422" t="n"/>
      <c r="C729" s="505" t="inlineStr">
        <is>
          <t>Ихсан Техногаз ТОО</t>
        </is>
      </c>
      <c r="D729" s="506" t="n"/>
      <c r="E729" s="507" t="n">
        <v>132000</v>
      </c>
      <c r="F729" s="73" t="inlineStr">
        <is>
          <t xml:space="preserve">Оплачено </t>
        </is>
      </c>
    </row>
    <row r="730" outlineLevel="1" ht="14.4" customHeight="1" s="1127">
      <c r="A730" s="456" t="n"/>
      <c r="B730" s="422" t="n"/>
      <c r="C730" s="505" t="inlineStr">
        <is>
          <t>Berry Company ТОО</t>
        </is>
      </c>
      <c r="D730" s="506" t="n"/>
      <c r="E730" s="508" t="n">
        <v>60000</v>
      </c>
      <c r="F730" s="73" t="inlineStr">
        <is>
          <t xml:space="preserve">Оплачено </t>
        </is>
      </c>
    </row>
    <row r="731" outlineLevel="1" ht="14.4" customHeight="1" s="1127">
      <c r="A731" s="456" t="n"/>
      <c r="B731" s="422" t="n"/>
      <c r="C731" s="505" t="inlineStr">
        <is>
          <t>Глобал Фуд ТОО</t>
        </is>
      </c>
      <c r="D731" s="506" t="n"/>
      <c r="E731" s="508" t="n">
        <v>500000</v>
      </c>
      <c r="F731" s="73" t="inlineStr">
        <is>
          <t xml:space="preserve">Оплачено </t>
        </is>
      </c>
    </row>
    <row r="732" outlineLevel="1" ht="14.4" customHeight="1" s="1127">
      <c r="A732" s="456" t="n"/>
      <c r="B732" s="422" t="n"/>
      <c r="C732" s="505" t="inlineStr">
        <is>
          <t>Рай ИП</t>
        </is>
      </c>
      <c r="D732" s="506" t="n"/>
      <c r="E732" s="508" t="n">
        <v>100000</v>
      </c>
      <c r="F732" s="73" t="inlineStr">
        <is>
          <t xml:space="preserve">Оплачено </t>
        </is>
      </c>
      <c r="G732" s="219">
        <f>E747+E746+E745+E744+E743+E742+E741</f>
        <v/>
      </c>
    </row>
    <row r="733" outlineLevel="1" ht="14.4" customHeight="1" s="1127">
      <c r="A733" s="456" t="n"/>
      <c r="B733" s="422" t="n"/>
      <c r="C733" s="505" t="inlineStr">
        <is>
          <t>Succes овощи Айкоркем ИП</t>
        </is>
      </c>
      <c r="D733" s="506" t="n"/>
      <c r="E733" s="508" t="n">
        <v>50000</v>
      </c>
      <c r="F733" s="73" t="inlineStr">
        <is>
          <t xml:space="preserve">Оплачено </t>
        </is>
      </c>
    </row>
    <row r="734" outlineLevel="1" ht="14.4" customHeight="1" s="1127">
      <c r="A734" s="456" t="n"/>
      <c r="B734" s="422" t="n"/>
      <c r="C734" s="505" t="inlineStr">
        <is>
          <t>ИП Айсулу (Касым овощи)</t>
        </is>
      </c>
      <c r="D734" s="506" t="n"/>
      <c r="E734" s="508" t="n">
        <v>100000</v>
      </c>
      <c r="F734" s="73" t="inlineStr">
        <is>
          <t xml:space="preserve">Оплачено </t>
        </is>
      </c>
    </row>
    <row r="735" outlineLevel="1" ht="14.4" customHeight="1" s="1127">
      <c r="A735" s="456" t="n"/>
      <c r="B735" s="422" t="n"/>
      <c r="C735" s="505" t="inlineStr">
        <is>
          <t>Taisa ТОО</t>
        </is>
      </c>
      <c r="D735" s="506" t="n"/>
      <c r="E735" s="508" t="n">
        <v>103600</v>
      </c>
      <c r="F735" s="73" t="inlineStr">
        <is>
          <t xml:space="preserve">Оплачено </t>
        </is>
      </c>
    </row>
    <row r="736" outlineLevel="1" ht="14.4" customHeight="1" s="1127">
      <c r="A736" s="456" t="n"/>
      <c r="B736" s="422" t="n"/>
      <c r="C736" s="505" t="inlineStr">
        <is>
          <t>Первомайские Деликатесы ТОО</t>
        </is>
      </c>
      <c r="D736" s="506" t="n"/>
      <c r="E736" s="508" t="n">
        <v>500000</v>
      </c>
      <c r="F736" s="73" t="inlineStr">
        <is>
          <t xml:space="preserve">Оплачено </t>
        </is>
      </c>
    </row>
    <row r="737" outlineLevel="1" ht="14.4" customHeight="1" s="1127">
      <c r="A737" s="456" t="n"/>
      <c r="B737" s="422" t="n"/>
      <c r="C737" s="505" t="inlineStr">
        <is>
          <t>Color express ТОО</t>
        </is>
      </c>
      <c r="D737" s="506" t="n"/>
      <c r="E737" s="508" t="n">
        <v>200000</v>
      </c>
      <c r="F737" s="73" t="inlineStr">
        <is>
          <t xml:space="preserve">Оплачено </t>
        </is>
      </c>
    </row>
    <row r="738" outlineLevel="1" ht="14.4" customHeight="1" s="1127">
      <c r="A738" s="456" t="n"/>
      <c r="B738" s="504" t="n">
        <v>46141</v>
      </c>
      <c r="C738" s="505" t="inlineStr">
        <is>
          <t>Almaty Develop STM ТОО</t>
        </is>
      </c>
      <c r="D738" s="509" t="n"/>
      <c r="E738" s="510" t="n">
        <v>400000</v>
      </c>
      <c r="F738" s="73" t="inlineStr">
        <is>
          <t xml:space="preserve">Оплачено </t>
        </is>
      </c>
    </row>
    <row r="739" outlineLevel="1" ht="14.4" customHeight="1" s="1127">
      <c r="A739" s="456" t="n"/>
      <c r="B739" s="422" t="n"/>
      <c r="C739" s="511" t="inlineStr">
        <is>
          <t>QAZAQ SAPA GROUP ТОО</t>
        </is>
      </c>
      <c r="D739" s="506" t="n"/>
      <c r="E739" s="510" t="n">
        <v>500000</v>
      </c>
      <c r="F739" s="73" t="inlineStr">
        <is>
          <t xml:space="preserve">Оплачено </t>
        </is>
      </c>
    </row>
    <row r="740" outlineLevel="1" ht="14.4" customHeight="1" s="1127">
      <c r="A740" s="456" t="n"/>
      <c r="B740" s="422" t="n"/>
      <c r="C740" s="511" t="inlineStr">
        <is>
          <t>Rikkaus ИП</t>
        </is>
      </c>
      <c r="D740" s="506" t="n"/>
      <c r="E740" s="508" t="n">
        <v>110772</v>
      </c>
      <c r="F740" s="73" t="inlineStr">
        <is>
          <t xml:space="preserve">Оплачено </t>
        </is>
      </c>
    </row>
    <row r="741" outlineLevel="1" ht="14.4" customHeight="1" s="1127">
      <c r="A741" s="456" t="n"/>
      <c r="B741" s="422" t="n"/>
      <c r="C741" s="511" t="inlineStr">
        <is>
          <t>KazBeef Processing (КазБиф Процессинг) ТОО</t>
        </is>
      </c>
      <c r="D741" s="506" t="n"/>
      <c r="E741" s="508" t="n">
        <v>209995</v>
      </c>
      <c r="F741" s="73" t="inlineStr">
        <is>
          <t xml:space="preserve">Оплачено </t>
        </is>
      </c>
    </row>
    <row r="742" outlineLevel="1" ht="14.4" customHeight="1" s="1127">
      <c r="A742" s="456" t="n"/>
      <c r="B742" s="422" t="n"/>
      <c r="C742" s="511" t="inlineStr">
        <is>
          <t>Аяла Плюс ТОО</t>
        </is>
      </c>
      <c r="D742" s="506" t="n"/>
      <c r="E742" s="508" t="n">
        <v>219300</v>
      </c>
      <c r="F742" s="73" t="inlineStr">
        <is>
          <t xml:space="preserve">Оплачено </t>
        </is>
      </c>
    </row>
    <row r="743" outlineLevel="1" ht="14.4" customHeight="1" s="1127">
      <c r="A743" s="456" t="n"/>
      <c r="B743" s="422" t="n"/>
      <c r="C743" s="505" t="inlineStr">
        <is>
          <t>ИП Kolos</t>
        </is>
      </c>
      <c r="D743" s="506" t="n"/>
      <c r="E743" s="512" t="n">
        <v>87000</v>
      </c>
      <c r="F743" s="73" t="inlineStr">
        <is>
          <t xml:space="preserve">Оплачено </t>
        </is>
      </c>
    </row>
    <row r="744" outlineLevel="1" ht="14.4" customHeight="1" s="1127">
      <c r="A744" s="456" t="n"/>
      <c r="B744" s="422" t="n"/>
      <c r="C744" s="505" t="inlineStr">
        <is>
          <t>Food Company ТОО</t>
        </is>
      </c>
      <c r="D744" s="506" t="n"/>
      <c r="E744" s="508" t="n">
        <v>225360</v>
      </c>
      <c r="F744" s="73" t="inlineStr">
        <is>
          <t xml:space="preserve">Оплачено </t>
        </is>
      </c>
    </row>
    <row r="745" outlineLevel="1" ht="14.4" customHeight="1" s="1127">
      <c r="A745" s="456" t="n"/>
      <c r="B745" s="422" t="n"/>
      <c r="C745" s="505" t="inlineStr">
        <is>
          <t>Зымыран ИП</t>
        </is>
      </c>
      <c r="D745" s="506" t="n"/>
      <c r="E745" s="508" t="n">
        <v>159300</v>
      </c>
      <c r="F745" s="73" t="inlineStr">
        <is>
          <t xml:space="preserve">Оплачено </t>
        </is>
      </c>
    </row>
    <row r="746" hidden="1" outlineLevel="1" ht="14.4" customHeight="1" s="1127">
      <c r="A746" s="456" t="inlineStr">
        <is>
          <t xml:space="preserve"> </t>
        </is>
      </c>
      <c r="B746" s="422" t="n"/>
      <c r="C746" s="505" t="n"/>
      <c r="D746" s="506" t="n"/>
      <c r="E746" s="507" t="n"/>
      <c r="F746" s="73" t="inlineStr">
        <is>
          <t>Оплатить надо</t>
        </is>
      </c>
    </row>
    <row r="747" hidden="1" outlineLevel="1" ht="21.75" customHeight="1" s="1127">
      <c r="B747" s="422" t="n"/>
      <c r="C747" s="518" t="n"/>
      <c r="D747" s="506" t="n"/>
      <c r="E747" s="507" t="n"/>
      <c r="F747" s="73" t="inlineStr">
        <is>
          <t>Оплатить надо</t>
        </is>
      </c>
    </row>
    <row r="748" hidden="1" outlineLevel="1" ht="14.4" customHeight="1" s="1127">
      <c r="B748" s="422" t="n"/>
      <c r="C748" s="518" t="n"/>
      <c r="D748" s="506" t="n"/>
      <c r="E748" s="507" t="n"/>
      <c r="F748" s="73" t="inlineStr">
        <is>
          <t>Оплатить надо</t>
        </is>
      </c>
    </row>
    <row r="749" hidden="1" outlineLevel="1" ht="14.4" customHeight="1" s="1127">
      <c r="B749" s="422" t="n"/>
      <c r="C749" s="518" t="n"/>
      <c r="D749" s="506" t="n"/>
      <c r="E749" s="507" t="n"/>
      <c r="F749" s="73" t="inlineStr">
        <is>
          <t>Оплатить надо</t>
        </is>
      </c>
    </row>
    <row r="750" hidden="1" outlineLevel="1" ht="14.4" customHeight="1" s="1127">
      <c r="B750" s="422" t="n"/>
      <c r="C750" s="518" t="n"/>
      <c r="D750" s="514" t="n"/>
      <c r="E750" s="519" t="n"/>
      <c r="F750" s="73" t="inlineStr">
        <is>
          <t>Оплатить надо</t>
        </is>
      </c>
    </row>
    <row r="751" hidden="1" outlineLevel="1" ht="14.4" customHeight="1" s="1127">
      <c r="B751" s="422" t="n"/>
      <c r="C751" s="518" t="n"/>
      <c r="D751" s="514" t="n"/>
      <c r="E751" s="519" t="n"/>
      <c r="F751" s="73" t="inlineStr">
        <is>
          <t>Оплатить надо</t>
        </is>
      </c>
    </row>
    <row r="752" hidden="1" outlineLevel="1" ht="14.4" customHeight="1" s="1127">
      <c r="B752" s="422" t="n"/>
      <c r="C752" s="518" t="n"/>
      <c r="D752" s="506" t="n"/>
      <c r="E752" s="507" t="n"/>
      <c r="F752" s="73" t="inlineStr">
        <is>
          <t>Оплатить надо</t>
        </is>
      </c>
    </row>
    <row r="753" hidden="1" outlineLevel="1" ht="14.4" customHeight="1" s="1127">
      <c r="B753" s="422" t="n"/>
      <c r="C753" s="518" t="n"/>
      <c r="D753" s="516" t="n"/>
      <c r="E753" s="517" t="n"/>
      <c r="F753" s="73" t="inlineStr">
        <is>
          <t>Оплатить надо</t>
        </is>
      </c>
    </row>
    <row r="754" hidden="1" outlineLevel="1" ht="14.4" customHeight="1" s="1127">
      <c r="B754" s="422" t="n"/>
      <c r="C754" s="518" t="n"/>
      <c r="D754" s="516" t="n"/>
      <c r="E754" s="517" t="n"/>
      <c r="F754" s="73" t="n"/>
    </row>
    <row r="755" hidden="1" outlineLevel="1" ht="14.4" customHeight="1" s="1127">
      <c r="B755" s="422" t="n"/>
      <c r="C755" s="518" t="n"/>
      <c r="D755" s="506" t="n"/>
      <c r="E755" s="507" t="n"/>
      <c r="F755" s="73" t="inlineStr">
        <is>
          <t>Оплатить надо</t>
        </is>
      </c>
    </row>
    <row r="756" hidden="1" outlineLevel="1" ht="14.4" customHeight="1" s="1127">
      <c r="B756" s="422" t="n"/>
      <c r="C756" s="518" t="n"/>
      <c r="D756" s="518" t="n"/>
      <c r="E756" s="519" t="n"/>
      <c r="F756" s="73" t="inlineStr">
        <is>
          <t>Оплатить надо</t>
        </is>
      </c>
    </row>
    <row r="757" hidden="1" outlineLevel="1" ht="14.4" customHeight="1" s="1127">
      <c r="B757" s="422" t="n"/>
      <c r="C757" s="518" t="n"/>
      <c r="D757" s="506" t="n"/>
      <c r="E757" s="507" t="n"/>
      <c r="F757" s="73" t="inlineStr">
        <is>
          <t>Оплатить надо</t>
        </is>
      </c>
    </row>
    <row r="758" hidden="1" outlineLevel="1" ht="13.8" customHeight="1" s="1127">
      <c r="B758" s="422" t="n"/>
      <c r="C758" s="68" t="n"/>
      <c r="D758" s="68" t="n"/>
      <c r="E758" s="520" t="n"/>
      <c r="F758" s="73" t="n"/>
    </row>
    <row r="759" hidden="1" outlineLevel="1" ht="13.8" customHeight="1" s="1127">
      <c r="B759" s="422" t="n"/>
      <c r="C759" s="68" t="n"/>
      <c r="D759" s="68" t="n"/>
      <c r="E759" s="520" t="n"/>
      <c r="F759" s="73" t="n"/>
    </row>
    <row r="760" hidden="1" outlineLevel="1" ht="13.8" customHeight="1" s="1127">
      <c r="B760" s="422" t="n"/>
      <c r="C760" s="68" t="n"/>
      <c r="D760" s="68" t="n"/>
      <c r="E760" s="520" t="n"/>
      <c r="F760" s="73" t="n"/>
    </row>
    <row r="761" hidden="1" outlineLevel="1" ht="13.8" customHeight="1" s="1127">
      <c r="B761" s="422" t="n"/>
      <c r="C761" s="68" t="n"/>
      <c r="D761" s="68" t="n"/>
      <c r="E761" s="520" t="n"/>
      <c r="F761" s="73" t="n"/>
    </row>
    <row r="762" hidden="1" outlineLevel="1" ht="13.8" customHeight="1" s="1127">
      <c r="B762" s="422" t="n"/>
      <c r="C762" s="68" t="n"/>
      <c r="D762" s="68" t="n"/>
      <c r="E762" s="520" t="n"/>
      <c r="F762" s="73" t="n"/>
    </row>
    <row r="763" hidden="1" outlineLevel="1" ht="13.8" customHeight="1" s="1127">
      <c r="B763" s="422" t="n"/>
      <c r="C763" s="68" t="n"/>
      <c r="D763" s="68" t="n"/>
      <c r="E763" s="520" t="n"/>
      <c r="F763" s="73" t="n"/>
    </row>
    <row r="764" hidden="1" outlineLevel="1" ht="13.8" customHeight="1" s="1127">
      <c r="B764" s="422" t="n"/>
      <c r="C764" s="68" t="n"/>
      <c r="D764" s="68" t="n"/>
      <c r="E764" s="520" t="n"/>
      <c r="F764" s="73" t="n"/>
    </row>
    <row r="765" hidden="1" outlineLevel="1" ht="13.8" customHeight="1" s="1127">
      <c r="B765" s="422" t="n"/>
      <c r="C765" s="68" t="n"/>
      <c r="D765" s="68" t="n"/>
      <c r="E765" s="520" t="n"/>
      <c r="F765" s="73" t="n"/>
    </row>
    <row r="766" hidden="1" outlineLevel="1" ht="13.8" customHeight="1" s="1127">
      <c r="B766" s="422" t="n"/>
      <c r="C766" s="68" t="n"/>
      <c r="D766" s="68" t="n"/>
      <c r="E766" s="520" t="n"/>
      <c r="F766" s="73" t="n"/>
    </row>
    <row r="767" hidden="1" outlineLevel="1" ht="13.8" customHeight="1" s="1127">
      <c r="B767" s="422" t="n"/>
      <c r="C767" s="68" t="n"/>
      <c r="D767" s="68" t="n"/>
      <c r="E767" s="520" t="n"/>
      <c r="F767" s="73" t="n"/>
    </row>
    <row r="768" hidden="1" outlineLevel="1" ht="13.8" customHeight="1" s="1127">
      <c r="B768" s="422" t="n"/>
      <c r="C768" s="68" t="n"/>
      <c r="D768" s="68" t="n"/>
      <c r="E768" s="520" t="n"/>
      <c r="F768" s="73" t="n"/>
    </row>
    <row r="769" hidden="1" outlineLevel="1" ht="13.8" customHeight="1" s="1127">
      <c r="B769" s="422" t="n"/>
      <c r="C769" s="68" t="n"/>
      <c r="D769" s="68" t="n"/>
      <c r="E769" s="520" t="n"/>
      <c r="F769" s="73" t="n"/>
    </row>
    <row r="770" hidden="1" outlineLevel="1" ht="13.8" customHeight="1" s="1127">
      <c r="B770" s="422" t="n"/>
      <c r="C770" s="68" t="n"/>
      <c r="D770" s="68" t="n"/>
      <c r="E770" s="520" t="n"/>
      <c r="F770" s="73" t="n"/>
    </row>
    <row r="771" hidden="1" outlineLevel="1" ht="13.8" customHeight="1" s="1127">
      <c r="B771" s="422" t="n"/>
      <c r="E771" s="219">
        <f>SUM(E727:E770)</f>
        <v/>
      </c>
      <c r="F771" s="501" t="n"/>
    </row>
    <row r="772" outlineLevel="1" ht="14.4" customHeight="1" s="1127">
      <c r="B772" s="422" t="n"/>
      <c r="C772" s="505" t="inlineStr">
        <is>
          <t>Витамин+</t>
        </is>
      </c>
      <c r="D772" s="68" t="n"/>
      <c r="E772" s="508" t="n">
        <v>800000</v>
      </c>
      <c r="F772" s="73" t="inlineStr">
        <is>
          <t xml:space="preserve">Оплачено </t>
        </is>
      </c>
    </row>
    <row r="773" outlineLevel="1" ht="14.4" customHeight="1" s="1127">
      <c r="B773" s="504" t="n">
        <v>46142</v>
      </c>
      <c r="C773" s="505" t="inlineStr">
        <is>
          <t>KazBeef Processing (КазБиф Процессинг) ТОО</t>
        </is>
      </c>
      <c r="D773" s="68" t="n"/>
      <c r="E773" s="508" t="n">
        <v>1028205</v>
      </c>
      <c r="F773" s="73" t="inlineStr">
        <is>
          <t xml:space="preserve">Оплачено </t>
        </is>
      </c>
    </row>
    <row r="774" ht="14.4" customHeight="1" s="1127">
      <c r="B774" s="422" t="n"/>
      <c r="C774" s="505" t="inlineStr">
        <is>
          <t>Adolar Group ТОО</t>
        </is>
      </c>
      <c r="D774" s="68" t="n"/>
      <c r="E774" s="508" t="n">
        <v>1000000</v>
      </c>
      <c r="F774" s="73" t="inlineStr">
        <is>
          <t xml:space="preserve">Оплачено </t>
        </is>
      </c>
    </row>
    <row r="775" ht="14.4" customHeight="1" s="1127">
      <c r="B775" s="422" t="n"/>
      <c r="C775" s="505" t="inlineStr">
        <is>
          <t>Adalpack ТОО</t>
        </is>
      </c>
      <c r="D775" s="68" t="n"/>
      <c r="E775" s="508" t="n">
        <v>140000</v>
      </c>
      <c r="F775" s="73" t="inlineStr">
        <is>
          <t xml:space="preserve">Оплачено </t>
        </is>
      </c>
    </row>
    <row r="776" ht="14.4" customHeight="1" s="1127">
      <c r="B776" s="422" t="n"/>
      <c r="C776" s="521" t="inlineStr">
        <is>
          <t>Office-Expert.kz</t>
        </is>
      </c>
      <c r="D776" s="68" t="n"/>
      <c r="E776" s="508" t="n">
        <v>94079</v>
      </c>
      <c r="F776" s="73" t="inlineStr">
        <is>
          <t xml:space="preserve">Оплачено </t>
        </is>
      </c>
    </row>
    <row r="777" ht="14.4" customHeight="1" s="1127">
      <c r="B777" s="422" t="n"/>
      <c r="C777" s="505" t="inlineStr">
        <is>
          <t>CIS market ТОО</t>
        </is>
      </c>
      <c r="D777" s="68" t="n"/>
      <c r="E777" s="508" t="n">
        <v>300000</v>
      </c>
      <c r="F777" s="73" t="inlineStr">
        <is>
          <t xml:space="preserve">Оплачено </t>
        </is>
      </c>
    </row>
    <row r="778" ht="14.4" customHeight="1" s="1127">
      <c r="B778" s="422" t="n"/>
      <c r="C778" s="505" t="inlineStr">
        <is>
          <t>Мясоперерабатывающий завод БИЖАН ТОО</t>
        </is>
      </c>
      <c r="D778" s="68" t="n"/>
      <c r="E778" s="508" t="n">
        <v>500000</v>
      </c>
      <c r="F778" s="73" t="inlineStr">
        <is>
          <t xml:space="preserve">Оплачено </t>
        </is>
      </c>
    </row>
    <row r="779" ht="14.4" customHeight="1" s="1127">
      <c r="B779" s="422" t="n"/>
      <c r="C779" s="505" t="inlineStr">
        <is>
          <t>Сергей логист</t>
        </is>
      </c>
      <c r="D779" s="68" t="n"/>
      <c r="E779" s="508" t="n">
        <v>1000000</v>
      </c>
      <c r="F779" s="73" t="inlineStr">
        <is>
          <t xml:space="preserve">Оплачено </t>
        </is>
      </c>
    </row>
    <row r="780" ht="14.4" customHeight="1" s="1127">
      <c r="B780" s="422" t="n"/>
      <c r="C780" s="505" t="inlineStr">
        <is>
          <t>Глобал Фуд ТОО</t>
        </is>
      </c>
      <c r="D780" s="68" t="n"/>
      <c r="E780" s="508" t="n">
        <v>500000</v>
      </c>
      <c r="F780" s="73" t="inlineStr">
        <is>
          <t xml:space="preserve">Оплачено </t>
        </is>
      </c>
    </row>
    <row r="781" ht="14.4" customHeight="1" s="1127">
      <c r="B781" s="422" t="n"/>
      <c r="C781" s="505" t="inlineStr">
        <is>
          <t>Global Halal Food ТОО</t>
        </is>
      </c>
      <c r="D781" s="68" t="n"/>
      <c r="E781" s="508" t="n">
        <v>609000</v>
      </c>
      <c r="F781" s="73" t="inlineStr">
        <is>
          <t xml:space="preserve">Оплачено </t>
        </is>
      </c>
    </row>
    <row r="782" ht="14.4" customHeight="1" s="1127">
      <c r="B782" s="422" t="n"/>
      <c r="C782" s="505" t="inlineStr">
        <is>
          <t>Ирмас ЛТД ТОО</t>
        </is>
      </c>
      <c r="D782" s="68" t="n"/>
      <c r="E782" s="508" t="n">
        <v>300000</v>
      </c>
      <c r="F782" s="73" t="inlineStr">
        <is>
          <t xml:space="preserve">Оплачено </t>
        </is>
      </c>
    </row>
    <row r="783" ht="14.4" customHeight="1" s="1127">
      <c r="B783" s="422" t="n"/>
      <c r="C783" s="505" t="inlineStr">
        <is>
          <t>Каз Ман Ет ТОО</t>
        </is>
      </c>
      <c r="D783" s="68" t="n"/>
      <c r="E783" s="508" t="n">
        <v>700000</v>
      </c>
      <c r="F783" s="73" t="inlineStr">
        <is>
          <t xml:space="preserve">Оплачено </t>
        </is>
      </c>
    </row>
    <row r="784" ht="14.4" customHeight="1" s="1127">
      <c r="B784" s="422" t="n"/>
      <c r="C784" s="505" t="inlineStr">
        <is>
          <t>Витамин+ ТОО</t>
        </is>
      </c>
      <c r="D784" s="68" t="n"/>
      <c r="E784" s="508" t="n">
        <v>1022810</v>
      </c>
      <c r="F784" s="73" t="inlineStr">
        <is>
          <t xml:space="preserve">Оплачено </t>
        </is>
      </c>
    </row>
    <row r="785" collapsed="1" ht="14.4" customHeight="1" s="1127">
      <c r="B785" s="422" t="n"/>
      <c r="C785" s="505" t="inlineStr">
        <is>
          <t>Ихсан Техногаз ТОО</t>
        </is>
      </c>
      <c r="D785" s="68" t="n"/>
      <c r="E785" s="508" t="n">
        <v>154000</v>
      </c>
      <c r="F785" s="73" t="inlineStr">
        <is>
          <t xml:space="preserve">Оплачено </t>
        </is>
      </c>
    </row>
    <row r="786" hidden="1" outlineLevel="1" ht="14.4" customHeight="1" s="1127">
      <c r="B786" s="422" t="n"/>
      <c r="C786" s="505" t="n"/>
      <c r="D786" s="68" t="n"/>
      <c r="E786" s="508" t="n"/>
      <c r="F786" s="73" t="inlineStr">
        <is>
          <t xml:space="preserve">Оплачено </t>
        </is>
      </c>
    </row>
    <row r="787" hidden="1" outlineLevel="1" ht="14.4" customHeight="1" s="1127">
      <c r="B787" s="422" t="n"/>
      <c r="C787" s="505" t="n"/>
      <c r="D787" s="68" t="n"/>
      <c r="E787" s="508" t="n"/>
      <c r="F787" s="73" t="inlineStr">
        <is>
          <t xml:space="preserve">Оплачено </t>
        </is>
      </c>
    </row>
    <row r="788" hidden="1" outlineLevel="1" ht="14.4" customHeight="1" s="1127">
      <c r="B788" s="422" t="n"/>
      <c r="C788" s="505" t="n"/>
      <c r="D788" s="68" t="n"/>
      <c r="E788" s="508" t="n"/>
      <c r="F788" s="73" t="inlineStr">
        <is>
          <t xml:space="preserve">Оплачено </t>
        </is>
      </c>
    </row>
    <row r="789" hidden="1" outlineLevel="1" ht="14.4" customHeight="1" s="1127">
      <c r="B789" s="422" t="n"/>
      <c r="C789" s="505" t="n"/>
      <c r="D789" s="68" t="n"/>
      <c r="E789" s="508" t="n"/>
      <c r="F789" s="73" t="inlineStr">
        <is>
          <t xml:space="preserve">Оплачено </t>
        </is>
      </c>
    </row>
    <row r="790" hidden="1" outlineLevel="1" ht="14.4" customHeight="1" s="1127">
      <c r="B790" s="422" t="n"/>
      <c r="C790" s="505" t="n"/>
      <c r="D790" s="68" t="n"/>
      <c r="E790" s="508" t="n"/>
      <c r="F790" s="73" t="inlineStr">
        <is>
          <t xml:space="preserve">Оплачено </t>
        </is>
      </c>
    </row>
    <row r="791" hidden="1" outlineLevel="1" ht="14.4" customHeight="1" s="1127">
      <c r="B791" s="422" t="n"/>
      <c r="C791" s="505" t="n"/>
      <c r="D791" s="68" t="n"/>
      <c r="E791" s="508" t="n"/>
      <c r="F791" s="73" t="inlineStr">
        <is>
          <t xml:space="preserve">Оплачено </t>
        </is>
      </c>
    </row>
    <row r="792" hidden="1" outlineLevel="1" ht="14.4" customHeight="1" s="1127">
      <c r="B792" s="422" t="n"/>
      <c r="C792" s="505" t="n"/>
      <c r="D792" s="68" t="n"/>
      <c r="E792" s="508" t="n"/>
      <c r="F792" s="73" t="inlineStr">
        <is>
          <t xml:space="preserve">Оплачено </t>
        </is>
      </c>
    </row>
    <row r="793" hidden="1" outlineLevel="1" ht="14.4" customHeight="1" s="1127">
      <c r="B793" s="422" t="n"/>
      <c r="C793" s="505" t="n"/>
      <c r="D793" s="68" t="n"/>
      <c r="E793" s="508" t="n"/>
      <c r="F793" s="73" t="inlineStr">
        <is>
          <t xml:space="preserve">Оплачено </t>
        </is>
      </c>
    </row>
    <row r="794" hidden="1" outlineLevel="1" ht="14.4" customHeight="1" s="1127">
      <c r="B794" s="422" t="n"/>
      <c r="C794" s="505" t="n"/>
      <c r="D794" s="68" t="n"/>
      <c r="E794" s="508" t="n"/>
      <c r="F794" s="73" t="inlineStr">
        <is>
          <t xml:space="preserve">Оплачено </t>
        </is>
      </c>
    </row>
    <row r="795" hidden="1" outlineLevel="1" ht="14.4" customHeight="1" s="1127">
      <c r="B795" s="422" t="n"/>
      <c r="C795" s="505" t="n"/>
      <c r="D795" s="68" t="n"/>
      <c r="E795" s="508" t="n"/>
      <c r="F795" s="73" t="inlineStr">
        <is>
          <t xml:space="preserve">Оплачено </t>
        </is>
      </c>
    </row>
    <row r="796" hidden="1" outlineLevel="1" ht="14.4" customHeight="1" s="1127">
      <c r="B796" s="422" t="n"/>
      <c r="C796" s="505" t="n"/>
      <c r="D796" s="68" t="n"/>
      <c r="E796" s="508" t="n"/>
      <c r="F796" s="73" t="inlineStr">
        <is>
          <t xml:space="preserve">Оплачено </t>
        </is>
      </c>
    </row>
    <row r="797" hidden="1" outlineLevel="1" ht="14.4" customHeight="1" s="1127">
      <c r="B797" s="422" t="n"/>
      <c r="C797" s="505" t="n"/>
      <c r="D797" s="68" t="n"/>
      <c r="E797" s="508" t="n"/>
      <c r="F797" s="73" t="inlineStr">
        <is>
          <t xml:space="preserve">Оплачено </t>
        </is>
      </c>
    </row>
    <row r="798" hidden="1" outlineLevel="1" ht="14.4" customHeight="1" s="1127">
      <c r="B798" s="422" t="n"/>
      <c r="C798" s="505" t="n"/>
      <c r="D798" s="68" t="n"/>
      <c r="E798" s="508" t="n"/>
      <c r="F798" s="73" t="inlineStr">
        <is>
          <t xml:space="preserve">Оплачено </t>
        </is>
      </c>
    </row>
    <row r="799" hidden="1" outlineLevel="1" ht="14.4" customHeight="1" s="1127">
      <c r="B799" s="422" t="n"/>
      <c r="C799" s="505" t="n"/>
      <c r="D799" s="68" t="n"/>
      <c r="E799" s="508" t="n"/>
      <c r="F799" s="73" t="inlineStr">
        <is>
          <t xml:space="preserve">Оплачено </t>
        </is>
      </c>
    </row>
    <row r="800" hidden="1" outlineLevel="1" ht="14.4" customHeight="1" s="1127">
      <c r="B800" s="422" t="n"/>
      <c r="C800" s="505" t="n"/>
      <c r="D800" s="68" t="n"/>
      <c r="E800" s="508" t="n"/>
      <c r="F800" s="73" t="inlineStr">
        <is>
          <t xml:space="preserve">Оплачено </t>
        </is>
      </c>
    </row>
    <row r="801" hidden="1" outlineLevel="1" ht="14.4" customHeight="1" s="1127">
      <c r="B801" s="422" t="n"/>
      <c r="C801" s="505" t="n"/>
      <c r="D801" s="68" t="n"/>
      <c r="E801" s="508" t="n"/>
      <c r="F801" s="73" t="inlineStr">
        <is>
          <t xml:space="preserve">Оплачено </t>
        </is>
      </c>
    </row>
    <row r="802" hidden="1" outlineLevel="1" ht="14.4" customHeight="1" s="1127">
      <c r="B802" s="422" t="n"/>
      <c r="C802" s="505" t="n"/>
      <c r="D802" s="68" t="n"/>
      <c r="E802" s="508" t="n"/>
      <c r="F802" s="73" t="inlineStr">
        <is>
          <t xml:space="preserve">Оплачено </t>
        </is>
      </c>
    </row>
    <row r="803" hidden="1" outlineLevel="1" ht="14.4" customHeight="1" s="1127">
      <c r="B803" s="422" t="n"/>
      <c r="C803" s="505" t="n"/>
      <c r="D803" s="68" t="n"/>
      <c r="E803" s="508" t="n"/>
      <c r="F803" s="73" t="inlineStr">
        <is>
          <t xml:space="preserve">Оплачено </t>
        </is>
      </c>
    </row>
    <row r="804" hidden="1" outlineLevel="1" ht="14.4" customHeight="1" s="1127">
      <c r="B804" s="422" t="n"/>
      <c r="C804" s="505" t="n"/>
      <c r="D804" s="68" t="n"/>
      <c r="E804" s="508" t="n"/>
      <c r="F804" s="73" t="inlineStr">
        <is>
          <t xml:space="preserve">Оплачено </t>
        </is>
      </c>
    </row>
    <row r="805" hidden="1" outlineLevel="1" ht="14.4" customHeight="1" s="1127">
      <c r="B805" s="422" t="n"/>
      <c r="C805" s="505" t="n"/>
      <c r="D805" s="68" t="n"/>
      <c r="E805" s="508" t="n"/>
      <c r="F805" s="73" t="inlineStr">
        <is>
          <t xml:space="preserve">Оплачено </t>
        </is>
      </c>
    </row>
    <row r="806" hidden="1" outlineLevel="1" ht="14.4" customHeight="1" s="1127">
      <c r="B806" s="422" t="n"/>
      <c r="C806" s="505" t="n"/>
      <c r="D806" s="68" t="n"/>
      <c r="E806" s="508" t="n"/>
      <c r="F806" s="73" t="inlineStr">
        <is>
          <t xml:space="preserve">Оплачено </t>
        </is>
      </c>
    </row>
    <row r="807" hidden="1" outlineLevel="1" ht="14.4" customHeight="1" s="1127">
      <c r="B807" s="422" t="n"/>
      <c r="C807" s="505" t="n"/>
      <c r="D807" s="68" t="n"/>
      <c r="E807" s="508" t="n"/>
      <c r="F807" s="73" t="inlineStr">
        <is>
          <t xml:space="preserve">Оплачено </t>
        </is>
      </c>
    </row>
    <row r="808" hidden="1" outlineLevel="1" ht="14.4" customHeight="1" s="1127">
      <c r="B808" s="422" t="n"/>
      <c r="C808" s="505" t="n"/>
      <c r="D808" s="68" t="n"/>
      <c r="E808" s="508" t="n"/>
      <c r="F808" s="73" t="inlineStr">
        <is>
          <t xml:space="preserve">Оплачено </t>
        </is>
      </c>
    </row>
    <row r="809" hidden="1" outlineLevel="1" ht="14.4" customHeight="1" s="1127">
      <c r="B809" s="422" t="n"/>
      <c r="C809" s="505" t="n"/>
      <c r="D809" s="68" t="n"/>
      <c r="E809" s="508" t="n"/>
      <c r="F809" s="73" t="inlineStr">
        <is>
          <t xml:space="preserve">Оплачено </t>
        </is>
      </c>
    </row>
    <row r="810" ht="14.4" customHeight="1" s="1127">
      <c r="B810" s="422" t="n"/>
      <c r="C810" s="505" t="inlineStr">
        <is>
          <t>Champello ТОО</t>
        </is>
      </c>
      <c r="D810" s="68" t="n"/>
      <c r="E810" s="508" t="n">
        <v>300000</v>
      </c>
      <c r="F810" s="73" t="inlineStr">
        <is>
          <t xml:space="preserve">Оплачено </t>
        </is>
      </c>
    </row>
    <row r="811" ht="14.4" customHeight="1" s="1127">
      <c r="B811" s="422" t="n"/>
      <c r="C811" s="505" t="inlineStr">
        <is>
          <t>ТОО Семь морей -Алматы</t>
        </is>
      </c>
      <c r="D811" s="68" t="n"/>
      <c r="E811" s="508" t="n">
        <v>151200</v>
      </c>
      <c r="F811" s="73" t="inlineStr">
        <is>
          <t xml:space="preserve">Оплачено </t>
        </is>
      </c>
      <c r="G811" s="456" t="inlineStr">
        <is>
          <t xml:space="preserve">наличка </t>
        </is>
      </c>
    </row>
    <row r="812" ht="14.4" customHeight="1" s="1127">
      <c r="B812" s="422" t="n"/>
      <c r="C812" s="505" t="inlineStr">
        <is>
          <t>Лейпурин ТОО</t>
        </is>
      </c>
      <c r="D812" s="68" t="n"/>
      <c r="E812" s="508" t="n">
        <v>218000</v>
      </c>
      <c r="F812" s="73" t="inlineStr">
        <is>
          <t xml:space="preserve">Оплачено </t>
        </is>
      </c>
    </row>
    <row r="813" ht="14.4" customHeight="1" s="1127">
      <c r="B813" s="422" t="n"/>
      <c r="C813" s="505" t="inlineStr">
        <is>
          <t>Мир Кондитера ИП</t>
        </is>
      </c>
      <c r="D813" s="68" t="n"/>
      <c r="E813" s="508" t="n">
        <v>200000</v>
      </c>
      <c r="F813" s="73" t="inlineStr">
        <is>
          <t xml:space="preserve">Оплачено </t>
        </is>
      </c>
    </row>
    <row r="814" ht="14.4" customHeight="1" s="1127">
      <c r="B814" s="522" t="n"/>
      <c r="C814" s="531" t="inlineStr">
        <is>
          <t>Succes овощи Айкоркем ИП</t>
        </is>
      </c>
      <c r="D814" s="544" t="n"/>
      <c r="E814" s="524" t="n">
        <v>50000</v>
      </c>
      <c r="F814" s="73" t="inlineStr">
        <is>
          <t xml:space="preserve">Оплачено </t>
        </is>
      </c>
    </row>
    <row r="815" ht="14.4" customHeight="1" s="1127">
      <c r="B815" s="522" t="n"/>
      <c r="C815" s="531" t="inlineStr">
        <is>
          <t>ИП Айсулу (Касым овощи)</t>
        </is>
      </c>
      <c r="D815" s="544" t="n"/>
      <c r="E815" s="524" t="n">
        <v>100000</v>
      </c>
      <c r="F815" s="73" t="inlineStr">
        <is>
          <t xml:space="preserve">Оплачено </t>
        </is>
      </c>
    </row>
    <row r="816" ht="14.4" customHeight="1" s="1127">
      <c r="B816" s="522" t="n"/>
      <c r="C816" s="525" t="inlineStr">
        <is>
          <t>Office-Expert.kz</t>
        </is>
      </c>
      <c r="D816" s="544" t="n"/>
      <c r="E816" s="524" t="n">
        <v>48950</v>
      </c>
      <c r="F816" s="73" t="inlineStr">
        <is>
          <t xml:space="preserve">Оплачено </t>
        </is>
      </c>
    </row>
    <row r="817" ht="14.4" customHeight="1" s="1127">
      <c r="B817" s="522" t="n"/>
      <c r="C817" s="531" t="inlineStr">
        <is>
          <t>Storm Technology ТОО</t>
        </is>
      </c>
      <c r="D817" s="544" t="n"/>
      <c r="E817" s="524" t="n">
        <v>215167</v>
      </c>
      <c r="F817" s="73" t="inlineStr">
        <is>
          <t xml:space="preserve">Оплачено </t>
        </is>
      </c>
    </row>
    <row r="818" ht="14.4" customHeight="1" s="1127">
      <c r="B818" s="522" t="n"/>
      <c r="C818" s="531" t="inlineStr">
        <is>
          <t>TOIMART TOO</t>
        </is>
      </c>
      <c r="D818" s="544" t="n"/>
      <c r="E818" s="524" t="n">
        <v>832228</v>
      </c>
      <c r="F818" s="73" t="inlineStr">
        <is>
          <t xml:space="preserve">Оплачено </t>
        </is>
      </c>
    </row>
    <row r="819" ht="14.4" customHeight="1" s="1127">
      <c r="B819" s="528" t="n">
        <v>46146</v>
      </c>
      <c r="C819" s="531" t="inlineStr">
        <is>
          <t>Исмагулов ИП</t>
        </is>
      </c>
      <c r="D819" s="544" t="n"/>
      <c r="E819" s="524" t="n">
        <v>700000</v>
      </c>
      <c r="F819" s="73" t="inlineStr">
        <is>
          <t xml:space="preserve">Оплачено </t>
        </is>
      </c>
    </row>
    <row r="820" ht="14.4" customHeight="1" s="1127">
      <c r="B820" s="529" t="n"/>
      <c r="C820" s="505" t="inlineStr">
        <is>
          <t>Alfa Distributors ИП</t>
        </is>
      </c>
      <c r="D820" s="68" t="n"/>
      <c r="E820" s="524" t="n">
        <v>19320</v>
      </c>
      <c r="F820" s="73" t="inlineStr">
        <is>
          <t xml:space="preserve">Оплачено </t>
        </is>
      </c>
    </row>
    <row r="821" ht="14.4" customHeight="1" s="1127">
      <c r="B821" s="529" t="n"/>
      <c r="C821" s="505" t="inlineStr">
        <is>
          <t>Joyu ТОО</t>
        </is>
      </c>
      <c r="D821" s="68" t="n"/>
      <c r="E821" s="524" t="n">
        <v>50000</v>
      </c>
      <c r="F821" s="73" t="inlineStr">
        <is>
          <t xml:space="preserve">Оплачено </t>
        </is>
      </c>
    </row>
    <row r="822" ht="14.4" customHeight="1" s="1127">
      <c r="B822" s="529" t="n"/>
      <c r="C822" s="531" t="inlineStr">
        <is>
          <t>Succes овощи Айкоркем ИП</t>
        </is>
      </c>
      <c r="D822" s="544" t="n"/>
      <c r="E822" s="524" t="n">
        <v>50000</v>
      </c>
      <c r="F822" s="73" t="inlineStr">
        <is>
          <t xml:space="preserve">Оплачено </t>
        </is>
      </c>
    </row>
    <row r="823" ht="14.4" customHeight="1" s="1127">
      <c r="B823" s="529" t="n"/>
      <c r="C823" s="531" t="inlineStr">
        <is>
          <t>ИП Айсулу (Касым овощи)</t>
        </is>
      </c>
      <c r="D823" s="544" t="n"/>
      <c r="E823" s="524" t="n">
        <v>100000</v>
      </c>
      <c r="F823" s="73" t="inlineStr">
        <is>
          <t xml:space="preserve">Оплачено </t>
        </is>
      </c>
    </row>
    <row r="824" ht="14.4" customHeight="1" s="1127">
      <c r="B824" s="529" t="n"/>
      <c r="C824" s="505" t="inlineStr">
        <is>
          <t>Шымкентмай АО</t>
        </is>
      </c>
      <c r="D824" s="68" t="n"/>
      <c r="E824" s="524" t="n">
        <v>438000</v>
      </c>
      <c r="F824" s="73" t="inlineStr">
        <is>
          <t xml:space="preserve">Оплачено </t>
        </is>
      </c>
    </row>
    <row r="825" ht="14.4" customHeight="1" s="1127">
      <c r="B825" s="529" t="n"/>
      <c r="C825" s="505" t="inlineStr">
        <is>
          <t>Ихсан Техногаз ТОО</t>
        </is>
      </c>
      <c r="D825" s="68" t="n"/>
      <c r="E825" s="524" t="n">
        <v>220000</v>
      </c>
      <c r="F825" s="73" t="inlineStr">
        <is>
          <t xml:space="preserve">Оплачено </t>
        </is>
      </c>
    </row>
    <row r="826" ht="14.4" customHeight="1" s="1127">
      <c r="B826" s="529" t="n"/>
      <c r="C826" s="505" t="inlineStr">
        <is>
          <t>Торговый дом ROKOS ТОО</t>
        </is>
      </c>
      <c r="D826" s="68" t="n"/>
      <c r="E826" s="524" t="n">
        <v>8890</v>
      </c>
      <c r="F826" s="73" t="inlineStr">
        <is>
          <t xml:space="preserve">Оплачено </t>
        </is>
      </c>
    </row>
    <row r="827" ht="14.4" customHeight="1" s="1127">
      <c r="B827" s="529" t="n"/>
      <c r="C827" s="505" t="inlineStr">
        <is>
          <t>D&amp;G distribution ИП</t>
        </is>
      </c>
      <c r="D827" s="68" t="n"/>
      <c r="E827" s="524" t="n">
        <v>53400</v>
      </c>
      <c r="F827" s="73" t="inlineStr">
        <is>
          <t xml:space="preserve">Оплачено </t>
        </is>
      </c>
    </row>
    <row r="828" ht="14.4" customHeight="1" s="1127">
      <c r="B828" s="529" t="n"/>
      <c r="C828" s="505" t="inlineStr">
        <is>
          <t>KARAVAN (Караван) ТОО</t>
        </is>
      </c>
      <c r="D828" s="68" t="n"/>
      <c r="E828" s="524" t="n">
        <v>20800</v>
      </c>
      <c r="F828" s="73" t="inlineStr">
        <is>
          <t xml:space="preserve">Оплачено </t>
        </is>
      </c>
    </row>
    <row r="829" ht="14.4" customHeight="1" s="1127">
      <c r="B829" s="529" t="n"/>
      <c r="C829" s="505" t="inlineStr">
        <is>
          <t>Ахмерова Ф.И. ИП</t>
        </is>
      </c>
      <c r="D829" s="68" t="n"/>
      <c r="E829" s="524" t="n">
        <v>91800</v>
      </c>
      <c r="F829" s="73" t="inlineStr">
        <is>
          <t xml:space="preserve">Оплачено </t>
        </is>
      </c>
    </row>
    <row r="830" ht="14.4" customHeight="1" s="1127">
      <c r="B830" s="529" t="n"/>
      <c r="C830" s="531" t="inlineStr">
        <is>
          <t>TGR Company ТОО</t>
        </is>
      </c>
      <c r="D830" s="544" t="n"/>
      <c r="E830" s="524" t="n">
        <v>153030</v>
      </c>
      <c r="F830" s="73" t="inlineStr">
        <is>
          <t xml:space="preserve">Оплачено </t>
        </is>
      </c>
    </row>
    <row r="831" ht="14.4" customHeight="1" s="1127">
      <c r="B831" s="529" t="n"/>
      <c r="C831" s="505" t="inlineStr">
        <is>
          <t>Лейпурин ТОО</t>
        </is>
      </c>
      <c r="D831" s="68" t="n"/>
      <c r="E831" s="524" t="n">
        <v>469500</v>
      </c>
      <c r="F831" s="73" t="inlineStr">
        <is>
          <t xml:space="preserve">Оплачено </t>
        </is>
      </c>
    </row>
    <row r="832" ht="14.4" customHeight="1" s="1127">
      <c r="B832" s="529" t="n"/>
      <c r="C832" s="505" t="inlineStr">
        <is>
          <t>Сергей логист</t>
        </is>
      </c>
      <c r="D832" s="68" t="n"/>
      <c r="E832" s="524" t="n">
        <v>300000</v>
      </c>
      <c r="F832" s="73" t="inlineStr">
        <is>
          <t xml:space="preserve">Оплачено </t>
        </is>
      </c>
    </row>
    <row r="833" ht="14.4" customHeight="1" s="1127">
      <c r="B833" s="528" t="n">
        <v>46146</v>
      </c>
      <c r="C833" s="505" t="inlineStr">
        <is>
          <t>Interrom Kazakhstan ТОО</t>
        </is>
      </c>
      <c r="D833" s="68" t="n"/>
      <c r="E833" s="524" t="n">
        <v>101230</v>
      </c>
      <c r="F833" s="73" t="inlineStr">
        <is>
          <t xml:space="preserve">Оплачено </t>
        </is>
      </c>
    </row>
    <row r="834" ht="14.4" customHeight="1" s="1127">
      <c r="B834" s="529" t="n"/>
      <c r="C834" s="505" t="inlineStr">
        <is>
          <t>Berry Company ТОО</t>
        </is>
      </c>
      <c r="D834" s="68" t="n"/>
      <c r="E834" s="524" t="n">
        <v>905340</v>
      </c>
      <c r="F834" s="73" t="inlineStr">
        <is>
          <t xml:space="preserve">Оплачено </t>
        </is>
      </c>
    </row>
    <row r="835" ht="14.4" customHeight="1" s="1127">
      <c r="B835" s="529" t="n"/>
      <c r="C835" s="505" t="inlineStr">
        <is>
          <t>Adolar Group ТОО</t>
        </is>
      </c>
      <c r="D835" s="68" t="n"/>
      <c r="E835" s="524" t="n">
        <v>1000000</v>
      </c>
      <c r="F835" s="73" t="inlineStr">
        <is>
          <t xml:space="preserve">Оплачено </t>
        </is>
      </c>
    </row>
    <row r="836" ht="14.4" customHeight="1" s="1127">
      <c r="B836" s="529" t="n"/>
      <c r="C836" s="505" t="inlineStr">
        <is>
          <t>Бест импорт ТОО</t>
        </is>
      </c>
      <c r="D836" s="68" t="n"/>
      <c r="E836" s="524" t="n">
        <v>700000</v>
      </c>
      <c r="F836" s="73" t="inlineStr">
        <is>
          <t xml:space="preserve">Оплачено </t>
        </is>
      </c>
    </row>
    <row r="837" ht="14.4" customHeight="1" s="1127">
      <c r="B837" s="529" t="n"/>
      <c r="C837" s="505" t="inlineStr">
        <is>
          <t>Витамин +</t>
        </is>
      </c>
      <c r="D837" s="68" t="n"/>
      <c r="E837" s="524" t="n">
        <v>700000</v>
      </c>
      <c r="F837" s="73" t="inlineStr">
        <is>
          <t xml:space="preserve">Оплачено </t>
        </is>
      </c>
    </row>
    <row r="838" ht="14.4" customHeight="1" s="1127">
      <c r="B838" s="529" t="n"/>
      <c r="C838" s="505" t="inlineStr">
        <is>
          <t xml:space="preserve">Тоймарт </t>
        </is>
      </c>
      <c r="D838" s="68" t="n"/>
      <c r="E838" s="524" t="n">
        <v>300000</v>
      </c>
      <c r="F838" s="73" t="inlineStr">
        <is>
          <t xml:space="preserve">Оплачено </t>
        </is>
      </c>
    </row>
    <row r="839" ht="14.4" customHeight="1" s="1127">
      <c r="B839" s="529" t="n"/>
      <c r="C839" s="505" t="inlineStr">
        <is>
          <t>Global Halal Food ТОО</t>
        </is>
      </c>
      <c r="D839" s="68" t="n"/>
      <c r="E839" s="524" t="n">
        <v>1000000</v>
      </c>
      <c r="F839" s="73" t="inlineStr">
        <is>
          <t xml:space="preserve">Оплачено </t>
        </is>
      </c>
    </row>
    <row r="840" ht="14.4" customHeight="1" s="1127">
      <c r="B840" s="529" t="n"/>
      <c r="C840" s="505" t="inlineStr">
        <is>
          <t>Лейпурин ТОО</t>
        </is>
      </c>
      <c r="D840" s="68" t="n"/>
      <c r="E840" s="524" t="n">
        <v>469500</v>
      </c>
      <c r="F840" s="73" t="inlineStr">
        <is>
          <t xml:space="preserve">Оплачено </t>
        </is>
      </c>
    </row>
    <row r="841" ht="14.4" customHeight="1" s="1127">
      <c r="B841" s="529" t="n"/>
      <c r="C841" s="505" t="inlineStr">
        <is>
          <t>Аяла Плюс ТОО</t>
        </is>
      </c>
      <c r="D841" s="68" t="n"/>
      <c r="E841" s="524" t="n">
        <v>629000</v>
      </c>
      <c r="F841" s="73" t="inlineStr">
        <is>
          <t xml:space="preserve">Оплачено </t>
        </is>
      </c>
    </row>
    <row r="842" ht="14.4" customHeight="1" s="1127">
      <c r="B842" s="529" t="n"/>
      <c r="C842" s="505" t="inlineStr">
        <is>
          <t>Bestseller Food Company ТОО</t>
        </is>
      </c>
      <c r="D842" s="68" t="n"/>
      <c r="E842" s="524" t="n">
        <v>533588</v>
      </c>
      <c r="F842" s="73" t="inlineStr">
        <is>
          <t xml:space="preserve">Оплачено </t>
        </is>
      </c>
    </row>
    <row r="843" ht="14.4" customHeight="1" s="1127">
      <c r="B843" s="529" t="n"/>
      <c r="C843" s="505" t="inlineStr">
        <is>
          <t xml:space="preserve">  </t>
        </is>
      </c>
      <c r="D843" s="509" t="inlineStr">
        <is>
          <t>Итого:</t>
        </is>
      </c>
      <c r="E843" s="524" t="n">
        <v>6338658</v>
      </c>
      <c r="F843" s="73" t="n"/>
    </row>
    <row r="844" ht="14.4" customHeight="1" s="1127">
      <c r="B844" s="528" t="n">
        <v>46147</v>
      </c>
      <c r="C844" s="531" t="inlineStr">
        <is>
          <t>MPARGO ТОО</t>
        </is>
      </c>
      <c r="D844" s="544" t="n"/>
      <c r="E844" s="524" t="n">
        <v>114400</v>
      </c>
      <c r="F844" s="73" t="inlineStr">
        <is>
          <t xml:space="preserve">Оплачено </t>
        </is>
      </c>
    </row>
    <row r="845" ht="14.4" customHeight="1" s="1127">
      <c r="B845" s="529" t="n"/>
      <c r="C845" s="531" t="inlineStr">
        <is>
          <t>Фудтехника ТОО</t>
        </is>
      </c>
      <c r="D845" s="544" t="n"/>
      <c r="E845" s="524" t="n">
        <v>683500</v>
      </c>
      <c r="F845" s="73" t="inlineStr">
        <is>
          <t xml:space="preserve">Оплачено </t>
        </is>
      </c>
    </row>
    <row r="846" ht="14.4" customHeight="1" s="1127">
      <c r="B846" s="529" t="n"/>
      <c r="C846" s="531" t="inlineStr">
        <is>
          <t>Food Company ТОО</t>
        </is>
      </c>
      <c r="D846" s="544" t="n"/>
      <c r="E846" s="524" t="n">
        <v>120960</v>
      </c>
      <c r="F846" s="73" t="inlineStr">
        <is>
          <t xml:space="preserve">Оплачено </t>
        </is>
      </c>
    </row>
    <row r="847" ht="14.4" customHeight="1" s="1127">
      <c r="B847" s="529" t="n"/>
      <c r="C847" s="531" t="inlineStr">
        <is>
          <t>CIS market ТОО</t>
        </is>
      </c>
      <c r="D847" s="544" t="n"/>
      <c r="E847" s="524" t="n">
        <v>250000</v>
      </c>
      <c r="F847" s="73" t="inlineStr">
        <is>
          <t xml:space="preserve">Оплачено </t>
        </is>
      </c>
    </row>
    <row r="848" ht="14.4" customHeight="1" s="1127">
      <c r="B848" s="529" t="n"/>
      <c r="C848" s="531" t="inlineStr">
        <is>
          <t>Almaty Develop STM ТОО</t>
        </is>
      </c>
      <c r="D848" s="544" t="n"/>
      <c r="E848" s="524" t="n">
        <v>500000</v>
      </c>
      <c r="F848" s="73" t="inlineStr">
        <is>
          <t xml:space="preserve">Оплачено </t>
        </is>
      </c>
    </row>
    <row r="849" ht="14.4" customHeight="1" s="1127">
      <c r="B849" s="529" t="n"/>
      <c r="C849" s="531" t="inlineStr">
        <is>
          <t>ARDO plast ТОО</t>
        </is>
      </c>
      <c r="D849" s="544" t="n"/>
      <c r="E849" s="524" t="n">
        <v>370000</v>
      </c>
      <c r="F849" s="73" t="inlineStr">
        <is>
          <t xml:space="preserve">Оплачено </t>
        </is>
      </c>
    </row>
    <row r="850" ht="14.4" customHeight="1" s="1127">
      <c r="B850" s="529" t="n"/>
      <c r="C850" s="531" t="inlineStr">
        <is>
          <t>Art Food ИП</t>
        </is>
      </c>
      <c r="D850" s="544" t="n"/>
      <c r="E850" s="524" t="n">
        <v>414408</v>
      </c>
      <c r="F850" s="73" t="inlineStr">
        <is>
          <t xml:space="preserve">Оплачено </t>
        </is>
      </c>
    </row>
    <row r="851" ht="14.4" customHeight="1" s="1127">
      <c r="B851" s="529" t="n"/>
      <c r="C851" s="531" t="inlineStr">
        <is>
          <t>Acvee market ТОО</t>
        </is>
      </c>
      <c r="D851" s="544" t="n"/>
      <c r="E851" s="524" t="n">
        <v>329250</v>
      </c>
      <c r="F851" s="73" t="inlineStr">
        <is>
          <t xml:space="preserve">Оплачено </t>
        </is>
      </c>
    </row>
    <row r="852" ht="14.4" customHeight="1" s="1127">
      <c r="B852" s="529" t="n"/>
      <c r="C852" s="531" t="n"/>
      <c r="D852" s="509" t="inlineStr">
        <is>
          <t>Итого:</t>
        </is>
      </c>
      <c r="E852" s="524" t="n">
        <v>2738860</v>
      </c>
      <c r="F852" s="73" t="n"/>
    </row>
    <row r="853" ht="14.4" customHeight="1" s="1127">
      <c r="B853" s="528" t="n">
        <v>46147</v>
      </c>
      <c r="C853" s="531" t="inlineStr">
        <is>
          <t>Казойл Продакшн А ТОО</t>
        </is>
      </c>
      <c r="D853" s="544" t="n"/>
      <c r="E853" s="524" t="n">
        <v>800000</v>
      </c>
      <c r="F853" s="73" t="inlineStr">
        <is>
          <t xml:space="preserve">Оплачено </t>
        </is>
      </c>
    </row>
    <row r="854" ht="14.4" customHeight="1" s="1127">
      <c r="B854" s="529" t="n"/>
      <c r="C854" s="531" t="inlineStr">
        <is>
          <t>Berry Company ТОО</t>
        </is>
      </c>
      <c r="D854" s="544" t="n"/>
      <c r="E854" s="524" t="n">
        <v>500000</v>
      </c>
      <c r="F854" s="73" t="inlineStr">
        <is>
          <t xml:space="preserve">Оплачено </t>
        </is>
      </c>
    </row>
    <row r="855" ht="14.4" customHeight="1" s="1127">
      <c r="B855" s="529" t="n"/>
      <c r="C855" s="531" t="inlineStr">
        <is>
          <t>Adolar Group ТОО</t>
        </is>
      </c>
      <c r="D855" s="544" t="n"/>
      <c r="E855" s="524" t="n">
        <v>500000</v>
      </c>
      <c r="F855" s="73" t="inlineStr">
        <is>
          <t xml:space="preserve">Оплачено </t>
        </is>
      </c>
    </row>
    <row r="856" ht="14.4" customHeight="1" s="1127">
      <c r="B856" s="529" t="n"/>
      <c r="C856" s="531" t="inlineStr">
        <is>
          <t>Global Halal Food ТОО</t>
        </is>
      </c>
      <c r="D856" s="544" t="n"/>
      <c r="E856" s="524" t="n">
        <v>500000</v>
      </c>
      <c r="F856" s="73" t="inlineStr">
        <is>
          <t xml:space="preserve">Оплачено </t>
        </is>
      </c>
    </row>
    <row r="857" ht="14.4" customHeight="1" s="1127">
      <c r="B857" s="529" t="n"/>
      <c r="C857" s="531" t="inlineStr">
        <is>
          <t>Витамин +</t>
        </is>
      </c>
      <c r="D857" s="544" t="n"/>
      <c r="E857" s="524" t="n">
        <v>500000</v>
      </c>
      <c r="F857" s="73" t="inlineStr">
        <is>
          <t xml:space="preserve">Оплачено </t>
        </is>
      </c>
    </row>
    <row r="858" ht="14.4" customHeight="1" s="1127">
      <c r="B858" s="529" t="n"/>
      <c r="C858" s="531" t="inlineStr">
        <is>
          <t>BravoSauda ТОО</t>
        </is>
      </c>
      <c r="D858" s="544" t="n"/>
      <c r="E858" s="524" t="n">
        <v>181200</v>
      </c>
      <c r="F858" s="73" t="inlineStr">
        <is>
          <t xml:space="preserve">Оплачено </t>
        </is>
      </c>
    </row>
    <row r="859" ht="14.4" customHeight="1" s="1127">
      <c r="B859" s="529" t="n"/>
      <c r="C859" s="531" t="inlineStr">
        <is>
          <t>KazBeef Processing (КазБиф Процессинг) ТОО</t>
        </is>
      </c>
      <c r="D859" s="68" t="n"/>
      <c r="E859" s="524" t="n">
        <v>300000</v>
      </c>
      <c r="F859" s="73" t="inlineStr">
        <is>
          <t xml:space="preserve">Оплачено </t>
        </is>
      </c>
    </row>
    <row r="860" ht="14.4" customHeight="1" s="1127">
      <c r="B860" s="529" t="n"/>
      <c r="C860" s="531" t="inlineStr">
        <is>
          <t>Компания В ТОО</t>
        </is>
      </c>
      <c r="D860" s="544" t="n"/>
      <c r="E860" s="524" t="n">
        <v>697124</v>
      </c>
      <c r="F860" s="73" t="inlineStr">
        <is>
          <t xml:space="preserve">Оплачено </t>
        </is>
      </c>
    </row>
    <row r="861" ht="14.4" customHeight="1" s="1127">
      <c r="B861" s="529" t="n"/>
      <c r="C861" s="531" t="inlineStr">
        <is>
          <t>Каз Ман Ет ТОО</t>
        </is>
      </c>
      <c r="D861" s="544" t="n"/>
      <c r="E861" s="524" t="n">
        <v>500000</v>
      </c>
      <c r="F861" s="73" t="inlineStr">
        <is>
          <t xml:space="preserve">Оплачено </t>
        </is>
      </c>
    </row>
    <row r="862" ht="14.4" customHeight="1" s="1127">
      <c r="B862" s="529" t="n"/>
      <c r="C862" s="531" t="inlineStr">
        <is>
          <t>Handy Yummy ИП</t>
        </is>
      </c>
      <c r="D862" s="544" t="n"/>
      <c r="E862" s="524" t="n">
        <v>500000</v>
      </c>
      <c r="F862" s="73" t="inlineStr">
        <is>
          <t xml:space="preserve">Оплачено </t>
        </is>
      </c>
    </row>
    <row r="863" ht="14.4" customHeight="1" s="1127">
      <c r="B863" s="529" t="n"/>
      <c r="C863" s="531" t="inlineStr">
        <is>
          <t>Мясоперерабатывающий завод БИЖАН ТОО</t>
        </is>
      </c>
      <c r="D863" s="544" t="n"/>
      <c r="E863" s="524" t="n">
        <v>313325</v>
      </c>
      <c r="F863" s="73" t="inlineStr">
        <is>
          <t xml:space="preserve">Оплачено </t>
        </is>
      </c>
    </row>
    <row r="864" ht="14.4" customHeight="1" s="1127">
      <c r="B864" s="529" t="n"/>
      <c r="C864" s="531" t="inlineStr">
        <is>
          <t>ИП Айсулу (Касым овощи)</t>
        </is>
      </c>
      <c r="D864" s="544" t="n"/>
      <c r="E864" s="524" t="n">
        <v>100000</v>
      </c>
      <c r="F864" s="73" t="inlineStr">
        <is>
          <t xml:space="preserve">Оплачено </t>
        </is>
      </c>
    </row>
    <row r="865" ht="14.4" customHeight="1" s="1127">
      <c r="B865" s="529" t="n"/>
      <c r="C865" s="531" t="n"/>
      <c r="D865" s="509" t="inlineStr">
        <is>
          <t>Итого:</t>
        </is>
      </c>
      <c r="E865" s="524" t="n">
        <v>5391649</v>
      </c>
      <c r="F865" s="73" t="n"/>
    </row>
    <row r="866" ht="14.4" customHeight="1" s="1127">
      <c r="B866" s="528" t="n">
        <v>46148</v>
      </c>
      <c r="C866" s="505" t="inlineStr">
        <is>
          <t xml:space="preserve">Сергей логист </t>
        </is>
      </c>
      <c r="D866" s="68" t="n"/>
      <c r="E866" s="524" t="n">
        <v>700000</v>
      </c>
      <c r="F866" s="73" t="inlineStr">
        <is>
          <t xml:space="preserve">Оплачено </t>
        </is>
      </c>
    </row>
    <row r="867" ht="14.4" customHeight="1" s="1127">
      <c r="B867" s="529" t="n"/>
      <c r="C867" s="505" t="inlineStr">
        <is>
          <t>Frozen Fruit ТОО</t>
        </is>
      </c>
      <c r="D867" s="68" t="n"/>
      <c r="E867" s="524" t="n">
        <v>1000000</v>
      </c>
      <c r="F867" s="73" t="inlineStr">
        <is>
          <t xml:space="preserve">Оплачено </t>
        </is>
      </c>
    </row>
    <row r="868" ht="14.4" customHeight="1" s="1127">
      <c r="B868" s="529" t="n"/>
      <c r="C868" s="505" t="inlineStr">
        <is>
          <t>Витамин + ТОО</t>
        </is>
      </c>
      <c r="D868" s="68" t="n"/>
      <c r="E868" s="524" t="n">
        <v>300000</v>
      </c>
      <c r="F868" s="73" t="inlineStr">
        <is>
          <t xml:space="preserve">Оплачено </t>
        </is>
      </c>
    </row>
    <row r="869" ht="14.4" customHeight="1" s="1127">
      <c r="B869" s="529" t="n"/>
      <c r="C869" s="531" t="n"/>
      <c r="D869" s="509" t="inlineStr">
        <is>
          <t>Итого:</t>
        </is>
      </c>
      <c r="E869" s="524" t="n">
        <v>2000000</v>
      </c>
      <c r="F869" s="73" t="n"/>
    </row>
    <row r="870" ht="14.4" customHeight="1" s="1127">
      <c r="B870" s="528" t="n">
        <v>46148</v>
      </c>
      <c r="C870" s="531" t="inlineStr">
        <is>
          <t>Succes овощи Айкоркем ИП</t>
        </is>
      </c>
      <c r="D870" s="544" t="n"/>
      <c r="E870" s="524" t="n">
        <v>700000</v>
      </c>
      <c r="F870" s="73" t="inlineStr">
        <is>
          <t xml:space="preserve">Оплачено </t>
        </is>
      </c>
    </row>
    <row r="871" ht="14.4" customHeight="1" s="1127">
      <c r="B871" s="529" t="n"/>
      <c r="C871" s="531" t="inlineStr">
        <is>
          <t>ТОО Химбаза</t>
        </is>
      </c>
      <c r="D871" s="544" t="n"/>
      <c r="E871" s="524" t="n">
        <v>96000</v>
      </c>
      <c r="F871" s="73" t="inlineStr">
        <is>
          <t xml:space="preserve">Оплачено </t>
        </is>
      </c>
    </row>
    <row r="872" ht="14.4" customHeight="1" s="1127">
      <c r="B872" s="529" t="n"/>
      <c r="C872" s="505" t="inlineStr">
        <is>
          <t>Исмагулов ИП</t>
        </is>
      </c>
      <c r="D872" s="68" t="n"/>
      <c r="E872" s="524" t="n">
        <v>700000</v>
      </c>
      <c r="F872" s="73" t="inlineStr">
        <is>
          <t xml:space="preserve">Оплачено </t>
        </is>
      </c>
    </row>
    <row r="873" ht="14.4" customHeight="1" s="1127">
      <c r="B873" s="529" t="n"/>
      <c r="C873" s="505" t="inlineStr">
        <is>
          <t>Бест импорт ТОО</t>
        </is>
      </c>
      <c r="D873" s="68" t="n"/>
      <c r="E873" s="524" t="n">
        <v>500000</v>
      </c>
      <c r="F873" s="73" t="inlineStr">
        <is>
          <t xml:space="preserve">Оплачено </t>
        </is>
      </c>
    </row>
    <row r="874" ht="14.4" customHeight="1" s="1127">
      <c r="B874" s="68" t="n"/>
      <c r="C874" s="505" t="inlineStr">
        <is>
          <t>Global Halal Food ТОО</t>
        </is>
      </c>
      <c r="D874" s="68" t="n"/>
      <c r="E874" s="524" t="n">
        <v>1000000</v>
      </c>
      <c r="F874" s="73" t="inlineStr">
        <is>
          <t xml:space="preserve">Оплачено </t>
        </is>
      </c>
    </row>
    <row r="875" ht="14.4" customHeight="1" s="1127">
      <c r="B875" s="68" t="n"/>
      <c r="C875" s="505" t="inlineStr">
        <is>
          <t>Ирмас ЛТД ТОО</t>
        </is>
      </c>
      <c r="D875" s="68" t="n"/>
      <c r="E875" s="524" t="n">
        <v>505260</v>
      </c>
      <c r="F875" s="73" t="inlineStr">
        <is>
          <t xml:space="preserve">Оплачено </t>
        </is>
      </c>
    </row>
    <row r="876" ht="14.4" customHeight="1" s="1127">
      <c r="B876" s="68" t="n"/>
      <c r="C876" s="531" t="inlineStr">
        <is>
          <t>Компания В ТОО</t>
        </is>
      </c>
      <c r="D876" s="68" t="n"/>
      <c r="E876" s="524" t="n">
        <v>92000</v>
      </c>
      <c r="F876" s="73" t="inlineStr">
        <is>
          <t xml:space="preserve">Оплачено </t>
        </is>
      </c>
    </row>
    <row r="877" ht="14.4" customHeight="1" s="1127">
      <c r="B877" s="68" t="n"/>
      <c r="C877" s="531" t="inlineStr">
        <is>
          <t>SWEEZARD ТОО</t>
        </is>
      </c>
      <c r="D877" s="68" t="n"/>
      <c r="E877" s="524" t="n">
        <v>1000000</v>
      </c>
      <c r="F877" s="73" t="inlineStr">
        <is>
          <t xml:space="preserve">Оплачено </t>
        </is>
      </c>
    </row>
    <row r="878" ht="14.4" customHeight="1" s="1127">
      <c r="B878" s="68" t="n"/>
      <c r="C878" s="505" t="inlineStr">
        <is>
          <t>Эрико ТОО</t>
        </is>
      </c>
      <c r="D878" s="68" t="n"/>
      <c r="E878" s="524" t="n">
        <v>316620</v>
      </c>
      <c r="F878" s="73" t="inlineStr">
        <is>
          <t xml:space="preserve">Оплачено </t>
        </is>
      </c>
    </row>
    <row r="879" ht="14.4" customHeight="1" s="1127">
      <c r="B879" s="68" t="n"/>
      <c r="C879" s="505" t="inlineStr">
        <is>
          <t>Lirumax ТОО</t>
        </is>
      </c>
      <c r="D879" s="68" t="n"/>
      <c r="E879" s="524" t="n">
        <v>292500</v>
      </c>
      <c r="F879" s="73" t="inlineStr">
        <is>
          <t xml:space="preserve">Оплачено </t>
        </is>
      </c>
    </row>
    <row r="880" ht="14.4" customHeight="1" s="1127">
      <c r="B880" s="68" t="n"/>
      <c r="C880" s="505" t="inlineStr">
        <is>
          <t>Глобал Фуд ТОО</t>
        </is>
      </c>
      <c r="D880" s="68" t="n"/>
      <c r="E880" s="524" t="n">
        <v>1100000</v>
      </c>
      <c r="F880" s="73" t="inlineStr">
        <is>
          <t xml:space="preserve">Оплачено </t>
        </is>
      </c>
    </row>
    <row r="881" ht="14.4" customHeight="1" s="1127">
      <c r="B881" s="68" t="n"/>
      <c r="C881" s="531" t="inlineStr">
        <is>
          <t>Adolar Group ТОО</t>
        </is>
      </c>
      <c r="D881" s="242" t="n"/>
      <c r="E881" s="524" t="n">
        <v>1000000</v>
      </c>
      <c r="F881" s="73" t="inlineStr">
        <is>
          <t xml:space="preserve">Оплачено </t>
        </is>
      </c>
    </row>
    <row r="882" ht="14.4" customHeight="1" s="1127">
      <c r="B882" s="68" t="n"/>
      <c r="C882" s="531" t="inlineStr">
        <is>
          <t>ИП Айсулу (Касым овощи)</t>
        </is>
      </c>
      <c r="D882" s="544" t="n"/>
      <c r="E882" s="524" t="n">
        <v>100000</v>
      </c>
      <c r="F882" s="73" t="inlineStr">
        <is>
          <t xml:space="preserve">Оплачено </t>
        </is>
      </c>
    </row>
    <row r="883" ht="14.4" customHeight="1" s="1127">
      <c r="B883" s="531" t="n"/>
      <c r="C883" s="531" t="inlineStr">
        <is>
          <t xml:space="preserve">Сергей логист </t>
        </is>
      </c>
      <c r="D883" s="544" t="n"/>
      <c r="E883" s="524" t="n">
        <v>600000</v>
      </c>
      <c r="F883" s="73" t="inlineStr">
        <is>
          <t xml:space="preserve">Оплачено </t>
        </is>
      </c>
    </row>
    <row r="884" ht="14.4" customHeight="1" s="1127">
      <c r="B884" s="68" t="n"/>
      <c r="C884" s="531" t="inlineStr">
        <is>
          <t>Каз Ман Ет ТОО</t>
        </is>
      </c>
      <c r="D884" s="544" t="inlineStr">
        <is>
          <t xml:space="preserve">  </t>
        </is>
      </c>
      <c r="E884" s="524" t="n">
        <v>800000</v>
      </c>
      <c r="F884" s="73" t="inlineStr">
        <is>
          <t xml:space="preserve">Оплачено </t>
        </is>
      </c>
    </row>
    <row r="885" ht="14.4" customHeight="1" s="1127">
      <c r="B885" s="68" t="n"/>
      <c r="C885" s="531" t="inlineStr">
        <is>
          <t>QAZAQ SAPA GROUP ТОО</t>
        </is>
      </c>
      <c r="D885" s="544" t="n"/>
      <c r="E885" s="524" t="n">
        <v>500000</v>
      </c>
      <c r="F885" s="73" t="inlineStr">
        <is>
          <t xml:space="preserve">Оплачено </t>
        </is>
      </c>
    </row>
    <row r="886" ht="14.4" customHeight="1" s="1127">
      <c r="B886" s="68" t="n"/>
      <c r="C886" s="242" t="n"/>
      <c r="D886" s="509" t="inlineStr">
        <is>
          <t>Итого:</t>
        </is>
      </c>
      <c r="E886" s="524">
        <f>SUM(E870:E885)</f>
        <v/>
      </c>
      <c r="F886" s="73" t="n"/>
    </row>
    <row r="887" ht="14.4" customHeight="1" s="1127">
      <c r="B887" s="528" t="n">
        <v>46154</v>
      </c>
      <c r="C887" s="505" t="inlineStr">
        <is>
          <t>Нарлен ет ТОО мясо</t>
        </is>
      </c>
      <c r="D887" s="68" t="n"/>
      <c r="E887" s="524" t="n">
        <v>207425</v>
      </c>
      <c r="F887" s="73" t="inlineStr">
        <is>
          <t xml:space="preserve">Оплачено </t>
        </is>
      </c>
    </row>
    <row r="888" ht="14.4" customHeight="1" s="1127">
      <c r="B888" s="68" t="n"/>
      <c r="C888" s="505" t="inlineStr">
        <is>
          <t>Аяла Плюс ТОО</t>
        </is>
      </c>
      <c r="D888" s="453" t="inlineStr">
        <is>
          <t xml:space="preserve">по предоплате </t>
        </is>
      </c>
      <c r="E888" s="524" t="n">
        <v>219300</v>
      </c>
      <c r="F888" s="73" t="inlineStr">
        <is>
          <t xml:space="preserve">Оплачено </t>
        </is>
      </c>
    </row>
    <row r="889" ht="14.4" customHeight="1" s="1127">
      <c r="B889" s="68" t="n"/>
      <c r="C889" s="505" t="inlineStr">
        <is>
          <t>Альбатрос ВЭД ТОО</t>
        </is>
      </c>
      <c r="D889" s="453" t="inlineStr">
        <is>
          <t xml:space="preserve">по предоплате </t>
        </is>
      </c>
      <c r="E889" s="524" t="n">
        <v>82500</v>
      </c>
      <c r="F889" s="73" t="inlineStr">
        <is>
          <t xml:space="preserve">Оплачено </t>
        </is>
      </c>
    </row>
    <row r="890" ht="14.4" customHeight="1" s="1127">
      <c r="B890" s="68" t="n"/>
      <c r="C890" s="505" t="inlineStr">
        <is>
          <t>Ахмерова Ф.И. ИП</t>
        </is>
      </c>
      <c r="D890" s="453" t="inlineStr">
        <is>
          <t xml:space="preserve">по предоплате </t>
        </is>
      </c>
      <c r="E890" s="524" t="n">
        <v>61200</v>
      </c>
      <c r="F890" s="73" t="inlineStr">
        <is>
          <t xml:space="preserve">Оплачено </t>
        </is>
      </c>
    </row>
    <row r="891" ht="14.4" customHeight="1" s="1127">
      <c r="B891" s="68" t="n"/>
      <c r="C891" s="505" t="inlineStr">
        <is>
          <t>Frozen Fruit ТОО</t>
        </is>
      </c>
      <c r="D891" s="453" t="inlineStr">
        <is>
          <t>на стопе</t>
        </is>
      </c>
      <c r="E891" s="524" t="n">
        <v>1002160</v>
      </c>
      <c r="F891" s="73" t="inlineStr">
        <is>
          <t xml:space="preserve">Оплачено </t>
        </is>
      </c>
    </row>
    <row r="892" ht="14.4" customHeight="1" s="1127">
      <c r="B892" s="68" t="n"/>
      <c r="C892" s="505" t="inlineStr">
        <is>
          <t>TGR Company ТОО</t>
        </is>
      </c>
      <c r="D892" s="453" t="inlineStr">
        <is>
          <t>на стопе</t>
        </is>
      </c>
      <c r="E892" s="524" t="n">
        <v>197000</v>
      </c>
      <c r="F892" s="73" t="inlineStr">
        <is>
          <t xml:space="preserve">Оплачено </t>
        </is>
      </c>
    </row>
    <row r="893" ht="14.4" customHeight="1" s="1127">
      <c r="B893" s="68" t="n"/>
      <c r="C893" s="552" t="inlineStr">
        <is>
          <t>Иналка Фуд Сервис ТОО</t>
        </is>
      </c>
      <c r="D893" s="68" t="n"/>
      <c r="E893" s="524" t="n">
        <v>1529000</v>
      </c>
      <c r="F893" s="73" t="inlineStr">
        <is>
          <t xml:space="preserve">Оплачено </t>
        </is>
      </c>
    </row>
    <row r="894" ht="14.4" customHeight="1" s="1127">
      <c r="B894" s="68" t="n"/>
      <c r="C894" s="531" t="inlineStr">
        <is>
          <t>ПРОТЭК-АЛМАТЫ ТОО</t>
        </is>
      </c>
      <c r="D894" s="453" t="inlineStr">
        <is>
          <t>на стопе</t>
        </is>
      </c>
      <c r="E894" s="524" t="n">
        <v>1000000</v>
      </c>
      <c r="F894" s="73" t="inlineStr">
        <is>
          <t xml:space="preserve">Оплачено </t>
        </is>
      </c>
    </row>
    <row r="895" ht="14.4" customHeight="1" s="1127">
      <c r="B895" s="68" t="n"/>
      <c r="C895" s="505" t="inlineStr">
        <is>
          <t>Lirumax ТОО</t>
        </is>
      </c>
      <c r="D895" s="453" t="inlineStr">
        <is>
          <t>на стопе</t>
        </is>
      </c>
      <c r="E895" s="524" t="n">
        <v>292500</v>
      </c>
      <c r="F895" s="73" t="inlineStr">
        <is>
          <t xml:space="preserve">Оплачено </t>
        </is>
      </c>
    </row>
    <row r="896" ht="14.4" customHeight="1" s="1127">
      <c r="B896" s="68" t="n"/>
      <c r="C896" s="505" t="inlineStr">
        <is>
          <t>GRIND ИП</t>
        </is>
      </c>
      <c r="D896" s="68" t="n"/>
      <c r="E896" s="524" t="n">
        <v>13600</v>
      </c>
      <c r="F896" s="73" t="inlineStr">
        <is>
          <t xml:space="preserve">Оплачено </t>
        </is>
      </c>
    </row>
    <row r="897" ht="14.4" customHeight="1" s="1127">
      <c r="B897" s="68" t="n"/>
      <c r="C897" s="505" t="inlineStr">
        <is>
          <t>Сергей логист</t>
        </is>
      </c>
      <c r="D897" s="68" t="n"/>
      <c r="E897" s="524" t="n">
        <v>1500000</v>
      </c>
      <c r="F897" s="73" t="inlineStr">
        <is>
          <t xml:space="preserve">Оплачено </t>
        </is>
      </c>
    </row>
    <row r="898" ht="14.4" customHeight="1" s="1127">
      <c r="B898" s="68" t="n"/>
      <c r="C898" s="552" t="n"/>
      <c r="D898" s="509" t="inlineStr">
        <is>
          <t>Итого:</t>
        </is>
      </c>
      <c r="E898" s="524">
        <f>SUM(E887:E897)</f>
        <v/>
      </c>
      <c r="F898" s="73" t="n"/>
    </row>
    <row r="899" ht="14.4" customHeight="1" s="1127">
      <c r="B899" s="528" t="n">
        <v>46154</v>
      </c>
      <c r="C899" s="531" t="inlineStr">
        <is>
          <t>Витамин +</t>
        </is>
      </c>
      <c r="D899" s="68" t="n"/>
      <c r="E899" s="524" t="n">
        <v>1000000</v>
      </c>
      <c r="F899" s="73" t="inlineStr">
        <is>
          <t xml:space="preserve">Оплачено </t>
        </is>
      </c>
    </row>
    <row r="900" ht="14.4" customHeight="1" s="1127">
      <c r="B900" s="68" t="n"/>
      <c r="C900" s="531" t="inlineStr">
        <is>
          <t>ПРОТЭК-АЛМАТЫ ТОО</t>
        </is>
      </c>
      <c r="D900" s="453" t="inlineStr">
        <is>
          <t>на стопе</t>
        </is>
      </c>
      <c r="E900" s="524" t="n">
        <v>520940</v>
      </c>
      <c r="F900" s="73" t="inlineStr">
        <is>
          <t xml:space="preserve">Оплачено </t>
        </is>
      </c>
    </row>
    <row r="901" ht="14.4" customHeight="1" s="1127">
      <c r="B901" s="68" t="n"/>
      <c r="C901" s="505" t="inlineStr">
        <is>
          <t>Viki-Kazakhstan ТОО</t>
        </is>
      </c>
      <c r="D901" s="68" t="n"/>
      <c r="E901" s="524" t="n">
        <v>1024527</v>
      </c>
      <c r="F901" s="73" t="inlineStr">
        <is>
          <t xml:space="preserve">Оплачено </t>
        </is>
      </c>
    </row>
    <row r="902" ht="14.4" customHeight="1" s="1127">
      <c r="B902" s="68" t="n"/>
      <c r="C902" s="531" t="inlineStr">
        <is>
          <t>Каз Ман Ет ТОО</t>
        </is>
      </c>
      <c r="D902" s="68" t="n"/>
      <c r="E902" s="524" t="n">
        <v>1246200</v>
      </c>
      <c r="F902" s="73" t="inlineStr">
        <is>
          <t xml:space="preserve">Оплачено </t>
        </is>
      </c>
    </row>
    <row r="903" ht="14.4" customHeight="1" s="1127">
      <c r="B903" s="68" t="n"/>
      <c r="C903" s="531" t="inlineStr">
        <is>
          <t>QAZAQ SAPA GROUP ТОО</t>
        </is>
      </c>
      <c r="D903" s="453" t="n"/>
      <c r="E903" s="524" t="n">
        <v>500000</v>
      </c>
      <c r="F903" s="73" t="inlineStr">
        <is>
          <t xml:space="preserve">Оплачено </t>
        </is>
      </c>
    </row>
    <row r="904" ht="14.4" customHeight="1" s="1127">
      <c r="B904" s="68" t="n"/>
      <c r="C904" s="505" t="n"/>
      <c r="D904" s="509" t="inlineStr">
        <is>
          <t>Итого:</t>
        </is>
      </c>
      <c r="E904" s="524">
        <f>SUM(E899:E903)</f>
        <v/>
      </c>
      <c r="F904" s="73" t="n"/>
    </row>
    <row r="905" ht="14.4" customHeight="1" s="1127">
      <c r="B905" s="528" t="n">
        <v>46155</v>
      </c>
      <c r="C905" s="505" t="inlineStr">
        <is>
          <t>Шымкентмай АО</t>
        </is>
      </c>
      <c r="D905" s="453" t="inlineStr">
        <is>
          <t xml:space="preserve">по предоплате </t>
        </is>
      </c>
      <c r="E905" s="524" t="n">
        <v>657000</v>
      </c>
      <c r="F905" s="73" t="inlineStr">
        <is>
          <t xml:space="preserve">Оплачено </t>
        </is>
      </c>
    </row>
    <row r="906" ht="14.4" customHeight="1" s="1127">
      <c r="B906" s="68" t="n"/>
      <c r="C906" s="505" t="inlineStr">
        <is>
          <t>Казойл Продакшн А ТОО</t>
        </is>
      </c>
      <c r="D906" s="453" t="n"/>
      <c r="E906" s="524" t="n">
        <v>1500000</v>
      </c>
      <c r="F906" s="73" t="inlineStr">
        <is>
          <t xml:space="preserve">Оплачено </t>
        </is>
      </c>
    </row>
    <row r="907" ht="14.4" customHeight="1" s="1127">
      <c r="B907" s="68" t="n"/>
      <c r="C907" s="531" t="inlineStr">
        <is>
          <t>TGR Company</t>
        </is>
      </c>
      <c r="D907" s="453" t="n"/>
      <c r="E907" s="524" t="n">
        <v>208000</v>
      </c>
      <c r="F907" s="73" t="inlineStr">
        <is>
          <t xml:space="preserve">Оплачено </t>
        </is>
      </c>
    </row>
    <row r="908" ht="14.4" customHeight="1" s="1127">
      <c r="B908" s="528" t="n">
        <v>46155</v>
      </c>
      <c r="C908" s="505" t="n"/>
      <c r="D908" s="509" t="inlineStr">
        <is>
          <t>Итого:</t>
        </is>
      </c>
      <c r="E908" s="524" t="n">
        <v>2365000</v>
      </c>
      <c r="F908" s="73" t="n"/>
    </row>
    <row r="909" ht="14.4" customHeight="1" s="1127">
      <c r="B909" s="68" t="n"/>
      <c r="C909" s="531" t="inlineStr">
        <is>
          <t xml:space="preserve">Эрико ТОО этикетки </t>
        </is>
      </c>
      <c r="D909" s="453" t="inlineStr">
        <is>
          <t xml:space="preserve">по предоплате </t>
        </is>
      </c>
      <c r="E909" s="524" t="n">
        <v>500000</v>
      </c>
      <c r="F909" s="73" t="inlineStr">
        <is>
          <t xml:space="preserve">Оплачено </t>
        </is>
      </c>
    </row>
    <row r="910" ht="14.4" customHeight="1" s="1127">
      <c r="B910" s="68" t="n"/>
      <c r="C910" s="531" t="inlineStr">
        <is>
          <t>TOIMART TOO</t>
        </is>
      </c>
      <c r="D910" s="68" t="n"/>
      <c r="E910" s="524" t="n">
        <v>763118</v>
      </c>
      <c r="F910" s="73" t="inlineStr">
        <is>
          <t xml:space="preserve">Оплачено </t>
        </is>
      </c>
    </row>
    <row r="911" ht="14.4" customHeight="1" s="1127">
      <c r="B911" s="68" t="n"/>
      <c r="C911" s="452" t="inlineStr">
        <is>
          <t>Деметро ПК ТОО</t>
        </is>
      </c>
      <c r="D911" s="68" t="n"/>
      <c r="E911" s="524" t="n">
        <v>74230</v>
      </c>
      <c r="F911" s="73" t="inlineStr">
        <is>
          <t xml:space="preserve">Оплачено </t>
        </is>
      </c>
    </row>
    <row r="912" ht="14.4" customHeight="1" s="1127">
      <c r="B912" s="533" t="n"/>
      <c r="C912" s="452" t="inlineStr">
        <is>
          <t>Handy Yummy ИП</t>
        </is>
      </c>
      <c r="D912" s="68" t="n"/>
      <c r="E912" s="524" t="n">
        <v>700000</v>
      </c>
      <c r="F912" s="73" t="inlineStr">
        <is>
          <t xml:space="preserve">Оплачено </t>
        </is>
      </c>
    </row>
    <row r="913" ht="14.4" customHeight="1" s="1127">
      <c r="B913" s="68" t="n"/>
      <c r="C913" s="505" t="inlineStr">
        <is>
          <t>Глобал Фуд ТОО</t>
        </is>
      </c>
      <c r="D913" s="68" t="n"/>
      <c r="E913" s="524" t="n">
        <v>500000</v>
      </c>
      <c r="F913" s="73" t="inlineStr">
        <is>
          <t xml:space="preserve">Оплачено </t>
        </is>
      </c>
    </row>
    <row r="914" ht="14.4" customHeight="1" s="1127">
      <c r="B914" s="68" t="n"/>
      <c r="C914" s="505" t="inlineStr">
        <is>
          <t>Almaty Cleaning Products Х* Таблетки д/пароконвектомата</t>
        </is>
      </c>
      <c r="D914" s="68" t="n"/>
      <c r="E914" s="524" t="n">
        <v>96000</v>
      </c>
      <c r="F914" s="73" t="inlineStr">
        <is>
          <t xml:space="preserve">Оплачено </t>
        </is>
      </c>
    </row>
    <row r="915" ht="14.4" customHeight="1" s="1127">
      <c r="B915" s="68" t="n"/>
      <c r="C915" s="531" t="inlineStr">
        <is>
          <t>Ихсан Техногаз ТОО</t>
        </is>
      </c>
      <c r="D915" s="544" t="n"/>
      <c r="E915" s="524" t="n">
        <v>330000</v>
      </c>
      <c r="F915" s="73" t="inlineStr">
        <is>
          <t xml:space="preserve">Оплачено </t>
        </is>
      </c>
    </row>
    <row r="916" ht="14.4" customHeight="1" s="1127">
      <c r="B916" s="68" t="n"/>
      <c r="C916" s="531" t="inlineStr">
        <is>
          <t>StroyLux ТОО</t>
        </is>
      </c>
      <c r="D916" s="534" t="n"/>
      <c r="E916" s="524" t="n">
        <v>768300</v>
      </c>
      <c r="F916" s="73" t="inlineStr">
        <is>
          <t xml:space="preserve">Оплачено </t>
        </is>
      </c>
    </row>
    <row r="917" ht="14.4" customHeight="1" s="1127">
      <c r="B917" s="68" t="n"/>
      <c r="C917" s="531" t="inlineStr">
        <is>
          <t>RB Brands ТОО</t>
        </is>
      </c>
      <c r="D917" s="544" t="n"/>
      <c r="E917" s="524" t="n">
        <v>300000</v>
      </c>
      <c r="F917" s="73" t="inlineStr">
        <is>
          <t xml:space="preserve">Оплачено </t>
        </is>
      </c>
    </row>
    <row r="918" ht="14.4" customHeight="1" s="1127">
      <c r="B918" s="68" t="n"/>
      <c r="C918" s="505" t="inlineStr">
        <is>
          <t>Global Halal Food ТОО</t>
        </is>
      </c>
      <c r="D918" s="68" t="n"/>
      <c r="E918" s="524" t="n">
        <v>1518164</v>
      </c>
      <c r="F918" s="73" t="inlineStr">
        <is>
          <t xml:space="preserve">Оплачено </t>
        </is>
      </c>
    </row>
    <row r="919" ht="14.4" customHeight="1" s="1127">
      <c r="B919" s="68" t="n"/>
      <c r="C919" s="505" t="inlineStr">
        <is>
          <t>Сергей логист</t>
        </is>
      </c>
      <c r="D919" s="68" t="n"/>
      <c r="E919" s="524" t="n">
        <v>500000</v>
      </c>
      <c r="F919" s="73" t="inlineStr">
        <is>
          <t xml:space="preserve">Оплачено </t>
        </is>
      </c>
    </row>
    <row r="920" ht="14.4" customHeight="1" s="1127">
      <c r="B920" s="68" t="n"/>
      <c r="C920" s="531" t="n"/>
      <c r="D920" s="509" t="inlineStr">
        <is>
          <t>Итого:</t>
        </is>
      </c>
      <c r="E920" s="524">
        <f>SUM(E909:E919)</f>
        <v/>
      </c>
      <c r="F920" s="73" t="n"/>
    </row>
    <row r="921" ht="14.4" customHeight="1" s="1127">
      <c r="B921" s="528" t="n">
        <v>46156</v>
      </c>
      <c r="C921" s="531" t="inlineStr">
        <is>
          <t>Витамин +</t>
        </is>
      </c>
      <c r="D921" s="68" t="n"/>
      <c r="E921" s="524" t="n">
        <v>500000</v>
      </c>
      <c r="F921" s="73" t="inlineStr">
        <is>
          <t xml:space="preserve">Оплачено </t>
        </is>
      </c>
    </row>
    <row r="922" ht="14.4" customHeight="1" s="1127">
      <c r="B922" s="68" t="n"/>
      <c r="C922" s="531" t="inlineStr">
        <is>
          <t xml:space="preserve">Эрико ТОО этикетки </t>
        </is>
      </c>
      <c r="D922" s="453" t="inlineStr">
        <is>
          <t xml:space="preserve">по предоплате </t>
        </is>
      </c>
      <c r="E922" s="524" t="n">
        <v>530865</v>
      </c>
      <c r="F922" s="73" t="inlineStr">
        <is>
          <t xml:space="preserve">Оплачено </t>
        </is>
      </c>
    </row>
    <row r="923" ht="14.4" customHeight="1" s="1127">
      <c r="B923" s="529" t="n"/>
      <c r="C923" s="531" t="inlineStr">
        <is>
          <t>Исмагулов ИП</t>
        </is>
      </c>
      <c r="D923" s="68" t="n"/>
      <c r="E923" s="524" t="n">
        <v>772000</v>
      </c>
      <c r="F923" s="73" t="inlineStr">
        <is>
          <t xml:space="preserve">Оплачено </t>
        </is>
      </c>
    </row>
    <row r="924" ht="14.4" customHeight="1" s="1127">
      <c r="B924" s="68" t="n"/>
      <c r="C924" s="531" t="inlineStr">
        <is>
          <t>Евразиан Фудс Корпорэйшн АО</t>
        </is>
      </c>
      <c r="D924" s="453" t="inlineStr">
        <is>
          <t xml:space="preserve">на стопе </t>
        </is>
      </c>
      <c r="E924" s="524" t="n">
        <v>500000</v>
      </c>
      <c r="F924" s="73" t="inlineStr">
        <is>
          <t xml:space="preserve">Оплачено </t>
        </is>
      </c>
    </row>
    <row r="925" ht="14.4" customHeight="1" s="1127">
      <c r="B925" s="68" t="n"/>
      <c r="C925" s="531" t="n"/>
      <c r="D925" s="509" t="inlineStr">
        <is>
          <t>Итого:</t>
        </is>
      </c>
      <c r="E925" s="524">
        <f>SUM(E921:E924)</f>
        <v/>
      </c>
      <c r="F925" s="73" t="n"/>
    </row>
    <row r="926" ht="14.4" customHeight="1" s="1127">
      <c r="B926" s="528" t="n">
        <v>46156</v>
      </c>
      <c r="C926" s="531" t="inlineStr">
        <is>
          <t>DFK food ИП</t>
        </is>
      </c>
      <c r="D926" s="453" t="inlineStr">
        <is>
          <t xml:space="preserve">на стопе </t>
        </is>
      </c>
      <c r="E926" s="524" t="n">
        <v>517650</v>
      </c>
      <c r="F926" s="73" t="inlineStr">
        <is>
          <t xml:space="preserve">Оплачено </t>
        </is>
      </c>
    </row>
    <row r="927" ht="14.4" customHeight="1" s="1127">
      <c r="B927" s="68" t="n"/>
      <c r="C927" s="452" t="inlineStr">
        <is>
          <t>Бест импорт ТОО</t>
        </is>
      </c>
      <c r="D927" s="68" t="n"/>
      <c r="E927" s="524" t="n">
        <v>700000</v>
      </c>
      <c r="F927" s="73" t="inlineStr">
        <is>
          <t xml:space="preserve">Оплачено </t>
        </is>
      </c>
    </row>
    <row r="928" ht="14.4" customHeight="1" s="1127">
      <c r="B928" s="68" t="n"/>
      <c r="C928" s="531" t="inlineStr">
        <is>
          <t>Каз Ман Ет ТОО</t>
        </is>
      </c>
      <c r="D928" s="453" t="n"/>
      <c r="E928" s="524" t="n">
        <v>1000000</v>
      </c>
      <c r="F928" s="73" t="inlineStr">
        <is>
          <t xml:space="preserve">Оплачено </t>
        </is>
      </c>
    </row>
    <row r="929" ht="14.4" customHeight="1" s="1127">
      <c r="B929" s="68" t="n"/>
      <c r="C929" s="505" t="inlineStr">
        <is>
          <t>Мир Кондитера ИП</t>
        </is>
      </c>
      <c r="D929" s="453" t="inlineStr">
        <is>
          <t xml:space="preserve">на стопе </t>
        </is>
      </c>
      <c r="E929" s="524" t="n">
        <v>309150</v>
      </c>
      <c r="F929" s="73" t="inlineStr">
        <is>
          <t xml:space="preserve">Оплачено </t>
        </is>
      </c>
    </row>
    <row r="930" ht="14.4" customHeight="1" s="1127">
      <c r="B930" s="68" t="n"/>
      <c r="C930" s="531" t="inlineStr">
        <is>
          <t>Витамин +</t>
        </is>
      </c>
      <c r="D930" s="68" t="n"/>
      <c r="E930" s="524" t="n">
        <v>200000</v>
      </c>
      <c r="F930" s="73" t="inlineStr">
        <is>
          <t xml:space="preserve">Оплачено </t>
        </is>
      </c>
    </row>
    <row r="931" ht="14.4" customHeight="1" s="1127">
      <c r="B931" s="68" t="n"/>
      <c r="C931" s="505" t="inlineStr">
        <is>
          <t>Berry Company ТОО</t>
        </is>
      </c>
      <c r="E931" s="524" t="n">
        <v>528340</v>
      </c>
      <c r="F931" s="73" t="inlineStr">
        <is>
          <t xml:space="preserve">Оплачено </t>
        </is>
      </c>
    </row>
    <row r="932" ht="14.4" customHeight="1" s="1127">
      <c r="B932" s="68" t="n"/>
      <c r="C932" s="531" t="inlineStr">
        <is>
          <t>Adolar Group ТОО</t>
        </is>
      </c>
      <c r="D932" s="68" t="n"/>
      <c r="E932" s="524" t="n">
        <v>450000</v>
      </c>
      <c r="F932" s="73" t="inlineStr">
        <is>
          <t xml:space="preserve">Оплачено </t>
        </is>
      </c>
    </row>
    <row r="933" ht="14.4" customHeight="1" s="1127">
      <c r="B933" s="68" t="n"/>
      <c r="C933" s="452" t="inlineStr">
        <is>
          <t>Ирмас ЛТД ТОО</t>
        </is>
      </c>
      <c r="D933" s="68" t="n"/>
      <c r="E933" s="524" t="n">
        <v>490780</v>
      </c>
      <c r="F933" s="73" t="inlineStr">
        <is>
          <t xml:space="preserve">Оплачено </t>
        </is>
      </c>
    </row>
    <row r="934" ht="14.4" customHeight="1" s="1127">
      <c r="B934" s="68" t="n"/>
      <c r="C934" s="452" t="inlineStr">
        <is>
          <t>Первомайские Деликатесы ТОО</t>
        </is>
      </c>
      <c r="D934" s="68" t="n"/>
      <c r="E934" s="524" t="n">
        <v>300000</v>
      </c>
      <c r="F934" s="73" t="inlineStr">
        <is>
          <t xml:space="preserve">Оплачено </t>
        </is>
      </c>
    </row>
    <row r="935" ht="14.4" customHeight="1" s="1127">
      <c r="B935" s="68" t="n"/>
      <c r="C935" s="531" t="inlineStr">
        <is>
          <t>Овощи Касым</t>
        </is>
      </c>
      <c r="D935" s="68" t="n"/>
      <c r="E935" s="524" t="n">
        <v>120227</v>
      </c>
      <c r="F935" s="73" t="inlineStr">
        <is>
          <t xml:space="preserve">Оплачено </t>
        </is>
      </c>
    </row>
    <row r="936" ht="14.4" customHeight="1" s="1127">
      <c r="B936" s="68" t="n"/>
      <c r="C936" s="452" t="inlineStr">
        <is>
          <t>КазАгроПромТрейд ТОО</t>
        </is>
      </c>
      <c r="D936" s="68" t="n"/>
      <c r="E936" s="524" t="n">
        <v>554000</v>
      </c>
      <c r="F936" s="73" t="inlineStr">
        <is>
          <t xml:space="preserve">Оплачено </t>
        </is>
      </c>
    </row>
    <row r="937" ht="14.4" customHeight="1" s="1127">
      <c r="B937" s="68" t="n"/>
      <c r="C937" s="531" t="inlineStr">
        <is>
          <t>ПРОТЭК-АЛМАТЫ ТОО</t>
        </is>
      </c>
      <c r="D937" s="68" t="n"/>
      <c r="E937" s="524" t="n">
        <v>500000</v>
      </c>
      <c r="F937" s="73" t="inlineStr">
        <is>
          <t xml:space="preserve">Оплачено </t>
        </is>
      </c>
    </row>
    <row r="938" ht="14.4" customHeight="1" s="1127">
      <c r="B938" s="68" t="n"/>
      <c r="C938" s="531" t="inlineStr">
        <is>
          <t>Ихсан Техногаз ТОО</t>
        </is>
      </c>
      <c r="D938" s="453" t="inlineStr">
        <is>
          <t xml:space="preserve">по предоплате </t>
        </is>
      </c>
      <c r="E938" s="524" t="n">
        <v>506000</v>
      </c>
      <c r="F938" s="73" t="inlineStr">
        <is>
          <t xml:space="preserve">Оплачено </t>
        </is>
      </c>
    </row>
    <row r="939" ht="14.4" customHeight="1" s="1127">
      <c r="B939" s="68" t="n"/>
      <c r="C939" s="531" t="inlineStr">
        <is>
          <t>Витамин +</t>
        </is>
      </c>
      <c r="D939" s="68" t="n"/>
      <c r="E939" s="524" t="n">
        <v>216332</v>
      </c>
      <c r="F939" s="73" t="inlineStr">
        <is>
          <t xml:space="preserve">Оплачено </t>
        </is>
      </c>
    </row>
    <row r="940" ht="14.4" customHeight="1" s="1127">
      <c r="B940" s="68" t="n"/>
      <c r="C940" s="531" t="inlineStr">
        <is>
          <t>Евразиан Фудс Корпорэйшн АО</t>
        </is>
      </c>
      <c r="D940" s="453" t="inlineStr">
        <is>
          <t xml:space="preserve">на стопе </t>
        </is>
      </c>
      <c r="E940" s="524" t="n">
        <v>1000000</v>
      </c>
      <c r="F940" s="73" t="inlineStr">
        <is>
          <t xml:space="preserve">Оплачено </t>
        </is>
      </c>
    </row>
    <row r="941" ht="14.4" customHeight="1" s="1127">
      <c r="B941" s="68" t="n"/>
      <c r="C941" s="531" t="n"/>
      <c r="D941" s="509" t="inlineStr">
        <is>
          <t>Итого:</t>
        </is>
      </c>
      <c r="E941" s="524">
        <f>SUM(E926:E940)</f>
        <v/>
      </c>
      <c r="F941" s="73" t="n"/>
    </row>
    <row r="942" ht="14.4" customHeight="1" s="1127">
      <c r="B942" s="528" t="n">
        <v>46160</v>
      </c>
      <c r="C942" s="531" t="inlineStr">
        <is>
          <t>Шымкентмай АО</t>
        </is>
      </c>
      <c r="D942" s="453" t="inlineStr">
        <is>
          <t>по предоплате, на стопе</t>
        </is>
      </c>
      <c r="E942" s="524" t="n">
        <v>547500</v>
      </c>
      <c r="F942" s="73" t="inlineStr">
        <is>
          <t xml:space="preserve">Оплачено </t>
        </is>
      </c>
    </row>
    <row r="943" ht="14.4" customHeight="1" s="1127">
      <c r="B943" s="68" t="n"/>
      <c r="C943" s="531" t="inlineStr">
        <is>
          <t>Компания В ТОО</t>
        </is>
      </c>
      <c r="D943" s="453" t="inlineStr">
        <is>
          <t xml:space="preserve">по предоплате </t>
        </is>
      </c>
      <c r="E943" s="524" t="n">
        <v>1417500</v>
      </c>
      <c r="F943" s="73" t="inlineStr">
        <is>
          <t xml:space="preserve">Оплачено </t>
        </is>
      </c>
    </row>
    <row r="944" ht="14.4" customHeight="1" s="1127">
      <c r="B944" s="68" t="n"/>
      <c r="C944" s="505" t="inlineStr">
        <is>
          <t>Компания Фудмастер-Трэйд ТОО</t>
        </is>
      </c>
      <c r="D944" s="453" t="inlineStr">
        <is>
          <t>на стопе</t>
        </is>
      </c>
      <c r="E944" s="524" t="n">
        <v>61230</v>
      </c>
      <c r="F944" s="73" t="inlineStr">
        <is>
          <t xml:space="preserve">Оплачено </t>
        </is>
      </c>
    </row>
    <row r="945" ht="14.4" customHeight="1" s="1127">
      <c r="B945" s="68" t="n"/>
      <c r="C945" s="531" t="inlineStr">
        <is>
          <t>ТОО Семь морей -Алматы</t>
        </is>
      </c>
      <c r="D945" s="453" t="inlineStr">
        <is>
          <t>наличными</t>
        </is>
      </c>
      <c r="E945" s="524" t="n">
        <v>648000</v>
      </c>
      <c r="F945" s="73" t="inlineStr">
        <is>
          <t xml:space="preserve">Оплачено </t>
        </is>
      </c>
    </row>
    <row r="946" ht="14.4" customHeight="1" s="1127">
      <c r="B946" s="68" t="n"/>
      <c r="C946" s="505" t="n"/>
      <c r="D946" s="509" t="inlineStr">
        <is>
          <t>Итого:</t>
        </is>
      </c>
      <c r="E946" s="524">
        <f>SUM(E942:E945)</f>
        <v/>
      </c>
      <c r="F946" s="73" t="n"/>
    </row>
    <row r="947" ht="14.4" customHeight="1" s="1127">
      <c r="B947" s="528" t="n">
        <v>46160</v>
      </c>
      <c r="C947" s="505" t="inlineStr">
        <is>
          <t>QAZAQ SAPA GROUP ТОО</t>
        </is>
      </c>
      <c r="D947" s="453" t="inlineStr">
        <is>
          <t xml:space="preserve">на стопе </t>
        </is>
      </c>
      <c r="E947" s="524" t="n">
        <v>1210978</v>
      </c>
      <c r="F947" s="73" t="inlineStr">
        <is>
          <t xml:space="preserve">Оплачено </t>
        </is>
      </c>
    </row>
    <row r="948" ht="14.4" customHeight="1" s="1127">
      <c r="B948" s="68" t="n"/>
      <c r="C948" s="505" t="inlineStr">
        <is>
          <t>Глобал Фуд ТОО</t>
        </is>
      </c>
      <c r="D948" s="453" t="inlineStr">
        <is>
          <t xml:space="preserve">на стопе </t>
        </is>
      </c>
      <c r="E948" s="524" t="n">
        <v>1000000</v>
      </c>
      <c r="F948" s="73" t="inlineStr">
        <is>
          <t xml:space="preserve">Оплачено </t>
        </is>
      </c>
    </row>
    <row r="949" ht="14.4" customHeight="1" s="1127">
      <c r="B949" s="68" t="n"/>
      <c r="C949" s="505" t="inlineStr">
        <is>
          <t>КазЕвроСпецСнаб</t>
        </is>
      </c>
      <c r="D949" s="453" t="inlineStr">
        <is>
          <t xml:space="preserve">по предоплате </t>
        </is>
      </c>
      <c r="E949" s="524" t="n">
        <v>60000</v>
      </c>
      <c r="F949" s="73" t="inlineStr">
        <is>
          <t xml:space="preserve">Оплачено </t>
        </is>
      </c>
    </row>
    <row r="950" ht="14.4" customHeight="1" s="1127">
      <c r="B950" s="68" t="n"/>
      <c r="C950" s="531" t="inlineStr">
        <is>
          <t>Исмагулов ИП</t>
        </is>
      </c>
      <c r="D950" s="453" t="inlineStr">
        <is>
          <t>на стопе</t>
        </is>
      </c>
      <c r="E950" s="524" t="n">
        <v>760500</v>
      </c>
      <c r="F950" s="73" t="inlineStr">
        <is>
          <t xml:space="preserve">Оплачено </t>
        </is>
      </c>
    </row>
    <row r="951" ht="14.4" customHeight="1" s="1127">
      <c r="B951" s="68" t="n"/>
      <c r="C951" s="452" t="inlineStr">
        <is>
          <t>Kastorg ТОО</t>
        </is>
      </c>
      <c r="D951" s="453" t="inlineStr">
        <is>
          <t xml:space="preserve">по предоплате </t>
        </is>
      </c>
      <c r="E951" s="524" t="n">
        <v>561600</v>
      </c>
      <c r="F951" s="73" t="inlineStr">
        <is>
          <t xml:space="preserve">Оплачено </t>
        </is>
      </c>
    </row>
    <row r="952" ht="14.4" customHeight="1" s="1127">
      <c r="B952" s="68" t="n"/>
      <c r="C952" s="505" t="inlineStr">
        <is>
          <t>Adolar</t>
        </is>
      </c>
      <c r="D952" s="68" t="n"/>
      <c r="E952" s="524" t="n">
        <v>531256</v>
      </c>
      <c r="F952" s="73" t="inlineStr">
        <is>
          <t xml:space="preserve">Оплачено </t>
        </is>
      </c>
    </row>
    <row r="953" ht="14.4" customHeight="1" s="1127">
      <c r="B953" s="68" t="n"/>
      <c r="C953" s="505" t="inlineStr">
        <is>
          <t>Global Halal Food ТОО</t>
        </is>
      </c>
      <c r="D953" s="535" t="n"/>
      <c r="E953" s="524" t="n">
        <v>1000000</v>
      </c>
      <c r="F953" s="73" t="inlineStr">
        <is>
          <t xml:space="preserve">Оплачено </t>
        </is>
      </c>
    </row>
    <row r="954" ht="14.4" customHeight="1" s="1127">
      <c r="B954" s="536" t="n"/>
      <c r="C954" s="531" t="inlineStr">
        <is>
          <t>Казтехнолоджи Пак ТОО</t>
        </is>
      </c>
      <c r="D954" s="453" t="inlineStr">
        <is>
          <t>на основании ГП</t>
        </is>
      </c>
      <c r="E954" s="524" t="n">
        <v>500000</v>
      </c>
      <c r="F954" s="73" t="inlineStr">
        <is>
          <t xml:space="preserve">Оплачено </t>
        </is>
      </c>
    </row>
    <row r="955" ht="14.4" customHeight="1" s="1127">
      <c r="B955" s="68" t="n"/>
      <c r="C955" s="531" t="inlineStr">
        <is>
          <t>Yans (янс) ТОО</t>
        </is>
      </c>
      <c r="D955" s="453" t="inlineStr">
        <is>
          <t xml:space="preserve">по предоплате </t>
        </is>
      </c>
      <c r="E955" s="524" t="n">
        <v>132288</v>
      </c>
      <c r="F955" s="73" t="inlineStr">
        <is>
          <t xml:space="preserve">Оплачено </t>
        </is>
      </c>
    </row>
    <row r="956" ht="14.4" customHeight="1" s="1127">
      <c r="B956" s="68" t="n"/>
      <c r="C956" s="531" t="inlineStr">
        <is>
          <t>Эрико ТОО</t>
        </is>
      </c>
      <c r="D956" s="453" t="inlineStr">
        <is>
          <t xml:space="preserve">по предоплате </t>
        </is>
      </c>
      <c r="E956" s="524" t="n">
        <v>700560</v>
      </c>
      <c r="F956" s="73" t="inlineStr">
        <is>
          <t xml:space="preserve">Оплачено </t>
        </is>
      </c>
    </row>
    <row r="957" ht="14.4" customHeight="1" s="1127">
      <c r="B957" s="68" t="n"/>
      <c r="C957" s="505" t="inlineStr">
        <is>
          <t>Витамин</t>
        </is>
      </c>
      <c r="D957" s="68" t="n"/>
      <c r="E957" s="524" t="n">
        <v>500000</v>
      </c>
      <c r="F957" s="73" t="inlineStr">
        <is>
          <t xml:space="preserve">Оплачено </t>
        </is>
      </c>
    </row>
    <row r="958" ht="14.4" customHeight="1" s="1127">
      <c r="B958" s="68" t="n"/>
      <c r="C958" s="452" t="n"/>
      <c r="D958" s="509" t="inlineStr">
        <is>
          <t>Итого:</t>
        </is>
      </c>
      <c r="E958" s="524">
        <f>SUM(E947:E957)</f>
        <v/>
      </c>
      <c r="F958" s="73" t="n"/>
    </row>
    <row r="959" ht="14.4" customHeight="1" s="1127">
      <c r="B959" s="528" t="n">
        <v>46161</v>
      </c>
      <c r="C959" s="505" t="inlineStr">
        <is>
          <t>KazBeef Processing (КазБиф Процессинг) ТОО</t>
        </is>
      </c>
      <c r="D959" s="453" t="inlineStr">
        <is>
          <t>на основании ГП</t>
        </is>
      </c>
      <c r="E959" s="524" t="n">
        <v>2000000</v>
      </c>
      <c r="F959" s="73" t="inlineStr">
        <is>
          <t xml:space="preserve">Оплачено </t>
        </is>
      </c>
    </row>
    <row r="960" ht="14.4" customHeight="1" s="1127">
      <c r="B960" s="68" t="n"/>
      <c r="C960" s="505" t="n"/>
      <c r="D960" s="509" t="inlineStr">
        <is>
          <t>Итого:</t>
        </is>
      </c>
      <c r="E960" s="524">
        <f>E959</f>
        <v/>
      </c>
      <c r="F960" s="73" t="n"/>
    </row>
    <row r="961" ht="14.4" customHeight="1" s="1127">
      <c r="B961" s="528" t="n">
        <v>46161</v>
      </c>
      <c r="C961" s="531" t="inlineStr">
        <is>
          <t>Аяла Плюс ТОО</t>
        </is>
      </c>
      <c r="D961" s="542" t="inlineStr">
        <is>
          <t xml:space="preserve">по предоплате </t>
        </is>
      </c>
      <c r="E961" s="524" t="n">
        <v>467500</v>
      </c>
      <c r="F961" s="538" t="inlineStr">
        <is>
          <t xml:space="preserve">Оплачено </t>
        </is>
      </c>
      <c r="G961" s="772" t="n"/>
    </row>
    <row r="962" ht="14.4" customHeight="1" s="1127">
      <c r="B962" s="68" t="n"/>
      <c r="C962" s="531" t="inlineStr">
        <is>
          <t>Adalpack ТОО</t>
        </is>
      </c>
      <c r="D962" s="542" t="inlineStr">
        <is>
          <t xml:space="preserve">по предоплате </t>
        </is>
      </c>
      <c r="E962" s="524" t="n">
        <v>113000</v>
      </c>
      <c r="F962" s="538" t="inlineStr">
        <is>
          <t xml:space="preserve">Оплачено </t>
        </is>
      </c>
    </row>
    <row r="963" ht="14.4" customHeight="1" s="1127">
      <c r="B963" s="68" t="n"/>
      <c r="C963" s="531" t="inlineStr">
        <is>
          <t>Шымкентмай АО</t>
        </is>
      </c>
      <c r="D963" s="542" t="inlineStr">
        <is>
          <t>по предоплате</t>
        </is>
      </c>
      <c r="E963" s="524" t="n">
        <v>219000</v>
      </c>
      <c r="F963" s="538" t="inlineStr">
        <is>
          <t xml:space="preserve">Оплачено </t>
        </is>
      </c>
    </row>
    <row r="964" ht="14.4" customHeight="1" s="1127">
      <c r="B964" s="68" t="n"/>
      <c r="C964" s="505" t="inlineStr">
        <is>
          <t>Рэд Тим Дистрибьюшн ТОО</t>
        </is>
      </c>
      <c r="D964" s="453" t="inlineStr">
        <is>
          <t xml:space="preserve">по предоплате </t>
        </is>
      </c>
      <c r="E964" s="524" t="n">
        <v>397332</v>
      </c>
      <c r="F964" s="73" t="inlineStr">
        <is>
          <t xml:space="preserve">Оплачено </t>
        </is>
      </c>
    </row>
    <row r="965" ht="14.4" customHeight="1" s="1127">
      <c r="B965" s="68" t="n"/>
      <c r="C965" s="531" t="inlineStr">
        <is>
          <t>ПРОТЭК-АЛМАТЫ ТОО</t>
        </is>
      </c>
      <c r="D965" s="453" t="n"/>
      <c r="E965" s="524" t="n">
        <v>400000</v>
      </c>
      <c r="F965" s="538" t="inlineStr">
        <is>
          <t xml:space="preserve">Оплачено </t>
        </is>
      </c>
    </row>
    <row r="966" ht="14.4" customHeight="1" s="1127">
      <c r="B966" s="68" t="n"/>
      <c r="C966" s="531" t="inlineStr">
        <is>
          <t>Евразиан Фудс Корпорэйшн АО</t>
        </is>
      </c>
      <c r="D966" s="68" t="n"/>
      <c r="E966" s="524" t="n">
        <v>400000</v>
      </c>
      <c r="F966" s="538" t="inlineStr">
        <is>
          <t xml:space="preserve">Оплачено </t>
        </is>
      </c>
    </row>
    <row r="967" ht="14.4" customHeight="1" s="1127">
      <c r="B967" s="68" t="n"/>
      <c r="C967" s="531" t="inlineStr">
        <is>
          <t>Sweet Trade ИП</t>
        </is>
      </c>
      <c r="D967" s="542" t="inlineStr">
        <is>
          <t>остаток</t>
        </is>
      </c>
      <c r="E967" s="524" t="n">
        <v>26600</v>
      </c>
      <c r="F967" s="538" t="inlineStr">
        <is>
          <t xml:space="preserve">Оплачено </t>
        </is>
      </c>
    </row>
    <row r="968" ht="14.4" customHeight="1" s="1127">
      <c r="B968" s="68" t="n"/>
      <c r="C968" s="531" t="inlineStr">
        <is>
          <t>Ихсан Техногаз ТОО</t>
        </is>
      </c>
      <c r="D968" s="542" t="inlineStr">
        <is>
          <t xml:space="preserve">по предоплате </t>
        </is>
      </c>
      <c r="E968" s="524" t="n">
        <v>308000</v>
      </c>
      <c r="F968" s="538" t="inlineStr">
        <is>
          <t xml:space="preserve">Оплачено </t>
        </is>
      </c>
    </row>
    <row r="969" ht="14.4" customHeight="1" s="1127">
      <c r="B969" s="68" t="n"/>
      <c r="C969" s="531" t="inlineStr">
        <is>
          <t>Viki-Kazakhstan ТОО</t>
        </is>
      </c>
      <c r="D969" s="542" t="inlineStr">
        <is>
          <t>на стопе</t>
        </is>
      </c>
      <c r="E969" s="524" t="n">
        <v>1000000</v>
      </c>
      <c r="F969" s="538" t="inlineStr">
        <is>
          <t xml:space="preserve">Оплачено </t>
        </is>
      </c>
    </row>
    <row r="970" ht="14.4" customHeight="1" s="1127">
      <c r="B970" s="68" t="n"/>
      <c r="C970" s="531" t="inlineStr">
        <is>
          <t>Витамин +</t>
        </is>
      </c>
      <c r="D970" s="453" t="n"/>
      <c r="E970" s="524" t="n">
        <v>1200000</v>
      </c>
      <c r="F970" s="73" t="inlineStr">
        <is>
          <t xml:space="preserve">Оплачено </t>
        </is>
      </c>
    </row>
    <row r="971" ht="14.4" customHeight="1" s="1127">
      <c r="B971" s="68" t="n"/>
      <c r="C971" s="452" t="inlineStr">
        <is>
          <t>QAZAQ SAPA GROUP ТОО</t>
        </is>
      </c>
      <c r="E971" s="524" t="n">
        <v>980100</v>
      </c>
      <c r="F971" s="73" t="inlineStr">
        <is>
          <t xml:space="preserve">Оплачено </t>
        </is>
      </c>
    </row>
    <row r="972" ht="14.4" customHeight="1" s="1127">
      <c r="B972" s="68" t="n"/>
      <c r="C972" s="452" t="inlineStr">
        <is>
          <t>Сергей</t>
        </is>
      </c>
      <c r="D972" s="453" t="n"/>
      <c r="E972" s="524" t="n">
        <v>500000</v>
      </c>
      <c r="F972" s="73" t="inlineStr">
        <is>
          <t xml:space="preserve">Оплачено </t>
        </is>
      </c>
    </row>
    <row r="973" ht="14.4" customHeight="1" s="1127">
      <c r="B973" s="68" t="n"/>
      <c r="C973" s="531" t="n"/>
      <c r="D973" s="509" t="inlineStr">
        <is>
          <t>Итого:</t>
        </is>
      </c>
      <c r="E973" s="524">
        <f>SUM(E961:E972)</f>
        <v/>
      </c>
      <c r="F973" s="73" t="n"/>
    </row>
    <row r="974" ht="14.4" customHeight="1" s="1127">
      <c r="B974" s="528" t="n">
        <v>46164</v>
      </c>
      <c r="C974" s="505" t="inlineStr">
        <is>
          <t>Витамин+</t>
        </is>
      </c>
      <c r="D974" s="68" t="n"/>
      <c r="E974" s="524" t="n">
        <v>1500000</v>
      </c>
      <c r="F974" s="73" t="inlineStr">
        <is>
          <t xml:space="preserve">Оплачено </t>
        </is>
      </c>
    </row>
    <row r="975" ht="14.4" customHeight="1" s="1127">
      <c r="B975" s="68" t="n"/>
      <c r="C975" s="531" t="inlineStr">
        <is>
          <t>Сергей Логист</t>
        </is>
      </c>
      <c r="D975" s="68" t="n"/>
      <c r="E975" s="524" t="n">
        <v>1000000</v>
      </c>
      <c r="F975" s="73" t="inlineStr">
        <is>
          <t xml:space="preserve">Оплачено </t>
        </is>
      </c>
    </row>
    <row r="976" ht="14.4" customHeight="1" s="1127">
      <c r="B976" s="541" t="inlineStr">
        <is>
          <t>1 счет к оплате</t>
        </is>
      </c>
      <c r="C976" s="531" t="inlineStr">
        <is>
          <t>Food Company ТОО</t>
        </is>
      </c>
      <c r="D976" s="544" t="n"/>
      <c r="E976" s="524" t="n">
        <v>120960</v>
      </c>
      <c r="F976" s="73" t="inlineStr">
        <is>
          <t xml:space="preserve">Оплачено </t>
        </is>
      </c>
    </row>
    <row r="977" ht="14.4" customHeight="1" s="1127">
      <c r="B977" s="541" t="inlineStr">
        <is>
          <t>2 счет к оплате</t>
        </is>
      </c>
      <c r="C977" s="531" t="inlineStr">
        <is>
          <t>Food Company ТОО</t>
        </is>
      </c>
      <c r="D977" s="544" t="n"/>
      <c r="E977" s="524" t="n">
        <v>120960</v>
      </c>
      <c r="F977" s="73" t="inlineStr">
        <is>
          <t xml:space="preserve">Оплачено </t>
        </is>
      </c>
    </row>
    <row r="978" ht="14.4" customHeight="1" s="1127">
      <c r="B978" s="68" t="n"/>
      <c r="C978" s="531" t="n"/>
      <c r="D978" s="509" t="inlineStr">
        <is>
          <t>Итого:</t>
        </is>
      </c>
      <c r="E978" s="524">
        <f>SUM(E974:E977)</f>
        <v/>
      </c>
      <c r="F978" s="73" t="n"/>
    </row>
    <row r="979" ht="14.4" customHeight="1" s="1127">
      <c r="B979" s="528" t="n">
        <v>46167</v>
      </c>
      <c r="C979" s="531" t="inlineStr">
        <is>
          <t>Шымкентмай АО</t>
        </is>
      </c>
      <c r="D979" s="542" t="inlineStr">
        <is>
          <t>по предоплате</t>
        </is>
      </c>
      <c r="E979" s="524" t="n">
        <v>438000</v>
      </c>
      <c r="F979" s="73" t="inlineStr">
        <is>
          <t xml:space="preserve">Оплачено </t>
        </is>
      </c>
    </row>
    <row r="980" ht="14.4" customHeight="1" s="1127">
      <c r="B980" s="68" t="n"/>
      <c r="C980" s="531" t="inlineStr">
        <is>
          <t>CIS market ТОО</t>
        </is>
      </c>
      <c r="D980" s="542" t="inlineStr">
        <is>
          <t>на стопе</t>
        </is>
      </c>
      <c r="E980" s="524" t="n">
        <v>357000</v>
      </c>
      <c r="F980" s="73" t="inlineStr">
        <is>
          <t xml:space="preserve">Оплачено </t>
        </is>
      </c>
    </row>
    <row r="981" ht="14.4" customHeight="1" s="1127">
      <c r="B981" s="68" t="n"/>
      <c r="C981" s="531" t="inlineStr">
        <is>
          <t>Adolar Group ТОО</t>
        </is>
      </c>
      <c r="D981" s="542" t="n"/>
      <c r="E981" s="524" t="n">
        <v>1812536</v>
      </c>
      <c r="F981" s="73" t="inlineStr">
        <is>
          <t xml:space="preserve">Оплачено </t>
        </is>
      </c>
    </row>
    <row r="982" ht="14.4" customHeight="1" s="1127">
      <c r="B982" s="68" t="n"/>
      <c r="C982" s="531" t="inlineStr">
        <is>
          <t>Global Export Shipping ТОО</t>
        </is>
      </c>
      <c r="D982" s="542" t="n"/>
      <c r="E982" s="524" t="n">
        <v>200000</v>
      </c>
      <c r="F982" s="73" t="inlineStr">
        <is>
          <t xml:space="preserve">Оплачено </t>
        </is>
      </c>
    </row>
    <row r="983" ht="14.4" customHeight="1" s="1127">
      <c r="B983" s="68" t="n"/>
      <c r="C983" s="531" t="inlineStr">
        <is>
          <t>ИП Джазыкбаева (ранее Рай ИП)</t>
        </is>
      </c>
      <c r="D983" s="68" t="n"/>
      <c r="E983" s="524" t="n">
        <v>400000</v>
      </c>
      <c r="F983" s="73" t="inlineStr">
        <is>
          <t xml:space="preserve">Оплачено </t>
        </is>
      </c>
    </row>
    <row r="984" ht="14.4" customHeight="1" s="1127">
      <c r="B984" s="68" t="n"/>
      <c r="C984" s="531" t="inlineStr">
        <is>
          <t xml:space="preserve">Эрико ТОО </t>
        </is>
      </c>
      <c r="D984" s="542" t="inlineStr">
        <is>
          <t xml:space="preserve">по предоплате, остаток по счету </t>
        </is>
      </c>
      <c r="E984" s="524" t="n">
        <v>1030865</v>
      </c>
      <c r="F984" s="73" t="inlineStr">
        <is>
          <t xml:space="preserve">Оплачено </t>
        </is>
      </c>
    </row>
    <row r="985" ht="14.4" customHeight="1" s="1127">
      <c r="B985" s="68" t="n"/>
      <c r="C985" s="452" t="inlineStr">
        <is>
          <t>MPARGO ТОО</t>
        </is>
      </c>
      <c r="D985" s="542" t="inlineStr">
        <is>
          <t xml:space="preserve">по предоплате </t>
        </is>
      </c>
      <c r="E985" s="524" t="n">
        <v>114000</v>
      </c>
      <c r="F985" s="73" t="inlineStr">
        <is>
          <t xml:space="preserve">Оплачено </t>
        </is>
      </c>
    </row>
    <row r="986" ht="14.4" customHeight="1" s="1127">
      <c r="B986" s="68" t="n"/>
      <c r="C986" s="531" t="inlineStr">
        <is>
          <t>Art Food ИП</t>
        </is>
      </c>
      <c r="D986" s="542" t="inlineStr">
        <is>
          <t>на стопе</t>
        </is>
      </c>
      <c r="E986" s="524" t="n">
        <v>200000</v>
      </c>
      <c r="F986" s="73" t="inlineStr">
        <is>
          <t xml:space="preserve">Оплачено </t>
        </is>
      </c>
    </row>
    <row r="987" ht="14.4" customHeight="1" s="1127">
      <c r="B987" s="68" t="n"/>
      <c r="C987" s="531" t="inlineStr">
        <is>
          <t>Champello</t>
        </is>
      </c>
      <c r="D987" s="542" t="inlineStr">
        <is>
          <t>на стопе</t>
        </is>
      </c>
      <c r="E987" s="524" t="n">
        <v>250000</v>
      </c>
      <c r="F987" s="73" t="inlineStr">
        <is>
          <t xml:space="preserve">Оплачено </t>
        </is>
      </c>
    </row>
    <row r="988" ht="14.4" customHeight="1" s="1127">
      <c r="B988" s="68" t="n"/>
      <c r="C988" s="452" t="inlineStr">
        <is>
          <t>ПРОТЭК-АЛМАТЫ ТОО</t>
        </is>
      </c>
      <c r="D988" s="542" t="inlineStr">
        <is>
          <t>на стопе</t>
        </is>
      </c>
      <c r="E988" s="524" t="n">
        <v>1436642</v>
      </c>
      <c r="F988" s="73" t="inlineStr">
        <is>
          <t xml:space="preserve">Оплачено </t>
        </is>
      </c>
    </row>
    <row r="989" ht="14.4" customHeight="1" s="1127">
      <c r="B989" s="68" t="n"/>
      <c r="C989" s="531" t="inlineStr">
        <is>
          <t>Armansu ТОО</t>
        </is>
      </c>
      <c r="D989" s="542" t="inlineStr">
        <is>
          <t xml:space="preserve">по предоплате </t>
        </is>
      </c>
      <c r="E989" s="524" t="n">
        <v>110000</v>
      </c>
      <c r="F989" s="73" t="inlineStr">
        <is>
          <t xml:space="preserve">Оплачено </t>
        </is>
      </c>
    </row>
    <row r="990" ht="14.4" customHeight="1" s="1127">
      <c r="B990" s="68" t="n"/>
      <c r="C990" s="531" t="inlineStr">
        <is>
          <t>Frozen Fruit ТОО</t>
        </is>
      </c>
      <c r="D990" s="542" t="inlineStr">
        <is>
          <t xml:space="preserve">на стопе </t>
        </is>
      </c>
      <c r="E990" s="524" t="n">
        <v>800000</v>
      </c>
      <c r="F990" s="73" t="inlineStr">
        <is>
          <t xml:space="preserve">Оплачено </t>
        </is>
      </c>
    </row>
    <row r="991" ht="14.4" customHeight="1" s="1127">
      <c r="B991" s="68" t="n"/>
      <c r="C991" s="505" t="inlineStr">
        <is>
          <t>Фудтехника ТОО</t>
        </is>
      </c>
      <c r="D991" s="542" t="inlineStr">
        <is>
          <t xml:space="preserve">на стопе </t>
        </is>
      </c>
      <c r="E991" s="524" t="n">
        <v>1000000</v>
      </c>
      <c r="F991" s="73" t="inlineStr">
        <is>
          <t xml:space="preserve">Оплачено </t>
        </is>
      </c>
    </row>
    <row r="992" ht="14.4" customHeight="1" s="1127">
      <c r="B992" s="68" t="n"/>
      <c r="C992" s="452" t="inlineStr">
        <is>
          <t>Глобал Фуд ТОО</t>
        </is>
      </c>
      <c r="D992" s="542" t="n"/>
      <c r="E992" s="524" t="n">
        <v>500000</v>
      </c>
      <c r="F992" s="73" t="inlineStr">
        <is>
          <t xml:space="preserve">Оплачено </t>
        </is>
      </c>
    </row>
    <row r="993" ht="14.4" customHeight="1" s="1127">
      <c r="B993" s="68" t="n"/>
      <c r="C993" s="531" t="inlineStr">
        <is>
          <t>Fresh Frozen ТОО</t>
        </is>
      </c>
      <c r="D993" s="542" t="n"/>
      <c r="E993" s="524" t="n">
        <v>600000</v>
      </c>
      <c r="F993" s="73" t="inlineStr">
        <is>
          <t xml:space="preserve">Оплачено </t>
        </is>
      </c>
    </row>
    <row r="994" ht="14.4" customHeight="1" s="1127">
      <c r="B994" s="68" t="n"/>
      <c r="C994" s="505" t="inlineStr">
        <is>
          <t>AYALA TRADE TOO</t>
        </is>
      </c>
      <c r="D994" s="453" t="inlineStr">
        <is>
          <t xml:space="preserve">по предоплате </t>
        </is>
      </c>
      <c r="E994" s="524" t="n">
        <v>400000</v>
      </c>
      <c r="F994" s="73" t="inlineStr">
        <is>
          <t xml:space="preserve">Оплачено </t>
        </is>
      </c>
    </row>
    <row r="995" ht="14.4" customHeight="1" s="1127">
      <c r="B995" s="68" t="n"/>
      <c r="C995" s="505" t="inlineStr">
        <is>
          <t>ИХСАН ТЕХНОГАЗ ТОО</t>
        </is>
      </c>
      <c r="D995" s="453" t="inlineStr">
        <is>
          <t xml:space="preserve">по предоплате </t>
        </is>
      </c>
      <c r="E995" s="524" t="n">
        <v>300000</v>
      </c>
      <c r="F995" s="73" t="inlineStr">
        <is>
          <t xml:space="preserve">Оплачено </t>
        </is>
      </c>
    </row>
    <row r="996" ht="14.4" customHeight="1" s="1127">
      <c r="B996" s="68" t="n"/>
      <c r="C996" s="531" t="inlineStr">
        <is>
          <t>Инарин ТОО</t>
        </is>
      </c>
      <c r="D996" s="453" t="inlineStr">
        <is>
          <t>на стопе</t>
        </is>
      </c>
      <c r="E996" s="524" t="n">
        <v>100000</v>
      </c>
      <c r="F996" s="73" t="inlineStr">
        <is>
          <t xml:space="preserve">Оплачено </t>
        </is>
      </c>
    </row>
    <row r="997" ht="14.4" customHeight="1" s="1127">
      <c r="B997" s="68" t="n"/>
      <c r="C997" s="531" t="inlineStr">
        <is>
          <t>Евро Фуд КЗ</t>
        </is>
      </c>
      <c r="D997" s="453" t="inlineStr">
        <is>
          <t xml:space="preserve">по предоплате </t>
        </is>
      </c>
      <c r="E997" s="524" t="n">
        <v>93600</v>
      </c>
      <c r="F997" s="73" t="inlineStr">
        <is>
          <t xml:space="preserve">Оплачено </t>
        </is>
      </c>
    </row>
    <row r="998" ht="14.4" customHeight="1" s="1127">
      <c r="B998" s="68" t="n"/>
      <c r="C998" s="531" t="inlineStr">
        <is>
          <t>Sweet Trade ИП</t>
        </is>
      </c>
      <c r="D998" s="542" t="inlineStr">
        <is>
          <t xml:space="preserve">остаток, долг </t>
        </is>
      </c>
      <c r="E998" s="524" t="n">
        <v>26600</v>
      </c>
      <c r="F998" s="73" t="inlineStr">
        <is>
          <t xml:space="preserve">Оплачено </t>
        </is>
      </c>
    </row>
    <row r="999" ht="14.4" customHeight="1" s="1127">
      <c r="B999" s="68" t="n"/>
      <c r="C999" s="505" t="inlineStr">
        <is>
          <t>KazBeef Processing (КазБиф Процессинг) ТОО</t>
        </is>
      </c>
      <c r="D999" s="453" t="inlineStr">
        <is>
          <t>на основании ГП</t>
        </is>
      </c>
      <c r="E999" s="524" t="n">
        <v>1000000</v>
      </c>
      <c r="F999" s="73" t="inlineStr">
        <is>
          <t xml:space="preserve">Оплачено </t>
        </is>
      </c>
    </row>
    <row r="1000" ht="14.4" customHeight="1" s="1127">
      <c r="B1000" s="68" t="n"/>
      <c r="C1000" s="452" t="inlineStr">
        <is>
          <t>Berry Company ТОО</t>
        </is>
      </c>
      <c r="D1000" s="542" t="inlineStr">
        <is>
          <t>на стопе</t>
        </is>
      </c>
      <c r="E1000" s="524" t="n">
        <v>500000</v>
      </c>
      <c r="F1000" s="73" t="inlineStr">
        <is>
          <t xml:space="preserve">Оплачено </t>
        </is>
      </c>
    </row>
    <row r="1001" ht="14.4" customHeight="1" s="1127">
      <c r="B1001" s="68" t="n"/>
      <c r="C1001" s="452" t="inlineStr">
        <is>
          <t>Medhelp ИП</t>
        </is>
      </c>
      <c r="D1001" s="542" t="n"/>
      <c r="E1001" s="524" t="n">
        <v>100000</v>
      </c>
      <c r="F1001" s="73" t="inlineStr">
        <is>
          <t xml:space="preserve">Оплачено </t>
        </is>
      </c>
    </row>
    <row r="1002" ht="14.4" customHeight="1" s="1127">
      <c r="B1002" s="68" t="n"/>
      <c r="C1002" s="531" t="inlineStr">
        <is>
          <t>Компания В</t>
        </is>
      </c>
      <c r="D1002" s="542" t="inlineStr">
        <is>
          <t xml:space="preserve">по предоплате </t>
        </is>
      </c>
      <c r="E1002" s="524" t="n">
        <v>1000000</v>
      </c>
      <c r="F1002" s="73" t="inlineStr">
        <is>
          <t xml:space="preserve">Оплачено </t>
        </is>
      </c>
    </row>
    <row r="1003" ht="14.4" customHeight="1" s="1127">
      <c r="B1003" s="68" t="n"/>
      <c r="C1003" s="531" t="inlineStr">
        <is>
          <t>Global Halal Food ТОО</t>
        </is>
      </c>
      <c r="D1003" s="542" t="inlineStr">
        <is>
          <t>на стопе</t>
        </is>
      </c>
      <c r="E1003" s="524" t="n">
        <v>667534</v>
      </c>
      <c r="F1003" s="73" t="inlineStr">
        <is>
          <t xml:space="preserve">Оплачено </t>
        </is>
      </c>
    </row>
    <row r="1004" ht="14.4" customHeight="1" s="1127">
      <c r="B1004" s="68" t="n"/>
      <c r="C1004" s="531" t="inlineStr">
        <is>
          <t>Орими СА ТОО</t>
        </is>
      </c>
      <c r="D1004" s="453" t="inlineStr">
        <is>
          <t xml:space="preserve">по предоплате </t>
        </is>
      </c>
      <c r="E1004" s="524" t="n">
        <v>110880</v>
      </c>
      <c r="F1004" s="73" t="inlineStr">
        <is>
          <t xml:space="preserve">Оплачено </t>
        </is>
      </c>
    </row>
    <row r="1005" ht="14.4" customHeight="1" s="1127">
      <c r="B1005" s="68" t="n"/>
      <c r="C1005" s="531" t="inlineStr">
        <is>
          <t>КазЕвроСпецСнаб</t>
        </is>
      </c>
      <c r="D1005" s="453" t="inlineStr">
        <is>
          <t xml:space="preserve">по предоплате </t>
        </is>
      </c>
      <c r="E1005" s="524" t="n">
        <v>60000</v>
      </c>
      <c r="F1005" s="73" t="inlineStr">
        <is>
          <t xml:space="preserve">Оплачено </t>
        </is>
      </c>
    </row>
    <row r="1006" ht="14.4" customHeight="1" s="1127">
      <c r="B1006" s="68" t="n"/>
      <c r="C1006" s="531" t="inlineStr">
        <is>
          <t>QAZAQ SAPA GROUP ТОО</t>
        </is>
      </c>
      <c r="D1006" s="544" t="n"/>
      <c r="E1006" s="524" t="n">
        <v>500000</v>
      </c>
      <c r="F1006" s="73" t="inlineStr">
        <is>
          <t xml:space="preserve">Оплачено </t>
        </is>
      </c>
    </row>
    <row r="1007" ht="14.4" customHeight="1" s="1127">
      <c r="B1007" s="68" t="n"/>
      <c r="C1007" s="531" t="inlineStr">
        <is>
          <t>Viki-Kazakhstan ТОО</t>
        </is>
      </c>
      <c r="D1007" s="453" t="inlineStr">
        <is>
          <t>на стопе</t>
        </is>
      </c>
      <c r="E1007" s="524" t="n">
        <v>1000000</v>
      </c>
      <c r="F1007" s="73" t="inlineStr">
        <is>
          <t xml:space="preserve">Оплачено </t>
        </is>
      </c>
    </row>
    <row r="1008" ht="14.4" customHeight="1" s="1127">
      <c r="B1008" s="68" t="n"/>
      <c r="C1008" s="505" t="inlineStr">
        <is>
          <t>Витамин+</t>
        </is>
      </c>
      <c r="D1008" s="524" t="n"/>
      <c r="E1008" s="524" t="n">
        <v>500000</v>
      </c>
      <c r="F1008" s="73" t="inlineStr">
        <is>
          <t xml:space="preserve">Оплачено </t>
        </is>
      </c>
    </row>
    <row r="1009" ht="14.4" customHeight="1" s="1127">
      <c r="B1009" s="68" t="n"/>
      <c r="C1009" s="452" t="inlineStr">
        <is>
          <t>Сергей логист</t>
        </is>
      </c>
      <c r="D1009" s="542" t="n"/>
      <c r="E1009" s="524" t="n">
        <v>1000000</v>
      </c>
      <c r="F1009" s="73" t="inlineStr">
        <is>
          <t xml:space="preserve">Оплачено </t>
        </is>
      </c>
    </row>
    <row r="1010" ht="14.4" customHeight="1" s="1127">
      <c r="B1010" s="68" t="n"/>
      <c r="C1010" s="452" t="n"/>
      <c r="D1010" s="509" t="inlineStr">
        <is>
          <t>Итого:</t>
        </is>
      </c>
      <c r="E1010" s="524">
        <f>SUM(E979:E1009)</f>
        <v/>
      </c>
      <c r="F1010" s="73" t="n"/>
    </row>
    <row r="1011" ht="14.4" customHeight="1" s="1127">
      <c r="B1011" s="528" t="n">
        <v>46168</v>
      </c>
      <c r="C1011" s="531" t="inlineStr">
        <is>
          <t>ТОО Flame group</t>
        </is>
      </c>
      <c r="D1011" s="542" t="n"/>
      <c r="E1011" s="524" t="n">
        <v>958000</v>
      </c>
      <c r="F1011" s="73" t="inlineStr">
        <is>
          <t xml:space="preserve">Оплачено </t>
        </is>
      </c>
    </row>
    <row r="1012" ht="14.4" customHeight="1" s="1127">
      <c r="B1012" s="68" t="n"/>
      <c r="C1012" s="531" t="n"/>
      <c r="D1012" s="509" t="inlineStr">
        <is>
          <t>Итого:</t>
        </is>
      </c>
      <c r="E1012" s="524">
        <f>SUM(E1011)</f>
        <v/>
      </c>
      <c r="F1012" s="73" t="n"/>
    </row>
    <row r="1013" ht="14.4" customHeight="1" s="1127">
      <c r="B1013" s="528" t="n">
        <v>46168</v>
      </c>
      <c r="C1013" s="531" t="inlineStr">
        <is>
          <t>ИРМАС ЛТД ТОО</t>
        </is>
      </c>
      <c r="D1013" s="542" t="n"/>
      <c r="E1013" s="524" t="n">
        <v>300000</v>
      </c>
      <c r="F1013" s="73" t="inlineStr">
        <is>
          <t xml:space="preserve">Оплачено </t>
        </is>
      </c>
    </row>
    <row r="1014" ht="14.4" customHeight="1" s="1127">
      <c r="B1014" s="68" t="n"/>
      <c r="C1014" s="452" t="inlineStr">
        <is>
          <t>Dina Sauda Almaty ТОО</t>
        </is>
      </c>
      <c r="D1014" s="542" t="n"/>
      <c r="E1014" s="524" t="n">
        <v>19200</v>
      </c>
      <c r="F1014" s="73" t="inlineStr">
        <is>
          <t xml:space="preserve">Оплачено </t>
        </is>
      </c>
    </row>
    <row r="1015" ht="14.4" customHeight="1" s="1127">
      <c r="B1015" s="68" t="n"/>
      <c r="C1015" s="505" t="inlineStr">
        <is>
          <t>Мир Кондитера ИП</t>
        </is>
      </c>
      <c r="D1015" s="68" t="n"/>
      <c r="E1015" s="524" t="n">
        <v>300000</v>
      </c>
      <c r="F1015" s="73" t="inlineStr">
        <is>
          <t xml:space="preserve">Оплачено </t>
        </is>
      </c>
    </row>
    <row r="1016" ht="14.4" customHeight="1" s="1127">
      <c r="B1016" s="68" t="n"/>
      <c r="C1016" s="505" t="inlineStr">
        <is>
          <t>IntellPack Емельянов ИП</t>
        </is>
      </c>
      <c r="D1016" s="453" t="n"/>
      <c r="E1016" s="524" t="n">
        <v>200000</v>
      </c>
      <c r="F1016" s="73" t="inlineStr">
        <is>
          <t xml:space="preserve">Оплачено </t>
        </is>
      </c>
    </row>
    <row r="1017" ht="14.4" customHeight="1" s="1127">
      <c r="B1017" s="68" t="n"/>
      <c r="C1017" s="531" t="inlineStr">
        <is>
          <t>SWEEZARD ТОО</t>
        </is>
      </c>
      <c r="D1017" s="453" t="n"/>
      <c r="E1017" s="524" t="n">
        <v>500000</v>
      </c>
      <c r="F1017" s="73" t="inlineStr">
        <is>
          <t xml:space="preserve">Оплачено </t>
        </is>
      </c>
    </row>
    <row r="1018" ht="14.4" customHeight="1" s="1127">
      <c r="B1018" s="68" t="n"/>
      <c r="C1018" s="531" t="inlineStr">
        <is>
          <t>Acvee market ТОО</t>
        </is>
      </c>
      <c r="D1018" s="68" t="n"/>
      <c r="E1018" s="524" t="n">
        <v>100000</v>
      </c>
      <c r="F1018" s="73" t="inlineStr">
        <is>
          <t xml:space="preserve">Оплачено </t>
        </is>
      </c>
    </row>
    <row r="1019" ht="14.4" customHeight="1" s="1127">
      <c r="B1019" s="68" t="n"/>
      <c r="C1019" s="531" t="inlineStr">
        <is>
          <t>ДЕЛЬТА-Х ТОО</t>
        </is>
      </c>
      <c r="D1019" s="542" t="n"/>
      <c r="E1019" s="524" t="n">
        <v>200000</v>
      </c>
      <c r="F1019" s="73" t="inlineStr">
        <is>
          <t xml:space="preserve">Оплачено </t>
        </is>
      </c>
    </row>
    <row r="1020" ht="14.4" customHeight="1" s="1127">
      <c r="B1020" s="68" t="n"/>
      <c r="C1020" s="505" t="inlineStr">
        <is>
          <t>Элита-Трейд ТОО</t>
        </is>
      </c>
      <c r="D1020" s="542" t="n"/>
      <c r="E1020" s="524" t="n">
        <v>500000</v>
      </c>
      <c r="F1020" s="73" t="inlineStr">
        <is>
          <t xml:space="preserve">Оплачено </t>
        </is>
      </c>
    </row>
    <row r="1021" ht="14.4" customHeight="1" s="1127">
      <c r="B1021" s="68" t="n"/>
      <c r="C1021" s="505" t="inlineStr">
        <is>
          <t>Handy Yummy ИП</t>
        </is>
      </c>
      <c r="D1021" s="542" t="n"/>
      <c r="E1021" s="524" t="n">
        <v>1500000</v>
      </c>
      <c r="F1021" s="73" t="inlineStr">
        <is>
          <t xml:space="preserve">Оплачено </t>
        </is>
      </c>
    </row>
    <row r="1022" ht="14.4" customHeight="1" s="1127">
      <c r="B1022" s="68" t="n"/>
      <c r="C1022" s="505" t="inlineStr">
        <is>
          <t>Казойл Продакшн А ТОО</t>
        </is>
      </c>
      <c r="D1022" s="542" t="n"/>
      <c r="E1022" s="524" t="n">
        <v>700000</v>
      </c>
      <c r="F1022" s="73" t="inlineStr">
        <is>
          <t xml:space="preserve">Оплачено </t>
        </is>
      </c>
    </row>
    <row r="1023" ht="14.4" customHeight="1" s="1127">
      <c r="B1023" s="68" t="n"/>
      <c r="C1023" s="452" t="inlineStr">
        <is>
          <t>КазАгроПромТрейд ТОО</t>
        </is>
      </c>
      <c r="D1023" s="542" t="n"/>
      <c r="E1023" s="524" t="n">
        <v>377000</v>
      </c>
      <c r="F1023" s="73" t="inlineStr">
        <is>
          <t xml:space="preserve">Оплачено </t>
        </is>
      </c>
    </row>
    <row r="1024" ht="14.4" customHeight="1" s="1127">
      <c r="B1024" s="68" t="n"/>
      <c r="C1024" s="531" t="inlineStr">
        <is>
          <t>Taisa ТОО</t>
        </is>
      </c>
      <c r="D1024" s="542" t="n"/>
      <c r="E1024" s="524" t="n">
        <v>98800</v>
      </c>
      <c r="F1024" s="73" t="inlineStr">
        <is>
          <t xml:space="preserve">Оплачено </t>
        </is>
      </c>
    </row>
    <row r="1025" ht="14.4" customHeight="1" s="1127">
      <c r="B1025" s="68" t="n"/>
      <c r="C1025" s="531" t="inlineStr">
        <is>
          <t>TOIMART TOO</t>
        </is>
      </c>
      <c r="D1025" s="542" t="n"/>
      <c r="E1025" s="524" t="n">
        <v>800000</v>
      </c>
      <c r="F1025" s="73" t="inlineStr">
        <is>
          <t xml:space="preserve">Оплачено </t>
        </is>
      </c>
    </row>
    <row r="1026" ht="14.4" customHeight="1" s="1127">
      <c r="B1026" s="68" t="n"/>
      <c r="C1026" s="452" t="inlineStr">
        <is>
          <t>StroyLux ТОО</t>
        </is>
      </c>
      <c r="D1026" s="542" t="n"/>
      <c r="E1026" s="524" t="n">
        <v>400000</v>
      </c>
      <c r="F1026" s="73" t="inlineStr">
        <is>
          <t xml:space="preserve">Оплачено </t>
        </is>
      </c>
    </row>
    <row r="1027" ht="14.4" customHeight="1" s="1127">
      <c r="B1027" s="68" t="n"/>
      <c r="C1027" s="452" t="inlineStr">
        <is>
          <t>Almaty Develop STM ТОО</t>
        </is>
      </c>
      <c r="D1027" s="542" t="n"/>
      <c r="E1027" s="524" t="n">
        <v>400000</v>
      </c>
      <c r="F1027" s="73" t="inlineStr">
        <is>
          <t xml:space="preserve">Оплачено </t>
        </is>
      </c>
    </row>
    <row r="1028" ht="14.4" customHeight="1" s="1127">
      <c r="B1028" s="68" t="n"/>
      <c r="C1028" s="531" t="inlineStr">
        <is>
          <t>Овощи Касым</t>
        </is>
      </c>
      <c r="D1028" s="453" t="n"/>
      <c r="E1028" s="524" t="n">
        <v>800000</v>
      </c>
      <c r="F1028" s="73" t="inlineStr">
        <is>
          <t xml:space="preserve">Оплачено </t>
        </is>
      </c>
    </row>
    <row r="1029" ht="14.4" customHeight="1" s="1127">
      <c r="B1029" s="68" t="n"/>
      <c r="C1029" s="505" t="inlineStr">
        <is>
          <t>Утемисов Б К ИП</t>
        </is>
      </c>
      <c r="D1029" s="542" t="n"/>
      <c r="E1029" s="524" t="n">
        <v>200000</v>
      </c>
      <c r="F1029" s="73" t="inlineStr">
        <is>
          <t xml:space="preserve">Оплачено </t>
        </is>
      </c>
    </row>
    <row r="1030" ht="14.4" customHeight="1" s="1127">
      <c r="B1030" s="68" t="n"/>
      <c r="C1030" s="531" t="inlineStr">
        <is>
          <t>CAMPANINI ТОО</t>
        </is>
      </c>
      <c r="D1030" s="542" t="n"/>
      <c r="E1030" s="524" t="n">
        <v>160000</v>
      </c>
      <c r="F1030" s="73" t="inlineStr">
        <is>
          <t xml:space="preserve">Оплачено </t>
        </is>
      </c>
    </row>
    <row r="1031" ht="14.4" customHeight="1" s="1127">
      <c r="B1031" s="68" t="n"/>
      <c r="C1031" s="531" t="inlineStr">
        <is>
          <t>RB Brands ТОО</t>
        </is>
      </c>
      <c r="D1031" s="544" t="n"/>
      <c r="E1031" s="524" t="n">
        <v>300000</v>
      </c>
      <c r="F1031" s="73" t="inlineStr">
        <is>
          <t xml:space="preserve">Оплачено </t>
        </is>
      </c>
    </row>
    <row r="1032" ht="14.4" customHeight="1" s="1127">
      <c r="B1032" s="68" t="n"/>
      <c r="C1032" s="531" t="inlineStr">
        <is>
          <t>Гоша Succes овощи Айкоркем ИП</t>
        </is>
      </c>
      <c r="D1032" s="68" t="n"/>
      <c r="E1032" s="524" t="n">
        <v>500000</v>
      </c>
      <c r="F1032" s="73" t="inlineStr">
        <is>
          <t xml:space="preserve">Оплачено </t>
        </is>
      </c>
    </row>
    <row r="1033" ht="14.4" customHeight="1" s="1127">
      <c r="B1033" s="68" t="n"/>
      <c r="C1033" s="531" t="n"/>
      <c r="D1033" s="509" t="inlineStr">
        <is>
          <t>Итого:</t>
        </is>
      </c>
      <c r="E1033" s="524">
        <f>SUM(E1013:E1032)</f>
        <v/>
      </c>
      <c r="F1033" s="73" t="n"/>
    </row>
    <row r="1034" ht="14.4" customHeight="1" s="1127">
      <c r="B1034" s="528" t="n">
        <v>46169</v>
      </c>
      <c r="C1034" s="531" t="inlineStr">
        <is>
          <t>Сергей логист</t>
        </is>
      </c>
      <c r="D1034" s="453" t="n"/>
      <c r="E1034" s="524" t="n">
        <v>1500000</v>
      </c>
      <c r="F1034" s="73" t="inlineStr">
        <is>
          <t xml:space="preserve">Оплачено </t>
        </is>
      </c>
    </row>
    <row r="1035" ht="14.4" customHeight="1" s="1127">
      <c r="B1035" s="68" t="n"/>
      <c r="C1035" s="531" t="n"/>
      <c r="D1035" s="509" t="inlineStr">
        <is>
          <t>Итого:</t>
        </is>
      </c>
      <c r="E1035" s="524">
        <f>SUM(E1034)</f>
        <v/>
      </c>
      <c r="F1035" s="73" t="n"/>
    </row>
    <row r="1036" ht="14.4" customHeight="1" s="1127">
      <c r="B1036" s="528" t="n">
        <v>46170</v>
      </c>
      <c r="C1036" s="531" t="inlineStr">
        <is>
          <t>Витамин+</t>
        </is>
      </c>
      <c r="D1036" s="453" t="n"/>
      <c r="E1036" s="524" t="n">
        <v>1000000</v>
      </c>
      <c r="F1036" s="73" t="inlineStr">
        <is>
          <t xml:space="preserve">Оплачено </t>
        </is>
      </c>
    </row>
    <row r="1037" ht="14.4" customHeight="1" s="1127">
      <c r="B1037" s="68" t="n"/>
      <c r="C1037" s="452" t="inlineStr">
        <is>
          <t>ПРОТЭК</t>
        </is>
      </c>
      <c r="D1037" s="453" t="inlineStr">
        <is>
          <t>на стопе</t>
        </is>
      </c>
      <c r="E1037" s="524" t="n">
        <v>1000000</v>
      </c>
      <c r="F1037" s="73" t="inlineStr">
        <is>
          <t xml:space="preserve">Оплачено </t>
        </is>
      </c>
    </row>
    <row r="1038" ht="14.4" customHeight="1" s="1127">
      <c r="B1038" s="68" t="n"/>
      <c r="C1038" s="531" t="n"/>
      <c r="D1038" s="509" t="inlineStr">
        <is>
          <t>Итого:</t>
        </is>
      </c>
      <c r="E1038" s="524">
        <f>SUM(E1036:E1037)</f>
        <v/>
      </c>
      <c r="F1038" s="73" t="n"/>
    </row>
    <row r="1039" ht="14.4" customHeight="1" s="1127">
      <c r="B1039" s="528" t="n">
        <v>46170</v>
      </c>
      <c r="C1039" s="531" t="inlineStr">
        <is>
          <t>ТОО Flame group</t>
        </is>
      </c>
      <c r="D1039" s="453" t="inlineStr">
        <is>
          <t xml:space="preserve">остаток по предоплате </t>
        </is>
      </c>
      <c r="E1039" s="524" t="n">
        <v>95800</v>
      </c>
      <c r="F1039" s="73" t="inlineStr">
        <is>
          <t xml:space="preserve">Оплачено </t>
        </is>
      </c>
    </row>
    <row r="1040" ht="14.4" customHeight="1" s="1127">
      <c r="B1040" s="68" t="n"/>
      <c r="C1040" s="531" t="inlineStr">
        <is>
          <t>Компания Натур Продукт ТОО</t>
        </is>
      </c>
      <c r="D1040" s="544" t="n"/>
      <c r="E1040" s="524" t="n">
        <v>399040</v>
      </c>
      <c r="F1040" s="73" t="inlineStr">
        <is>
          <t xml:space="preserve">Оплачено </t>
        </is>
      </c>
    </row>
    <row r="1041" ht="14.4" customHeight="1" s="1127">
      <c r="B1041" s="68" t="n"/>
      <c r="C1041" s="531" t="inlineStr">
        <is>
          <t>Бест импорт ТОО</t>
        </is>
      </c>
      <c r="D1041" s="542" t="inlineStr">
        <is>
          <t>по ГП</t>
        </is>
      </c>
      <c r="E1041" s="524" t="n">
        <v>700000</v>
      </c>
      <c r="F1041" s="73" t="inlineStr">
        <is>
          <t xml:space="preserve">Оплачено </t>
        </is>
      </c>
    </row>
    <row r="1042" ht="14.4" customHeight="1" s="1127">
      <c r="B1042" s="68" t="n"/>
      <c r="C1042" s="531" t="inlineStr">
        <is>
          <t>ФудМаркет ТОО</t>
        </is>
      </c>
      <c r="D1042" s="453" t="inlineStr">
        <is>
          <t xml:space="preserve">по предоплате </t>
        </is>
      </c>
      <c r="E1042" s="524" t="n">
        <v>141600</v>
      </c>
      <c r="F1042" s="73" t="inlineStr">
        <is>
          <t xml:space="preserve">Оплачено </t>
        </is>
      </c>
    </row>
    <row r="1043" ht="14.4" customHeight="1" s="1127">
      <c r="B1043" s="68" t="n"/>
      <c r="C1043" s="452" t="inlineStr">
        <is>
          <t>Viki-Kazakhstan ТОО</t>
        </is>
      </c>
      <c r="D1043" s="542" t="inlineStr">
        <is>
          <t>по ГП</t>
        </is>
      </c>
      <c r="E1043" s="524" t="n">
        <v>542380</v>
      </c>
      <c r="F1043" s="73" t="inlineStr">
        <is>
          <t xml:space="preserve">Оплачено </t>
        </is>
      </c>
    </row>
    <row r="1044" ht="14.4" customHeight="1" s="1127">
      <c r="B1044" s="68" t="n"/>
      <c r="C1044" s="452" t="inlineStr">
        <is>
          <t>KazBeef Processing (КазБиф Процессинг) ТОО</t>
        </is>
      </c>
      <c r="D1044" s="542" t="inlineStr">
        <is>
          <t>по ГП</t>
        </is>
      </c>
      <c r="E1044" s="524" t="n">
        <v>1000000</v>
      </c>
      <c r="F1044" s="73" t="inlineStr">
        <is>
          <t xml:space="preserve">Оплачено </t>
        </is>
      </c>
    </row>
    <row r="1045" ht="14.4" customHeight="1" s="1127">
      <c r="B1045" s="68" t="n"/>
      <c r="C1045" s="531" t="inlineStr">
        <is>
          <t>Ирбис соусы,грибы</t>
        </is>
      </c>
      <c r="D1045" s="453" t="inlineStr">
        <is>
          <t>на стопе</t>
        </is>
      </c>
      <c r="E1045" s="524" t="n">
        <v>36815</v>
      </c>
      <c r="F1045" s="73" t="inlineStr">
        <is>
          <t xml:space="preserve">Оплачено </t>
        </is>
      </c>
    </row>
    <row r="1046" ht="14.4" customHeight="1" s="1127">
      <c r="B1046" s="68" t="n"/>
      <c r="C1046" s="531" t="inlineStr">
        <is>
          <t>Шымкентмай АО</t>
        </is>
      </c>
      <c r="D1046" s="542" t="inlineStr">
        <is>
          <t>по предоплате</t>
        </is>
      </c>
      <c r="E1046" s="524" t="n">
        <v>438000</v>
      </c>
      <c r="F1046" s="73" t="inlineStr">
        <is>
          <t xml:space="preserve">Оплачено </t>
        </is>
      </c>
    </row>
    <row r="1047" ht="14.4" customHeight="1" s="1127">
      <c r="B1047" s="68" t="n"/>
      <c r="C1047" s="505" t="inlineStr">
        <is>
          <t>Первомайские Деликатесы ТОО</t>
        </is>
      </c>
      <c r="D1047" s="542" t="n"/>
      <c r="E1047" s="524" t="n">
        <v>800000</v>
      </c>
      <c r="F1047" s="73" t="inlineStr">
        <is>
          <t xml:space="preserve">Оплачено </t>
        </is>
      </c>
    </row>
    <row r="1048" ht="14.4" customHeight="1" s="1127">
      <c r="B1048" s="68" t="n"/>
      <c r="C1048" s="531" t="inlineStr">
        <is>
          <t>Витамин+</t>
        </is>
      </c>
      <c r="D1048" s="453" t="n"/>
      <c r="E1048" s="524" t="n">
        <v>457140</v>
      </c>
      <c r="F1048" s="73" t="inlineStr">
        <is>
          <t xml:space="preserve">Оплачено </t>
        </is>
      </c>
    </row>
    <row r="1049" ht="14.4" customHeight="1" s="1127">
      <c r="B1049" s="529" t="n"/>
      <c r="C1049" s="452" t="inlineStr">
        <is>
          <t>Казоил Продакшн</t>
        </is>
      </c>
      <c r="D1049" s="68" t="n"/>
      <c r="E1049" s="524" t="n">
        <v>500000</v>
      </c>
      <c r="F1049" s="73" t="inlineStr">
        <is>
          <t xml:space="preserve">Оплачено </t>
        </is>
      </c>
    </row>
    <row r="1050" ht="14.4" customHeight="1" s="1127">
      <c r="B1050" s="68" t="n"/>
      <c r="C1050" s="531" t="inlineStr">
        <is>
          <t>Food Company ТОО</t>
        </is>
      </c>
      <c r="D1050" s="542" t="inlineStr">
        <is>
          <t>по предоплате</t>
        </is>
      </c>
      <c r="E1050" s="524" t="n">
        <v>123000</v>
      </c>
      <c r="F1050" s="73" t="inlineStr">
        <is>
          <t xml:space="preserve">Оплачено </t>
        </is>
      </c>
    </row>
    <row r="1051" ht="14.4" customHeight="1" s="1127">
      <c r="B1051" s="68" t="n"/>
      <c r="C1051" s="531" t="inlineStr">
        <is>
          <t>Лейпурин ТОО</t>
        </is>
      </c>
      <c r="D1051" s="453" t="n"/>
      <c r="E1051" s="524" t="n">
        <v>63550</v>
      </c>
      <c r="F1051" s="73" t="inlineStr">
        <is>
          <t xml:space="preserve">Оплачено </t>
        </is>
      </c>
    </row>
    <row r="1052" ht="14.4" customHeight="1" s="1127">
      <c r="B1052" s="68" t="n"/>
      <c r="C1052" s="531" t="inlineStr">
        <is>
          <t>Champello ТОО</t>
        </is>
      </c>
      <c r="D1052" s="544" t="n"/>
      <c r="E1052" s="524" t="n">
        <v>126800</v>
      </c>
      <c r="F1052" s="73" t="inlineStr">
        <is>
          <t xml:space="preserve">Оплачено </t>
        </is>
      </c>
    </row>
    <row r="1053" ht="14.4" customHeight="1" s="1127">
      <c r="B1053" s="68" t="n"/>
      <c r="C1053" s="531" t="inlineStr">
        <is>
          <t>QAZAQ SAPA GROUP ТОО</t>
        </is>
      </c>
      <c r="D1053" s="542" t="n"/>
      <c r="E1053" s="524" t="n">
        <v>500000</v>
      </c>
      <c r="F1053" s="73" t="inlineStr">
        <is>
          <t xml:space="preserve">Оплачено </t>
        </is>
      </c>
    </row>
    <row r="1054" ht="14.4" customHeight="1" s="1127">
      <c r="B1054" s="68" t="n"/>
      <c r="C1054" s="531" t="inlineStr">
        <is>
          <t>Альбатрос ВЭД ТОО</t>
        </is>
      </c>
      <c r="D1054" s="544" t="n"/>
      <c r="E1054" s="524" t="n">
        <v>165000</v>
      </c>
      <c r="F1054" s="73" t="inlineStr">
        <is>
          <t xml:space="preserve">Оплачено </t>
        </is>
      </c>
    </row>
    <row r="1055" ht="14.4" customHeight="1" s="1127">
      <c r="B1055" s="68" t="n"/>
      <c r="C1055" s="452" t="inlineStr">
        <is>
          <t>Global Halal Food ТОО</t>
        </is>
      </c>
      <c r="D1055" s="68" t="n"/>
      <c r="E1055" s="524" t="n">
        <v>400000</v>
      </c>
      <c r="F1055" s="73" t="inlineStr">
        <is>
          <t xml:space="preserve">Оплачено </t>
        </is>
      </c>
    </row>
    <row r="1056" ht="14.4" customHeight="1" s="1127">
      <c r="B1056" s="68" t="n"/>
      <c r="C1056" s="531" t="n"/>
      <c r="D1056" s="509" t="inlineStr">
        <is>
          <t>Итого:</t>
        </is>
      </c>
      <c r="E1056" s="524">
        <f>SUM(E1039:E1055)</f>
        <v/>
      </c>
      <c r="F1056" s="73" t="n"/>
    </row>
    <row r="1057" ht="14.4" customHeight="1" s="1127">
      <c r="B1057" s="68" t="n"/>
      <c r="C1057" s="531" t="n"/>
      <c r="D1057" s="544" t="n"/>
      <c r="E1057" s="524" t="n"/>
      <c r="F1057" s="73" t="n"/>
    </row>
    <row r="1058" ht="14.4" customHeight="1" s="1127">
      <c r="B1058" s="528" t="n">
        <v>46171</v>
      </c>
      <c r="C1058" s="531" t="inlineStr">
        <is>
          <t>Мясоперерабатывающий завод БИЖАН ТОО</t>
        </is>
      </c>
      <c r="D1058" s="542" t="n"/>
      <c r="E1058" s="524" t="n">
        <v>800000</v>
      </c>
      <c r="F1058" s="73" t="inlineStr">
        <is>
          <t xml:space="preserve">Оплачено </t>
        </is>
      </c>
    </row>
    <row r="1059" ht="14.4" customHeight="1" s="1127">
      <c r="B1059" s="68" t="n"/>
      <c r="C1059" s="531" t="n"/>
      <c r="D1059" s="509" t="inlineStr">
        <is>
          <t>Итого:</t>
        </is>
      </c>
      <c r="E1059" s="524">
        <f>SUM(E1058)</f>
        <v/>
      </c>
      <c r="F1059" s="73" t="n"/>
    </row>
    <row r="1060" ht="14.4" customHeight="1" s="1127">
      <c r="B1060" s="528" t="n">
        <v>46174</v>
      </c>
      <c r="C1060" s="531" t="inlineStr">
        <is>
          <t>AmigoSAN ТОО</t>
        </is>
      </c>
      <c r="D1060" s="544" t="n"/>
      <c r="E1060" s="524" t="n">
        <v>155340</v>
      </c>
      <c r="F1060" s="73" t="inlineStr">
        <is>
          <t xml:space="preserve">Оплачено </t>
        </is>
      </c>
    </row>
    <row r="1061" ht="14.4" customHeight="1" s="1127">
      <c r="B1061" s="68" t="n"/>
      <c r="C1061" s="452" t="inlineStr">
        <is>
          <t>DFK FOOD ИП</t>
        </is>
      </c>
      <c r="D1061" s="68" t="n"/>
      <c r="E1061" s="524" t="n">
        <v>300000</v>
      </c>
      <c r="F1061" s="73" t="inlineStr">
        <is>
          <t xml:space="preserve">Оплачено </t>
        </is>
      </c>
    </row>
    <row r="1062" ht="14.4" customHeight="1" s="1127">
      <c r="B1062" s="68" t="n"/>
      <c r="C1062" s="531" t="inlineStr">
        <is>
          <t>Joyu ТОО</t>
        </is>
      </c>
      <c r="D1062" s="542" t="n"/>
      <c r="E1062" s="524" t="n">
        <v>150000</v>
      </c>
      <c r="F1062" s="73" t="inlineStr">
        <is>
          <t xml:space="preserve">Оплачено </t>
        </is>
      </c>
    </row>
    <row r="1063" ht="14.4" customHeight="1" s="1127">
      <c r="B1063" s="68" t="n"/>
      <c r="C1063" s="531" t="inlineStr">
        <is>
          <t>Витамин+</t>
        </is>
      </c>
      <c r="D1063" s="453" t="n"/>
      <c r="E1063" s="524" t="n">
        <v>500000</v>
      </c>
      <c r="F1063" s="73" t="inlineStr">
        <is>
          <t xml:space="preserve">Оплачено </t>
        </is>
      </c>
    </row>
    <row r="1064" ht="14.4" customHeight="1" s="1127">
      <c r="B1064" s="68" t="n"/>
      <c r="C1064" s="505" t="inlineStr">
        <is>
          <t>ТОРГОВЫЙ ДОМ АЛЕЛЬ</t>
        </is>
      </c>
      <c r="D1064" s="453" t="n"/>
      <c r="E1064" s="524" t="n">
        <v>500000</v>
      </c>
      <c r="F1064" s="73" t="inlineStr">
        <is>
          <t xml:space="preserve">Оплачено </t>
        </is>
      </c>
    </row>
    <row r="1065" ht="14.4" customHeight="1" s="1127">
      <c r="B1065" s="68" t="n"/>
      <c r="C1065" s="531" t="inlineStr">
        <is>
          <t>АРБУЗ ФУД СЕРВИС ТОО</t>
        </is>
      </c>
      <c r="D1065" s="542" t="n"/>
      <c r="E1065" s="524" t="n">
        <v>116820</v>
      </c>
      <c r="F1065" s="73" t="inlineStr">
        <is>
          <t xml:space="preserve">Оплачено </t>
        </is>
      </c>
    </row>
    <row r="1066" ht="14.4" customHeight="1" s="1127">
      <c r="B1066" s="68" t="n"/>
      <c r="C1066" s="452" t="inlineStr">
        <is>
          <t>ТОО Дон Плюс</t>
        </is>
      </c>
      <c r="D1066" s="543" t="inlineStr">
        <is>
          <t>сливки для Каспи</t>
        </is>
      </c>
      <c r="E1066" s="524" t="n">
        <v>43200</v>
      </c>
      <c r="F1066" s="73" t="inlineStr">
        <is>
          <t xml:space="preserve">Оплачено </t>
        </is>
      </c>
    </row>
    <row r="1067" ht="14.4" customHeight="1" s="1127">
      <c r="B1067" s="68" t="n"/>
      <c r="C1067" s="452" t="inlineStr">
        <is>
          <t>KazBeef Processing (КазБиф Процессинг) ТОО</t>
        </is>
      </c>
      <c r="D1067" s="542" t="inlineStr">
        <is>
          <t>по ГП</t>
        </is>
      </c>
      <c r="E1067" s="524" t="n">
        <v>1000000</v>
      </c>
      <c r="F1067" s="73" t="inlineStr">
        <is>
          <t xml:space="preserve">Оплачено </t>
        </is>
      </c>
    </row>
    <row r="1068" ht="14.4" customHeight="1" s="1127">
      <c r="B1068" s="68" t="n"/>
      <c r="C1068" s="531" t="inlineStr">
        <is>
          <t>Овощи Касым</t>
        </is>
      </c>
      <c r="D1068" s="453" t="n"/>
      <c r="E1068" s="524" t="n">
        <v>100000</v>
      </c>
      <c r="F1068" s="73" t="inlineStr">
        <is>
          <t xml:space="preserve">Оплачено </t>
        </is>
      </c>
    </row>
    <row r="1069" ht="14.4" customHeight="1" s="1127">
      <c r="B1069" s="68" t="n"/>
      <c r="C1069" s="531" t="inlineStr">
        <is>
          <t>Succes овощи Айкоркем ИП</t>
        </is>
      </c>
      <c r="D1069" s="453" t="n"/>
      <c r="E1069" s="524" t="n">
        <v>100000</v>
      </c>
      <c r="F1069" s="73" t="inlineStr">
        <is>
          <t xml:space="preserve">Оплачено </t>
        </is>
      </c>
    </row>
    <row r="1070" ht="14.4" customHeight="1" s="1127">
      <c r="B1070" s="68" t="n"/>
      <c r="C1070" s="531" t="n"/>
      <c r="D1070" s="509" t="inlineStr">
        <is>
          <t>Итого:</t>
        </is>
      </c>
      <c r="E1070" s="524">
        <f>SUM(E1060:E1069)</f>
        <v/>
      </c>
      <c r="F1070" s="73" t="n"/>
    </row>
    <row r="1071" ht="14.4" customHeight="1" s="1127">
      <c r="B1071" s="528" t="n">
        <v>46174</v>
      </c>
      <c r="C1071" s="452" t="inlineStr">
        <is>
          <t>Viki-Kazakhstan ТОО</t>
        </is>
      </c>
      <c r="D1071" s="68" t="n"/>
      <c r="E1071" s="524" t="n">
        <v>500000</v>
      </c>
      <c r="F1071" s="73" t="inlineStr">
        <is>
          <t xml:space="preserve">Оплачено </t>
        </is>
      </c>
    </row>
    <row r="1072" ht="14.4" customHeight="1" s="1127">
      <c r="B1072" s="68" t="n"/>
      <c r="C1072" s="452" t="inlineStr">
        <is>
          <t>Компания Фудмастер-Трэйд ТОО</t>
        </is>
      </c>
      <c r="D1072" s="542" t="inlineStr">
        <is>
          <t>на стопе</t>
        </is>
      </c>
      <c r="E1072" s="524" t="n">
        <v>82804</v>
      </c>
      <c r="F1072" s="73" t="inlineStr">
        <is>
          <t xml:space="preserve">Оплачено </t>
        </is>
      </c>
    </row>
    <row r="1073" ht="14.4" customHeight="1" s="1127">
      <c r="B1073" s="68" t="n"/>
      <c r="C1073" s="531" t="inlineStr">
        <is>
          <t>Шымкентмай АО</t>
        </is>
      </c>
      <c r="D1073" s="542" t="inlineStr">
        <is>
          <t>по предоплате</t>
        </is>
      </c>
      <c r="E1073" s="524" t="n">
        <v>438000</v>
      </c>
      <c r="F1073" s="73" t="inlineStr">
        <is>
          <t xml:space="preserve">Оплачено </t>
        </is>
      </c>
    </row>
    <row r="1074" ht="14.4" customHeight="1" s="1127">
      <c r="B1074" s="68" t="n"/>
      <c r="C1074" s="531" t="inlineStr">
        <is>
          <t>Ихсан Техногаз ТОО</t>
        </is>
      </c>
      <c r="D1074" s="453" t="n"/>
      <c r="E1074" s="524" t="n">
        <v>200000</v>
      </c>
      <c r="F1074" s="73" t="inlineStr">
        <is>
          <t xml:space="preserve">Оплачено </t>
        </is>
      </c>
    </row>
    <row r="1075" ht="14.4" customHeight="1" s="1127">
      <c r="B1075" s="68" t="n"/>
      <c r="C1075" s="452" t="inlineStr">
        <is>
          <t>Инарин ТОО</t>
        </is>
      </c>
      <c r="D1075" s="68" t="n"/>
      <c r="E1075" s="524" t="n">
        <v>300000</v>
      </c>
      <c r="F1075" s="73" t="inlineStr">
        <is>
          <t xml:space="preserve">Оплачено </t>
        </is>
      </c>
    </row>
    <row r="1076" ht="14.4" customHeight="1" s="1127">
      <c r="B1076" s="68" t="n"/>
      <c r="C1076" s="452" t="inlineStr">
        <is>
          <t>Almaty Develop STM ТОО</t>
        </is>
      </c>
      <c r="D1076" s="543" t="n"/>
      <c r="E1076" s="524" t="n">
        <v>500000</v>
      </c>
      <c r="F1076" s="73" t="inlineStr">
        <is>
          <t xml:space="preserve">Оплачено </t>
        </is>
      </c>
    </row>
    <row r="1077" ht="14.4" customHeight="1" s="1127">
      <c r="B1077" s="68" t="n"/>
      <c r="C1077" s="531" t="inlineStr">
        <is>
          <t>ПРОДУКТЫ ПИТАНИЯ KZ ТОО</t>
        </is>
      </c>
      <c r="D1077" s="542" t="n"/>
      <c r="E1077" s="524" t="n">
        <v>157704</v>
      </c>
      <c r="F1077" s="73" t="inlineStr">
        <is>
          <t xml:space="preserve">Оплачено </t>
        </is>
      </c>
    </row>
    <row r="1078" ht="14.4" customHeight="1" s="1127">
      <c r="B1078" s="68" t="n"/>
      <c r="C1078" s="452" t="inlineStr">
        <is>
          <t>Adolar Group ТОО</t>
        </is>
      </c>
      <c r="D1078" s="542" t="n"/>
      <c r="E1078" s="524" t="n">
        <v>1000000</v>
      </c>
      <c r="F1078" s="73" t="inlineStr">
        <is>
          <t xml:space="preserve">Оплачено </t>
        </is>
      </c>
    </row>
    <row r="1079" ht="14.4" customHeight="1" s="1127">
      <c r="B1079" s="68" t="n"/>
      <c r="C1079" s="505" t="inlineStr">
        <is>
          <t>Компания Натур Продукт ТОО</t>
        </is>
      </c>
      <c r="D1079" s="453" t="n"/>
      <c r="E1079" s="524" t="n">
        <v>700000</v>
      </c>
      <c r="F1079" s="73" t="inlineStr">
        <is>
          <t xml:space="preserve">Оплачено </t>
        </is>
      </c>
    </row>
    <row r="1080" ht="14.4" customHeight="1" s="1127">
      <c r="B1080" s="68" t="n"/>
      <c r="C1080" s="531" t="inlineStr">
        <is>
          <t>Рэд Тим Дистрибьюшн ТОО</t>
        </is>
      </c>
      <c r="D1080" s="542" t="n"/>
      <c r="E1080" s="524" t="n">
        <v>376236</v>
      </c>
      <c r="F1080" s="73" t="inlineStr">
        <is>
          <t xml:space="preserve">Оплачено </t>
        </is>
      </c>
    </row>
    <row r="1081" ht="14.4" customHeight="1" s="1127">
      <c r="B1081" s="68" t="n"/>
      <c r="C1081" s="531" t="inlineStr">
        <is>
          <t>Art Food ИП</t>
        </is>
      </c>
      <c r="D1081" s="544" t="n"/>
      <c r="E1081" s="524" t="n">
        <v>200000</v>
      </c>
      <c r="F1081" s="73" t="inlineStr">
        <is>
          <t xml:space="preserve">Оплачено </t>
        </is>
      </c>
    </row>
    <row r="1082" ht="14.4" customHeight="1" s="1127">
      <c r="B1082" s="68" t="n"/>
      <c r="C1082" s="452" t="inlineStr">
        <is>
          <t>ПРОТЭК</t>
        </is>
      </c>
      <c r="D1082" s="542" t="n"/>
      <c r="E1082" s="524" t="n">
        <v>1000000</v>
      </c>
      <c r="F1082" s="73" t="inlineStr">
        <is>
          <t xml:space="preserve">Оплачено </t>
        </is>
      </c>
    </row>
    <row r="1083" ht="14.4" customHeight="1" s="1127">
      <c r="B1083" s="68" t="n"/>
      <c r="C1083" s="531" t="inlineStr">
        <is>
          <t>Витамин+</t>
        </is>
      </c>
      <c r="D1083" s="453" t="n"/>
      <c r="E1083" s="524" t="n">
        <v>500000</v>
      </c>
      <c r="F1083" s="73" t="inlineStr">
        <is>
          <t xml:space="preserve">Оплачено </t>
        </is>
      </c>
    </row>
    <row r="1084" ht="14.4" customHeight="1" s="1127">
      <c r="B1084" s="68" t="n"/>
      <c r="C1084" s="452" t="inlineStr">
        <is>
          <t>Мясоперерабатывающий завод БИЖАН ТОО</t>
        </is>
      </c>
      <c r="D1084" s="542" t="n"/>
      <c r="E1084" s="524" t="n">
        <v>667994.21</v>
      </c>
      <c r="F1084" s="73" t="inlineStr">
        <is>
          <t xml:space="preserve">Оплачено </t>
        </is>
      </c>
    </row>
    <row r="1085" ht="14.4" customHeight="1" s="1127">
      <c r="B1085" s="68" t="n"/>
      <c r="C1085" s="452" t="n"/>
      <c r="D1085" s="509" t="inlineStr">
        <is>
          <t>Итого:</t>
        </is>
      </c>
      <c r="E1085" s="524">
        <f>SUM(E1071:E1084)</f>
        <v/>
      </c>
      <c r="F1085" s="73" t="n"/>
    </row>
    <row r="1086" ht="14.4" customHeight="1" s="1127">
      <c r="B1086" s="528" t="n">
        <v>46175</v>
      </c>
      <c r="C1086" s="531" t="inlineStr">
        <is>
          <t>Витамин+</t>
        </is>
      </c>
      <c r="D1086" s="453" t="n"/>
      <c r="E1086" s="524" t="n">
        <v>1000000</v>
      </c>
      <c r="F1086" s="73" t="inlineStr">
        <is>
          <t xml:space="preserve">Оплачено </t>
        </is>
      </c>
    </row>
    <row r="1087" ht="14.4" customHeight="1" s="1127">
      <c r="B1087" s="68" t="n"/>
      <c r="C1087" s="452" t="inlineStr">
        <is>
          <t>Элита-Трейд ТОО</t>
        </is>
      </c>
      <c r="D1087" s="453" t="inlineStr">
        <is>
          <t>на стопе</t>
        </is>
      </c>
      <c r="E1087" s="524" t="n">
        <v>1000000</v>
      </c>
      <c r="F1087" s="73" t="inlineStr">
        <is>
          <t xml:space="preserve">Оплачено </t>
        </is>
      </c>
    </row>
    <row r="1088" ht="14.4" customHeight="1" s="1127">
      <c r="B1088" s="68" t="n"/>
      <c r="C1088" s="531" t="n"/>
      <c r="D1088" s="509" t="inlineStr">
        <is>
          <t>Итого:</t>
        </is>
      </c>
      <c r="E1088" s="524">
        <f>SUM(E1086:E1087)</f>
        <v/>
      </c>
      <c r="F1088" s="73" t="n"/>
    </row>
    <row r="1089" ht="14.4" customHeight="1" s="1127">
      <c r="B1089" s="528" t="n">
        <v>46175</v>
      </c>
      <c r="C1089" s="531" t="inlineStr">
        <is>
          <t>BravoSauda ТОО</t>
        </is>
      </c>
      <c r="D1089" s="542" t="n"/>
      <c r="E1089" s="524" t="n">
        <v>271800</v>
      </c>
      <c r="F1089" s="73" t="inlineStr">
        <is>
          <t xml:space="preserve">Оплачено </t>
        </is>
      </c>
    </row>
    <row r="1090" ht="14.4" customHeight="1" s="1127">
      <c r="B1090" s="68" t="n"/>
      <c r="C1090" s="452" t="inlineStr">
        <is>
          <t>Эрико ТОО</t>
        </is>
      </c>
      <c r="D1090" s="542" t="inlineStr">
        <is>
          <t>по предоплате</t>
        </is>
      </c>
      <c r="E1090" s="524" t="n">
        <v>470320</v>
      </c>
      <c r="F1090" s="73" t="inlineStr">
        <is>
          <t xml:space="preserve">Оплачено </t>
        </is>
      </c>
    </row>
    <row r="1091" ht="14.4" customHeight="1" s="1127">
      <c r="B1091" s="68" t="n"/>
      <c r="C1091" s="452" t="inlineStr">
        <is>
          <t>SWEEZARD ТОО</t>
        </is>
      </c>
      <c r="D1091" s="453" t="n"/>
      <c r="E1091" s="524" t="n">
        <v>500000</v>
      </c>
      <c r="F1091" s="73" t="inlineStr">
        <is>
          <t xml:space="preserve">Оплачено </t>
        </is>
      </c>
    </row>
    <row r="1092" ht="14.4" customHeight="1" s="1127">
      <c r="B1092" s="68" t="n"/>
      <c r="C1092" s="452" t="inlineStr">
        <is>
          <t>КапиталПрофСнаб ТОО</t>
        </is>
      </c>
      <c r="D1092" s="453" t="n"/>
      <c r="E1092" s="524" t="n">
        <v>56000</v>
      </c>
      <c r="F1092" s="73" t="inlineStr">
        <is>
          <t xml:space="preserve">Оплачено </t>
        </is>
      </c>
    </row>
    <row r="1093" ht="14.4" customHeight="1" s="1127">
      <c r="B1093" s="68" t="n"/>
      <c r="C1093" s="452" t="inlineStr">
        <is>
          <t>QAZAQ SAPA GROUP ТОО</t>
        </is>
      </c>
      <c r="D1093" s="453" t="n"/>
      <c r="E1093" s="524" t="n">
        <v>500000</v>
      </c>
      <c r="F1093" s="73" t="inlineStr">
        <is>
          <t xml:space="preserve">Оплачено </t>
        </is>
      </c>
    </row>
    <row r="1094" ht="14.4" customHeight="1" s="1127">
      <c r="B1094" s="68" t="n"/>
      <c r="C1094" s="452" t="inlineStr">
        <is>
          <t>Инарин ТОО</t>
        </is>
      </c>
      <c r="D1094" s="542" t="inlineStr">
        <is>
          <t xml:space="preserve">остаток </t>
        </is>
      </c>
      <c r="E1094" s="524" t="n">
        <v>64470</v>
      </c>
      <c r="F1094" s="73" t="inlineStr">
        <is>
          <t xml:space="preserve">Оплачено </t>
        </is>
      </c>
    </row>
    <row r="1095" ht="14.4" customHeight="1" s="1127">
      <c r="B1095" s="68" t="n"/>
      <c r="C1095" s="452" t="inlineStr">
        <is>
          <t>Color express ТОО</t>
        </is>
      </c>
      <c r="D1095" s="68" t="n"/>
      <c r="E1095" s="524" t="n">
        <v>500000</v>
      </c>
      <c r="F1095" s="73" t="inlineStr">
        <is>
          <t xml:space="preserve">Оплачено </t>
        </is>
      </c>
    </row>
    <row r="1096" ht="14.4" customHeight="1" s="1127">
      <c r="B1096" s="68" t="n"/>
      <c r="C1096" s="531" t="inlineStr">
        <is>
          <t>Fresh Frozen ТОО</t>
        </is>
      </c>
      <c r="D1096" s="544" t="n"/>
      <c r="E1096" s="524" t="n">
        <v>500000</v>
      </c>
      <c r="F1096" s="73" t="inlineStr">
        <is>
          <t xml:space="preserve">Оплачено </t>
        </is>
      </c>
    </row>
    <row r="1097" ht="14.4" customHeight="1" s="1127">
      <c r="B1097" s="68" t="n"/>
      <c r="C1097" s="531" t="inlineStr">
        <is>
          <t>Frozen Fruit ТОО</t>
        </is>
      </c>
      <c r="D1097" s="542" t="n"/>
      <c r="E1097" s="524" t="n">
        <v>500000</v>
      </c>
      <c r="F1097" s="73" t="inlineStr">
        <is>
          <t xml:space="preserve">Оплачено </t>
        </is>
      </c>
    </row>
    <row r="1098" ht="14.4" customHeight="1" s="1127">
      <c r="B1098" s="68" t="n"/>
      <c r="C1098" s="452" t="inlineStr">
        <is>
          <t>Bestseller Food Company ТОО</t>
        </is>
      </c>
      <c r="D1098" s="68" t="n"/>
      <c r="E1098" s="524" t="n">
        <v>200000</v>
      </c>
      <c r="F1098" s="73" t="inlineStr">
        <is>
          <t xml:space="preserve">Оплачено </t>
        </is>
      </c>
    </row>
    <row r="1099" ht="14.4" customHeight="1" s="1127">
      <c r="B1099" s="68" t="n"/>
      <c r="C1099" s="452" t="inlineStr">
        <is>
          <t>Утемисов Б К ИП</t>
        </is>
      </c>
      <c r="D1099" s="453" t="n"/>
      <c r="E1099" s="524" t="n">
        <v>500000</v>
      </c>
      <c r="F1099" s="73" t="inlineStr">
        <is>
          <t xml:space="preserve">Оплачено </t>
        </is>
      </c>
    </row>
    <row r="1100" ht="14.4" customHeight="1" s="1127">
      <c r="B1100" s="68" t="n"/>
      <c r="C1100" s="452" t="inlineStr">
        <is>
          <t>Interrom Kazakhstan ТОО</t>
        </is>
      </c>
      <c r="D1100" s="453" t="n"/>
      <c r="E1100" s="524" t="n">
        <v>103000</v>
      </c>
      <c r="F1100" s="73" t="inlineStr">
        <is>
          <t xml:space="preserve">Оплачено </t>
        </is>
      </c>
    </row>
    <row r="1101" ht="14.4" customHeight="1" s="1127">
      <c r="B1101" s="68" t="n"/>
      <c r="C1101" s="452" t="inlineStr">
        <is>
          <t>Торговый дом Алель</t>
        </is>
      </c>
      <c r="D1101" s="453" t="inlineStr">
        <is>
          <t>остаток долга</t>
        </is>
      </c>
      <c r="E1101" s="524" t="n">
        <v>200000</v>
      </c>
      <c r="F1101" s="73" t="inlineStr">
        <is>
          <t xml:space="preserve">Оплачено </t>
        </is>
      </c>
    </row>
    <row r="1102" ht="14.4" customHeight="1" s="1127">
      <c r="B1102" s="68" t="n"/>
      <c r="C1102" s="452" t="inlineStr">
        <is>
          <t>Medhelp ИП</t>
        </is>
      </c>
      <c r="D1102" s="68" t="n"/>
      <c r="E1102" s="524" t="n">
        <v>300000</v>
      </c>
      <c r="F1102" s="73" t="inlineStr">
        <is>
          <t xml:space="preserve">Оплачено </t>
        </is>
      </c>
    </row>
    <row r="1103" ht="14.4" customHeight="1" s="1127">
      <c r="B1103" s="68" t="n"/>
      <c r="C1103" s="452" t="inlineStr">
        <is>
          <t>КазАгроПромТрейд ТОО</t>
        </is>
      </c>
      <c r="D1103" s="68" t="n"/>
      <c r="E1103" s="524" t="n">
        <v>500000</v>
      </c>
      <c r="F1103" s="73" t="inlineStr">
        <is>
          <t xml:space="preserve">Оплачено </t>
        </is>
      </c>
    </row>
    <row r="1104" ht="14.4" customHeight="1" s="1127">
      <c r="B1104" s="68" t="n"/>
      <c r="C1104" s="452" t="inlineStr">
        <is>
          <t>Аяла Плюс ТОО</t>
        </is>
      </c>
      <c r="D1104" s="68" t="n"/>
      <c r="E1104" s="524" t="n">
        <v>380460</v>
      </c>
      <c r="F1104" s="73" t="inlineStr">
        <is>
          <t xml:space="preserve">Оплачено </t>
        </is>
      </c>
    </row>
    <row r="1105" ht="14.4" customHeight="1" s="1127">
      <c r="B1105" s="68" t="n"/>
      <c r="C1105" s="452" t="inlineStr">
        <is>
          <t>Food Company ТОО</t>
        </is>
      </c>
      <c r="D1105" s="542" t="inlineStr">
        <is>
          <t>по предоплате</t>
        </is>
      </c>
      <c r="E1105" s="524" t="n">
        <v>125200</v>
      </c>
      <c r="F1105" s="73" t="inlineStr">
        <is>
          <t xml:space="preserve">Оплачено </t>
        </is>
      </c>
    </row>
    <row r="1106" ht="14.4" customHeight="1" s="1127">
      <c r="B1106" s="68" t="n"/>
      <c r="C1106" s="452" t="inlineStr">
        <is>
          <t>Исмагулов ИП</t>
        </is>
      </c>
      <c r="D1106" s="453" t="inlineStr">
        <is>
          <t>на стопе</t>
        </is>
      </c>
      <c r="E1106" s="524" t="n">
        <v>1664100</v>
      </c>
      <c r="F1106" s="73" t="inlineStr">
        <is>
          <t xml:space="preserve">Оплачено </t>
        </is>
      </c>
    </row>
    <row r="1107" ht="14.4" customHeight="1" s="1127">
      <c r="B1107" s="68" t="n"/>
      <c r="C1107" s="452" t="n"/>
      <c r="D1107" s="509" t="inlineStr">
        <is>
          <t>Итого:</t>
        </is>
      </c>
      <c r="E1107" s="524">
        <f>SUM(E1089:E1106)</f>
        <v/>
      </c>
      <c r="F1107" s="73" t="n"/>
    </row>
    <row r="1108" ht="14.4" customHeight="1" s="1127">
      <c r="B1108" s="528" t="n">
        <v>46176</v>
      </c>
      <c r="C1108" s="531" t="inlineStr">
        <is>
          <t>Евразиан Фудс Корпорэйшн АО</t>
        </is>
      </c>
      <c r="D1108" s="542" t="inlineStr">
        <is>
          <t>на стопе</t>
        </is>
      </c>
      <c r="E1108" s="524" t="n">
        <v>1500000</v>
      </c>
      <c r="F1108" s="73" t="inlineStr">
        <is>
          <t xml:space="preserve">Оплачено </t>
        </is>
      </c>
    </row>
    <row r="1109" ht="14.4" customHeight="1" s="1127">
      <c r="B1109" s="68" t="n"/>
      <c r="C1109" s="531" t="n"/>
      <c r="D1109" s="509" t="inlineStr">
        <is>
          <t>Итого:</t>
        </is>
      </c>
      <c r="E1109" s="524">
        <f>SUM(E1108)</f>
        <v/>
      </c>
      <c r="F1109" s="73" t="n"/>
    </row>
    <row r="1110" ht="14.4" customHeight="1" s="1127">
      <c r="B1110" s="528" t="n">
        <v>46176</v>
      </c>
      <c r="C1110" s="531" t="inlineStr">
        <is>
          <t>Овощи Касым</t>
        </is>
      </c>
      <c r="D1110" s="544" t="n"/>
      <c r="E1110" s="524" t="n">
        <v>300000</v>
      </c>
      <c r="F1110" s="73" t="inlineStr">
        <is>
          <t xml:space="preserve">Оплачено </t>
        </is>
      </c>
    </row>
    <row r="1111" ht="14.4" customHeight="1" s="1127">
      <c r="B1111" s="68" t="n"/>
      <c r="C1111" s="452" t="n"/>
      <c r="D1111" s="509" t="inlineStr">
        <is>
          <t>Итого:</t>
        </is>
      </c>
      <c r="E1111" s="524">
        <f>SUM(E1110)</f>
        <v/>
      </c>
      <c r="F1111" s="73" t="n"/>
    </row>
    <row r="1112" ht="14.4" customHeight="1" s="1127">
      <c r="B1112" s="528" t="n">
        <v>46177</v>
      </c>
      <c r="C1112" s="452" t="inlineStr">
        <is>
          <t xml:space="preserve">Сергей логист </t>
        </is>
      </c>
      <c r="D1112" s="542" t="n"/>
      <c r="E1112" s="524" t="n">
        <v>1000000</v>
      </c>
      <c r="F1112" s="73" t="inlineStr">
        <is>
          <t xml:space="preserve">Оплачено </t>
        </is>
      </c>
    </row>
    <row r="1113" ht="14.4" customHeight="1" s="1127">
      <c r="B1113" s="68" t="n"/>
      <c r="C1113" s="452" t="inlineStr">
        <is>
          <t>Фуд вендинг</t>
        </is>
      </c>
      <c r="D1113" s="453" t="n"/>
      <c r="E1113" s="524" t="n">
        <v>300000</v>
      </c>
      <c r="F1113" s="73" t="inlineStr">
        <is>
          <t xml:space="preserve">Оплачено </t>
        </is>
      </c>
    </row>
    <row r="1114" ht="14.4" customHeight="1" s="1127">
      <c r="B1114" s="68" t="n"/>
      <c r="C1114" s="452" t="inlineStr">
        <is>
          <t>RB Brands ТОО</t>
        </is>
      </c>
      <c r="D1114" s="542" t="n"/>
      <c r="E1114" s="524" t="n">
        <v>285120</v>
      </c>
      <c r="F1114" s="73" t="inlineStr">
        <is>
          <t xml:space="preserve">Оплачено </t>
        </is>
      </c>
    </row>
    <row r="1115" ht="14.4" customHeight="1" s="1127">
      <c r="B1115" s="68" t="n"/>
      <c r="C1115" s="531" t="inlineStr">
        <is>
          <t xml:space="preserve">Мир кондитера </t>
        </is>
      </c>
      <c r="D1115" s="453" t="n"/>
      <c r="E1115" s="524" t="n">
        <v>140230</v>
      </c>
      <c r="F1115" s="73" t="inlineStr">
        <is>
          <t xml:space="preserve">Оплачено </t>
        </is>
      </c>
    </row>
    <row r="1116" ht="14.4" customHeight="1" s="1127">
      <c r="B1116" s="68" t="n"/>
      <c r="C1116" s="531" t="inlineStr">
        <is>
          <t>Деметро ПК</t>
        </is>
      </c>
      <c r="D1116" s="544" t="n"/>
      <c r="E1116" s="524" t="n">
        <v>772619</v>
      </c>
      <c r="F1116" s="73" t="inlineStr">
        <is>
          <t xml:space="preserve">Оплачено </t>
        </is>
      </c>
    </row>
    <row r="1117" ht="14.4" customHeight="1" s="1127">
      <c r="B1117" s="68" t="n"/>
      <c r="C1117" s="531" t="inlineStr">
        <is>
          <t>Art Food ИП</t>
        </is>
      </c>
      <c r="D1117" s="544" t="n"/>
      <c r="E1117" s="524" t="n">
        <v>241200</v>
      </c>
      <c r="F1117" s="73" t="inlineStr">
        <is>
          <t xml:space="preserve">Оплачено </t>
        </is>
      </c>
    </row>
    <row r="1118" ht="14.4" customHeight="1" s="1127">
      <c r="B1118" s="68" t="n"/>
      <c r="C1118" s="452" t="inlineStr">
        <is>
          <t>Глобал Фуд ТОО</t>
        </is>
      </c>
      <c r="D1118" s="542" t="n"/>
      <c r="E1118" s="524" t="n">
        <v>500000</v>
      </c>
      <c r="F1118" s="73" t="inlineStr">
        <is>
          <t xml:space="preserve">Оплачено </t>
        </is>
      </c>
    </row>
    <row r="1119" ht="14.4" customHeight="1" s="1127">
      <c r="B1119" s="68" t="n"/>
      <c r="C1119" s="531" t="n"/>
      <c r="D1119" s="509" t="inlineStr">
        <is>
          <t>Итого:</t>
        </is>
      </c>
      <c r="E1119" s="524">
        <f>SUM(E1112:E1118)</f>
        <v/>
      </c>
      <c r="F1119" s="73" t="n"/>
    </row>
    <row r="1120" ht="14.4" customHeight="1" s="1127">
      <c r="B1120" s="528" t="n">
        <v>46177</v>
      </c>
      <c r="C1120" s="531" t="inlineStr">
        <is>
          <t>Almaty Develop STM ТОО</t>
        </is>
      </c>
      <c r="D1120" s="453" t="n"/>
      <c r="E1120" s="524" t="n">
        <v>300000</v>
      </c>
      <c r="F1120" s="73" t="inlineStr">
        <is>
          <t xml:space="preserve">Оплачено </t>
        </is>
      </c>
    </row>
    <row r="1121" ht="14.4" customHeight="1" s="1127">
      <c r="B1121" s="68" t="n"/>
      <c r="C1121" s="531" t="inlineStr">
        <is>
          <t>Adolar Group ТОО</t>
        </is>
      </c>
      <c r="D1121" s="544" t="n"/>
      <c r="E1121" s="524" t="n">
        <v>1000000</v>
      </c>
      <c r="F1121" s="73" t="inlineStr">
        <is>
          <t xml:space="preserve">Оплачено </t>
        </is>
      </c>
    </row>
    <row r="1122" ht="14.4" customHeight="1" s="1127">
      <c r="B1122" s="68" t="n"/>
      <c r="C1122" s="452" t="inlineStr">
        <is>
          <t>ПРОТЭК</t>
        </is>
      </c>
      <c r="D1122" s="542" t="n"/>
      <c r="E1122" s="524" t="n">
        <v>1000000</v>
      </c>
      <c r="F1122" s="73" t="inlineStr">
        <is>
          <t xml:space="preserve">Оплачено </t>
        </is>
      </c>
    </row>
    <row r="1123" ht="14.4" customHeight="1" s="1127">
      <c r="B1123" s="68" t="n"/>
      <c r="C1123" s="531" t="inlineStr">
        <is>
          <t>Иналка Фуд Сервис</t>
        </is>
      </c>
      <c r="D1123" s="542" t="n"/>
      <c r="E1123" s="524" t="n">
        <v>500000</v>
      </c>
      <c r="F1123" s="73" t="inlineStr">
        <is>
          <t xml:space="preserve">Оплачено </t>
        </is>
      </c>
    </row>
    <row r="1124" ht="14.4" customHeight="1" s="1127">
      <c r="B1124" s="68" t="n"/>
      <c r="C1124" s="452" t="inlineStr">
        <is>
          <t>Глобал Фуд ТОО</t>
        </is>
      </c>
      <c r="D1124" s="542" t="n"/>
      <c r="E1124" s="524" t="n">
        <v>600000</v>
      </c>
      <c r="F1124" s="73" t="inlineStr">
        <is>
          <t xml:space="preserve">Оплачено </t>
        </is>
      </c>
    </row>
    <row r="1125" ht="14.4" customHeight="1" s="1127">
      <c r="B1125" s="68" t="n"/>
      <c r="C1125" s="531" t="inlineStr">
        <is>
          <t>CityFood Trade ТОО</t>
        </is>
      </c>
      <c r="D1125" s="453" t="inlineStr">
        <is>
          <t>по ГП</t>
        </is>
      </c>
      <c r="E1125" s="524" t="n">
        <v>600000</v>
      </c>
      <c r="F1125" s="73" t="inlineStr">
        <is>
          <t xml:space="preserve">Оплачено </t>
        </is>
      </c>
    </row>
    <row r="1126" ht="14.4" customHeight="1" s="1127">
      <c r="B1126" s="68" t="n"/>
      <c r="C1126" s="531" t="inlineStr">
        <is>
          <t>Viki-Kazakhstan ТОО</t>
        </is>
      </c>
      <c r="D1126" s="453" t="inlineStr">
        <is>
          <t>по ГП</t>
        </is>
      </c>
      <c r="E1126" s="524" t="n">
        <v>1000000</v>
      </c>
      <c r="F1126" s="73" t="inlineStr">
        <is>
          <t xml:space="preserve">Оплачено </t>
        </is>
      </c>
    </row>
    <row r="1127" ht="14.4" customHeight="1" s="1127">
      <c r="B1127" s="68" t="n"/>
      <c r="C1127" s="531" t="inlineStr">
        <is>
          <t>ДЖАЗЫКБАЕВА СВЕТЛАНА ТАСХАИРОВНА ИП</t>
        </is>
      </c>
      <c r="D1127" s="544" t="n"/>
      <c r="E1127" s="524" t="n">
        <v>464000</v>
      </c>
      <c r="F1127" s="73" t="inlineStr">
        <is>
          <t xml:space="preserve">Оплачено </t>
        </is>
      </c>
    </row>
    <row r="1128" ht="14.4" customHeight="1" s="1127">
      <c r="B1128" s="68" t="n"/>
      <c r="C1128" s="531" t="inlineStr">
        <is>
          <t>Global Halal Food ТОО</t>
        </is>
      </c>
      <c r="D1128" s="544" t="n"/>
      <c r="E1128" s="524" t="n">
        <v>500000</v>
      </c>
      <c r="F1128" s="73" t="inlineStr">
        <is>
          <t xml:space="preserve">Оплачено </t>
        </is>
      </c>
    </row>
    <row r="1129" ht="14.4" customHeight="1" s="1127">
      <c r="B1129" s="68" t="n"/>
      <c r="C1129" s="452" t="n"/>
      <c r="D1129" s="509" t="inlineStr">
        <is>
          <t>Итого:</t>
        </is>
      </c>
      <c r="E1129" s="524">
        <f>SUM(E1120:E1128)</f>
        <v/>
      </c>
      <c r="F1129" s="73" t="n"/>
    </row>
    <row r="1130" ht="14.4" customHeight="1" s="1127">
      <c r="B1130" s="528" t="n">
        <v>46178</v>
      </c>
      <c r="C1130" s="531" t="inlineStr">
        <is>
          <t xml:space="preserve">Витамин + </t>
        </is>
      </c>
      <c r="D1130" s="493" t="n"/>
      <c r="E1130" s="524" t="n">
        <v>1006506</v>
      </c>
      <c r="F1130" s="73" t="inlineStr">
        <is>
          <t xml:space="preserve">Оплачено </t>
        </is>
      </c>
      <c r="G1130" s="456" t="inlineStr">
        <is>
          <t>продажи</t>
        </is>
      </c>
      <c r="H1130" s="456" t="n">
        <v>270</v>
      </c>
      <c r="I1130" s="456" t="inlineStr">
        <is>
          <t>июнь</t>
        </is>
      </c>
    </row>
    <row r="1131" ht="14.4" customHeight="1" s="1127">
      <c r="B1131" s="68" t="n"/>
      <c r="C1131" s="531" t="inlineStr">
        <is>
          <t>Handy Yummy яйцо</t>
        </is>
      </c>
      <c r="D1131" s="493" t="n"/>
      <c r="E1131" s="524" t="n">
        <v>691200</v>
      </c>
      <c r="F1131" s="73" t="inlineStr">
        <is>
          <t xml:space="preserve">Оплачено </t>
        </is>
      </c>
      <c r="G1131" s="456" t="inlineStr">
        <is>
          <t>продажи</t>
        </is>
      </c>
      <c r="H1131" s="456" t="n">
        <v>280</v>
      </c>
      <c r="I1131" s="456" t="inlineStr">
        <is>
          <t>июль</t>
        </is>
      </c>
    </row>
    <row r="1132" ht="14.4" customHeight="1" s="1127">
      <c r="B1132" s="68" t="n"/>
      <c r="C1132" s="531" t="inlineStr">
        <is>
          <t xml:space="preserve">Champello </t>
        </is>
      </c>
      <c r="D1132" s="493" t="n"/>
      <c r="E1132" s="524" t="n">
        <v>170000</v>
      </c>
      <c r="F1132" s="73" t="inlineStr">
        <is>
          <t xml:space="preserve">Оплачено </t>
        </is>
      </c>
      <c r="G1132" s="456" t="inlineStr">
        <is>
          <t>продажи</t>
        </is>
      </c>
      <c r="H1132" s="456" t="n">
        <v>300</v>
      </c>
      <c r="I1132" s="456" t="inlineStr">
        <is>
          <t>август</t>
        </is>
      </c>
    </row>
    <row r="1133" ht="14.4" customHeight="1" s="1127">
      <c r="B1133" s="528" t="n">
        <v>46178</v>
      </c>
      <c r="C1133" s="531" t="inlineStr">
        <is>
          <t>Овощи Касым</t>
        </is>
      </c>
      <c r="D1133" s="68" t="n"/>
      <c r="E1133" s="524" t="n">
        <v>200000</v>
      </c>
      <c r="F1133" s="73" t="inlineStr">
        <is>
          <t xml:space="preserve">Оплачено </t>
        </is>
      </c>
      <c r="H1133" s="456" t="inlineStr">
        <is>
          <t>рентабельность 6%</t>
        </is>
      </c>
    </row>
    <row r="1134" ht="14.4" customHeight="1" s="1127">
      <c r="B1134" s="68" t="n"/>
      <c r="C1134" s="531" t="inlineStr">
        <is>
          <t>Кокрекбай овощи (Габит) Barys group</t>
        </is>
      </c>
      <c r="D1134" s="544" t="n"/>
      <c r="E1134" s="524" t="n">
        <v>100000</v>
      </c>
      <c r="F1134" s="73" t="inlineStr">
        <is>
          <t xml:space="preserve">Оплачено </t>
        </is>
      </c>
      <c r="H1134" s="456" t="inlineStr">
        <is>
          <t xml:space="preserve">0,8% сокращение </t>
        </is>
      </c>
    </row>
    <row r="1135" ht="14.4" customHeight="1" s="1127">
      <c r="B1135" s="68" t="n"/>
      <c r="C1135" s="452" t="inlineStr">
        <is>
          <t xml:space="preserve">Лейпурин </t>
        </is>
      </c>
      <c r="D1135" s="68" t="n"/>
      <c r="E1135" s="524" t="n">
        <v>24900</v>
      </c>
      <c r="F1135" s="73" t="inlineStr">
        <is>
          <t xml:space="preserve">Оплачено </t>
        </is>
      </c>
      <c r="H1135" s="456" t="inlineStr">
        <is>
          <t xml:space="preserve">онигири </t>
        </is>
      </c>
      <c r="I1135" s="456" t="inlineStr">
        <is>
          <t>9 млн.</t>
        </is>
      </c>
    </row>
    <row r="1136" ht="14.4" customHeight="1" s="1127">
      <c r="B1136" s="68" t="n"/>
      <c r="C1136" s="452" t="inlineStr">
        <is>
          <t>Глобал Фуд ТОО</t>
        </is>
      </c>
      <c r="D1136" s="453" t="n"/>
      <c r="E1136" s="524" t="n">
        <v>500000</v>
      </c>
      <c r="F1136" s="73" t="inlineStr">
        <is>
          <t xml:space="preserve">Оплачено </t>
        </is>
      </c>
      <c r="H1136" s="456" t="inlineStr">
        <is>
          <t xml:space="preserve">упаковка </t>
        </is>
      </c>
    </row>
    <row r="1137" ht="14.4" customHeight="1" s="1127">
      <c r="B1137" s="68" t="n"/>
      <c r="C1137" s="452" t="inlineStr">
        <is>
          <t>БАХМАН ИП</t>
        </is>
      </c>
      <c r="D1137" s="453" t="n"/>
      <c r="E1137" s="524" t="n">
        <v>500000</v>
      </c>
      <c r="F1137" s="73" t="inlineStr">
        <is>
          <t xml:space="preserve">Оплачено </t>
        </is>
      </c>
      <c r="H1137" s="456" t="inlineStr">
        <is>
          <t xml:space="preserve">Саша обеспечивает 1 млн. </t>
        </is>
      </c>
    </row>
    <row r="1138" ht="14.4" customHeight="1" s="1127">
      <c r="B1138" s="68" t="n"/>
      <c r="C1138" s="452" t="inlineStr">
        <is>
          <t>ИП QADAM</t>
        </is>
      </c>
      <c r="D1138" s="453" t="n"/>
      <c r="E1138" s="524" t="n">
        <v>742000</v>
      </c>
      <c r="F1138" s="73" t="inlineStr">
        <is>
          <t xml:space="preserve">Оплачено </t>
        </is>
      </c>
      <c r="H1138" s="456" t="inlineStr">
        <is>
          <t>200 000 000</t>
        </is>
      </c>
    </row>
    <row r="1139" ht="14.4" customHeight="1" s="1127">
      <c r="B1139" s="68" t="n"/>
      <c r="C1139" s="452" t="n"/>
      <c r="D1139" s="509" t="inlineStr">
        <is>
          <t>Итого:</t>
        </is>
      </c>
      <c r="E1139" s="524">
        <f>SUM(E1130:E1138)</f>
        <v/>
      </c>
      <c r="F1139" s="73" t="n"/>
      <c r="H1139" s="456" t="inlineStr">
        <is>
          <t>до 2023</t>
        </is>
      </c>
    </row>
    <row r="1140" ht="14.4" customHeight="1" s="1127">
      <c r="B1140" s="528" t="n">
        <v>46181</v>
      </c>
      <c r="C1140" s="452" t="inlineStr">
        <is>
          <t>Шымкентмай</t>
        </is>
      </c>
      <c r="D1140" s="542" t="inlineStr">
        <is>
          <t>по предоплате</t>
        </is>
      </c>
      <c r="E1140" s="524" t="n">
        <v>438000</v>
      </c>
      <c r="F1140" s="73" t="inlineStr">
        <is>
          <t xml:space="preserve">Оплачено </t>
        </is>
      </c>
    </row>
    <row r="1141" ht="14.4" customHeight="1" s="1127">
      <c r="B1141" s="68" t="n"/>
      <c r="C1141" s="452" t="inlineStr">
        <is>
          <t>ПРОТЭК-АЛМАТЫ ТОО</t>
        </is>
      </c>
      <c r="D1141" s="453" t="inlineStr">
        <is>
          <t>на стопе</t>
        </is>
      </c>
      <c r="E1141" s="524" t="n">
        <v>1424236</v>
      </c>
      <c r="F1141" s="73" t="inlineStr">
        <is>
          <t xml:space="preserve">Оплачено </t>
        </is>
      </c>
    </row>
    <row r="1142" ht="14.4" customHeight="1" s="1127">
      <c r="B1142" s="457" t="n"/>
      <c r="C1142" s="531" t="inlineStr">
        <is>
          <t>ТОО ППК Парус</t>
        </is>
      </c>
      <c r="D1142" s="68" t="n"/>
      <c r="E1142" s="524" t="n">
        <v>36769</v>
      </c>
      <c r="F1142" s="73" t="inlineStr">
        <is>
          <t xml:space="preserve">Оплачено </t>
        </is>
      </c>
    </row>
    <row r="1143" ht="14.4" customHeight="1" s="1127">
      <c r="B1143" s="457" t="n"/>
      <c r="C1143" s="531" t="inlineStr">
        <is>
          <t>Овощи Касым</t>
        </is>
      </c>
      <c r="D1143" s="453" t="n"/>
      <c r="E1143" s="524" t="n">
        <v>100000</v>
      </c>
      <c r="F1143" s="73" t="inlineStr">
        <is>
          <t xml:space="preserve">Оплачено </t>
        </is>
      </c>
    </row>
    <row r="1144" ht="14.4" customHeight="1" s="1127">
      <c r="B1144" s="457" t="n"/>
      <c r="C1144" s="452" t="inlineStr">
        <is>
          <t>Витамин</t>
        </is>
      </c>
      <c r="D1144" s="545" t="n"/>
      <c r="E1144" s="524" t="n">
        <v>1000000</v>
      </c>
      <c r="F1144" s="73" t="inlineStr">
        <is>
          <t xml:space="preserve">Оплачено </t>
        </is>
      </c>
    </row>
    <row r="1145" ht="14.4" customHeight="1" s="1127">
      <c r="B1145" s="68" t="n"/>
      <c r="C1145" s="452" t="inlineStr">
        <is>
          <t>Global Halal Food ТОО</t>
        </is>
      </c>
      <c r="D1145" s="68" t="n"/>
      <c r="E1145" s="524" t="n">
        <v>637988</v>
      </c>
      <c r="F1145" s="73" t="inlineStr">
        <is>
          <t xml:space="preserve">Оплачено </t>
        </is>
      </c>
    </row>
    <row r="1146" ht="14.4" customHeight="1" s="1127">
      <c r="B1146" s="68" t="n"/>
      <c r="C1146" s="531" t="n"/>
      <c r="D1146" s="509" t="inlineStr">
        <is>
          <t>Итого:</t>
        </is>
      </c>
      <c r="E1146" s="524">
        <f>SUM(E1140:E1145)</f>
        <v/>
      </c>
      <c r="F1146" s="73" t="n"/>
    </row>
    <row r="1147" ht="14.4" customHeight="1" s="1127">
      <c r="B1147" s="528" t="n">
        <v>46181</v>
      </c>
      <c r="C1147" s="452" t="inlineStr">
        <is>
          <t>ТОО "Office-Expert.kz"</t>
        </is>
      </c>
      <c r="D1147" s="68" t="n"/>
      <c r="E1147" s="524" t="n">
        <v>16060</v>
      </c>
      <c r="F1147" s="73" t="inlineStr">
        <is>
          <t xml:space="preserve">Оплачено </t>
        </is>
      </c>
    </row>
    <row r="1148" ht="14.4" customHeight="1" s="1127">
      <c r="B1148" s="68" t="n"/>
      <c r="C1148" s="531" t="inlineStr">
        <is>
          <t>Иналка Фуд Сервис ТОО</t>
        </is>
      </c>
      <c r="D1148" s="68" t="n"/>
      <c r="E1148" s="524" t="n">
        <v>1000000</v>
      </c>
      <c r="F1148" s="73" t="inlineStr">
        <is>
          <t xml:space="preserve">Оплачено </t>
        </is>
      </c>
    </row>
    <row r="1149" ht="14.4" customHeight="1" s="1127">
      <c r="B1149" s="68" t="n"/>
      <c r="C1149" s="531" t="inlineStr">
        <is>
          <t>Almaty Develop STM ТОО</t>
        </is>
      </c>
      <c r="D1149" s="544" t="n"/>
      <c r="E1149" s="524" t="n">
        <v>500000</v>
      </c>
      <c r="F1149" s="73" t="inlineStr">
        <is>
          <t xml:space="preserve">Оплачено </t>
        </is>
      </c>
    </row>
    <row r="1150" ht="14.4" customHeight="1" s="1127">
      <c r="B1150" s="68" t="n"/>
      <c r="C1150" s="452" t="inlineStr">
        <is>
          <t>QAZAQ SAPA GROUP ТОО</t>
        </is>
      </c>
      <c r="D1150" s="68" t="n"/>
      <c r="E1150" s="524" t="n">
        <v>1076001</v>
      </c>
      <c r="F1150" s="73" t="inlineStr">
        <is>
          <t xml:space="preserve">Оплачено </t>
        </is>
      </c>
    </row>
    <row r="1151" ht="14.4" customHeight="1" s="1127">
      <c r="B1151" s="68" t="n"/>
      <c r="C1151" s="452" t="inlineStr">
        <is>
          <t>KazBeef Processing (КазБиф Процессинг) ТОО</t>
        </is>
      </c>
      <c r="D1151" s="453" t="inlineStr">
        <is>
          <t>по ГП</t>
        </is>
      </c>
      <c r="E1151" s="524" t="n">
        <v>1838921</v>
      </c>
      <c r="F1151" s="73" t="inlineStr">
        <is>
          <t xml:space="preserve">Оплачено </t>
        </is>
      </c>
    </row>
    <row r="1152" ht="14.4" customHeight="1" s="1127">
      <c r="B1152" s="68" t="n"/>
      <c r="C1152" s="452" t="inlineStr">
        <is>
          <t>StroyLux ТОО</t>
        </is>
      </c>
      <c r="D1152" s="68" t="n"/>
      <c r="E1152" s="524" t="n">
        <v>500000</v>
      </c>
      <c r="F1152" s="73" t="inlineStr">
        <is>
          <t xml:space="preserve">Оплачено </t>
        </is>
      </c>
    </row>
    <row r="1153" ht="14.4" customHeight="1" s="1127">
      <c r="B1153" s="68" t="n"/>
      <c r="C1153" s="452" t="n"/>
      <c r="D1153" s="509" t="inlineStr">
        <is>
          <t>Итого:</t>
        </is>
      </c>
      <c r="E1153" s="524">
        <f>SUM(E1147:E1152)</f>
        <v/>
      </c>
      <c r="F1153" s="73" t="n"/>
    </row>
    <row r="1154" ht="14.4" customHeight="1" s="1127">
      <c r="B1154" s="528" t="n">
        <v>46182</v>
      </c>
      <c r="C1154" s="531" t="inlineStr">
        <is>
          <t>KazOptFood ТОО</t>
        </is>
      </c>
      <c r="D1154" s="542" t="inlineStr">
        <is>
          <t>по предоплате</t>
        </is>
      </c>
      <c r="E1154" s="524" t="n">
        <v>170400</v>
      </c>
      <c r="F1154" s="73" t="inlineStr">
        <is>
          <t xml:space="preserve">Оплачено </t>
        </is>
      </c>
    </row>
    <row r="1155" ht="14.4" customHeight="1" s="1127">
      <c r="B1155" s="68" t="n"/>
      <c r="C1155" s="531" t="inlineStr">
        <is>
          <t>ARDO plast ТОО</t>
        </is>
      </c>
      <c r="D1155" s="542" t="inlineStr">
        <is>
          <t>по предоплате</t>
        </is>
      </c>
      <c r="E1155" s="524" t="n">
        <v>127650</v>
      </c>
      <c r="F1155" s="73" t="inlineStr">
        <is>
          <t xml:space="preserve">Оплачено </t>
        </is>
      </c>
    </row>
    <row r="1156" ht="14.4" customHeight="1" s="1127">
      <c r="B1156" s="68" t="n"/>
      <c r="C1156" s="452" t="n"/>
      <c r="D1156" s="509" t="inlineStr">
        <is>
          <t>Итого:</t>
        </is>
      </c>
      <c r="E1156" s="524">
        <f>SUM(E1154:E1155)</f>
        <v/>
      </c>
      <c r="F1156" s="73" t="n"/>
    </row>
    <row r="1157" ht="14.4" customHeight="1" s="1127">
      <c r="B1157" s="528" t="n">
        <v>46182</v>
      </c>
      <c r="C1157" s="452" t="inlineStr">
        <is>
          <t>Ирбис 2016  ТОО</t>
        </is>
      </c>
      <c r="D1157" s="542" t="inlineStr">
        <is>
          <t>по предоплате</t>
        </is>
      </c>
      <c r="E1157" s="524" t="n">
        <v>78000</v>
      </c>
      <c r="F1157" s="73" t="inlineStr">
        <is>
          <t xml:space="preserve">Оплачено </t>
        </is>
      </c>
    </row>
    <row r="1158" ht="14.4" customHeight="1" s="1127">
      <c r="B1158" s="68" t="n"/>
      <c r="C1158" s="531" t="inlineStr">
        <is>
          <t>Лейпурин ТОО</t>
        </is>
      </c>
      <c r="D1158" s="542" t="inlineStr">
        <is>
          <t>по предоплате</t>
        </is>
      </c>
      <c r="E1158" s="524" t="n">
        <v>146100</v>
      </c>
      <c r="F1158" s="73" t="inlineStr">
        <is>
          <t xml:space="preserve">Оплачено </t>
        </is>
      </c>
    </row>
    <row r="1159" ht="14.4" customHeight="1" s="1127">
      <c r="B1159" s="68" t="n"/>
      <c r="C1159" s="452" t="inlineStr">
        <is>
          <t>Витамин+</t>
        </is>
      </c>
      <c r="D1159" s="545" t="n"/>
      <c r="E1159" s="524" t="n">
        <v>500000</v>
      </c>
      <c r="F1159" s="73" t="inlineStr">
        <is>
          <t xml:space="preserve">Оплачено </t>
        </is>
      </c>
    </row>
    <row r="1160" ht="14.4" customHeight="1" s="1127">
      <c r="B1160" s="68" t="n"/>
      <c r="C1160" s="452" t="inlineStr">
        <is>
          <t>Орими СА ТОО</t>
        </is>
      </c>
      <c r="D1160" s="542" t="inlineStr">
        <is>
          <t>по предоплате</t>
        </is>
      </c>
      <c r="E1160" s="524" t="n">
        <v>197120</v>
      </c>
      <c r="F1160" s="73" t="inlineStr">
        <is>
          <t xml:space="preserve">Оплачено </t>
        </is>
      </c>
    </row>
    <row r="1161" ht="14.4" customHeight="1" s="1127">
      <c r="B1161" s="68" t="n"/>
      <c r="C1161" s="452" t="inlineStr">
        <is>
          <t>Food Company ТОО</t>
        </is>
      </c>
      <c r="D1161" s="542" t="inlineStr">
        <is>
          <t>по предоплате</t>
        </is>
      </c>
      <c r="E1161" s="524" t="n">
        <v>125200</v>
      </c>
      <c r="F1161" s="73" t="inlineStr">
        <is>
          <t xml:space="preserve">Оплачено </t>
        </is>
      </c>
    </row>
    <row r="1162" ht="14.4" customHeight="1" s="1127">
      <c r="B1162" s="68" t="n"/>
      <c r="C1162" s="452" t="inlineStr">
        <is>
          <t>Исмагулов ИП</t>
        </is>
      </c>
      <c r="D1162" s="453" t="inlineStr">
        <is>
          <t>на стопе</t>
        </is>
      </c>
      <c r="E1162" s="524" t="n">
        <v>1126000</v>
      </c>
      <c r="F1162" s="73" t="inlineStr">
        <is>
          <t xml:space="preserve">Оплачено </t>
        </is>
      </c>
    </row>
    <row r="1163" ht="14.4" customHeight="1" s="1127">
      <c r="B1163" s="68" t="n"/>
      <c r="C1163" s="531" t="inlineStr">
        <is>
          <t>DFK food ИП</t>
        </is>
      </c>
      <c r="D1163" s="453" t="inlineStr">
        <is>
          <t>на стопе</t>
        </is>
      </c>
      <c r="E1163" s="524" t="n">
        <v>353400</v>
      </c>
      <c r="F1163" s="73" t="inlineStr">
        <is>
          <t xml:space="preserve">Оплачено </t>
        </is>
      </c>
    </row>
    <row r="1164" ht="14.4" customHeight="1" s="1127">
      <c r="B1164" s="68" t="n"/>
      <c r="C1164" s="452" t="inlineStr">
        <is>
          <t>Berry Company ТОО</t>
        </is>
      </c>
      <c r="D1164" s="453" t="inlineStr">
        <is>
          <t>на стопе</t>
        </is>
      </c>
      <c r="E1164" s="524" t="n">
        <v>1000000</v>
      </c>
      <c r="F1164" s="73" t="inlineStr">
        <is>
          <t xml:space="preserve">Оплачено </t>
        </is>
      </c>
    </row>
    <row r="1165" ht="14.4" customHeight="1" s="1127">
      <c r="B1165" s="68" t="n"/>
      <c r="C1165" s="505" t="inlineStr">
        <is>
          <t>Art Food ИП</t>
        </is>
      </c>
      <c r="D1165" s="453" t="inlineStr">
        <is>
          <t>на стопе</t>
        </is>
      </c>
      <c r="E1165" s="524" t="n">
        <v>509920</v>
      </c>
      <c r="F1165" s="73" t="inlineStr">
        <is>
          <t xml:space="preserve">Оплачено </t>
        </is>
      </c>
    </row>
    <row r="1166" ht="14.4" customHeight="1" s="1127">
      <c r="B1166" s="68" t="n"/>
      <c r="C1166" s="452" t="inlineStr">
        <is>
          <t>Казойл Продакшн А ТОО</t>
        </is>
      </c>
      <c r="D1166" s="453" t="inlineStr">
        <is>
          <t>на стопе</t>
        </is>
      </c>
      <c r="E1166" s="524" t="n">
        <v>1200000</v>
      </c>
      <c r="F1166" s="73" t="inlineStr">
        <is>
          <t xml:space="preserve">Оплачено </t>
        </is>
      </c>
    </row>
    <row r="1167" ht="14.4" customHeight="1" s="1127">
      <c r="B1167" s="68" t="n"/>
      <c r="C1167" s="452" t="inlineStr">
        <is>
          <t>Сергей логист</t>
        </is>
      </c>
      <c r="D1167" s="68" t="n"/>
      <c r="E1167" s="524" t="n">
        <v>1000000</v>
      </c>
      <c r="F1167" s="73" t="inlineStr">
        <is>
          <t xml:space="preserve">Оплачено </t>
        </is>
      </c>
    </row>
    <row r="1168" ht="14.4" customHeight="1" s="1127">
      <c r="B1168" s="68" t="n"/>
      <c r="C1168" s="452" t="n"/>
      <c r="D1168" s="509" t="inlineStr">
        <is>
          <t>Итого:</t>
        </is>
      </c>
      <c r="E1168" s="524">
        <f>SUM(E1157:E1167)</f>
        <v/>
      </c>
      <c r="F1168" s="73" t="n"/>
    </row>
    <row r="1169" ht="14.4" customHeight="1" s="1127">
      <c r="B1169" s="528" t="n">
        <v>46183</v>
      </c>
      <c r="C1169" s="452" t="inlineStr">
        <is>
          <t>Lirumax ТОО</t>
        </is>
      </c>
      <c r="D1169" s="453" t="inlineStr">
        <is>
          <t>на стопе</t>
        </is>
      </c>
      <c r="E1169" s="524" t="n">
        <v>291120</v>
      </c>
      <c r="F1169" s="73" t="inlineStr">
        <is>
          <t xml:space="preserve">Оплачено </t>
        </is>
      </c>
    </row>
    <row r="1170" ht="14.4" customHeight="1" s="1127">
      <c r="B1170" s="68" t="n"/>
      <c r="C1170" s="452" t="inlineStr">
        <is>
          <t>Viki-Kazakhstan ТОО</t>
        </is>
      </c>
      <c r="D1170" s="546" t="inlineStr">
        <is>
          <t>на стопе, оплатить ровно эту сумму</t>
        </is>
      </c>
      <c r="E1170" s="524" t="n">
        <v>1433916</v>
      </c>
      <c r="F1170" s="73" t="inlineStr">
        <is>
          <t xml:space="preserve">Оплачено </t>
        </is>
      </c>
    </row>
    <row r="1171" ht="14.4" customHeight="1" s="1127">
      <c r="B1171" s="68" t="n"/>
      <c r="C1171" s="452" t="n"/>
      <c r="D1171" s="509" t="inlineStr">
        <is>
          <t>Итого:</t>
        </is>
      </c>
      <c r="E1171" s="524">
        <f>SUM(E1169:E1170)</f>
        <v/>
      </c>
      <c r="F1171" s="73" t="n"/>
    </row>
    <row r="1172" ht="14.4" customHeight="1" s="1127">
      <c r="B1172" s="528" t="n">
        <v>46184</v>
      </c>
      <c r="C1172" s="452" t="inlineStr">
        <is>
          <t>Евразиан Фудс Корпорэйшн АО</t>
        </is>
      </c>
      <c r="D1172" s="453" t="inlineStr">
        <is>
          <t>ДЗ, на стопе</t>
        </is>
      </c>
      <c r="E1172" s="524" t="n">
        <v>500000</v>
      </c>
      <c r="F1172" s="73" t="inlineStr">
        <is>
          <t xml:space="preserve">Оплачено </t>
        </is>
      </c>
    </row>
    <row r="1173" ht="14.4" customHeight="1" s="1127">
      <c r="B1173" s="68" t="n"/>
      <c r="C1173" s="452" t="inlineStr">
        <is>
          <t>БАХМАН ИП</t>
        </is>
      </c>
      <c r="D1173" s="68" t="n"/>
      <c r="E1173" s="524" t="n">
        <v>2500000</v>
      </c>
      <c r="F1173" s="73" t="inlineStr">
        <is>
          <t xml:space="preserve">Оплачено </t>
        </is>
      </c>
    </row>
    <row r="1174" ht="14.4" customHeight="1" s="1127">
      <c r="B1174" s="68" t="n"/>
      <c r="C1174" s="452" t="n"/>
      <c r="D1174" s="509" t="inlineStr">
        <is>
          <t>Итого:</t>
        </is>
      </c>
      <c r="E1174" s="524">
        <f>SUM(E1172:E1173)</f>
        <v/>
      </c>
      <c r="F1174" s="73" t="n"/>
    </row>
    <row r="1175" ht="14.4" customHeight="1" s="1127">
      <c r="B1175" s="528" t="n">
        <v>46184</v>
      </c>
      <c r="C1175" s="531" t="inlineStr">
        <is>
          <t>ARDO plast ТОО</t>
        </is>
      </c>
      <c r="D1175" s="542" t="inlineStr">
        <is>
          <t>остаток по предоплате</t>
        </is>
      </c>
      <c r="E1175" s="524" t="n">
        <v>242350</v>
      </c>
      <c r="F1175" s="73" t="inlineStr">
        <is>
          <t xml:space="preserve">Оплачено </t>
        </is>
      </c>
    </row>
    <row r="1176" ht="14.4" customHeight="1" s="1127">
      <c r="B1176" s="68" t="n"/>
      <c r="C1176" s="452" t="inlineStr">
        <is>
          <t>Almaty Develop STM ТОО</t>
        </is>
      </c>
      <c r="D1176" s="453" t="inlineStr">
        <is>
          <t>ДЗ</t>
        </is>
      </c>
      <c r="E1176" s="524" t="n">
        <v>400000</v>
      </c>
      <c r="F1176" s="73" t="inlineStr">
        <is>
          <t xml:space="preserve">Оплачено </t>
        </is>
      </c>
    </row>
    <row r="1177" ht="14.4" customHeight="1" s="1127">
      <c r="B1177" s="68" t="n"/>
      <c r="C1177" s="452" t="inlineStr">
        <is>
          <t>TGR Company ТОО</t>
        </is>
      </c>
      <c r="D1177" s="453" t="inlineStr">
        <is>
          <t>ДЗ</t>
        </is>
      </c>
      <c r="E1177" s="524" t="n">
        <v>420000</v>
      </c>
      <c r="F1177" s="73" t="inlineStr">
        <is>
          <t xml:space="preserve">Оплачено </t>
        </is>
      </c>
    </row>
    <row r="1178" ht="14.4" customHeight="1" s="1127">
      <c r="B1178" s="68" t="n"/>
      <c r="C1178" s="452" t="inlineStr">
        <is>
          <t>Касым овощи</t>
        </is>
      </c>
      <c r="D1178" s="545" t="n"/>
      <c r="E1178" s="524" t="n">
        <v>200000</v>
      </c>
      <c r="F1178" s="73" t="inlineStr">
        <is>
          <t xml:space="preserve">Оплачено </t>
        </is>
      </c>
    </row>
    <row r="1179" ht="14.4" customHeight="1" s="1127">
      <c r="B1179" s="68" t="n"/>
      <c r="C1179" s="452" t="inlineStr">
        <is>
          <t>Первомайские Деликатесы ТОО</t>
        </is>
      </c>
      <c r="D1179" s="68" t="n"/>
      <c r="E1179" s="524" t="n">
        <v>300000</v>
      </c>
      <c r="F1179" s="73" t="inlineStr">
        <is>
          <t xml:space="preserve">Оплачено </t>
        </is>
      </c>
    </row>
    <row r="1180" ht="14.4" customHeight="1" s="1127">
      <c r="B1180" s="68" t="n"/>
      <c r="C1180" s="452" t="inlineStr">
        <is>
          <t>SWEEZARD ТОО</t>
        </is>
      </c>
      <c r="D1180" s="453" t="n"/>
      <c r="E1180" s="524" t="n">
        <v>1000000</v>
      </c>
      <c r="F1180" s="73" t="inlineStr">
        <is>
          <t xml:space="preserve">Оплачено </t>
        </is>
      </c>
    </row>
    <row r="1181" ht="14.4" customHeight="1" s="1127">
      <c r="B1181" s="68" t="n"/>
      <c r="C1181" s="452" t="inlineStr">
        <is>
          <t>VGL Company ТОО</t>
        </is>
      </c>
      <c r="D1181" s="453" t="inlineStr">
        <is>
          <t>ДЗ</t>
        </is>
      </c>
      <c r="E1181" s="524" t="n">
        <v>235923</v>
      </c>
      <c r="F1181" s="73" t="inlineStr">
        <is>
          <t xml:space="preserve">Оплачено </t>
        </is>
      </c>
    </row>
    <row r="1182" ht="14.4" customHeight="1" s="1127">
      <c r="B1182" s="68" t="n"/>
      <c r="C1182" s="452" t="inlineStr">
        <is>
          <t>ТОО Salmon Group логистика Астана</t>
        </is>
      </c>
      <c r="D1182" s="545" t="n"/>
      <c r="E1182" s="524" t="n">
        <v>450000</v>
      </c>
      <c r="F1182" s="73" t="inlineStr">
        <is>
          <t xml:space="preserve">Оплачено </t>
        </is>
      </c>
    </row>
    <row r="1183" ht="14.4" customHeight="1" s="1127">
      <c r="B1183" s="68" t="n"/>
      <c r="C1183" s="531" t="inlineStr">
        <is>
          <t>Succes овощи Айкоркем ИП</t>
        </is>
      </c>
      <c r="D1183" s="453" t="inlineStr">
        <is>
          <t>ДЗ</t>
        </is>
      </c>
      <c r="E1183" s="524" t="n">
        <v>200000</v>
      </c>
      <c r="F1183" s="73" t="inlineStr">
        <is>
          <t xml:space="preserve">Оплачено </t>
        </is>
      </c>
    </row>
    <row r="1184" ht="14.4" customHeight="1" s="1127">
      <c r="B1184" s="68" t="n"/>
      <c r="C1184" s="452" t="inlineStr">
        <is>
          <t>Компания В ТОО</t>
        </is>
      </c>
      <c r="D1184" s="545" t="inlineStr">
        <is>
          <t>без оплаты не отгрузят товар</t>
        </is>
      </c>
      <c r="E1184" s="524" t="n">
        <v>2120000</v>
      </c>
      <c r="F1184" s="73" t="inlineStr">
        <is>
          <t xml:space="preserve">Оплачено </t>
        </is>
      </c>
    </row>
    <row r="1185" ht="14.4" customHeight="1" s="1127">
      <c r="B1185" s="68" t="n"/>
      <c r="C1185" s="505" t="inlineStr">
        <is>
          <t>Витамин +</t>
        </is>
      </c>
      <c r="D1185" s="453" t="n"/>
      <c r="E1185" s="524" t="n">
        <v>1000000</v>
      </c>
      <c r="F1185" s="73" t="inlineStr">
        <is>
          <t xml:space="preserve">Оплачено </t>
        </is>
      </c>
      <c r="H1185" s="456" t="inlineStr">
        <is>
          <t xml:space="preserve">  </t>
        </is>
      </c>
    </row>
    <row r="1186" ht="14.4" customHeight="1" s="1127">
      <c r="B1186" s="68" t="n"/>
      <c r="C1186" s="452" t="inlineStr">
        <is>
          <t>Color express ТОО</t>
        </is>
      </c>
      <c r="D1186" s="542" t="n"/>
      <c r="E1186" s="524" t="n">
        <v>276040</v>
      </c>
      <c r="F1186" s="73" t="inlineStr">
        <is>
          <t xml:space="preserve">Оплачено </t>
        </is>
      </c>
    </row>
    <row r="1187" ht="14.4" customHeight="1" s="1127">
      <c r="B1187" s="68" t="n"/>
      <c r="C1187" s="531" t="inlineStr">
        <is>
          <t>Kastorg ТОО</t>
        </is>
      </c>
      <c r="D1187" s="544" t="n"/>
      <c r="E1187" s="524" t="n">
        <v>123580</v>
      </c>
      <c r="F1187" s="73" t="inlineStr">
        <is>
          <t xml:space="preserve">Оплачено </t>
        </is>
      </c>
    </row>
    <row r="1188" ht="14.4" customHeight="1" s="1127">
      <c r="B1188" s="68" t="n"/>
      <c r="C1188" s="505" t="inlineStr">
        <is>
          <t>Ayala Trade TOO</t>
        </is>
      </c>
      <c r="D1188" s="453" t="n"/>
      <c r="E1188" s="524" t="n">
        <v>438940</v>
      </c>
      <c r="F1188" s="73" t="inlineStr">
        <is>
          <t xml:space="preserve">Оплачено </t>
        </is>
      </c>
    </row>
    <row r="1189" ht="14.4" customHeight="1" s="1127">
      <c r="B1189" s="68" t="n"/>
      <c r="C1189" s="452" t="inlineStr">
        <is>
          <t>Глобал Фуд ТОО</t>
        </is>
      </c>
      <c r="D1189" s="509" t="n"/>
      <c r="E1189" s="524" t="n">
        <v>700000</v>
      </c>
      <c r="F1189" s="73" t="inlineStr">
        <is>
          <t xml:space="preserve">Оплачено </t>
        </is>
      </c>
    </row>
    <row r="1190" ht="14.4" customHeight="1" s="1127">
      <c r="B1190" s="68" t="n"/>
      <c r="C1190" s="452" t="n"/>
      <c r="D1190" s="509" t="inlineStr">
        <is>
          <t>Итого:</t>
        </is>
      </c>
      <c r="E1190" s="524">
        <f>SUM(E1175:E1189)</f>
        <v/>
      </c>
      <c r="F1190" s="73" t="n"/>
    </row>
    <row r="1191" ht="14.4" customHeight="1" s="1127">
      <c r="B1191" s="528" t="n">
        <v>46185</v>
      </c>
      <c r="C1191" s="531" t="inlineStr">
        <is>
          <t>Handy Yummy ИП</t>
        </is>
      </c>
      <c r="D1191" s="453" t="inlineStr">
        <is>
          <t>по ГП</t>
        </is>
      </c>
      <c r="E1191" s="524" t="n">
        <v>800000</v>
      </c>
      <c r="F1191" s="73" t="inlineStr">
        <is>
          <t xml:space="preserve">Оплачено </t>
        </is>
      </c>
    </row>
    <row r="1192" ht="14.4" customHeight="1" s="1127">
      <c r="B1192" s="68" t="n"/>
      <c r="C1192" s="505" t="inlineStr">
        <is>
          <t>КазАгроПромТрейд ТОО</t>
        </is>
      </c>
      <c r="D1192" s="453" t="n"/>
      <c r="E1192" s="524" t="n">
        <v>500000</v>
      </c>
      <c r="F1192" s="73" t="inlineStr">
        <is>
          <t xml:space="preserve">Оплачено </t>
        </is>
      </c>
    </row>
    <row r="1193" ht="14.4" customHeight="1" s="1127">
      <c r="B1193" s="68" t="n"/>
      <c r="C1193" s="452" t="inlineStr">
        <is>
          <t>Касым овощи</t>
        </is>
      </c>
      <c r="D1193" s="545" t="n"/>
      <c r="E1193" s="524" t="n">
        <v>200000</v>
      </c>
      <c r="F1193" s="73" t="inlineStr">
        <is>
          <t xml:space="preserve">Оплачено </t>
        </is>
      </c>
    </row>
    <row r="1194" ht="14.4" customHeight="1" s="1127">
      <c r="B1194" s="68" t="n"/>
      <c r="C1194" s="452" t="n"/>
      <c r="D1194" s="509" t="inlineStr">
        <is>
          <t>Итого:</t>
        </is>
      </c>
      <c r="E1194" s="524">
        <f>SUM(E1191:E1193)</f>
        <v/>
      </c>
      <c r="F1194" s="73" t="n"/>
    </row>
    <row r="1195" ht="14.4" customHeight="1" s="1127">
      <c r="B1195" s="528" t="n">
        <v>46185</v>
      </c>
      <c r="C1195" s="505" t="inlineStr">
        <is>
          <t>Витамин +</t>
        </is>
      </c>
      <c r="D1195" s="542" t="n"/>
      <c r="E1195" s="524" t="n">
        <v>500000</v>
      </c>
      <c r="F1195" s="73" t="inlineStr">
        <is>
          <t xml:space="preserve">Оплачено </t>
        </is>
      </c>
    </row>
    <row r="1196" ht="14.4" customHeight="1" s="1127">
      <c r="B1196" s="68" t="n"/>
      <c r="C1196" s="452" t="n"/>
      <c r="D1196" s="509" t="inlineStr">
        <is>
          <t>Итого:</t>
        </is>
      </c>
      <c r="E1196" s="524">
        <f>SUM(E1195)</f>
        <v/>
      </c>
      <c r="F1196" s="73" t="n"/>
    </row>
    <row r="1197" ht="14.4" customHeight="1" s="1127">
      <c r="B1197" s="528" t="n">
        <v>46188</v>
      </c>
      <c r="C1197" s="452" t="inlineStr">
        <is>
          <t>Adolar</t>
        </is>
      </c>
      <c r="D1197" s="453" t="n"/>
      <c r="E1197" s="524" t="n">
        <v>2000000</v>
      </c>
      <c r="F1197" s="73" t="inlineStr">
        <is>
          <t xml:space="preserve">Оплачено </t>
        </is>
      </c>
    </row>
    <row r="1198" ht="14.4" customHeight="1" s="1127">
      <c r="B1198" s="68" t="n"/>
      <c r="C1198" s="452" t="inlineStr">
        <is>
          <t>Витамин+</t>
        </is>
      </c>
      <c r="D1198" s="453" t="n"/>
      <c r="E1198" s="524" t="n">
        <v>1000000</v>
      </c>
      <c r="F1198" s="73" t="inlineStr">
        <is>
          <t xml:space="preserve">Оплачено </t>
        </is>
      </c>
    </row>
    <row r="1199" ht="14.4" customHeight="1" s="1127">
      <c r="B1199" s="68" t="n"/>
      <c r="C1199" s="452" t="n"/>
      <c r="D1199" s="509" t="inlineStr">
        <is>
          <t>Итого:</t>
        </is>
      </c>
      <c r="E1199" s="524">
        <f>SUM(E1197:E1198)</f>
        <v/>
      </c>
      <c r="F1199" s="73" t="n"/>
    </row>
    <row r="1200" ht="14.4" customHeight="1" s="1127">
      <c r="B1200" s="528" t="n">
        <v>46188</v>
      </c>
      <c r="C1200" s="531" t="inlineStr">
        <is>
          <t xml:space="preserve"> ТОО "Lindström" (Линдстрем)</t>
        </is>
      </c>
      <c r="D1200" s="542" t="n"/>
      <c r="E1200" s="757" t="n">
        <v>601570.2</v>
      </c>
      <c r="F1200" s="73" t="inlineStr">
        <is>
          <t xml:space="preserve">Оплачено </t>
        </is>
      </c>
    </row>
    <row r="1201" ht="14.4" customHeight="1" s="1127">
      <c r="B1201" s="68" t="n"/>
      <c r="C1201" s="552" t="inlineStr">
        <is>
          <t>Казтехнолоджи Пак ТОО</t>
        </is>
      </c>
      <c r="D1201" s="545" t="n"/>
      <c r="E1201" s="524" t="n">
        <v>1558000</v>
      </c>
      <c r="F1201" s="73" t="inlineStr">
        <is>
          <t xml:space="preserve">Оплачено </t>
        </is>
      </c>
    </row>
    <row r="1202" ht="14.4" customHeight="1" s="1127">
      <c r="B1202" s="68" t="n"/>
      <c r="C1202" s="552" t="inlineStr">
        <is>
          <t>Шымкентмай</t>
        </is>
      </c>
      <c r="D1202" s="542" t="inlineStr">
        <is>
          <t>по предоплате</t>
        </is>
      </c>
      <c r="E1202" s="524" t="n">
        <v>547500</v>
      </c>
      <c r="F1202" s="73" t="inlineStr">
        <is>
          <t xml:space="preserve">Оплачено </t>
        </is>
      </c>
    </row>
    <row r="1203" ht="14.4" customHeight="1" s="1127">
      <c r="B1203" s="68" t="n"/>
      <c r="C1203" s="531" t="inlineStr">
        <is>
          <t>ИП Qadam нори</t>
        </is>
      </c>
      <c r="D1203" s="544" t="n"/>
      <c r="E1203" s="524" t="n">
        <v>742000</v>
      </c>
      <c r="F1203" s="73" t="inlineStr">
        <is>
          <t xml:space="preserve">Оплачено </t>
        </is>
      </c>
    </row>
    <row r="1204" ht="14.4" customHeight="1" s="1127">
      <c r="B1204" s="68" t="n"/>
      <c r="C1204" s="531" t="inlineStr">
        <is>
          <t>Касым овощи</t>
        </is>
      </c>
      <c r="D1204" s="542" t="n"/>
      <c r="E1204" s="524" t="n">
        <v>211024</v>
      </c>
      <c r="F1204" s="73" t="inlineStr">
        <is>
          <t xml:space="preserve">Оплачено </t>
        </is>
      </c>
    </row>
    <row r="1205" ht="14.4" customHeight="1" s="1127">
      <c r="B1205" s="68" t="n"/>
      <c r="C1205" s="531" t="inlineStr">
        <is>
          <t>Succes овощи Айкоркем ИП</t>
        </is>
      </c>
      <c r="D1205" s="453" t="n"/>
      <c r="E1205" s="524" t="n">
        <v>200000</v>
      </c>
      <c r="F1205" s="73" t="inlineStr">
        <is>
          <t xml:space="preserve">Оплачено </t>
        </is>
      </c>
    </row>
    <row r="1206" ht="14.4" customHeight="1" s="1127">
      <c r="B1206" s="68" t="n"/>
      <c r="C1206" s="552" t="inlineStr">
        <is>
          <t>ИП Бахман</t>
        </is>
      </c>
      <c r="D1206" s="545" t="n"/>
      <c r="E1206" s="548" t="n">
        <v>1500000</v>
      </c>
      <c r="F1206" s="73" t="inlineStr">
        <is>
          <t xml:space="preserve">Оплачено </t>
        </is>
      </c>
    </row>
    <row r="1207" ht="14.4" customHeight="1" s="1127">
      <c r="B1207" s="68" t="n"/>
      <c r="C1207" s="552" t="inlineStr">
        <is>
          <t>Ихсан Техногаз ТОО</t>
        </is>
      </c>
      <c r="D1207" s="542" t="inlineStr">
        <is>
          <t>по предоплате</t>
        </is>
      </c>
      <c r="E1207" s="524" t="n">
        <v>504000</v>
      </c>
      <c r="F1207" s="73" t="inlineStr">
        <is>
          <t xml:space="preserve">Оплачено </t>
        </is>
      </c>
    </row>
    <row r="1208" ht="14.4" customHeight="1" s="1127">
      <c r="B1208" s="68" t="n"/>
      <c r="C1208" s="531" t="inlineStr">
        <is>
          <t>Ирбис 2016  ТОО</t>
        </is>
      </c>
      <c r="D1208" s="542" t="inlineStr">
        <is>
          <t>по предоплате</t>
        </is>
      </c>
      <c r="E1208" s="524" t="n">
        <v>54408</v>
      </c>
      <c r="F1208" s="73" t="inlineStr">
        <is>
          <t xml:space="preserve">Оплачено </t>
        </is>
      </c>
    </row>
    <row r="1209" ht="14.4" customHeight="1" s="1127">
      <c r="B1209" s="68" t="n"/>
      <c r="C1209" s="552" t="inlineStr">
        <is>
          <t>Color express ТОО</t>
        </is>
      </c>
      <c r="D1209" s="545" t="n"/>
      <c r="E1209" s="524" t="n">
        <v>427720</v>
      </c>
      <c r="F1209" s="73" t="inlineStr">
        <is>
          <t xml:space="preserve">Оплачено </t>
        </is>
      </c>
    </row>
    <row r="1210" ht="14.4" customHeight="1" s="1127">
      <c r="B1210" s="68" t="n"/>
      <c r="C1210" s="452" t="n"/>
      <c r="D1210" s="509" t="inlineStr">
        <is>
          <t>Итого:</t>
        </is>
      </c>
      <c r="E1210" s="757">
        <f>SUM(E1200:E1209)</f>
        <v/>
      </c>
      <c r="F1210" s="73" t="n"/>
    </row>
    <row r="1211" ht="14.4" customHeight="1" s="1127">
      <c r="B1211" s="528" t="n">
        <v>46189</v>
      </c>
      <c r="C1211" s="552" t="inlineStr">
        <is>
          <t>Витамин+</t>
        </is>
      </c>
      <c r="D1211" s="453" t="n"/>
      <c r="E1211" s="524" t="n">
        <v>500000</v>
      </c>
      <c r="F1211" s="73" t="inlineStr">
        <is>
          <t xml:space="preserve">Оплачено </t>
        </is>
      </c>
    </row>
    <row r="1212" ht="14.4" customHeight="1" s="1127">
      <c r="B1212" s="68" t="n"/>
      <c r="C1212" s="552" t="inlineStr">
        <is>
          <t>ИП DFK Food</t>
        </is>
      </c>
      <c r="D1212" s="542" t="inlineStr">
        <is>
          <t>по предоплате</t>
        </is>
      </c>
      <c r="E1212" s="524" t="n">
        <v>293850</v>
      </c>
      <c r="F1212" s="73" t="inlineStr">
        <is>
          <t xml:space="preserve">Оплачено </t>
        </is>
      </c>
    </row>
    <row r="1213" ht="14.4" customHeight="1" s="1127">
      <c r="B1213" s="68" t="n"/>
      <c r="C1213" s="552" t="inlineStr">
        <is>
          <t>ЭКОХИММАШ – АЗИЯ ТОО</t>
        </is>
      </c>
      <c r="D1213" s="453" t="inlineStr">
        <is>
          <t>ДЗ</t>
        </is>
      </c>
      <c r="E1213" s="524" t="n">
        <v>298341</v>
      </c>
      <c r="F1213" s="73" t="inlineStr">
        <is>
          <t xml:space="preserve">Оплачено </t>
        </is>
      </c>
    </row>
    <row r="1214" ht="14.4" customHeight="1" s="1127">
      <c r="B1214" s="68" t="n"/>
      <c r="C1214" s="552" t="inlineStr">
        <is>
          <t>Компания Фудмастер-Трэйд ТОО</t>
        </is>
      </c>
      <c r="D1214" s="453" t="inlineStr">
        <is>
          <t>на стопе</t>
        </is>
      </c>
      <c r="E1214" s="524" t="n">
        <v>86778</v>
      </c>
      <c r="F1214" s="73" t="inlineStr">
        <is>
          <t xml:space="preserve">Оплачено </t>
        </is>
      </c>
    </row>
    <row r="1215" ht="14.4" customHeight="1" s="1127">
      <c r="B1215" s="68" t="n"/>
      <c r="C1215" s="531" t="inlineStr">
        <is>
          <t>Евразиан Фудс Корпорэйшн АО</t>
        </is>
      </c>
      <c r="D1215" s="453" t="inlineStr">
        <is>
          <t>ДЗ</t>
        </is>
      </c>
      <c r="E1215" s="524" t="n">
        <v>400000</v>
      </c>
      <c r="F1215" s="73" t="inlineStr">
        <is>
          <t xml:space="preserve">Оплачено </t>
        </is>
      </c>
    </row>
    <row r="1216" ht="14.4" customHeight="1" s="1127">
      <c r="B1216" s="68" t="n"/>
      <c r="C1216" s="531" t="inlineStr">
        <is>
          <t>Art Food ИП</t>
        </is>
      </c>
      <c r="D1216" s="453" t="inlineStr">
        <is>
          <t>ДЗ</t>
        </is>
      </c>
      <c r="E1216" s="524" t="n">
        <v>228388</v>
      </c>
      <c r="F1216" s="73" t="inlineStr">
        <is>
          <t xml:space="preserve">Оплачено </t>
        </is>
      </c>
    </row>
    <row r="1217" ht="14.4" customHeight="1" s="1127">
      <c r="B1217" s="68" t="n"/>
      <c r="C1217" s="552" t="inlineStr">
        <is>
          <t>Исмагулов ИП</t>
        </is>
      </c>
      <c r="D1217" s="453" t="inlineStr">
        <is>
          <t>ДЗ</t>
        </is>
      </c>
      <c r="E1217" s="524" t="n">
        <v>500000</v>
      </c>
      <c r="F1217" s="73" t="inlineStr">
        <is>
          <t xml:space="preserve">Оплачено </t>
        </is>
      </c>
    </row>
    <row r="1218" ht="14.4" customHeight="1" s="1127">
      <c r="B1218" s="68" t="n"/>
      <c r="C1218" s="552" t="inlineStr">
        <is>
          <t>Иналка Фуд Сервис ТОО</t>
        </is>
      </c>
      <c r="D1218" s="453" t="inlineStr">
        <is>
          <t>ДЗ</t>
        </is>
      </c>
      <c r="E1218" s="524" t="n">
        <v>320000</v>
      </c>
      <c r="F1218" s="73" t="inlineStr">
        <is>
          <t xml:space="preserve">Оплачено </t>
        </is>
      </c>
    </row>
    <row r="1219" ht="14.4" customHeight="1" s="1127">
      <c r="B1219" s="68" t="n"/>
      <c r="C1219" s="552" t="inlineStr">
        <is>
          <t>Инарин ТОО</t>
        </is>
      </c>
      <c r="D1219" s="453" t="n"/>
      <c r="E1219" s="524" t="n">
        <v>106020</v>
      </c>
      <c r="F1219" s="73" t="inlineStr">
        <is>
          <t xml:space="preserve">Оплачено </t>
        </is>
      </c>
    </row>
    <row r="1220" ht="14.4" customHeight="1" s="1127">
      <c r="B1220" s="68" t="n"/>
      <c r="C1220" s="531" t="inlineStr">
        <is>
          <t>Фудтехника ТОО</t>
        </is>
      </c>
      <c r="D1220" s="542" t="inlineStr">
        <is>
          <t>по предоплате</t>
        </is>
      </c>
      <c r="E1220" s="524" t="n">
        <v>300000</v>
      </c>
      <c r="F1220" s="73" t="inlineStr">
        <is>
          <t xml:space="preserve">Оплачено </t>
        </is>
      </c>
    </row>
    <row r="1221" ht="14.4" customHeight="1" s="1127">
      <c r="B1221" s="68" t="n"/>
      <c r="C1221" s="531" t="inlineStr">
        <is>
          <t>Food Company ТОО</t>
        </is>
      </c>
      <c r="D1221" s="542" t="inlineStr">
        <is>
          <t>по предоплате</t>
        </is>
      </c>
      <c r="E1221" s="524" t="n">
        <v>232800</v>
      </c>
      <c r="F1221" s="73" t="inlineStr">
        <is>
          <t xml:space="preserve">Оплачено </t>
        </is>
      </c>
    </row>
    <row r="1222" ht="14.4" customHeight="1" s="1127">
      <c r="B1222" s="68" t="n"/>
      <c r="C1222" s="552" t="inlineStr">
        <is>
          <t>CityFood Trade ТОО</t>
        </is>
      </c>
      <c r="D1222" s="453" t="inlineStr">
        <is>
          <t>ДЗ</t>
        </is>
      </c>
      <c r="E1222" s="524" t="n">
        <v>500000</v>
      </c>
      <c r="F1222" s="73" t="inlineStr">
        <is>
          <t xml:space="preserve">Оплачено </t>
        </is>
      </c>
    </row>
    <row r="1223" ht="14.4" customHeight="1" s="1127">
      <c r="B1223" s="68" t="n"/>
      <c r="C1223" s="552" t="inlineStr">
        <is>
          <t>Viki-Kazakhstan ТОО</t>
        </is>
      </c>
      <c r="D1223" s="453" t="n"/>
      <c r="E1223" s="524" t="n">
        <v>300000</v>
      </c>
      <c r="F1223" s="73" t="inlineStr">
        <is>
          <t xml:space="preserve">Оплачено </t>
        </is>
      </c>
    </row>
    <row r="1224" ht="14.4" customHeight="1" s="1127">
      <c r="B1224" s="49" t="n"/>
      <c r="C1224" s="531" t="inlineStr">
        <is>
          <t xml:space="preserve">Фуд Маркет </t>
        </is>
      </c>
      <c r="D1224" s="542" t="inlineStr">
        <is>
          <t>по предоплате</t>
        </is>
      </c>
      <c r="E1224" s="524" t="n">
        <v>187200</v>
      </c>
      <c r="F1224" s="73" t="inlineStr">
        <is>
          <t xml:space="preserve">Оплачено </t>
        </is>
      </c>
    </row>
    <row r="1225" ht="14.4" customHeight="1" s="1127">
      <c r="B1225" s="49" t="n"/>
      <c r="C1225" s="552" t="inlineStr">
        <is>
          <t>Сергей логист</t>
        </is>
      </c>
      <c r="D1225" s="68" t="n"/>
      <c r="E1225" s="524" t="n">
        <v>500000</v>
      </c>
      <c r="F1225" s="73" t="inlineStr">
        <is>
          <t xml:space="preserve">Оплачено </t>
        </is>
      </c>
    </row>
    <row r="1226" ht="14.4" customHeight="1" s="1127">
      <c r="B1226" s="68" t="n"/>
      <c r="C1226" s="552" t="n"/>
      <c r="D1226" s="509" t="inlineStr">
        <is>
          <t>Итого:</t>
        </is>
      </c>
      <c r="E1226" s="524">
        <f>SUM(E1211:E1225)</f>
        <v/>
      </c>
      <c r="F1226" s="73" t="n"/>
    </row>
    <row r="1227" ht="14.4" customHeight="1" s="1127">
      <c r="B1227" s="528" t="n">
        <v>46191</v>
      </c>
      <c r="C1227" s="531" t="inlineStr">
        <is>
          <t>Flame group ТОО</t>
        </is>
      </c>
      <c r="D1227" s="549" t="n"/>
      <c r="E1227" s="524" t="n">
        <v>1500000</v>
      </c>
      <c r="F1227" s="73" t="inlineStr">
        <is>
          <t xml:space="preserve">Оплачено </t>
        </is>
      </c>
    </row>
    <row r="1228" ht="14.4" customHeight="1" s="1127">
      <c r="B1228" s="68" t="n"/>
      <c r="C1228" s="552" t="inlineStr">
        <is>
          <t>ДЭР ТОО</t>
        </is>
      </c>
      <c r="D1228" s="550" t="inlineStr">
        <is>
          <t>ДЗ, на стопе</t>
        </is>
      </c>
      <c r="E1228" s="524" t="n">
        <v>300000</v>
      </c>
      <c r="F1228" s="73" t="inlineStr">
        <is>
          <t xml:space="preserve">Оплачено </t>
        </is>
      </c>
    </row>
    <row r="1229" ht="14.4" customHeight="1" s="1127">
      <c r="B1229" s="68" t="n"/>
      <c r="C1229" s="552" t="inlineStr">
        <is>
          <t>Элита-Трейд ТОО</t>
        </is>
      </c>
      <c r="D1229" s="550" t="inlineStr">
        <is>
          <t>ДЗ, на стопе</t>
        </is>
      </c>
      <c r="E1229" s="524" t="n">
        <v>300000</v>
      </c>
      <c r="F1229" s="73" t="inlineStr">
        <is>
          <t xml:space="preserve">Оплачено </t>
        </is>
      </c>
    </row>
    <row r="1230" ht="14.4" customHeight="1" s="1127">
      <c r="B1230" s="68" t="n"/>
      <c r="C1230" s="552" t="n"/>
      <c r="D1230" s="509" t="inlineStr">
        <is>
          <t>Итого:</t>
        </is>
      </c>
      <c r="E1230" s="524">
        <f>SUM(E1227:E1229)</f>
        <v/>
      </c>
      <c r="F1230" s="73" t="n"/>
    </row>
    <row r="1231" ht="14.4" customHeight="1" s="1127">
      <c r="B1231" s="528" t="n">
        <v>46191</v>
      </c>
      <c r="C1231" s="531" t="inlineStr">
        <is>
          <t>Сергей логист</t>
        </is>
      </c>
      <c r="D1231" s="453" t="n"/>
      <c r="E1231" s="524" t="n">
        <v>1500000</v>
      </c>
      <c r="F1231" s="73" t="inlineStr">
        <is>
          <t xml:space="preserve">Оплачено </t>
        </is>
      </c>
    </row>
    <row r="1232" ht="14.4" customHeight="1" s="1127">
      <c r="B1232" s="68" t="n"/>
      <c r="C1232" s="552" t="inlineStr">
        <is>
          <t>Витамин+</t>
        </is>
      </c>
      <c r="D1232" s="509" t="n"/>
      <c r="E1232" s="524" t="n">
        <v>1000000</v>
      </c>
      <c r="F1232" s="73" t="inlineStr">
        <is>
          <t xml:space="preserve">Оплачено </t>
        </is>
      </c>
    </row>
    <row r="1233" ht="14.4" customHeight="1" s="1127">
      <c r="B1233" s="68" t="n"/>
      <c r="C1233" s="552" t="inlineStr">
        <is>
          <t>Ихсан Техногаз ТОО</t>
        </is>
      </c>
      <c r="D1233" s="542" t="inlineStr">
        <is>
          <t>по предоплате, на стопе</t>
        </is>
      </c>
      <c r="E1233" s="524" t="n">
        <v>528000</v>
      </c>
      <c r="F1233" s="73" t="inlineStr">
        <is>
          <t xml:space="preserve">Оплачено </t>
        </is>
      </c>
    </row>
    <row r="1234" ht="14.4" customHeight="1" s="1127">
      <c r="B1234" s="68" t="n"/>
      <c r="C1234" s="552" t="inlineStr">
        <is>
          <t>IntellPack Емельянов ИП</t>
        </is>
      </c>
      <c r="D1234" s="550" t="inlineStr">
        <is>
          <t>ДЗ</t>
        </is>
      </c>
      <c r="E1234" s="524" t="n">
        <v>575334</v>
      </c>
      <c r="F1234" s="73" t="inlineStr">
        <is>
          <t xml:space="preserve">Оплачено </t>
        </is>
      </c>
    </row>
    <row r="1235" ht="14.4" customHeight="1" s="1127">
      <c r="B1235" s="49" t="n"/>
      <c r="C1235" s="531" t="inlineStr">
        <is>
          <t>ПРОТЭК</t>
        </is>
      </c>
      <c r="D1235" s="550" t="inlineStr">
        <is>
          <t>ДЗ</t>
        </is>
      </c>
      <c r="E1235" s="524" t="n">
        <v>500000</v>
      </c>
      <c r="F1235" s="73" t="inlineStr">
        <is>
          <t xml:space="preserve">Оплачено </t>
        </is>
      </c>
      <c r="H1235" s="456" t="inlineStr">
        <is>
          <t xml:space="preserve"> </t>
        </is>
      </c>
    </row>
    <row r="1236" ht="14.4" customHeight="1" s="1127">
      <c r="B1236" s="49" t="n"/>
      <c r="C1236" s="531" t="inlineStr">
        <is>
          <t>CityFood Trade ТОО</t>
        </is>
      </c>
      <c r="D1236" s="550" t="inlineStr">
        <is>
          <t>ДЗ</t>
        </is>
      </c>
      <c r="E1236" s="524" t="n">
        <v>500000</v>
      </c>
      <c r="F1236" s="73" t="inlineStr">
        <is>
          <t xml:space="preserve">Оплачено </t>
        </is>
      </c>
    </row>
    <row r="1237" ht="14.4" customHeight="1" s="1127">
      <c r="B1237" s="49" t="n"/>
      <c r="C1237" s="531" t="inlineStr">
        <is>
          <t>Касым овощи</t>
        </is>
      </c>
      <c r="D1237" s="550" t="inlineStr">
        <is>
          <t>ДЗ</t>
        </is>
      </c>
      <c r="E1237" s="524" t="n">
        <v>308950</v>
      </c>
      <c r="F1237" s="73" t="inlineStr">
        <is>
          <t xml:space="preserve">Оплачено </t>
        </is>
      </c>
    </row>
    <row r="1238" ht="14.4" customHeight="1" s="1127">
      <c r="B1238" s="49" t="n"/>
      <c r="C1238" s="531" t="inlineStr">
        <is>
          <t>Succes овощи Айкоркем ИП</t>
        </is>
      </c>
      <c r="D1238" s="550" t="inlineStr">
        <is>
          <t>ДЗ</t>
        </is>
      </c>
      <c r="E1238" s="524" t="n">
        <v>300000</v>
      </c>
      <c r="F1238" s="73" t="inlineStr">
        <is>
          <t xml:space="preserve">Оплачено </t>
        </is>
      </c>
    </row>
    <row r="1239" ht="14.4" customHeight="1" s="1127">
      <c r="B1239" s="68" t="n"/>
      <c r="C1239" s="452" t="inlineStr">
        <is>
          <t>QAZAQ SAPA GROUP ТОО</t>
        </is>
      </c>
      <c r="D1239" s="550" t="inlineStr">
        <is>
          <t>ДЗ</t>
        </is>
      </c>
      <c r="E1239" s="524" t="n">
        <v>504900</v>
      </c>
      <c r="F1239" s="73" t="inlineStr">
        <is>
          <t xml:space="preserve">Оплачено </t>
        </is>
      </c>
    </row>
    <row r="1240" ht="14.4" customHeight="1" s="1127">
      <c r="B1240" s="68" t="n"/>
      <c r="C1240" s="552" t="inlineStr">
        <is>
          <t>CIS market ТОО</t>
        </is>
      </c>
      <c r="D1240" s="550" t="inlineStr">
        <is>
          <t>ДЗ</t>
        </is>
      </c>
      <c r="E1240" s="524" t="n">
        <v>508750</v>
      </c>
      <c r="F1240" s="73" t="inlineStr">
        <is>
          <t xml:space="preserve">Оплачено </t>
        </is>
      </c>
      <c r="H1240" s="456" t="inlineStr">
        <is>
          <t xml:space="preserve">   </t>
        </is>
      </c>
    </row>
    <row r="1241" ht="14.4" customHeight="1" s="1127">
      <c r="B1241" s="49" t="n"/>
      <c r="C1241" s="552" t="inlineStr">
        <is>
          <t>Шымкентмай</t>
        </is>
      </c>
      <c r="D1241" s="550" t="inlineStr">
        <is>
          <t>по предоплате</t>
        </is>
      </c>
      <c r="E1241" s="524" t="n">
        <v>438000</v>
      </c>
      <c r="F1241" s="73" t="inlineStr">
        <is>
          <t xml:space="preserve">Оплачено </t>
        </is>
      </c>
    </row>
    <row r="1242" ht="14.4" customHeight="1" s="1127">
      <c r="B1242" s="49" t="n"/>
      <c r="C1242" s="531" t="inlineStr">
        <is>
          <t>Flame group ТОО</t>
        </is>
      </c>
      <c r="D1242" s="550" t="n"/>
      <c r="E1242" s="524" t="n">
        <v>1000000</v>
      </c>
      <c r="F1242" s="73" t="inlineStr">
        <is>
          <t xml:space="preserve">Оплачено </t>
        </is>
      </c>
    </row>
    <row r="1243" ht="14.4" customHeight="1" s="1127">
      <c r="B1243" s="49" t="n"/>
      <c r="C1243" s="531" t="n"/>
      <c r="D1243" s="509" t="inlineStr">
        <is>
          <t>Итого:</t>
        </is>
      </c>
      <c r="E1243" s="524">
        <f>SUM(E1231:E1242)</f>
        <v/>
      </c>
      <c r="F1243" s="73" t="n"/>
      <c r="H1243" s="456" t="inlineStr">
        <is>
          <t xml:space="preserve">  </t>
        </is>
      </c>
    </row>
    <row r="1244" ht="14.4" customHeight="1" s="1127">
      <c r="B1244" s="528" t="n">
        <v>46192</v>
      </c>
      <c r="C1244" s="531" t="inlineStr">
        <is>
          <t>ИП meat to eat</t>
        </is>
      </c>
      <c r="D1244" s="550" t="inlineStr">
        <is>
          <t>ХАЛАЛ</t>
        </is>
      </c>
      <c r="E1244" s="757" t="n">
        <v>27532.4</v>
      </c>
      <c r="F1244" s="73" t="inlineStr">
        <is>
          <t xml:space="preserve">Оплачено </t>
        </is>
      </c>
    </row>
    <row r="1245" ht="14.4" customHeight="1" s="1127">
      <c r="B1245" s="49" t="n"/>
      <c r="C1245" s="531" t="n"/>
      <c r="D1245" s="509" t="inlineStr">
        <is>
          <t>Итого:</t>
        </is>
      </c>
      <c r="E1245" s="757">
        <f>SUM(E1244)</f>
        <v/>
      </c>
      <c r="F1245" s="73" t="n"/>
    </row>
    <row r="1246" ht="14.4" customHeight="1" s="1127">
      <c r="B1246" s="528" t="n">
        <v>46192</v>
      </c>
      <c r="C1246" s="552" t="inlineStr">
        <is>
          <t>Бахман ИП</t>
        </is>
      </c>
      <c r="D1246" s="550" t="inlineStr">
        <is>
          <t>ДЗ</t>
        </is>
      </c>
      <c r="E1246" s="524" t="n">
        <v>1000000</v>
      </c>
      <c r="F1246" s="73" t="inlineStr">
        <is>
          <t xml:space="preserve">Оплачено </t>
        </is>
      </c>
    </row>
    <row r="1247" ht="14.4" customHeight="1" s="1127">
      <c r="B1247" s="49" t="n"/>
      <c r="C1247" s="452" t="inlineStr">
        <is>
          <t>ТОО Dizzy</t>
        </is>
      </c>
      <c r="D1247" s="542" t="n"/>
      <c r="E1247" s="524" t="n">
        <v>32040</v>
      </c>
      <c r="F1247" s="73" t="inlineStr">
        <is>
          <t xml:space="preserve">Оплачено </t>
        </is>
      </c>
    </row>
    <row r="1248" ht="14.4" customHeight="1" s="1127">
      <c r="B1248" s="49" t="n"/>
      <c r="C1248" s="531" t="inlineStr">
        <is>
          <t>ПРОТЭК</t>
        </is>
      </c>
      <c r="D1248" s="550" t="inlineStr">
        <is>
          <t>ДЗ</t>
        </is>
      </c>
      <c r="E1248" s="524" t="n">
        <v>500000</v>
      </c>
      <c r="F1248" s="73" t="inlineStr">
        <is>
          <t xml:space="preserve">Оплачено </t>
        </is>
      </c>
    </row>
    <row r="1249" ht="14.4" customHeight="1" s="1127">
      <c r="B1249" s="49" t="n"/>
      <c r="C1249" s="552" t="inlineStr">
        <is>
          <t>Мир Кондитера ИП</t>
        </is>
      </c>
      <c r="D1249" s="550" t="inlineStr">
        <is>
          <t>ДЗ</t>
        </is>
      </c>
      <c r="E1249" s="524" t="n">
        <v>302250</v>
      </c>
      <c r="F1249" s="73" t="inlineStr">
        <is>
          <t xml:space="preserve">Оплачено </t>
        </is>
      </c>
    </row>
    <row r="1250" ht="14.4" customHeight="1" s="1127">
      <c r="B1250" s="49" t="n"/>
      <c r="C1250" s="531" t="inlineStr">
        <is>
          <t>RB Brands ТОО</t>
        </is>
      </c>
      <c r="D1250" s="550" t="inlineStr">
        <is>
          <t>ДЗ</t>
        </is>
      </c>
      <c r="E1250" s="524" t="n">
        <v>285120</v>
      </c>
      <c r="F1250" s="73" t="inlineStr">
        <is>
          <t xml:space="preserve">Оплачено </t>
        </is>
      </c>
    </row>
    <row r="1251" ht="14.4" customHeight="1" s="1127">
      <c r="B1251" s="49" t="n"/>
      <c r="C1251" s="552" t="inlineStr">
        <is>
          <t>Ирмас ЛТД ТОО</t>
        </is>
      </c>
      <c r="D1251" s="550" t="inlineStr">
        <is>
          <t>ДЗ</t>
        </is>
      </c>
      <c r="E1251" s="524" t="n">
        <v>400000</v>
      </c>
      <c r="F1251" s="73" t="inlineStr">
        <is>
          <t xml:space="preserve">Оплачено </t>
        </is>
      </c>
    </row>
    <row r="1252" ht="14.4" customHeight="1" s="1127">
      <c r="B1252" s="49" t="n"/>
      <c r="C1252" s="452" t="inlineStr">
        <is>
          <t>Fresh Frozen ТОО</t>
        </is>
      </c>
      <c r="D1252" s="453" t="inlineStr">
        <is>
          <t>ДЗ</t>
        </is>
      </c>
      <c r="E1252" s="524" t="n">
        <v>400000</v>
      </c>
      <c r="F1252" s="73" t="inlineStr">
        <is>
          <t xml:space="preserve">Оплачено </t>
        </is>
      </c>
    </row>
    <row r="1253" ht="14.4" customHeight="1" s="1127">
      <c r="B1253" s="49" t="n"/>
      <c r="C1253" s="452" t="inlineStr">
        <is>
          <t>Frozen Fruit ТОО</t>
        </is>
      </c>
      <c r="D1253" s="453" t="inlineStr">
        <is>
          <t>ДЗ</t>
        </is>
      </c>
      <c r="E1253" s="524" t="n">
        <v>400000</v>
      </c>
      <c r="F1253" s="73" t="inlineStr">
        <is>
          <t xml:space="preserve">Оплачено </t>
        </is>
      </c>
      <c r="H1253" s="456" t="inlineStr">
        <is>
          <t xml:space="preserve"> </t>
        </is>
      </c>
    </row>
    <row r="1254" ht="14.4" customHeight="1" s="1127">
      <c r="B1254" s="49" t="n"/>
      <c r="C1254" s="452" t="inlineStr">
        <is>
          <t>AINABEK ИП</t>
        </is>
      </c>
      <c r="D1254" s="453" t="inlineStr">
        <is>
          <t>ДЗ</t>
        </is>
      </c>
      <c r="E1254" s="524" t="n">
        <v>229448</v>
      </c>
      <c r="F1254" s="73" t="inlineStr">
        <is>
          <t xml:space="preserve">Оплачено </t>
        </is>
      </c>
    </row>
    <row r="1255" ht="14.4" customHeight="1" s="1127">
      <c r="B1255" s="68" t="n"/>
      <c r="C1255" s="531" t="inlineStr">
        <is>
          <t>ЭЛИГИТА-АЗИЯ ТОО</t>
        </is>
      </c>
      <c r="D1255" s="453" t="inlineStr">
        <is>
          <t>ДЗ</t>
        </is>
      </c>
      <c r="E1255" s="524" t="n">
        <v>500000</v>
      </c>
      <c r="F1255" s="73" t="inlineStr">
        <is>
          <t xml:space="preserve">Оплачено </t>
        </is>
      </c>
    </row>
    <row r="1256" ht="14.4" customHeight="1" s="1127">
      <c r="B1256" s="68" t="n"/>
      <c r="C1256" s="531" t="inlineStr">
        <is>
          <t>Глобал Фуд</t>
        </is>
      </c>
      <c r="D1256" s="550" t="inlineStr">
        <is>
          <t>ДЗ</t>
        </is>
      </c>
      <c r="E1256" s="548" t="n">
        <v>500000</v>
      </c>
      <c r="F1256" s="73" t="inlineStr">
        <is>
          <t xml:space="preserve">Оплачено </t>
        </is>
      </c>
    </row>
    <row r="1257" ht="14.4" customHeight="1" s="1127">
      <c r="B1257" s="68" t="n"/>
      <c r="C1257" s="531" t="inlineStr">
        <is>
          <t>Витамин+</t>
        </is>
      </c>
      <c r="D1257" s="550" t="inlineStr">
        <is>
          <t>ДЗ</t>
        </is>
      </c>
      <c r="E1257" s="548" t="n">
        <v>500000</v>
      </c>
      <c r="F1257" s="73" t="inlineStr">
        <is>
          <t xml:space="preserve">Оплачено </t>
        </is>
      </c>
    </row>
    <row r="1258" ht="14.4" customHeight="1" s="1127">
      <c r="B1258" s="68" t="n"/>
      <c r="C1258" s="531" t="inlineStr">
        <is>
          <t>ТОО Royal meat qazaqstan</t>
        </is>
      </c>
      <c r="D1258" s="550" t="inlineStr">
        <is>
          <t>ХАЛАЛ, остаток суммы</t>
        </is>
      </c>
      <c r="E1258" s="551" t="n">
        <v>7230.4</v>
      </c>
      <c r="F1258" s="73" t="inlineStr">
        <is>
          <t xml:space="preserve">Оплачено </t>
        </is>
      </c>
    </row>
    <row r="1259" ht="14.4" customHeight="1" s="1127">
      <c r="B1259" s="49" t="n"/>
      <c r="C1259" s="531" t="inlineStr">
        <is>
          <t>Alfa Distributors ИП</t>
        </is>
      </c>
      <c r="D1259" s="550" t="inlineStr">
        <is>
          <t>наличными</t>
        </is>
      </c>
      <c r="E1259" s="548" t="n">
        <v>302640</v>
      </c>
      <c r="F1259" s="73" t="inlineStr">
        <is>
          <t xml:space="preserve">Оплачено </t>
        </is>
      </c>
    </row>
    <row r="1260" ht="14.4" customHeight="1" s="1127">
      <c r="B1260" s="68" t="n"/>
      <c r="C1260" s="531" t="n"/>
      <c r="D1260" s="509" t="inlineStr">
        <is>
          <t>Итого:</t>
        </is>
      </c>
      <c r="E1260" s="757">
        <f>SUM(E1246:E1259)</f>
        <v/>
      </c>
      <c r="F1260" s="73" t="n"/>
    </row>
    <row r="1261" ht="14.4" customHeight="1" s="1127">
      <c r="B1261" s="528" t="n">
        <v>46195</v>
      </c>
      <c r="C1261" s="552" t="inlineStr">
        <is>
          <t>Стас рынок</t>
        </is>
      </c>
      <c r="D1261" s="553" t="inlineStr">
        <is>
          <t>наличными</t>
        </is>
      </c>
      <c r="E1261" s="548" t="n">
        <v>500000</v>
      </c>
      <c r="F1261" s="73" t="inlineStr">
        <is>
          <t xml:space="preserve">Оплачено </t>
        </is>
      </c>
    </row>
    <row r="1262" ht="14.4" customHeight="1" s="1127">
      <c r="B1262" s="68" t="n"/>
      <c r="C1262" s="531" t="inlineStr">
        <is>
          <t>KazBeef Processing (КазБиф Процессинг) ТОО</t>
        </is>
      </c>
      <c r="D1262" s="453" t="n"/>
      <c r="E1262" s="548" t="n">
        <v>1000000</v>
      </c>
      <c r="F1262" s="73" t="inlineStr">
        <is>
          <t xml:space="preserve">Оплачено </t>
        </is>
      </c>
    </row>
    <row r="1263" ht="14.4" customHeight="1" s="1127">
      <c r="B1263" s="68" t="n"/>
      <c r="C1263" s="452" t="inlineStr">
        <is>
          <t>CityFood Trade ТОО</t>
        </is>
      </c>
      <c r="D1263" s="554" t="inlineStr">
        <is>
          <t>ДЗ, около 10 млн</t>
        </is>
      </c>
      <c r="E1263" s="524" t="n">
        <v>1500000</v>
      </c>
      <c r="F1263" s="73" t="inlineStr">
        <is>
          <t xml:space="preserve">Оплачено </t>
        </is>
      </c>
    </row>
    <row r="1264" ht="14.4" customHeight="1" s="1127">
      <c r="B1264" s="68" t="n"/>
      <c r="C1264" s="552" t="inlineStr">
        <is>
          <t>ДЭР ТОО</t>
        </is>
      </c>
      <c r="D1264" s="453" t="inlineStr">
        <is>
          <t>ДЗ</t>
        </is>
      </c>
      <c r="E1264" s="548" t="n">
        <v>500000</v>
      </c>
      <c r="F1264" s="73" t="inlineStr">
        <is>
          <t xml:space="preserve">Оплачено </t>
        </is>
      </c>
    </row>
    <row r="1265" ht="14.4" customHeight="1" s="1127">
      <c r="B1265" s="68" t="n"/>
      <c r="C1265" s="552" t="n"/>
      <c r="D1265" s="509" t="inlineStr">
        <is>
          <t>Итого:</t>
        </is>
      </c>
      <c r="E1265" s="548">
        <f>SUM(E1261:E1264)</f>
        <v/>
      </c>
      <c r="F1265" s="73" t="n"/>
    </row>
    <row r="1266" ht="14.4" customHeight="1" s="1127">
      <c r="B1266" s="528" t="n">
        <v>46195</v>
      </c>
      <c r="C1266" s="452" t="inlineStr">
        <is>
          <t>ТОО Decor-s конд принадлежности</t>
        </is>
      </c>
      <c r="D1266" s="68" t="n"/>
      <c r="E1266" s="524" t="n">
        <v>16460</v>
      </c>
      <c r="F1266" s="73" t="inlineStr">
        <is>
          <t xml:space="preserve">Оплачено </t>
        </is>
      </c>
    </row>
    <row r="1267" ht="14.4" customHeight="1" s="1127">
      <c r="B1267" s="68" t="n"/>
      <c r="C1267" s="452" t="inlineStr">
        <is>
          <t>SWEEZARD ТОО</t>
        </is>
      </c>
      <c r="D1267" s="550" t="inlineStr">
        <is>
          <t>ДЗ</t>
        </is>
      </c>
      <c r="E1267" s="524" t="n">
        <v>700000</v>
      </c>
      <c r="F1267" s="73" t="inlineStr">
        <is>
          <t xml:space="preserve">Оплачено </t>
        </is>
      </c>
    </row>
    <row r="1268" ht="14.4" customHeight="1" s="1127">
      <c r="B1268" s="68" t="n"/>
      <c r="C1268" s="452" t="inlineStr">
        <is>
          <t>Первомайские Деликатесы ТОО</t>
        </is>
      </c>
      <c r="D1268" s="550" t="inlineStr">
        <is>
          <t>ДЗ</t>
        </is>
      </c>
      <c r="E1268" s="524" t="n">
        <v>500000</v>
      </c>
      <c r="F1268" s="73" t="inlineStr">
        <is>
          <t xml:space="preserve">Оплачено </t>
        </is>
      </c>
    </row>
    <row r="1269" ht="14.4" customHeight="1" s="1127">
      <c r="B1269" s="68" t="n"/>
      <c r="C1269" s="452" t="inlineStr">
        <is>
          <t>Мясоперерабатывающий завод БИЖАН ТОО</t>
        </is>
      </c>
      <c r="D1269" s="453" t="inlineStr">
        <is>
          <t>ДЗ</t>
        </is>
      </c>
      <c r="E1269" s="524" t="n">
        <v>500000</v>
      </c>
      <c r="F1269" s="73" t="inlineStr">
        <is>
          <t xml:space="preserve">Оплачено </t>
        </is>
      </c>
    </row>
    <row r="1270" ht="14.4" customHeight="1" s="1127">
      <c r="B1270" s="68" t="n"/>
      <c r="C1270" s="531" t="inlineStr">
        <is>
          <t>Нарлен ет ТОО мясо</t>
        </is>
      </c>
      <c r="D1270" s="453" t="n"/>
      <c r="E1270" s="548" t="n">
        <v>84900</v>
      </c>
      <c r="F1270" s="73" t="inlineStr">
        <is>
          <t xml:space="preserve">Оплачено </t>
        </is>
      </c>
    </row>
    <row r="1271" ht="14.4" customHeight="1" s="1127">
      <c r="B1271" s="68" t="n"/>
      <c r="C1271" s="531" t="inlineStr">
        <is>
          <t>Элита Трейд</t>
        </is>
      </c>
      <c r="D1271" s="453" t="inlineStr">
        <is>
          <t>на стопе</t>
        </is>
      </c>
      <c r="E1271" s="524" t="n">
        <v>1000000</v>
      </c>
      <c r="F1271" s="73" t="inlineStr">
        <is>
          <t xml:space="preserve">Оплачено </t>
        </is>
      </c>
    </row>
    <row r="1272" ht="14.4" customHeight="1" s="1127">
      <c r="B1272" s="68" t="n"/>
      <c r="C1272" s="531" t="inlineStr">
        <is>
          <t>Бахман ИП</t>
        </is>
      </c>
      <c r="D1272" s="453" t="n"/>
      <c r="E1272" s="548" t="n">
        <v>500000</v>
      </c>
      <c r="F1272" s="73" t="inlineStr">
        <is>
          <t xml:space="preserve">Оплачено </t>
        </is>
      </c>
    </row>
    <row r="1273" ht="14.4" customHeight="1" s="1127">
      <c r="B1273" s="68" t="n"/>
      <c r="C1273" s="531" t="inlineStr">
        <is>
          <t>Витамин+</t>
        </is>
      </c>
      <c r="D1273" s="453" t="n"/>
      <c r="E1273" s="524" t="n">
        <v>1500000</v>
      </c>
      <c r="F1273" s="73" t="inlineStr">
        <is>
          <t xml:space="preserve">Оплачено </t>
        </is>
      </c>
    </row>
    <row r="1274" ht="14.4" customHeight="1" s="1127">
      <c r="B1274" s="68" t="n"/>
      <c r="C1274" s="452" t="inlineStr">
        <is>
          <t>Сергей Логист</t>
        </is>
      </c>
      <c r="D1274" s="68" t="n"/>
      <c r="E1274" s="524" t="n">
        <v>500000</v>
      </c>
      <c r="F1274" s="73" t="inlineStr">
        <is>
          <t xml:space="preserve">Оплачено </t>
        </is>
      </c>
    </row>
    <row r="1275" ht="14.4" customHeight="1" s="1127">
      <c r="B1275" s="68" t="n"/>
      <c r="C1275" s="552" t="inlineStr">
        <is>
          <t>Adolar</t>
        </is>
      </c>
      <c r="D1275" s="453" t="n"/>
      <c r="E1275" s="548" t="n">
        <v>500000</v>
      </c>
      <c r="F1275" s="73" t="inlineStr">
        <is>
          <t xml:space="preserve">Оплачено </t>
        </is>
      </c>
    </row>
    <row r="1276" ht="14.4" customHeight="1" s="1127">
      <c r="B1276" s="68" t="n"/>
      <c r="C1276" s="531" t="inlineStr">
        <is>
          <t>Глобал Фуд ТОО</t>
        </is>
      </c>
      <c r="D1276" s="554" t="n"/>
      <c r="E1276" s="524" t="n">
        <v>500000</v>
      </c>
      <c r="F1276" s="73" t="inlineStr">
        <is>
          <t xml:space="preserve">Оплачено </t>
        </is>
      </c>
    </row>
    <row r="1277" ht="14.4" customHeight="1" s="1127">
      <c r="B1277" s="68" t="n"/>
      <c r="C1277" s="452" t="n"/>
      <c r="D1277" s="509" t="inlineStr">
        <is>
          <t>Итого:</t>
        </is>
      </c>
      <c r="E1277" s="524">
        <f>SUM(E1266:E1276)</f>
        <v/>
      </c>
      <c r="F1277" s="73" t="n"/>
    </row>
    <row r="1278" ht="14.4" customHeight="1" s="1127">
      <c r="B1278" s="528" t="n">
        <v>46196</v>
      </c>
      <c r="C1278" s="531" t="inlineStr">
        <is>
          <t>Компания Фудмастер-Трэйд ТОО</t>
        </is>
      </c>
      <c r="D1278" s="550" t="inlineStr">
        <is>
          <t>на стопе</t>
        </is>
      </c>
      <c r="E1278" s="524" t="n">
        <v>78930</v>
      </c>
      <c r="F1278" s="73" t="inlineStr">
        <is>
          <t xml:space="preserve">Оплачено </t>
        </is>
      </c>
    </row>
    <row r="1279" ht="14.4" customHeight="1" s="1127">
      <c r="B1279" s="68" t="n"/>
      <c r="C1279" s="452" t="inlineStr">
        <is>
          <t>Ayala Trade TOO</t>
        </is>
      </c>
      <c r="D1279" s="550" t="n"/>
      <c r="E1279" s="524" t="n">
        <v>200000</v>
      </c>
      <c r="F1279" s="73" t="inlineStr">
        <is>
          <t xml:space="preserve">Оплачено </t>
        </is>
      </c>
    </row>
    <row r="1280" ht="14.4" customHeight="1" s="1127">
      <c r="B1280" s="68" t="n"/>
      <c r="C1280" s="531" t="inlineStr">
        <is>
          <t>Фудтехника ТОО</t>
        </is>
      </c>
      <c r="D1280" s="550" t="inlineStr">
        <is>
          <t>на стопе</t>
        </is>
      </c>
      <c r="E1280" s="524" t="n">
        <v>500000</v>
      </c>
      <c r="F1280" s="73" t="inlineStr">
        <is>
          <t xml:space="preserve">Оплачено </t>
        </is>
      </c>
    </row>
    <row r="1281" ht="14.4" customHeight="1" s="1127">
      <c r="B1281" s="68" t="n"/>
      <c r="C1281" s="531" t="inlineStr">
        <is>
          <t>Исмагулов ИП</t>
        </is>
      </c>
      <c r="D1281" s="550" t="inlineStr">
        <is>
          <t>на стопе</t>
        </is>
      </c>
      <c r="E1281" s="548" t="n">
        <v>500000</v>
      </c>
      <c r="F1281" s="73" t="inlineStr">
        <is>
          <t xml:space="preserve">Оплачено </t>
        </is>
      </c>
    </row>
    <row r="1282" ht="14.4" customHeight="1" s="1127">
      <c r="B1282" s="68" t="n"/>
      <c r="C1282" s="531" t="inlineStr">
        <is>
          <t>Казойл Продакшн А ТОО</t>
        </is>
      </c>
      <c r="D1282" s="550" t="inlineStr">
        <is>
          <t>на стопе</t>
        </is>
      </c>
      <c r="E1282" s="548" t="n">
        <v>500000</v>
      </c>
      <c r="F1282" s="73" t="inlineStr">
        <is>
          <t xml:space="preserve">Оплачено </t>
        </is>
      </c>
    </row>
    <row r="1283" ht="14.4" customHeight="1" s="1127">
      <c r="B1283" s="68" t="n"/>
      <c r="C1283" s="452" t="inlineStr">
        <is>
          <t>Berry Company ТОО</t>
        </is>
      </c>
      <c r="D1283" s="550" t="inlineStr">
        <is>
          <t>на стопе</t>
        </is>
      </c>
      <c r="E1283" s="524" t="n">
        <v>500000</v>
      </c>
      <c r="F1283" s="73" t="inlineStr">
        <is>
          <t xml:space="preserve">Оплачено </t>
        </is>
      </c>
    </row>
    <row r="1284" ht="14.4" customHeight="1" s="1127">
      <c r="B1284" s="68" t="n"/>
      <c r="C1284" s="452" t="inlineStr">
        <is>
          <t>Food Company ТОО</t>
        </is>
      </c>
      <c r="D1284" s="453" t="inlineStr">
        <is>
          <t xml:space="preserve">по предоплате </t>
        </is>
      </c>
      <c r="E1284" s="524" t="n">
        <v>125200</v>
      </c>
      <c r="F1284" s="73" t="inlineStr">
        <is>
          <t xml:space="preserve">Оплачено </t>
        </is>
      </c>
    </row>
    <row r="1285" ht="14.4" customHeight="1" s="1127">
      <c r="B1285" s="68" t="n"/>
      <c r="C1285" s="531" t="inlineStr">
        <is>
          <t>Flame group ТОО</t>
        </is>
      </c>
      <c r="D1285" s="453" t="n"/>
      <c r="E1285" s="524" t="n">
        <v>2176360</v>
      </c>
      <c r="F1285" s="73" t="inlineStr">
        <is>
          <t xml:space="preserve">Оплачено </t>
        </is>
      </c>
    </row>
    <row r="1286" ht="14.4" customHeight="1" s="1127">
      <c r="B1286" s="541" t="n"/>
      <c r="C1286" s="552" t="n"/>
      <c r="D1286" s="509" t="inlineStr">
        <is>
          <t>Итого:</t>
        </is>
      </c>
      <c r="E1286" s="524">
        <f>SUM(E1278:E1285)</f>
        <v/>
      </c>
      <c r="F1286" s="73" t="n"/>
    </row>
    <row r="1287" ht="14.4" customHeight="1" s="1127">
      <c r="B1287" s="528" t="n">
        <v>46196</v>
      </c>
      <c r="C1287" s="452" t="inlineStr">
        <is>
          <t>Шымкентмай</t>
        </is>
      </c>
      <c r="D1287" s="453" t="inlineStr">
        <is>
          <t xml:space="preserve">по предоплате </t>
        </is>
      </c>
      <c r="E1287" s="524" t="n">
        <v>438000</v>
      </c>
      <c r="F1287" s="73" t="inlineStr">
        <is>
          <t xml:space="preserve">Оплачено </t>
        </is>
      </c>
    </row>
    <row r="1288" ht="14.4" customHeight="1" s="1127">
      <c r="B1288" s="68" t="n"/>
      <c r="C1288" s="531" t="inlineStr">
        <is>
          <t>Элита Трейд</t>
        </is>
      </c>
      <c r="D1288" s="453" t="inlineStr">
        <is>
          <t>на стопе</t>
        </is>
      </c>
      <c r="E1288" s="524" t="n">
        <v>500000</v>
      </c>
      <c r="F1288" s="73" t="inlineStr">
        <is>
          <t xml:space="preserve">Оплачено </t>
        </is>
      </c>
    </row>
    <row r="1289" ht="14.4" customHeight="1" s="1127">
      <c r="B1289" s="541" t="n"/>
      <c r="C1289" s="531" t="inlineStr">
        <is>
          <t>ПРОТЭК</t>
        </is>
      </c>
      <c r="D1289" s="453" t="inlineStr">
        <is>
          <t>ДЗ</t>
        </is>
      </c>
      <c r="E1289" s="524" t="n">
        <v>500000</v>
      </c>
      <c r="F1289" s="73" t="inlineStr">
        <is>
          <t xml:space="preserve">Оплачено </t>
        </is>
      </c>
    </row>
    <row r="1290" ht="14.4" customHeight="1" s="1127">
      <c r="B1290" s="68" t="n"/>
      <c r="C1290" s="452" t="inlineStr">
        <is>
          <t>Витамин+</t>
        </is>
      </c>
      <c r="D1290" s="554" t="n"/>
      <c r="E1290" s="524" t="n">
        <v>500000</v>
      </c>
      <c r="F1290" s="73" t="inlineStr">
        <is>
          <t xml:space="preserve">Оплачено </t>
        </is>
      </c>
    </row>
    <row r="1291" ht="14.4" customHeight="1" s="1127">
      <c r="B1291" s="68" t="n"/>
      <c r="C1291" s="452" t="inlineStr">
        <is>
          <t>Снек Групп ТОО</t>
        </is>
      </c>
      <c r="D1291" s="550" t="n"/>
      <c r="E1291" s="524" t="n">
        <v>21120</v>
      </c>
      <c r="F1291" s="73" t="inlineStr">
        <is>
          <t xml:space="preserve">Оплачено </t>
        </is>
      </c>
    </row>
    <row r="1292" ht="14.4" customHeight="1" s="1127">
      <c r="B1292" s="68" t="n"/>
      <c r="C1292" s="531" t="inlineStr">
        <is>
          <t>Medhelp ИП</t>
        </is>
      </c>
      <c r="D1292" s="453" t="inlineStr">
        <is>
          <t>ДЗ</t>
        </is>
      </c>
      <c r="E1292" s="524" t="n">
        <v>31120</v>
      </c>
      <c r="F1292" s="73" t="inlineStr">
        <is>
          <t xml:space="preserve">Оплачено </t>
        </is>
      </c>
    </row>
    <row r="1293" ht="14.4" customHeight="1" s="1127">
      <c r="B1293" s="68" t="n"/>
      <c r="C1293" s="531" t="inlineStr">
        <is>
          <t>Стас рынок</t>
        </is>
      </c>
      <c r="D1293" s="543" t="inlineStr">
        <is>
          <t>наличными</t>
        </is>
      </c>
      <c r="E1293" s="524" t="n">
        <v>500000</v>
      </c>
      <c r="F1293" s="73" t="inlineStr">
        <is>
          <t xml:space="preserve">Оплачено </t>
        </is>
      </c>
    </row>
    <row r="1294" ht="14.4" customHeight="1" s="1127">
      <c r="B1294" s="68" t="n"/>
      <c r="C1294" s="452" t="n"/>
      <c r="D1294" s="509" t="inlineStr">
        <is>
          <t>Итого:</t>
        </is>
      </c>
      <c r="E1294" s="524">
        <f>SUM(E1287:E1293)</f>
        <v/>
      </c>
      <c r="F1294" s="73" t="n"/>
    </row>
    <row r="1295" ht="14.4" customHeight="1" s="1127">
      <c r="B1295" s="528" t="n">
        <v>46197</v>
      </c>
      <c r="C1295" s="531" t="inlineStr">
        <is>
          <t>Handy Yummy ИП</t>
        </is>
      </c>
      <c r="D1295" s="550" t="inlineStr">
        <is>
          <t>ДЗ 11 млн</t>
        </is>
      </c>
      <c r="E1295" s="524" t="n">
        <v>1500000</v>
      </c>
      <c r="F1295" s="73" t="inlineStr">
        <is>
          <t xml:space="preserve">Оплачено </t>
        </is>
      </c>
    </row>
    <row r="1296" ht="14.4" customHeight="1" s="1127">
      <c r="B1296" s="68" t="n"/>
      <c r="C1296" s="531" t="inlineStr">
        <is>
          <t>Витамин+</t>
        </is>
      </c>
      <c r="D1296" s="453" t="n"/>
      <c r="E1296" s="524" t="n">
        <v>500000</v>
      </c>
      <c r="F1296" s="73" t="inlineStr">
        <is>
          <t xml:space="preserve">Оплачено </t>
        </is>
      </c>
    </row>
    <row r="1297" ht="14.4" customHeight="1" s="1127">
      <c r="B1297" s="68" t="n"/>
      <c r="C1297" s="452" t="inlineStr">
        <is>
          <t>Вичунай</t>
        </is>
      </c>
      <c r="D1297" s="550" t="inlineStr">
        <is>
          <t>ДЗ около 2 млн</t>
        </is>
      </c>
      <c r="E1297" s="524" t="n">
        <v>1000000</v>
      </c>
      <c r="F1297" s="73" t="inlineStr">
        <is>
          <t xml:space="preserve">Оплачено </t>
        </is>
      </c>
      <c r="H1297" s="456" t="inlineStr">
        <is>
          <t xml:space="preserve"> </t>
        </is>
      </c>
    </row>
    <row r="1298" ht="14.4" customHeight="1" s="1127">
      <c r="B1298" s="68" t="n"/>
      <c r="C1298" s="452" t="inlineStr">
        <is>
          <t>Кокрекбай овощи (Габит) Barys group</t>
        </is>
      </c>
      <c r="D1298" s="550" t="inlineStr">
        <is>
          <t>ДЗ, 4 млн</t>
        </is>
      </c>
      <c r="E1298" s="524" t="n">
        <v>500000</v>
      </c>
      <c r="F1298" s="73" t="inlineStr">
        <is>
          <t xml:space="preserve">Оплачено </t>
        </is>
      </c>
    </row>
    <row r="1299" ht="14.4" customHeight="1" s="1127">
      <c r="B1299" s="541" t="n"/>
      <c r="C1299" s="531" t="inlineStr">
        <is>
          <t>Succes овощи Айкоркем ИП</t>
        </is>
      </c>
      <c r="D1299" s="550" t="inlineStr">
        <is>
          <t>ДЗ, 2,5 млн</t>
        </is>
      </c>
      <c r="E1299" s="524" t="n">
        <v>300000</v>
      </c>
      <c r="F1299" s="73" t="inlineStr">
        <is>
          <t xml:space="preserve">Оплачено </t>
        </is>
      </c>
    </row>
    <row r="1300" ht="14.4" customHeight="1" s="1127">
      <c r="B1300" s="68" t="n"/>
      <c r="C1300" s="531" t="inlineStr">
        <is>
          <t>Муханов ИП</t>
        </is>
      </c>
      <c r="D1300" s="453" t="inlineStr">
        <is>
          <t>ДЗ</t>
        </is>
      </c>
      <c r="E1300" s="524" t="n">
        <v>92500</v>
      </c>
      <c r="F1300" s="73" t="inlineStr">
        <is>
          <t xml:space="preserve">Оплачено </t>
        </is>
      </c>
    </row>
    <row r="1301" ht="14.4" customHeight="1" s="1127">
      <c r="B1301" s="68" t="n"/>
      <c r="C1301" s="531" t="inlineStr">
        <is>
          <t>Best Meat ТОО</t>
        </is>
      </c>
      <c r="D1301" s="453" t="inlineStr">
        <is>
          <t>ДЗ, досудебка</t>
        </is>
      </c>
      <c r="E1301" s="548" t="n">
        <v>1008384</v>
      </c>
      <c r="F1301" s="73" t="inlineStr">
        <is>
          <t xml:space="preserve">Оплачено </t>
        </is>
      </c>
    </row>
    <row r="1302" ht="14.4" customHeight="1" s="1127">
      <c r="B1302" s="68" t="n"/>
      <c r="C1302" s="452" t="n"/>
      <c r="D1302" s="509" t="inlineStr">
        <is>
          <t>Итого:</t>
        </is>
      </c>
      <c r="E1302" s="524">
        <f>SUM(E1295:E1301)</f>
        <v/>
      </c>
      <c r="F1302" s="73" t="n"/>
    </row>
    <row r="1303" ht="14.4" customHeight="1" s="1127">
      <c r="B1303" s="528" t="n">
        <v>46198</v>
      </c>
      <c r="C1303" s="531" t="inlineStr">
        <is>
          <t>Стас рынок</t>
        </is>
      </c>
      <c r="D1303" s="543" t="inlineStr">
        <is>
          <t>наличными</t>
        </is>
      </c>
      <c r="E1303" s="524" t="n">
        <v>600000</v>
      </c>
      <c r="F1303" s="73" t="inlineStr">
        <is>
          <t xml:space="preserve">Оплачено </t>
        </is>
      </c>
    </row>
    <row r="1304" ht="14.4" customHeight="1" s="1127">
      <c r="B1304" s="68" t="n"/>
      <c r="C1304" s="531" t="inlineStr">
        <is>
          <t>Bestseller Food Company ТОО</t>
        </is>
      </c>
      <c r="D1304" s="453" t="inlineStr">
        <is>
          <t>ДЗ</t>
        </is>
      </c>
      <c r="E1304" s="548" t="n">
        <v>134397</v>
      </c>
      <c r="F1304" s="73" t="inlineStr">
        <is>
          <t xml:space="preserve">Оплачено </t>
        </is>
      </c>
    </row>
    <row r="1305" ht="14.4" customHeight="1" s="1127">
      <c r="B1305" s="68" t="n"/>
      <c r="C1305" s="531" t="inlineStr">
        <is>
          <t>Витамин+</t>
        </is>
      </c>
      <c r="D1305" s="453" t="inlineStr">
        <is>
          <t>ДЗ</t>
        </is>
      </c>
      <c r="E1305" s="548" t="n">
        <v>1000000</v>
      </c>
      <c r="F1305" s="73" t="inlineStr">
        <is>
          <t xml:space="preserve">Оплачено </t>
        </is>
      </c>
      <c r="H1305" s="456">
        <f>H1306</f>
        <v/>
      </c>
    </row>
    <row r="1306" ht="14.4" customHeight="1" s="1127">
      <c r="B1306" s="68" t="n"/>
      <c r="C1306" s="452" t="inlineStr">
        <is>
          <t>Кокрекбай овощи (Габит) Barys group</t>
        </is>
      </c>
      <c r="D1306" s="550" t="inlineStr">
        <is>
          <t>ДЗ, 4 млн</t>
        </is>
      </c>
      <c r="E1306" s="524" t="n">
        <v>700000</v>
      </c>
      <c r="F1306" s="73" t="inlineStr">
        <is>
          <t xml:space="preserve">Оплачено </t>
        </is>
      </c>
    </row>
    <row r="1307" ht="14.4" customHeight="1" s="1127">
      <c r="B1307" s="68" t="n"/>
      <c r="C1307" s="531" t="inlineStr">
        <is>
          <t>Succes овощи Айкоркем ИП</t>
        </is>
      </c>
      <c r="D1307" s="550" t="inlineStr">
        <is>
          <t>ДЗ, 2,5 млн</t>
        </is>
      </c>
      <c r="E1307" s="524" t="n">
        <v>300000</v>
      </c>
      <c r="F1307" s="73" t="inlineStr">
        <is>
          <t xml:space="preserve">Оплачено </t>
        </is>
      </c>
    </row>
    <row r="1308" ht="14.4" customHeight="1" s="1127">
      <c r="B1308" s="68" t="n"/>
      <c r="C1308" s="452" t="inlineStr">
        <is>
          <t>Pack Plus</t>
        </is>
      </c>
      <c r="D1308" s="453" t="inlineStr">
        <is>
          <t xml:space="preserve">по предоплате </t>
        </is>
      </c>
      <c r="E1308" s="524" t="n">
        <v>10800</v>
      </c>
      <c r="F1308" s="73" t="inlineStr">
        <is>
          <t xml:space="preserve">Оплачено </t>
        </is>
      </c>
    </row>
    <row r="1309" ht="14.4" customHeight="1" s="1127">
      <c r="B1309" s="68" t="n"/>
      <c r="C1309" s="452" t="inlineStr">
        <is>
          <t>Mercurius (чл)</t>
        </is>
      </c>
      <c r="D1309" s="543" t="inlineStr">
        <is>
          <t>наличными</t>
        </is>
      </c>
      <c r="E1309" s="524" t="n">
        <v>12600</v>
      </c>
      <c r="F1309" s="73" t="inlineStr">
        <is>
          <t xml:space="preserve">Оплачено </t>
        </is>
      </c>
    </row>
    <row r="1310" ht="14.4" customHeight="1" s="1127">
      <c r="B1310" s="68" t="n"/>
      <c r="C1310" s="531" t="n"/>
      <c r="D1310" s="509" t="inlineStr">
        <is>
          <t>Итого:</t>
        </is>
      </c>
      <c r="E1310" s="524">
        <f>SUM(E1303:E1309)</f>
        <v/>
      </c>
      <c r="F1310" s="73" t="n"/>
    </row>
    <row r="1311" ht="14.4" customHeight="1" s="1127">
      <c r="B1311" s="528" t="n">
        <v>46198</v>
      </c>
      <c r="C1311" s="452" t="inlineStr">
        <is>
          <t>Almaty Develop STM ТОО</t>
        </is>
      </c>
      <c r="D1311" s="550" t="inlineStr">
        <is>
          <t>ДЗ, около 2, млн</t>
        </is>
      </c>
      <c r="E1311" s="524" t="n">
        <v>500000</v>
      </c>
      <c r="F1311" s="73" t="inlineStr">
        <is>
          <t xml:space="preserve">Оплачено </t>
        </is>
      </c>
    </row>
    <row r="1312" ht="14.4" customHeight="1" s="1127">
      <c r="B1312" s="68" t="n"/>
      <c r="C1312" s="531" t="inlineStr">
        <is>
          <t>Adalpack ТОО</t>
        </is>
      </c>
      <c r="D1312" s="453" t="inlineStr">
        <is>
          <t xml:space="preserve">по предоплате </t>
        </is>
      </c>
      <c r="E1312" s="524" t="n">
        <v>97000</v>
      </c>
      <c r="F1312" s="73" t="inlineStr">
        <is>
          <t xml:space="preserve">Оплачено </t>
        </is>
      </c>
    </row>
    <row r="1313" ht="14.4" customHeight="1" s="1127">
      <c r="B1313" s="68" t="n"/>
      <c r="C1313" s="531" t="inlineStr">
        <is>
          <t>ARDO plast ТОО</t>
        </is>
      </c>
      <c r="D1313" s="453" t="inlineStr">
        <is>
          <t xml:space="preserve">по предоплате </t>
        </is>
      </c>
      <c r="E1313" s="524" t="n">
        <v>370000</v>
      </c>
      <c r="F1313" s="73" t="inlineStr">
        <is>
          <t xml:space="preserve">Оплачено </t>
        </is>
      </c>
    </row>
    <row r="1314" ht="14.4" customHeight="1" s="1127">
      <c r="B1314" s="68" t="n"/>
      <c r="C1314" s="452" t="inlineStr">
        <is>
          <t>Арбуз Фуд Сервис ТОО</t>
        </is>
      </c>
      <c r="D1314" s="550" t="inlineStr">
        <is>
          <t>ДЗ</t>
        </is>
      </c>
      <c r="E1314" s="524" t="n">
        <v>500000</v>
      </c>
      <c r="F1314" s="73" t="inlineStr">
        <is>
          <t>Не срочно</t>
        </is>
      </c>
    </row>
    <row r="1315" ht="14.4" customHeight="1" s="1127">
      <c r="B1315" s="68" t="n"/>
      <c r="C1315" s="452" t="inlineStr">
        <is>
          <t>Эрико ТОО</t>
        </is>
      </c>
      <c r="D1315" s="453" t="inlineStr">
        <is>
          <t xml:space="preserve">по предоплате </t>
        </is>
      </c>
      <c r="E1315" s="524" t="n">
        <v>563880</v>
      </c>
      <c r="F1315" s="73" t="inlineStr">
        <is>
          <t xml:space="preserve">Оплачено </t>
        </is>
      </c>
    </row>
    <row r="1316" ht="14.4" customHeight="1" s="1127">
      <c r="B1316" s="68" t="n"/>
      <c r="C1316" s="531" t="inlineStr">
        <is>
          <t>ИП Qadam нори</t>
        </is>
      </c>
      <c r="D1316" s="550" t="inlineStr">
        <is>
          <t>ДЗ</t>
        </is>
      </c>
      <c r="E1316" s="524" t="n">
        <v>742000</v>
      </c>
      <c r="F1316" s="73" t="inlineStr">
        <is>
          <t xml:space="preserve">Оплачено </t>
        </is>
      </c>
    </row>
    <row r="1317" ht="14.4" customHeight="1" s="1127">
      <c r="B1317" s="68" t="n"/>
      <c r="C1317" s="531" t="inlineStr">
        <is>
          <t>StroyLux ТОО</t>
        </is>
      </c>
      <c r="D1317" s="453" t="inlineStr">
        <is>
          <t>ДЗ</t>
        </is>
      </c>
      <c r="E1317" s="548" t="n">
        <v>534900</v>
      </c>
      <c r="F1317" s="73" t="inlineStr">
        <is>
          <t xml:space="preserve">Оплачено </t>
        </is>
      </c>
    </row>
    <row r="1318" ht="14.4" customHeight="1" s="1127">
      <c r="B1318" s="68" t="n"/>
      <c r="C1318" s="531" t="inlineStr">
        <is>
          <t>ЭКОХИММАШ – АЗИЯ ТОО</t>
        </is>
      </c>
      <c r="D1318" s="550" t="inlineStr">
        <is>
          <t>ДЗ</t>
        </is>
      </c>
      <c r="E1318" s="524" t="n">
        <v>687025</v>
      </c>
      <c r="F1318" s="73" t="inlineStr">
        <is>
          <t xml:space="preserve">Оплачено </t>
        </is>
      </c>
    </row>
    <row r="1319" ht="14.4" customHeight="1" s="1127">
      <c r="B1319" s="68" t="n"/>
      <c r="C1319" s="531" t="inlineStr">
        <is>
          <t>QAZAQ SAPA GROUP ТОО</t>
        </is>
      </c>
      <c r="D1319" s="550" t="inlineStr">
        <is>
          <t>ДЗ</t>
        </is>
      </c>
      <c r="E1319" s="548" t="n">
        <v>519004</v>
      </c>
      <c r="F1319" s="73" t="inlineStr">
        <is>
          <t xml:space="preserve">Оплачено </t>
        </is>
      </c>
    </row>
    <row r="1320" ht="14.4" customHeight="1" s="1127">
      <c r="B1320" s="68" t="n"/>
      <c r="C1320" s="452" t="inlineStr">
        <is>
          <t>Rikkaus ИП</t>
        </is>
      </c>
      <c r="D1320" s="550" t="inlineStr">
        <is>
          <t>ДЗ</t>
        </is>
      </c>
      <c r="E1320" s="524" t="n">
        <v>600000</v>
      </c>
      <c r="F1320" s="73" t="inlineStr">
        <is>
          <t xml:space="preserve">Оплачено </t>
        </is>
      </c>
    </row>
    <row r="1321" ht="14.4" customHeight="1" s="1127">
      <c r="B1321" s="68" t="n"/>
      <c r="C1321" s="531" t="inlineStr">
        <is>
          <t>ПРОТЭК</t>
        </is>
      </c>
      <c r="D1321" s="550" t="inlineStr">
        <is>
          <t>ДЗ</t>
        </is>
      </c>
      <c r="E1321" s="524" t="n">
        <v>500000</v>
      </c>
      <c r="F1321" s="73" t="inlineStr">
        <is>
          <t xml:space="preserve">Оплачено </t>
        </is>
      </c>
    </row>
    <row r="1322" ht="14.4" customHeight="1" s="1127">
      <c r="B1322" s="68" t="n"/>
      <c r="C1322" s="452" t="inlineStr">
        <is>
          <t>Лейпурин ТОО</t>
        </is>
      </c>
      <c r="D1322" s="550" t="inlineStr">
        <is>
          <t>ДЗ</t>
        </is>
      </c>
      <c r="E1322" s="524" t="n">
        <v>45000</v>
      </c>
      <c r="F1322" s="73" t="inlineStr">
        <is>
          <t xml:space="preserve">Оплачено </t>
        </is>
      </c>
    </row>
    <row r="1323" ht="14.4" customHeight="1" s="1127">
      <c r="B1323" s="68" t="n"/>
      <c r="C1323" s="531" t="inlineStr">
        <is>
          <t>Art Food ИП</t>
        </is>
      </c>
      <c r="D1323" s="453" t="inlineStr">
        <is>
          <t>на стопе</t>
        </is>
      </c>
      <c r="E1323" s="548" t="n">
        <v>282838</v>
      </c>
      <c r="F1323" s="73" t="inlineStr">
        <is>
          <t xml:space="preserve">Оплачено </t>
        </is>
      </c>
    </row>
    <row r="1324" ht="14.4" customHeight="1" s="1127">
      <c r="B1324" s="68" t="n"/>
      <c r="C1324" s="452" t="inlineStr">
        <is>
          <t>Альбатрос ВЭД ТОО</t>
        </is>
      </c>
      <c r="D1324" s="453" t="inlineStr">
        <is>
          <t>на стопе</t>
        </is>
      </c>
      <c r="E1324" s="524" t="n">
        <v>165000</v>
      </c>
      <c r="F1324" s="73" t="inlineStr">
        <is>
          <t xml:space="preserve">Оплачено </t>
        </is>
      </c>
    </row>
    <row r="1325" ht="14.4" customHeight="1" s="1127">
      <c r="B1325" s="68" t="n"/>
      <c r="C1325" s="531" t="inlineStr">
        <is>
          <t>Global Halal Food ТОО</t>
        </is>
      </c>
      <c r="D1325" s="453" t="inlineStr">
        <is>
          <t>на стопе</t>
        </is>
      </c>
      <c r="E1325" s="524" t="n">
        <v>700000</v>
      </c>
      <c r="F1325" s="73" t="inlineStr">
        <is>
          <t xml:space="preserve">Оплачено </t>
        </is>
      </c>
    </row>
    <row r="1326" ht="14.4" customHeight="1" s="1127">
      <c r="B1326" s="68" t="n"/>
      <c r="C1326" s="531" t="inlineStr">
        <is>
          <t>Исмагулов ИП</t>
        </is>
      </c>
      <c r="D1326" s="453" t="inlineStr">
        <is>
          <t>на стопе</t>
        </is>
      </c>
      <c r="E1326" s="548" t="n">
        <v>500000</v>
      </c>
      <c r="F1326" s="73" t="inlineStr">
        <is>
          <t xml:space="preserve">Оплачено </t>
        </is>
      </c>
    </row>
    <row r="1327" ht="14.4" customHeight="1" s="1127">
      <c r="B1327" s="68" t="n"/>
      <c r="C1327" s="452" t="inlineStr">
        <is>
          <t>Adolar</t>
        </is>
      </c>
      <c r="D1327" s="550" t="n"/>
      <c r="E1327" s="524" t="n">
        <v>512336</v>
      </c>
      <c r="F1327" s="73" t="inlineStr">
        <is>
          <t xml:space="preserve">Оплачено </t>
        </is>
      </c>
    </row>
    <row r="1328" ht="14.4" customHeight="1" s="1127">
      <c r="B1328" s="68" t="n"/>
      <c r="C1328" s="552" t="inlineStr">
        <is>
          <t>TOIMART TOO</t>
        </is>
      </c>
      <c r="D1328" s="453" t="n"/>
      <c r="E1328" s="548" t="n">
        <v>321897</v>
      </c>
      <c r="F1328" s="73" t="inlineStr">
        <is>
          <t xml:space="preserve">Оплачено </t>
        </is>
      </c>
    </row>
    <row r="1329" ht="14.4" customHeight="1" s="1127">
      <c r="B1329" s="68" t="n"/>
      <c r="C1329" s="531" t="n"/>
      <c r="D1329" s="509" t="inlineStr">
        <is>
          <t>Итого:</t>
        </is>
      </c>
      <c r="E1329" s="524">
        <f>SUM(E1311:E1328)</f>
        <v/>
      </c>
      <c r="F1329" s="73" t="inlineStr">
        <is>
          <t xml:space="preserve">Оплачено </t>
        </is>
      </c>
    </row>
    <row r="1330" ht="14.4" customHeight="1" s="1127">
      <c r="B1330" s="528" t="n">
        <v>46199</v>
      </c>
      <c r="C1330" s="531" t="inlineStr">
        <is>
          <t xml:space="preserve">Витамин + </t>
        </is>
      </c>
      <c r="D1330" s="550" t="n"/>
      <c r="E1330" s="524" t="n">
        <v>508568</v>
      </c>
      <c r="F1330" s="73" t="inlineStr">
        <is>
          <t xml:space="preserve">Оплачено </t>
        </is>
      </c>
    </row>
    <row r="1331" ht="14.4" customHeight="1" s="1127">
      <c r="B1331" s="49" t="n"/>
      <c r="C1331" s="531" t="inlineStr">
        <is>
          <t>Salmon Group Kazakhstan</t>
        </is>
      </c>
      <c r="D1331" s="550" t="inlineStr">
        <is>
          <t>ДЗ</t>
        </is>
      </c>
      <c r="E1331" s="548" t="n">
        <v>900000</v>
      </c>
      <c r="F1331" s="73" t="inlineStr">
        <is>
          <t xml:space="preserve">Оплачено </t>
        </is>
      </c>
    </row>
    <row r="1332" ht="14.4" customHeight="1" s="1127">
      <c r="B1332" s="49" t="n"/>
      <c r="C1332" s="552" t="inlineStr">
        <is>
          <t>MEGAFLEX</t>
        </is>
      </c>
      <c r="D1332" s="453" t="inlineStr">
        <is>
          <t xml:space="preserve">по предоплате </t>
        </is>
      </c>
      <c r="E1332" s="548" t="n">
        <v>300000</v>
      </c>
      <c r="F1332" s="73" t="inlineStr">
        <is>
          <t xml:space="preserve">Оплачено </t>
        </is>
      </c>
    </row>
    <row r="1333" ht="14.4" customHeight="1" s="1127">
      <c r="B1333" s="49" t="n"/>
      <c r="C1333" s="452" t="inlineStr">
        <is>
          <t>ФУД ВЕНДИНГ</t>
        </is>
      </c>
      <c r="D1333" s="550" t="inlineStr">
        <is>
          <t>ДЗ</t>
        </is>
      </c>
      <c r="E1333" s="524" t="n">
        <v>350000</v>
      </c>
      <c r="F1333" s="73" t="inlineStr">
        <is>
          <t xml:space="preserve">Оплачено </t>
        </is>
      </c>
    </row>
    <row r="1334" ht="14.4" customHeight="1" s="1127">
      <c r="B1334" s="555" t="n"/>
      <c r="C1334" s="452" t="inlineStr">
        <is>
          <t>ИП Демьянов</t>
        </is>
      </c>
      <c r="D1334" s="453" t="n"/>
      <c r="E1334" s="524" t="n">
        <v>1000000</v>
      </c>
      <c r="F1334" s="73" t="inlineStr">
        <is>
          <t xml:space="preserve">Оплачено </t>
        </is>
      </c>
    </row>
    <row r="1335" ht="14.4" customHeight="1" s="1127">
      <c r="B1335" s="49" t="n"/>
      <c r="C1335" s="552" t="n"/>
      <c r="D1335" s="509" t="inlineStr">
        <is>
          <t>Итого:</t>
        </is>
      </c>
      <c r="E1335" s="548">
        <f>SUM(E1330:E1334)</f>
        <v/>
      </c>
      <c r="F1335" s="73" t="n"/>
    </row>
    <row r="1336" ht="14.4" customHeight="1" s="1127">
      <c r="B1336" s="528" t="n">
        <v>46202</v>
      </c>
      <c r="C1336" s="531" t="inlineStr">
        <is>
          <t>Стас рынок</t>
        </is>
      </c>
      <c r="D1336" s="543" t="inlineStr">
        <is>
          <t>наличными</t>
        </is>
      </c>
      <c r="E1336" s="524" t="n">
        <v>600000</v>
      </c>
      <c r="F1336" s="73" t="inlineStr">
        <is>
          <t>Срочно</t>
        </is>
      </c>
    </row>
    <row r="1337" ht="14.4" customHeight="1" s="1127">
      <c r="B1337" s="49" t="n"/>
      <c r="C1337" s="452" t="inlineStr">
        <is>
          <t>Ayala Trade TOO</t>
        </is>
      </c>
      <c r="D1337" s="453" t="inlineStr">
        <is>
          <t>ДЗ</t>
        </is>
      </c>
      <c r="E1337" s="524" t="n">
        <v>386500</v>
      </c>
      <c r="F1337" s="73" t="inlineStr">
        <is>
          <t>Срочно</t>
        </is>
      </c>
    </row>
    <row r="1338" ht="14.4" customHeight="1" s="1127">
      <c r="B1338" s="529" t="n"/>
      <c r="C1338" s="531" t="inlineStr">
        <is>
          <t>Дельта-Х ТОО</t>
        </is>
      </c>
      <c r="D1338" s="550" t="inlineStr">
        <is>
          <t>ДЗ</t>
        </is>
      </c>
      <c r="E1338" s="524" t="n">
        <v>329620</v>
      </c>
      <c r="F1338" s="73" t="inlineStr">
        <is>
          <t>Срочно</t>
        </is>
      </c>
    </row>
    <row r="1339" ht="14.4" customHeight="1" s="1127">
      <c r="B1339" s="68" t="inlineStr">
        <is>
          <t>блендер погружной</t>
        </is>
      </c>
      <c r="C1339" s="531" t="inlineStr">
        <is>
          <t>Horeca supplies ТОО</t>
        </is>
      </c>
      <c r="D1339" s="453" t="inlineStr">
        <is>
          <t xml:space="preserve">по предоплате </t>
        </is>
      </c>
      <c r="E1339" s="548" t="n">
        <v>484000</v>
      </c>
      <c r="F1339" s="73" t="inlineStr">
        <is>
          <t>Срочно</t>
        </is>
      </c>
    </row>
    <row r="1340" ht="14.4" customHeight="1" s="1127">
      <c r="B1340" s="68" t="n"/>
      <c r="C1340" s="452" t="inlineStr">
        <is>
          <t>Утемисов Б К ИП</t>
        </is>
      </c>
      <c r="D1340" s="453" t="inlineStr">
        <is>
          <t>ДЗ с января</t>
        </is>
      </c>
      <c r="E1340" s="524" t="n">
        <v>543800</v>
      </c>
      <c r="F1340" s="73" t="inlineStr">
        <is>
          <t>Срочно</t>
        </is>
      </c>
    </row>
    <row r="1341" ht="14.4" customHeight="1" s="1127">
      <c r="B1341" s="68" t="n"/>
      <c r="C1341" s="452" t="inlineStr">
        <is>
          <t>КазЕвроСпецСнаб ТОО</t>
        </is>
      </c>
      <c r="D1341" s="453" t="inlineStr">
        <is>
          <t xml:space="preserve">по предоплате </t>
        </is>
      </c>
      <c r="E1341" s="524" t="n">
        <v>504000</v>
      </c>
      <c r="F1341" s="73" t="inlineStr">
        <is>
          <t>Срочно</t>
        </is>
      </c>
    </row>
    <row r="1342" ht="14.4" customHeight="1" s="1127">
      <c r="B1342" s="49" t="n"/>
      <c r="C1342" s="531" t="n"/>
      <c r="D1342" s="509" t="inlineStr">
        <is>
          <t>Итого:</t>
        </is>
      </c>
      <c r="E1342" s="524">
        <f>SUM(E1336:E1341)</f>
        <v/>
      </c>
      <c r="F1342" s="73" t="n"/>
    </row>
    <row r="1343" ht="14.4" customHeight="1" s="1127">
      <c r="B1343" s="528" t="n">
        <v>46203</v>
      </c>
      <c r="C1343" s="531" t="inlineStr">
        <is>
          <t xml:space="preserve"> </t>
        </is>
      </c>
      <c r="D1343" s="453" t="inlineStr">
        <is>
          <t>ДЗ</t>
        </is>
      </c>
      <c r="E1343" s="548" t="n">
        <v>285100</v>
      </c>
      <c r="F1343" s="73" t="inlineStr">
        <is>
          <t>Срочно</t>
        </is>
      </c>
    </row>
    <row r="1344" ht="14.4" customHeight="1" s="1127">
      <c r="B1344" s="68" t="inlineStr">
        <is>
          <t>услуги санитарные</t>
        </is>
      </c>
      <c r="C1344" s="452" t="inlineStr">
        <is>
          <t>Joyu ТОО</t>
        </is>
      </c>
      <c r="D1344" s="453" t="n"/>
      <c r="E1344" s="524" t="n">
        <v>150000</v>
      </c>
      <c r="F1344" s="73" t="inlineStr">
        <is>
          <t>Срочно</t>
        </is>
      </c>
    </row>
    <row r="1345" ht="14.4" customHeight="1" s="1127">
      <c r="B1345" s="68" t="n"/>
      <c r="C1345" s="531" t="inlineStr">
        <is>
          <t>Color express ТОО</t>
        </is>
      </c>
      <c r="D1345" s="550" t="inlineStr">
        <is>
          <t>ДЗ</t>
        </is>
      </c>
      <c r="E1345" s="524" t="n">
        <v>800000</v>
      </c>
      <c r="F1345" s="73" t="inlineStr">
        <is>
          <t>Срочно</t>
        </is>
      </c>
    </row>
    <row r="1346" ht="14.4" customHeight="1" s="1127">
      <c r="B1346" s="68" t="n"/>
      <c r="C1346" s="452" t="inlineStr">
        <is>
          <t>Витамин+</t>
        </is>
      </c>
      <c r="D1346" s="453" t="n"/>
      <c r="E1346" s="524" t="n">
        <v>1000000</v>
      </c>
      <c r="F1346" s="73" t="inlineStr">
        <is>
          <t>Срочно</t>
        </is>
      </c>
    </row>
    <row r="1347" ht="14.4" customHeight="1" s="1127">
      <c r="B1347" s="68" t="n"/>
      <c r="C1347" s="531" t="inlineStr">
        <is>
          <t>KazBeef Processing (КазБиф Процессинг) ТОО</t>
        </is>
      </c>
      <c r="D1347" s="453" t="inlineStr">
        <is>
          <t>ДЗ</t>
        </is>
      </c>
      <c r="E1347" s="548" t="n">
        <v>1350000</v>
      </c>
      <c r="F1347" s="73" t="inlineStr">
        <is>
          <t>Срочно</t>
        </is>
      </c>
    </row>
    <row r="1348" ht="14.4" customHeight="1" s="1127">
      <c r="B1348" s="68" t="n"/>
      <c r="C1348" s="452" t="inlineStr">
        <is>
          <t>Rikkaus ИП</t>
        </is>
      </c>
      <c r="D1348" s="453" t="inlineStr">
        <is>
          <t>ДЗ</t>
        </is>
      </c>
      <c r="E1348" s="524" t="n">
        <v>1000000</v>
      </c>
      <c r="F1348" s="73" t="inlineStr">
        <is>
          <t>Срочно</t>
        </is>
      </c>
    </row>
    <row r="1349" ht="14.4" customHeight="1" s="1127">
      <c r="B1349" s="68" t="n"/>
      <c r="C1349" s="531" t="inlineStr">
        <is>
          <t>Хим-База ТОО</t>
        </is>
      </c>
      <c r="D1349" s="453" t="inlineStr">
        <is>
          <t xml:space="preserve">по предоплате </t>
        </is>
      </c>
      <c r="E1349" s="524" t="n">
        <v>73500</v>
      </c>
      <c r="F1349" s="73" t="inlineStr">
        <is>
          <t>Срочно</t>
        </is>
      </c>
    </row>
    <row r="1350" ht="14.4" customHeight="1" s="1127">
      <c r="B1350" s="68" t="n"/>
      <c r="C1350" s="531" t="inlineStr">
        <is>
          <t>ПРОТЭК</t>
        </is>
      </c>
      <c r="D1350" s="550" t="inlineStr">
        <is>
          <t>ДЗ</t>
        </is>
      </c>
      <c r="E1350" s="524" t="n">
        <v>1000000</v>
      </c>
      <c r="F1350" s="73" t="inlineStr">
        <is>
          <t>Срочно</t>
        </is>
      </c>
    </row>
    <row r="1351" ht="14.4" customHeight="1" s="1127">
      <c r="B1351" s="68" t="n"/>
      <c r="C1351" s="452" t="inlineStr">
        <is>
          <t>Евразиан Фудс Корпорэйшн АО</t>
        </is>
      </c>
      <c r="D1351" s="556" t="inlineStr">
        <is>
          <t>ДЗ 7 млн</t>
        </is>
      </c>
      <c r="E1351" s="524" t="n">
        <v>1000000</v>
      </c>
      <c r="F1351" s="73" t="inlineStr">
        <is>
          <t>Срочно</t>
        </is>
      </c>
    </row>
    <row r="1352" ht="14.4" customHeight="1" s="1127">
      <c r="B1352" s="68" t="n"/>
      <c r="C1352" s="531" t="inlineStr">
        <is>
          <t>Global Export Shipping ТОО</t>
        </is>
      </c>
      <c r="D1352" s="554" t="inlineStr">
        <is>
          <t>ДЗ с декабря 2025г.</t>
        </is>
      </c>
      <c r="E1352" s="548" t="n">
        <v>500175</v>
      </c>
      <c r="F1352" s="73" t="inlineStr">
        <is>
          <t>Срочно</t>
        </is>
      </c>
    </row>
    <row r="1353" ht="14.4" customHeight="1" s="1127">
      <c r="B1353" s="68" t="n"/>
      <c r="C1353" s="452" t="inlineStr">
        <is>
          <t>Viki-Kazakhstan ТОО</t>
        </is>
      </c>
      <c r="D1353" s="550" t="inlineStr">
        <is>
          <t>ДЗ</t>
        </is>
      </c>
      <c r="E1353" s="524" t="n">
        <v>859584</v>
      </c>
      <c r="F1353" s="73" t="inlineStr">
        <is>
          <t>Срочно</t>
        </is>
      </c>
    </row>
    <row r="1354" ht="14.4" customHeight="1" s="1127">
      <c r="B1354" s="68" t="n"/>
      <c r="C1354" s="531" t="inlineStr">
        <is>
          <t>ТОО "MPARGO"</t>
        </is>
      </c>
      <c r="D1354" s="453" t="inlineStr">
        <is>
          <t xml:space="preserve">по предоплате </t>
        </is>
      </c>
      <c r="E1354" s="524" t="n">
        <v>183040</v>
      </c>
      <c r="F1354" s="73" t="inlineStr">
        <is>
          <t>Срочно</t>
        </is>
      </c>
    </row>
    <row r="1355" ht="14.4" customHeight="1" s="1127">
      <c r="B1355" s="68" t="n"/>
      <c r="C1355" s="452" t="inlineStr">
        <is>
          <t>Первомайские Деликатесы ТОО</t>
        </is>
      </c>
      <c r="D1355" s="550" t="inlineStr">
        <is>
          <t>ДЗ</t>
        </is>
      </c>
      <c r="E1355" s="524" t="n">
        <v>500000</v>
      </c>
      <c r="F1355" s="73" t="inlineStr">
        <is>
          <t>Срочно</t>
        </is>
      </c>
    </row>
    <row r="1356" ht="14.4" customHeight="1" s="1127">
      <c r="B1356" s="68" t="n"/>
      <c r="C1356" s="531" t="inlineStr">
        <is>
          <t>ЭЛИГИТА-АЗИЯ ТОО</t>
        </is>
      </c>
      <c r="D1356" s="550" t="inlineStr">
        <is>
          <t>ДЗ</t>
        </is>
      </c>
      <c r="E1356" s="524" t="n">
        <v>500000</v>
      </c>
      <c r="F1356" s="73" t="inlineStr">
        <is>
          <t>Срочно</t>
        </is>
      </c>
    </row>
    <row r="1357" ht="14.4" customHeight="1" s="1127">
      <c r="B1357" s="68" t="n"/>
      <c r="C1357" s="531" t="inlineStr">
        <is>
          <t>QAZAQ SAPA GROUP ТОО</t>
        </is>
      </c>
      <c r="D1357" s="550" t="inlineStr">
        <is>
          <t>ДЗ</t>
        </is>
      </c>
      <c r="E1357" s="524" t="n">
        <v>500000</v>
      </c>
      <c r="F1357" s="73" t="inlineStr">
        <is>
          <t>Срочно</t>
        </is>
      </c>
    </row>
    <row r="1358" ht="14.4" customHeight="1" s="1127">
      <c r="B1358" s="68" t="n"/>
      <c r="C1358" s="531" t="n"/>
      <c r="D1358" s="509" t="inlineStr">
        <is>
          <t>Итого:</t>
        </is>
      </c>
      <c r="E1358" s="524">
        <f>SUM(E1343:E1357)</f>
        <v/>
      </c>
      <c r="F1358" s="73" t="n"/>
    </row>
    <row r="1359" ht="14.4" customHeight="1" s="1127">
      <c r="B1359" s="68" t="n"/>
      <c r="C1359" s="452" t="n"/>
      <c r="D1359" s="550" t="n"/>
      <c r="E1359" s="524" t="n"/>
      <c r="F1359" s="73" t="n"/>
    </row>
    <row r="1360" ht="14.4" customHeight="1" s="1127">
      <c r="B1360" s="68" t="n"/>
      <c r="C1360" s="531" t="inlineStr">
        <is>
          <t>Lirumax ТОО</t>
        </is>
      </c>
      <c r="D1360" s="550" t="inlineStr">
        <is>
          <t>ДЗ</t>
        </is>
      </c>
      <c r="E1360" s="524" t="n">
        <v>199000</v>
      </c>
      <c r="F1360" s="73" t="inlineStr">
        <is>
          <t>Срочно</t>
        </is>
      </c>
    </row>
    <row r="1361" ht="14.4" customHeight="1" s="1127">
      <c r="B1361" s="68" t="n"/>
      <c r="C1361" s="531" t="inlineStr">
        <is>
          <t>Мясоперерабатывающий завод БИЖАН ТОО</t>
        </is>
      </c>
      <c r="D1361" s="550" t="inlineStr">
        <is>
          <t>ДЗ</t>
        </is>
      </c>
      <c r="E1361" s="524" t="n">
        <v>1955218</v>
      </c>
      <c r="F1361" s="73" t="inlineStr">
        <is>
          <t>Срочно</t>
        </is>
      </c>
    </row>
    <row r="1362" ht="14.4" customHeight="1" s="1127">
      <c r="B1362" s="68" t="n"/>
      <c r="C1362" s="531" t="inlineStr">
        <is>
          <t>Компания Натур Продукт ТОО</t>
        </is>
      </c>
      <c r="D1362" s="550" t="inlineStr">
        <is>
          <t>ДЗ</t>
        </is>
      </c>
      <c r="E1362" s="524" t="n">
        <v>1000000</v>
      </c>
      <c r="F1362" s="73" t="inlineStr">
        <is>
          <t>Срочно</t>
        </is>
      </c>
    </row>
    <row r="1363" ht="14.4" customHeight="1" s="1127">
      <c r="B1363" s="68" t="n"/>
      <c r="C1363" s="531" t="inlineStr">
        <is>
          <t>Acvee market ТОО</t>
        </is>
      </c>
      <c r="D1363" s="550" t="inlineStr">
        <is>
          <t>ДЗ</t>
        </is>
      </c>
      <c r="E1363" s="524" t="n">
        <v>544886</v>
      </c>
      <c r="F1363" s="73" t="inlineStr">
        <is>
          <t>Срочно</t>
        </is>
      </c>
    </row>
    <row r="1364" ht="14.4" customHeight="1" s="1127">
      <c r="B1364" s="68" t="n"/>
      <c r="C1364" s="531" t="inlineStr">
        <is>
          <t>Fresh Frozen ТОО</t>
        </is>
      </c>
      <c r="D1364" s="453" t="inlineStr">
        <is>
          <t>ДЗ 4 млн</t>
        </is>
      </c>
      <c r="E1364" s="524" t="n">
        <v>694700</v>
      </c>
      <c r="F1364" s="73" t="inlineStr">
        <is>
          <t>Срочно</t>
        </is>
      </c>
    </row>
    <row r="1365" ht="14.4" customHeight="1" s="1127">
      <c r="B1365" s="68" t="n"/>
      <c r="C1365" s="531" t="inlineStr">
        <is>
          <t>Frozen Fruit ТОО</t>
        </is>
      </c>
      <c r="D1365" s="453" t="inlineStr">
        <is>
          <t>ДЗ 4 млн</t>
        </is>
      </c>
      <c r="E1365" s="548" t="n">
        <v>686090</v>
      </c>
      <c r="F1365" s="73" t="inlineStr">
        <is>
          <t>Срочно</t>
        </is>
      </c>
    </row>
    <row r="1366" ht="14.4" customHeight="1" s="1127">
      <c r="B1366" s="68" t="n"/>
      <c r="C1366" s="452" t="inlineStr">
        <is>
          <t>Adolar</t>
        </is>
      </c>
      <c r="D1366" s="453" t="inlineStr">
        <is>
          <t>ДЗ около 8 млн</t>
        </is>
      </c>
      <c r="E1366" s="524" t="n">
        <v>1000000</v>
      </c>
      <c r="F1366" s="73" t="inlineStr">
        <is>
          <t>Срочно</t>
        </is>
      </c>
    </row>
    <row r="1367" ht="14.4" customHeight="1" s="1127">
      <c r="B1367" s="68" t="n"/>
      <c r="C1367" s="531" t="inlineStr">
        <is>
          <t>ТОО "Lindström" (Линдстрем)</t>
        </is>
      </c>
      <c r="D1367" s="453" t="n"/>
      <c r="E1367" s="524" t="n">
        <v>941050</v>
      </c>
      <c r="F1367" s="73" t="inlineStr">
        <is>
          <t>Срочно</t>
        </is>
      </c>
    </row>
    <row r="1368" ht="14.4" customHeight="1" s="1127">
      <c r="B1368" s="68" t="n"/>
      <c r="C1368" s="552" t="inlineStr">
        <is>
          <t>Казтехнолоджи Пак ТОО</t>
        </is>
      </c>
      <c r="D1368" s="453" t="inlineStr">
        <is>
          <t>остаток</t>
        </is>
      </c>
      <c r="E1368" s="548" t="n">
        <v>2510400</v>
      </c>
      <c r="F1368" s="73" t="inlineStr">
        <is>
          <t>Срочно</t>
        </is>
      </c>
    </row>
    <row r="1369" ht="14.4" customHeight="1" s="1127">
      <c r="B1369" s="68" t="n"/>
      <c r="C1369" s="452" t="inlineStr">
        <is>
          <t>КазПолимерИнвест ТОО</t>
        </is>
      </c>
      <c r="D1369" s="453" t="inlineStr">
        <is>
          <t>ДЗ</t>
        </is>
      </c>
      <c r="E1369" s="524" t="n">
        <v>859600</v>
      </c>
      <c r="F1369" s="73" t="inlineStr">
        <is>
          <t>Срочно</t>
        </is>
      </c>
    </row>
    <row r="1370" ht="14.4" customHeight="1" s="1127">
      <c r="B1370" s="68" t="n"/>
      <c r="C1370" s="552" t="inlineStr">
        <is>
          <t>ДЭР ТОО</t>
        </is>
      </c>
      <c r="D1370" s="453" t="inlineStr">
        <is>
          <t>ДЗ</t>
        </is>
      </c>
      <c r="E1370" s="548" t="n">
        <v>500000</v>
      </c>
      <c r="F1370" s="73" t="inlineStr">
        <is>
          <t>Срочно</t>
        </is>
      </c>
    </row>
    <row r="1371" ht="14.4" customHeight="1" s="1127">
      <c r="B1371" s="68" t="n"/>
      <c r="C1371" s="452" t="inlineStr">
        <is>
          <t>CityFood Trade ТОО</t>
        </is>
      </c>
      <c r="D1371" s="554" t="inlineStr">
        <is>
          <t>ДЗ, около 10 млн</t>
        </is>
      </c>
      <c r="E1371" s="524" t="n">
        <v>500000</v>
      </c>
      <c r="F1371" s="73" t="inlineStr">
        <is>
          <t>Срочно</t>
        </is>
      </c>
    </row>
    <row r="1372" ht="14.4" customHeight="1" s="1127">
      <c r="B1372" s="68" t="n"/>
      <c r="C1372" s="531" t="inlineStr">
        <is>
          <t>Глобал Фуд ТОО</t>
        </is>
      </c>
      <c r="D1372" s="554" t="inlineStr">
        <is>
          <t>ДЗ, около 12 млн</t>
        </is>
      </c>
      <c r="E1372" s="524" t="n">
        <v>500000</v>
      </c>
      <c r="F1372" s="73" t="inlineStr">
        <is>
          <t>Срочно</t>
        </is>
      </c>
    </row>
    <row r="1373" ht="14.4" customHeight="1" s="1127">
      <c r="B1373" s="68" t="n"/>
      <c r="C1373" s="531" t="inlineStr">
        <is>
          <t>Handy Yummy ИП</t>
        </is>
      </c>
      <c r="D1373" s="550" t="n"/>
      <c r="E1373" s="524" t="n">
        <v>1000000</v>
      </c>
      <c r="F1373" s="73" t="n"/>
    </row>
    <row r="1374" ht="14.4" customHeight="1" s="1127">
      <c r="B1374" s="68" t="n"/>
      <c r="C1374" s="452" t="inlineStr">
        <is>
          <t>Кокрекбай овощи (Габит) Barys group</t>
        </is>
      </c>
      <c r="D1374" s="550" t="inlineStr">
        <is>
          <t>ДЗ, 4 млн</t>
        </is>
      </c>
      <c r="E1374" s="524" t="n">
        <v>500000</v>
      </c>
      <c r="F1374" s="73" t="n"/>
    </row>
    <row r="1375" ht="14.4" customHeight="1" s="1127">
      <c r="B1375" s="68" t="n"/>
      <c r="C1375" s="531" t="inlineStr">
        <is>
          <t>Succes овощи Айкоркем ИП</t>
        </is>
      </c>
      <c r="D1375" s="550" t="inlineStr">
        <is>
          <t>ДЗ, 2,5 млн</t>
        </is>
      </c>
      <c r="E1375" s="524" t="n">
        <v>300000</v>
      </c>
      <c r="F1375" s="73" t="n"/>
    </row>
    <row r="1376" ht="14.4" customHeight="1" s="1127">
      <c r="B1376" s="68" t="n"/>
      <c r="C1376" s="452" t="inlineStr">
        <is>
          <t>Снек Групп ТОО</t>
        </is>
      </c>
      <c r="D1376" s="554" t="n"/>
      <c r="E1376" s="524" t="n">
        <v>44000</v>
      </c>
      <c r="F1376" s="73" t="n"/>
    </row>
    <row r="1377" ht="14.4" customHeight="1" s="1127">
      <c r="B1377" s="68" t="n"/>
      <c r="C1377" s="531" t="inlineStr">
        <is>
          <t>Salmon Group Kazakhstan</t>
        </is>
      </c>
      <c r="D1377" s="554" t="n"/>
      <c r="E1377" s="524" t="n">
        <v>100000</v>
      </c>
      <c r="F1377" s="73" t="inlineStr">
        <is>
          <t>Срочно</t>
        </is>
      </c>
    </row>
    <row r="1378" ht="14.4" customHeight="1" s="1127">
      <c r="B1378" s="68" t="n"/>
      <c r="C1378" s="531" t="inlineStr">
        <is>
          <t>Flame group ТОО</t>
        </is>
      </c>
      <c r="D1378" s="453" t="inlineStr">
        <is>
          <t xml:space="preserve">по предоплате </t>
        </is>
      </c>
      <c r="E1378" s="524" t="n">
        <v>2645000</v>
      </c>
      <c r="F1378" s="73" t="inlineStr">
        <is>
          <t>Срочно</t>
        </is>
      </c>
    </row>
    <row r="1379" ht="14.4" customHeight="1" s="1127">
      <c r="B1379" s="68" t="n"/>
      <c r="C1379" s="531" t="inlineStr">
        <is>
          <t>SWEEZARD ТОО</t>
        </is>
      </c>
      <c r="D1379" s="550" t="inlineStr">
        <is>
          <t>ДЗ, 4 млн</t>
        </is>
      </c>
      <c r="E1379" s="548" t="n">
        <v>1000000</v>
      </c>
      <c r="F1379" s="73" t="inlineStr">
        <is>
          <t>Срочно</t>
        </is>
      </c>
    </row>
    <row r="1380" ht="14.4" customHeight="1" s="1127">
      <c r="B1380" s="68" t="n"/>
      <c r="C1380" s="452" t="n"/>
      <c r="D1380" s="554" t="n"/>
      <c r="E1380" s="524" t="n"/>
      <c r="F1380" s="73" t="n"/>
    </row>
    <row r="1381" ht="14.4" customHeight="1" s="1127">
      <c r="B1381" s="68" t="n"/>
      <c r="C1381" s="531" t="n"/>
      <c r="D1381" s="554" t="n"/>
      <c r="E1381" s="524" t="n"/>
      <c r="F1381" s="73" t="n"/>
    </row>
    <row r="1382" ht="14.4" customHeight="1" s="1127">
      <c r="B1382" s="528" t="n">
        <v>46204</v>
      </c>
      <c r="C1382" s="531" t="inlineStr">
        <is>
          <t>Стас рынок</t>
        </is>
      </c>
      <c r="D1382" s="543" t="inlineStr">
        <is>
          <t>наличными</t>
        </is>
      </c>
      <c r="E1382" s="524" t="n">
        <v>500000</v>
      </c>
      <c r="F1382" s="73" t="n"/>
    </row>
    <row r="1383" ht="14.4" customHeight="1" s="1127">
      <c r="B1383" s="68" t="n"/>
      <c r="C1383" s="452" t="n"/>
      <c r="D1383" s="554" t="n"/>
      <c r="E1383" s="524" t="n"/>
      <c r="F1383" s="73" t="n"/>
    </row>
    <row r="1384" ht="14.4" customHeight="1" s="1127">
      <c r="B1384" s="68" t="n"/>
      <c r="C1384" s="531" t="n"/>
      <c r="D1384" s="554" t="n"/>
      <c r="E1384" s="524" t="n"/>
      <c r="F1384" s="73" t="n"/>
    </row>
    <row r="1385" ht="14.4" customHeight="1" s="1127">
      <c r="B1385" s="68" t="n"/>
      <c r="C1385" s="452" t="n"/>
      <c r="D1385" s="542" t="n"/>
      <c r="E1385" s="524" t="n"/>
      <c r="F1385" s="73" t="n"/>
    </row>
    <row r="1386" ht="14.4" customHeight="1" s="1127">
      <c r="B1386" s="68" t="n"/>
      <c r="C1386" s="531" t="n"/>
      <c r="D1386" s="453" t="n"/>
      <c r="E1386" s="524" t="n"/>
      <c r="F1386" s="73" t="n"/>
    </row>
    <row r="1387" ht="14.4" customHeight="1" s="1127">
      <c r="B1387" s="68" t="n"/>
      <c r="C1387" s="531" t="n"/>
      <c r="D1387" s="544" t="n"/>
      <c r="E1387" s="524" t="n"/>
      <c r="F1387" s="73" t="n"/>
    </row>
    <row r="1388" ht="14.4" customHeight="1" s="1127">
      <c r="B1388" s="68" t="n"/>
      <c r="C1388" s="452" t="n"/>
      <c r="D1388" s="68" t="n"/>
      <c r="E1388" s="524" t="n"/>
      <c r="F1388" s="73" t="n"/>
    </row>
    <row r="1389" ht="14.4" customHeight="1" s="1127">
      <c r="B1389" s="68" t="n"/>
      <c r="C1389" s="531" t="n"/>
      <c r="D1389" s="542" t="n"/>
      <c r="E1389" s="524" t="n"/>
      <c r="F1389" s="73" t="n"/>
    </row>
    <row r="1390" ht="14.4" customHeight="1" s="1127">
      <c r="B1390" s="68" t="n"/>
      <c r="C1390" s="452" t="n"/>
      <c r="D1390" s="542" t="n"/>
      <c r="E1390" s="524" t="n"/>
      <c r="F1390" s="73" t="n"/>
    </row>
    <row r="1391" ht="14.4" customHeight="1" s="1127">
      <c r="B1391" s="68" t="n"/>
      <c r="C1391" s="505" t="n"/>
      <c r="D1391" s="453" t="n"/>
      <c r="E1391" s="524" t="n"/>
      <c r="F1391" s="73" t="n"/>
    </row>
    <row r="1392" ht="14.4" customHeight="1" s="1127">
      <c r="B1392" s="68" t="n"/>
      <c r="C1392" s="531" t="n"/>
      <c r="D1392" s="542" t="n"/>
      <c r="E1392" s="524" t="n"/>
      <c r="F1392" s="73" t="n"/>
    </row>
    <row r="1393" ht="14.4" customHeight="1" s="1127">
      <c r="B1393" s="68" t="n"/>
      <c r="C1393" s="531" t="n"/>
      <c r="D1393" s="544" t="n"/>
      <c r="E1393" s="524" t="n"/>
      <c r="F1393" s="73" t="n"/>
    </row>
    <row r="1394" ht="14.4" customHeight="1" s="1127">
      <c r="B1394" s="68" t="n"/>
      <c r="C1394" s="531" t="n"/>
      <c r="D1394" s="542" t="n"/>
      <c r="E1394" s="524" t="n"/>
      <c r="F1394" s="73" t="n"/>
    </row>
    <row r="1395" ht="14.4" customHeight="1" s="1127">
      <c r="B1395" s="68" t="n"/>
      <c r="C1395" s="531" t="n"/>
      <c r="D1395" s="544" t="n"/>
      <c r="E1395" s="524" t="n"/>
      <c r="F1395" s="73" t="n"/>
    </row>
    <row r="1396" ht="14.4" customHeight="1" s="1127">
      <c r="B1396" s="68" t="n"/>
      <c r="C1396" s="452" t="n"/>
      <c r="D1396" s="68" t="n"/>
      <c r="E1396" s="524" t="n"/>
      <c r="F1396" s="73" t="n"/>
    </row>
    <row r="1397" ht="13.8" customHeight="1" s="1127">
      <c r="B1397" s="68" t="n"/>
      <c r="C1397" s="68" t="n"/>
      <c r="D1397" s="68" t="n"/>
      <c r="E1397" s="520" t="n"/>
      <c r="F1397" s="73" t="n"/>
    </row>
    <row r="1398" ht="13.8" customHeight="1" s="1127">
      <c r="B1398" s="68" t="n"/>
      <c r="C1398" s="68" t="n"/>
      <c r="D1398" s="68" t="n"/>
      <c r="E1398" s="520" t="n"/>
      <c r="F1398" s="73" t="n"/>
    </row>
    <row r="1399" ht="13.8" customHeight="1" s="1127">
      <c r="B1399" s="68" t="n"/>
      <c r="C1399" s="68" t="n"/>
      <c r="D1399" s="68" t="n"/>
      <c r="E1399" s="520" t="n"/>
      <c r="F1399" s="73" t="n"/>
    </row>
    <row r="1400" ht="13.8" customHeight="1" s="1127">
      <c r="B1400" s="68" t="n"/>
      <c r="C1400" s="68" t="n"/>
      <c r="D1400" s="68" t="n"/>
      <c r="E1400" s="520" t="n"/>
      <c r="F1400" s="73" t="n"/>
    </row>
    <row r="1401" ht="13.8" customHeight="1" s="1127">
      <c r="B1401" s="68" t="n"/>
      <c r="C1401" s="68" t="n"/>
      <c r="D1401" s="68" t="n"/>
      <c r="E1401" s="520" t="n"/>
      <c r="F1401" s="73" t="n"/>
    </row>
    <row r="1402" ht="13.8" customHeight="1" s="1127">
      <c r="B1402" s="68" t="n"/>
      <c r="C1402" s="68" t="n"/>
      <c r="D1402" s="68" t="n"/>
      <c r="E1402" s="520" t="n"/>
      <c r="F1402" s="73" t="n"/>
    </row>
    <row r="1403" ht="13.8" customHeight="1" s="1127">
      <c r="B1403" s="68" t="n"/>
      <c r="C1403" s="68" t="n"/>
      <c r="D1403" s="68" t="n"/>
      <c r="E1403" s="520" t="n"/>
      <c r="F1403" s="73" t="n"/>
    </row>
    <row r="1404" ht="13.8" customHeight="1" s="1127">
      <c r="B1404" s="68" t="n"/>
      <c r="C1404" s="68" t="n"/>
      <c r="D1404" s="68" t="n"/>
      <c r="E1404" s="520" t="n"/>
      <c r="F1404" s="73" t="n"/>
    </row>
    <row r="1405" ht="13.8" customHeight="1" s="1127">
      <c r="B1405" s="68" t="n"/>
      <c r="C1405" s="68" t="n"/>
      <c r="D1405" s="68" t="n"/>
      <c r="E1405" s="520" t="n"/>
      <c r="F1405" s="73" t="n"/>
    </row>
    <row r="1406" ht="13.8" customHeight="1" s="1127">
      <c r="B1406" s="68" t="n"/>
      <c r="C1406" s="68" t="n"/>
      <c r="D1406" s="68" t="n"/>
      <c r="E1406" s="520" t="n"/>
      <c r="F1406" s="73" t="n"/>
    </row>
    <row r="1407" ht="13.8" customHeight="1" s="1127">
      <c r="B1407" s="68" t="n"/>
      <c r="C1407" s="68" t="n"/>
      <c r="D1407" s="68" t="n"/>
      <c r="E1407" s="520" t="n"/>
      <c r="F1407" s="73" t="n"/>
    </row>
    <row r="1408" ht="13.8" customHeight="1" s="1127">
      <c r="B1408" s="68" t="n"/>
      <c r="C1408" s="68" t="n"/>
      <c r="D1408" s="68" t="n"/>
      <c r="E1408" s="520" t="n"/>
      <c r="F1408" s="73" t="n"/>
    </row>
    <row r="1409" ht="13.8" customHeight="1" s="1127">
      <c r="B1409" s="68" t="n"/>
      <c r="C1409" s="68" t="n"/>
      <c r="D1409" s="68" t="n"/>
      <c r="E1409" s="520" t="n"/>
      <c r="F1409" s="73" t="n"/>
    </row>
    <row r="1410" ht="13.8" customHeight="1" s="1127">
      <c r="B1410" s="68" t="n"/>
      <c r="C1410" s="68" t="n"/>
      <c r="D1410" s="68" t="n"/>
      <c r="E1410" s="520" t="n"/>
      <c r="F1410" s="73" t="n"/>
    </row>
    <row r="1411" ht="13.8" customHeight="1" s="1127">
      <c r="B1411" s="68" t="n"/>
      <c r="C1411" s="68" t="n"/>
      <c r="D1411" s="68" t="n"/>
      <c r="E1411" s="520" t="n"/>
      <c r="F1411" s="73" t="n"/>
    </row>
    <row r="1412" ht="13.8" customHeight="1" s="1127">
      <c r="B1412" s="68" t="n"/>
      <c r="C1412" s="68" t="n"/>
      <c r="D1412" s="68" t="n"/>
      <c r="E1412" s="520" t="n"/>
      <c r="F1412" s="73" t="n"/>
    </row>
    <row r="1413" ht="13.8" customHeight="1" s="1127">
      <c r="B1413" s="68" t="n"/>
      <c r="C1413" s="68" t="n"/>
      <c r="D1413" s="68" t="n"/>
      <c r="E1413" s="520" t="n"/>
      <c r="F1413" s="73" t="n"/>
    </row>
    <row r="1414" ht="13.8" customHeight="1" s="1127">
      <c r="B1414" s="68" t="n"/>
      <c r="C1414" s="68" t="n"/>
      <c r="D1414" s="68" t="n"/>
      <c r="E1414" s="520" t="n"/>
      <c r="F1414" s="73" t="n"/>
    </row>
    <row r="1415" ht="13.8" customHeight="1" s="1127">
      <c r="B1415" s="68" t="n"/>
      <c r="C1415" s="68" t="n"/>
      <c r="D1415" s="68" t="n"/>
      <c r="E1415" s="520" t="n"/>
      <c r="F1415" s="73" t="n"/>
    </row>
    <row r="1416" ht="13.8" customHeight="1" s="1127">
      <c r="B1416" s="68" t="n"/>
      <c r="C1416" s="68" t="n"/>
      <c r="D1416" s="68" t="n"/>
      <c r="E1416" s="520" t="n"/>
      <c r="F1416" s="73" t="n"/>
    </row>
    <row r="1417" ht="13.2" customHeight="1" s="1127">
      <c r="E1417" s="219" t="n"/>
    </row>
    <row r="1418" ht="13.2" customHeight="1" s="1127">
      <c r="E1418" s="219" t="n"/>
    </row>
    <row r="1419" ht="13.2" customHeight="1" s="1127">
      <c r="E1419" s="219" t="n"/>
    </row>
    <row r="1420" ht="13.2" customHeight="1" s="1127">
      <c r="E1420" s="219" t="n"/>
    </row>
    <row r="1421" ht="13.2" customHeight="1" s="1127">
      <c r="E1421" s="219" t="n"/>
    </row>
    <row r="1422" ht="13.2" customHeight="1" s="1127">
      <c r="E1422" s="219" t="n"/>
    </row>
    <row r="1423" ht="13.2" customHeight="1" s="1127">
      <c r="E1423" s="219" t="n"/>
    </row>
    <row r="1424" ht="13.2" customHeight="1" s="1127">
      <c r="E1424" s="219" t="n"/>
    </row>
    <row r="1425" ht="13.2" customHeight="1" s="1127">
      <c r="E1425" s="219" t="n"/>
    </row>
    <row r="1426" ht="13.2" customHeight="1" s="1127">
      <c r="E1426" s="219" t="n"/>
    </row>
    <row r="1427" ht="13.2" customHeight="1" s="1127">
      <c r="E1427" s="219" t="n"/>
    </row>
    <row r="1428" ht="13.2" customHeight="1" s="1127">
      <c r="E1428" s="219" t="n"/>
    </row>
    <row r="1429" ht="13.2" customHeight="1" s="1127">
      <c r="E1429" s="219" t="n"/>
    </row>
    <row r="1430" ht="13.2" customHeight="1" s="1127">
      <c r="E1430" s="219" t="n"/>
    </row>
    <row r="1431" ht="13.2" customHeight="1" s="1127">
      <c r="E1431" s="219" t="n"/>
    </row>
    <row r="1432" ht="13.2" customHeight="1" s="1127">
      <c r="E1432" s="219" t="n"/>
    </row>
    <row r="1433" ht="13.2" customHeight="1" s="1127">
      <c r="E1433" s="219" t="n"/>
    </row>
    <row r="1434" ht="13.2" customHeight="1" s="1127">
      <c r="E1434" s="219" t="n"/>
    </row>
    <row r="1435" ht="13.2" customHeight="1" s="1127">
      <c r="E1435" s="219" t="n"/>
    </row>
    <row r="1436" ht="13.2" customHeight="1" s="1127">
      <c r="E1436" s="219" t="n"/>
    </row>
    <row r="1437" ht="13.2" customHeight="1" s="1127">
      <c r="E1437" s="219" t="n"/>
    </row>
    <row r="1438" ht="13.2" customHeight="1" s="1127">
      <c r="E1438" s="219" t="n"/>
    </row>
    <row r="1439" ht="13.2" customHeight="1" s="1127">
      <c r="E1439" s="219" t="n"/>
    </row>
    <row r="1440" ht="13.2" customHeight="1" s="1127">
      <c r="E1440" s="219" t="n"/>
    </row>
    <row r="1441" ht="13.2" customHeight="1" s="1127">
      <c r="E1441" s="219" t="n"/>
    </row>
    <row r="1442" ht="13.2" customHeight="1" s="1127">
      <c r="E1442" s="219" t="n"/>
    </row>
    <row r="1443" ht="13.2" customHeight="1" s="1127">
      <c r="E1443" s="219" t="n"/>
    </row>
    <row r="1444" ht="13.2" customHeight="1" s="1127">
      <c r="E1444" s="219" t="n"/>
    </row>
    <row r="1445" ht="13.2" customHeight="1" s="1127">
      <c r="E1445" s="219" t="n"/>
    </row>
    <row r="1446" ht="13.2" customHeight="1" s="1127">
      <c r="E1446" s="219" t="n"/>
    </row>
    <row r="1447" ht="13.2" customHeight="1" s="1127">
      <c r="E1447" s="219" t="n"/>
    </row>
    <row r="1448" ht="13.2" customHeight="1" s="1127">
      <c r="E1448" s="219" t="n"/>
    </row>
    <row r="1449" ht="13.2" customHeight="1" s="1127">
      <c r="E1449" s="219" t="n"/>
    </row>
    <row r="1450" ht="13.2" customHeight="1" s="1127">
      <c r="E1450" s="219" t="n"/>
    </row>
    <row r="1451" ht="13.2" customHeight="1" s="1127">
      <c r="E1451" s="219" t="n"/>
    </row>
    <row r="1452" ht="13.2" customHeight="1" s="1127">
      <c r="E1452" s="219" t="n"/>
    </row>
    <row r="1453" ht="13.2" customHeight="1" s="1127">
      <c r="E1453" s="219" t="n"/>
    </row>
    <row r="1454" ht="13.2" customHeight="1" s="1127">
      <c r="E1454" s="219" t="n"/>
    </row>
    <row r="1455" ht="13.2" customHeight="1" s="1127">
      <c r="E1455" s="219" t="n"/>
    </row>
    <row r="1456" ht="13.2" customHeight="1" s="1127">
      <c r="E1456" s="219" t="n"/>
    </row>
    <row r="1457" ht="13.2" customHeight="1" s="1127">
      <c r="E1457" s="219" t="n"/>
    </row>
    <row r="1458" ht="13.2" customHeight="1" s="1127">
      <c r="E1458" s="219" t="n"/>
    </row>
    <row r="1459" ht="13.2" customHeight="1" s="1127">
      <c r="E1459" s="219" t="n"/>
    </row>
    <row r="1460" ht="13.2" customHeight="1" s="1127">
      <c r="E1460" s="219" t="n"/>
    </row>
    <row r="1461" ht="13.2" customHeight="1" s="1127">
      <c r="E1461" s="219" t="n"/>
    </row>
    <row r="1462" ht="13.2" customHeight="1" s="1127">
      <c r="E1462" s="219" t="n"/>
    </row>
    <row r="1463" ht="13.2" customHeight="1" s="1127">
      <c r="E1463" s="219" t="n"/>
    </row>
    <row r="1464" ht="13.2" customHeight="1" s="1127">
      <c r="E1464" s="219" t="n"/>
    </row>
    <row r="1465" ht="13.2" customHeight="1" s="1127">
      <c r="E1465" s="219" t="n"/>
    </row>
    <row r="1466" ht="13.2" customHeight="1" s="1127">
      <c r="E1466" s="219" t="n"/>
    </row>
    <row r="1467" ht="13.2" customHeight="1" s="1127">
      <c r="E1467" s="219" t="n"/>
    </row>
    <row r="1468" ht="13.2" customHeight="1" s="1127">
      <c r="E1468" s="219" t="n"/>
    </row>
    <row r="1469" ht="13.2" customHeight="1" s="1127">
      <c r="E1469" s="219" t="n"/>
    </row>
    <row r="1470" ht="13.2" customHeight="1" s="1127">
      <c r="E1470" s="219" t="n"/>
    </row>
    <row r="1471" ht="13.2" customHeight="1" s="1127">
      <c r="E1471" s="219" t="n"/>
    </row>
    <row r="1472" ht="13.2" customHeight="1" s="1127">
      <c r="E1472" s="219" t="n"/>
    </row>
    <row r="1473" ht="13.2" customHeight="1" s="1127">
      <c r="E1473" s="219" t="n"/>
    </row>
    <row r="1474" ht="13.2" customHeight="1" s="1127">
      <c r="E1474" s="219" t="n"/>
    </row>
    <row r="1475" ht="13.2" customHeight="1" s="1127">
      <c r="E1475" s="219" t="n"/>
    </row>
    <row r="1476" ht="13.2" customHeight="1" s="1127">
      <c r="E1476" s="219" t="n"/>
    </row>
    <row r="1477" ht="13.2" customHeight="1" s="1127">
      <c r="E1477" s="219" t="n"/>
    </row>
    <row r="1478" ht="13.2" customHeight="1" s="1127">
      <c r="E1478" s="219" t="n"/>
    </row>
    <row r="1479" ht="13.2" customHeight="1" s="1127">
      <c r="E1479" s="219" t="n"/>
    </row>
    <row r="1480" ht="13.2" customHeight="1" s="1127">
      <c r="E1480" s="219" t="n"/>
    </row>
    <row r="1481" ht="13.2" customHeight="1" s="1127">
      <c r="E1481" s="219" t="n"/>
    </row>
    <row r="1482" ht="13.2" customHeight="1" s="1127">
      <c r="E1482" s="219" t="n"/>
    </row>
    <row r="1483" ht="13.2" customHeight="1" s="1127">
      <c r="E1483" s="219" t="n"/>
    </row>
    <row r="1484" ht="13.2" customHeight="1" s="1127">
      <c r="E1484" s="219" t="n"/>
    </row>
    <row r="1485" ht="13.2" customHeight="1" s="1127">
      <c r="E1485" s="219" t="n"/>
    </row>
    <row r="1486" ht="13.2" customHeight="1" s="1127">
      <c r="E1486" s="219" t="n"/>
    </row>
    <row r="1487" ht="13.2" customHeight="1" s="1127">
      <c r="E1487" s="219" t="n"/>
    </row>
    <row r="1488" ht="13.2" customHeight="1" s="1127">
      <c r="E1488" s="219" t="n"/>
    </row>
    <row r="1489" ht="13.2" customHeight="1" s="1127">
      <c r="E1489" s="219" t="n"/>
    </row>
    <row r="1490" ht="13.2" customHeight="1" s="1127">
      <c r="E1490" s="219" t="n"/>
    </row>
    <row r="1491" ht="13.2" customHeight="1" s="1127">
      <c r="E1491" s="219" t="n"/>
    </row>
    <row r="1492" ht="13.2" customHeight="1" s="1127">
      <c r="E1492" s="219" t="n"/>
    </row>
    <row r="1493" ht="13.2" customHeight="1" s="1127">
      <c r="E1493" s="219" t="n"/>
    </row>
    <row r="1494" ht="13.2" customHeight="1" s="1127">
      <c r="E1494" s="219" t="n"/>
    </row>
    <row r="1495" ht="13.2" customHeight="1" s="1127">
      <c r="E1495" s="219" t="n"/>
    </row>
    <row r="1496" ht="13.2" customHeight="1" s="1127">
      <c r="E1496" s="219" t="n"/>
    </row>
    <row r="1497" ht="13.2" customHeight="1" s="1127">
      <c r="E1497" s="219" t="n"/>
    </row>
    <row r="1498" ht="13.2" customHeight="1" s="1127">
      <c r="E1498" s="219" t="n"/>
    </row>
    <row r="1499" ht="13.2" customHeight="1" s="1127">
      <c r="E1499" s="219" t="n"/>
    </row>
    <row r="1500" ht="13.2" customHeight="1" s="1127">
      <c r="E1500" s="219" t="n"/>
    </row>
    <row r="1501" ht="13.2" customHeight="1" s="1127">
      <c r="E1501" s="219" t="n"/>
    </row>
    <row r="1502" ht="13.2" customHeight="1" s="1127">
      <c r="E1502" s="219" t="n"/>
    </row>
    <row r="1503" ht="13.2" customHeight="1" s="1127">
      <c r="E1503" s="219" t="n"/>
    </row>
    <row r="1504" ht="13.2" customHeight="1" s="1127">
      <c r="E1504" s="219" t="n"/>
    </row>
    <row r="1505" ht="13.2" customHeight="1" s="1127">
      <c r="E1505" s="219" t="n"/>
    </row>
    <row r="1506" ht="13.2" customHeight="1" s="1127">
      <c r="E1506" s="219" t="n"/>
    </row>
    <row r="1507" ht="13.2" customHeight="1" s="1127">
      <c r="E1507" s="219" t="n"/>
    </row>
    <row r="1508" ht="13.2" customHeight="1" s="1127">
      <c r="E1508" s="219" t="n"/>
    </row>
    <row r="1509" ht="13.2" customHeight="1" s="1127">
      <c r="E1509" s="219" t="n"/>
    </row>
    <row r="1510" ht="13.2" customHeight="1" s="1127">
      <c r="E1510" s="219" t="n"/>
    </row>
    <row r="1511" ht="13.2" customHeight="1" s="1127">
      <c r="E1511" s="219" t="n"/>
    </row>
    <row r="1512" ht="13.2" customHeight="1" s="1127">
      <c r="E1512" s="219" t="n"/>
    </row>
    <row r="1513" ht="13.2" customHeight="1" s="1127">
      <c r="E1513" s="219" t="n"/>
    </row>
    <row r="1514" ht="13.2" customHeight="1" s="1127">
      <c r="E1514" s="219" t="n"/>
    </row>
    <row r="1515" ht="13.2" customHeight="1" s="1127">
      <c r="E1515" s="219" t="n"/>
    </row>
    <row r="1516" ht="13.2" customHeight="1" s="1127">
      <c r="E1516" s="219" t="n"/>
    </row>
    <row r="1517" ht="13.2" customHeight="1" s="1127">
      <c r="E1517" s="219" t="n"/>
    </row>
    <row r="1518" ht="13.2" customHeight="1" s="1127">
      <c r="E1518" s="219" t="n"/>
    </row>
    <row r="1519" ht="13.2" customHeight="1" s="1127">
      <c r="E1519" s="219" t="n"/>
    </row>
    <row r="1520" ht="13.2" customHeight="1" s="1127">
      <c r="E1520" s="219" t="n"/>
    </row>
    <row r="1521" ht="13.2" customHeight="1" s="1127">
      <c r="E1521" s="219" t="n"/>
    </row>
    <row r="1522" ht="13.2" customHeight="1" s="1127">
      <c r="E1522" s="219" t="n"/>
    </row>
    <row r="1523" ht="13.2" customHeight="1" s="1127">
      <c r="E1523" s="219" t="n"/>
    </row>
    <row r="1524" ht="13.2" customHeight="1" s="1127">
      <c r="E1524" s="219" t="n"/>
    </row>
    <row r="1525" ht="13.2" customHeight="1" s="1127">
      <c r="E1525" s="219" t="n"/>
    </row>
    <row r="1526" ht="13.2" customHeight="1" s="1127">
      <c r="E1526" s="219" t="n"/>
    </row>
    <row r="1527" ht="13.2" customHeight="1" s="1127">
      <c r="E1527" s="219" t="n"/>
    </row>
    <row r="1528" ht="13.2" customHeight="1" s="1127">
      <c r="E1528" s="219" t="n"/>
    </row>
    <row r="1529" ht="13.2" customHeight="1" s="1127">
      <c r="E1529" s="219" t="n"/>
    </row>
    <row r="1530" ht="13.2" customHeight="1" s="1127">
      <c r="E1530" s="219" t="n"/>
    </row>
    <row r="1531" ht="13.2" customHeight="1" s="1127">
      <c r="E1531" s="219" t="n"/>
    </row>
    <row r="1532" ht="13.2" customHeight="1" s="1127">
      <c r="E1532" s="219" t="n"/>
    </row>
    <row r="1533" ht="13.2" customHeight="1" s="1127">
      <c r="E1533" s="219" t="n"/>
    </row>
    <row r="1534" ht="13.2" customHeight="1" s="1127">
      <c r="E1534" s="219" t="n"/>
    </row>
    <row r="1535" ht="13.2" customHeight="1" s="1127">
      <c r="E1535" s="219" t="n"/>
    </row>
    <row r="1536" ht="13.2" customHeight="1" s="1127">
      <c r="E1536" s="219" t="n"/>
    </row>
    <row r="1537" ht="13.2" customHeight="1" s="1127">
      <c r="E1537" s="219" t="n"/>
    </row>
    <row r="1538" ht="13.2" customHeight="1" s="1127">
      <c r="E1538" s="219" t="n"/>
    </row>
    <row r="1539" ht="13.2" customHeight="1" s="1127">
      <c r="E1539" s="219" t="n"/>
    </row>
    <row r="1540" ht="13.2" customHeight="1" s="1127">
      <c r="E1540" s="219" t="n"/>
    </row>
    <row r="1541" ht="13.2" customHeight="1" s="1127">
      <c r="E1541" s="219" t="n"/>
    </row>
    <row r="1542" ht="13.2" customHeight="1" s="1127">
      <c r="E1542" s="219" t="n"/>
    </row>
    <row r="1543" ht="13.2" customHeight="1" s="1127">
      <c r="E1543" s="219" t="n"/>
    </row>
    <row r="1544" ht="13.2" customHeight="1" s="1127">
      <c r="E1544" s="219" t="n"/>
    </row>
    <row r="1545" ht="13.2" customHeight="1" s="1127">
      <c r="E1545" s="219" t="n"/>
    </row>
    <row r="1546" ht="13.2" customHeight="1" s="1127">
      <c r="E1546" s="219" t="n"/>
    </row>
    <row r="1547" ht="13.2" customHeight="1" s="1127">
      <c r="E1547" s="219" t="n"/>
    </row>
    <row r="1548" ht="13.2" customHeight="1" s="1127">
      <c r="E1548" s="219" t="n"/>
    </row>
    <row r="1549" ht="13.2" customHeight="1" s="1127">
      <c r="E1549" s="219" t="n"/>
    </row>
    <row r="1550" ht="13.2" customHeight="1" s="1127">
      <c r="E1550" s="219" t="n"/>
    </row>
    <row r="1551" ht="13.2" customHeight="1" s="1127">
      <c r="E1551" s="219" t="n"/>
    </row>
    <row r="1552" ht="13.2" customHeight="1" s="1127">
      <c r="E1552" s="219" t="n"/>
    </row>
    <row r="1553" ht="13.2" customHeight="1" s="1127">
      <c r="E1553" s="219" t="n"/>
    </row>
    <row r="1554" ht="13.2" customHeight="1" s="1127">
      <c r="E1554" s="219" t="n"/>
    </row>
    <row r="1555" ht="13.2" customHeight="1" s="1127">
      <c r="E1555" s="219" t="n"/>
    </row>
    <row r="1556" ht="13.2" customHeight="1" s="1127">
      <c r="E1556" s="219" t="n"/>
    </row>
    <row r="1557" ht="13.2" customHeight="1" s="1127">
      <c r="E1557" s="219" t="n"/>
    </row>
    <row r="1558" ht="13.2" customHeight="1" s="1127">
      <c r="E1558" s="219" t="n"/>
    </row>
    <row r="1559" ht="13.2" customHeight="1" s="1127">
      <c r="E1559" s="219" t="n"/>
    </row>
    <row r="1560" ht="13.2" customHeight="1" s="1127">
      <c r="E1560" s="219" t="n"/>
    </row>
    <row r="1561" ht="13.2" customHeight="1" s="1127">
      <c r="E1561" s="219" t="n"/>
    </row>
    <row r="1562" ht="13.2" customHeight="1" s="1127">
      <c r="E1562" s="219" t="n"/>
    </row>
    <row r="1563" ht="13.2" customHeight="1" s="1127">
      <c r="E1563" s="219" t="n"/>
    </row>
    <row r="1564" ht="13.2" customHeight="1" s="1127">
      <c r="E1564" s="219" t="n"/>
    </row>
    <row r="1565" ht="13.2" customHeight="1" s="1127">
      <c r="E1565" s="219" t="n"/>
    </row>
    <row r="1566" ht="13.2" customHeight="1" s="1127">
      <c r="E1566" s="219" t="n"/>
    </row>
    <row r="1567" ht="13.2" customHeight="1" s="1127">
      <c r="E1567" s="219" t="n"/>
    </row>
    <row r="1568" ht="13.2" customHeight="1" s="1127">
      <c r="E1568" s="219" t="n"/>
    </row>
    <row r="1569" ht="13.2" customHeight="1" s="1127">
      <c r="E1569" s="219" t="n"/>
    </row>
    <row r="1570" ht="13.2" customHeight="1" s="1127">
      <c r="E1570" s="219" t="n"/>
    </row>
    <row r="1571" ht="13.2" customHeight="1" s="1127">
      <c r="E1571" s="219" t="n"/>
    </row>
    <row r="1572" ht="13.2" customHeight="1" s="1127">
      <c r="E1572" s="219" t="n"/>
    </row>
    <row r="1573" ht="13.2" customHeight="1" s="1127">
      <c r="E1573" s="219" t="n"/>
    </row>
    <row r="1574" ht="13.2" customHeight="1" s="1127">
      <c r="E1574" s="219" t="n"/>
    </row>
    <row r="1575" ht="13.2" customHeight="1" s="1127">
      <c r="E1575" s="219" t="n"/>
    </row>
    <row r="1576" ht="13.2" customHeight="1" s="1127">
      <c r="E1576" s="219" t="n"/>
    </row>
    <row r="1577" ht="13.2" customHeight="1" s="1127">
      <c r="E1577" s="219" t="n"/>
    </row>
    <row r="1578" ht="13.2" customHeight="1" s="1127">
      <c r="E1578" s="219" t="n"/>
    </row>
    <row r="1579" ht="13.2" customHeight="1" s="1127">
      <c r="E1579" s="219" t="n"/>
    </row>
    <row r="1580" ht="13.2" customHeight="1" s="1127">
      <c r="E1580" s="219" t="n"/>
    </row>
    <row r="1581" ht="13.2" customHeight="1" s="1127">
      <c r="E1581" s="219" t="n"/>
    </row>
    <row r="1582" ht="13.2" customHeight="1" s="1127">
      <c r="E1582" s="219" t="n"/>
    </row>
    <row r="1583" ht="13.2" customHeight="1" s="1127">
      <c r="E1583" s="219" t="n"/>
    </row>
    <row r="1584" ht="13.2" customHeight="1" s="1127">
      <c r="E1584" s="219" t="n"/>
    </row>
    <row r="1585" ht="13.2" customHeight="1" s="1127">
      <c r="E1585" s="219" t="n"/>
    </row>
    <row r="1586" ht="13.2" customHeight="1" s="1127">
      <c r="E1586" s="219" t="n"/>
    </row>
    <row r="1587" ht="13.2" customHeight="1" s="1127">
      <c r="E1587" s="219" t="n"/>
    </row>
    <row r="1588" ht="13.2" customHeight="1" s="1127">
      <c r="E1588" s="219" t="n"/>
    </row>
    <row r="1589" ht="13.2" customHeight="1" s="1127">
      <c r="E1589" s="219" t="n"/>
    </row>
    <row r="1590" ht="13.2" customHeight="1" s="1127">
      <c r="E1590" s="219" t="n"/>
    </row>
    <row r="1591" ht="13.2" customHeight="1" s="1127">
      <c r="E1591" s="219" t="n"/>
    </row>
    <row r="1592" ht="13.2" customHeight="1" s="1127">
      <c r="E1592" s="219" t="n"/>
    </row>
    <row r="1593" ht="13.2" customHeight="1" s="1127">
      <c r="E1593" s="219" t="n"/>
    </row>
    <row r="1594" ht="13.2" customHeight="1" s="1127">
      <c r="E1594" s="219" t="n"/>
    </row>
    <row r="1595" ht="13.2" customHeight="1" s="1127">
      <c r="E1595" s="219" t="n"/>
    </row>
    <row r="1596" ht="13.2" customHeight="1" s="1127">
      <c r="E1596" s="219" t="n"/>
    </row>
    <row r="1597" ht="13.2" customHeight="1" s="1127">
      <c r="E1597" s="219" t="n"/>
    </row>
    <row r="1598" ht="13.2" customHeight="1" s="1127">
      <c r="E1598" s="219" t="n"/>
    </row>
    <row r="1599" ht="13.2" customHeight="1" s="1127">
      <c r="E1599" s="219" t="n"/>
    </row>
    <row r="1600" ht="13.2" customHeight="1" s="1127">
      <c r="E1600" s="219" t="n"/>
    </row>
    <row r="1601" ht="13.2" customHeight="1" s="1127">
      <c r="E1601" s="219" t="n"/>
    </row>
    <row r="1602" ht="13.2" customHeight="1" s="1127">
      <c r="E1602" s="219" t="n"/>
    </row>
    <row r="1603" ht="13.2" customHeight="1" s="1127">
      <c r="E1603" s="219" t="n"/>
    </row>
    <row r="1604" ht="13.2" customHeight="1" s="1127">
      <c r="E1604" s="219" t="n"/>
    </row>
    <row r="1605" ht="13.2" customHeight="1" s="1127">
      <c r="E1605" s="219" t="n"/>
    </row>
    <row r="1606" ht="13.2" customHeight="1" s="1127">
      <c r="E1606" s="219" t="n"/>
    </row>
    <row r="1607" ht="13.2" customHeight="1" s="1127">
      <c r="E1607" s="219" t="n"/>
    </row>
    <row r="1608" ht="13.2" customHeight="1" s="1127">
      <c r="E1608" s="219" t="n"/>
    </row>
    <row r="1609" ht="13.2" customHeight="1" s="1127">
      <c r="E1609" s="219" t="n"/>
    </row>
    <row r="1610" ht="13.2" customHeight="1" s="1127">
      <c r="E1610" s="219" t="n"/>
    </row>
    <row r="1611" ht="13.2" customHeight="1" s="1127">
      <c r="E1611" s="219" t="n"/>
    </row>
    <row r="1612" ht="13.2" customHeight="1" s="1127">
      <c r="E1612" s="219" t="n"/>
    </row>
    <row r="1613" ht="13.2" customHeight="1" s="1127">
      <c r="E1613" s="219" t="n"/>
    </row>
    <row r="1614" ht="13.2" customHeight="1" s="1127">
      <c r="E1614" s="219" t="n"/>
    </row>
    <row r="1615" ht="13.2" customHeight="1" s="1127">
      <c r="E1615" s="219" t="n"/>
    </row>
    <row r="1616" ht="13.2" customHeight="1" s="1127">
      <c r="E1616" s="219" t="n"/>
    </row>
    <row r="1617" ht="13.2" customHeight="1" s="1127">
      <c r="E1617" s="219" t="n"/>
    </row>
    <row r="1618" ht="13.2" customHeight="1" s="1127">
      <c r="E1618" s="219" t="n"/>
    </row>
    <row r="1619" ht="13.2" customHeight="1" s="1127">
      <c r="E1619" s="219" t="n"/>
    </row>
    <row r="1620" ht="13.2" customHeight="1" s="1127">
      <c r="E1620" s="219" t="n"/>
    </row>
    <row r="1621" ht="13.2" customHeight="1" s="1127">
      <c r="E1621" s="219" t="n"/>
    </row>
    <row r="1622" ht="13.2" customHeight="1" s="1127">
      <c r="E1622" s="219" t="n"/>
    </row>
    <row r="1623" ht="13.2" customHeight="1" s="1127">
      <c r="E1623" s="219" t="n"/>
    </row>
    <row r="1624" ht="13.2" customHeight="1" s="1127">
      <c r="E1624" s="219" t="n"/>
    </row>
    <row r="1625" ht="13.2" customHeight="1" s="1127">
      <c r="E1625" s="219" t="n"/>
    </row>
    <row r="1626" ht="13.2" customHeight="1" s="1127">
      <c r="E1626" s="219" t="n"/>
    </row>
    <row r="1627" ht="13.2" customHeight="1" s="1127">
      <c r="E1627" s="219" t="n"/>
    </row>
    <row r="1628" ht="13.2" customHeight="1" s="1127">
      <c r="E1628" s="219" t="n"/>
    </row>
    <row r="1629" ht="13.2" customHeight="1" s="1127">
      <c r="E1629" s="219" t="n"/>
    </row>
    <row r="1630" ht="13.2" customHeight="1" s="1127">
      <c r="E1630" s="219" t="n"/>
    </row>
    <row r="1631" ht="13.2" customHeight="1" s="1127">
      <c r="E1631" s="219" t="n"/>
    </row>
    <row r="1632" ht="13.2" customHeight="1" s="1127">
      <c r="E1632" s="219" t="n"/>
    </row>
    <row r="1633" ht="13.2" customHeight="1" s="1127">
      <c r="E1633" s="219" t="n"/>
    </row>
    <row r="1634" ht="13.2" customHeight="1" s="1127">
      <c r="E1634" s="219" t="n"/>
    </row>
    <row r="1635" ht="13.2" customHeight="1" s="1127">
      <c r="E1635" s="219" t="n"/>
    </row>
    <row r="1636" ht="13.2" customHeight="1" s="1127">
      <c r="E1636" s="219" t="n"/>
    </row>
    <row r="1637" ht="13.2" customHeight="1" s="1127">
      <c r="E1637" s="219" t="n"/>
    </row>
    <row r="1638" ht="13.2" customHeight="1" s="1127">
      <c r="E1638" s="219" t="n"/>
    </row>
    <row r="1639" ht="13.2" customHeight="1" s="1127">
      <c r="E1639" s="219" t="n"/>
    </row>
    <row r="1640" ht="13.2" customHeight="1" s="1127">
      <c r="E1640" s="219" t="n"/>
    </row>
    <row r="1641" ht="13.2" customHeight="1" s="1127">
      <c r="E1641" s="219" t="n"/>
    </row>
    <row r="1642" ht="13.2" customHeight="1" s="1127">
      <c r="E1642" s="219" t="n"/>
    </row>
    <row r="1643" ht="13.2" customHeight="1" s="1127">
      <c r="E1643" s="219" t="n"/>
    </row>
    <row r="1644" ht="13.2" customHeight="1" s="1127">
      <c r="E1644" s="219" t="n"/>
    </row>
    <row r="1645" ht="13.2" customHeight="1" s="1127">
      <c r="E1645" s="219" t="n"/>
    </row>
    <row r="1646" ht="13.2" customHeight="1" s="1127">
      <c r="E1646" s="219" t="n"/>
    </row>
    <row r="1647" ht="13.2" customHeight="1" s="1127">
      <c r="E1647" s="219" t="n"/>
    </row>
    <row r="1648" ht="13.2" customHeight="1" s="1127">
      <c r="E1648" s="219" t="n"/>
    </row>
    <row r="1649" ht="13.2" customHeight="1" s="1127">
      <c r="E1649" s="219" t="n"/>
    </row>
    <row r="1650" ht="13.2" customHeight="1" s="1127">
      <c r="E1650" s="219" t="n"/>
    </row>
    <row r="1651" ht="13.2" customHeight="1" s="1127">
      <c r="E1651" s="219" t="n"/>
    </row>
    <row r="1652" ht="13.2" customHeight="1" s="1127">
      <c r="E1652" s="219" t="n"/>
    </row>
    <row r="1653" ht="13.2" customHeight="1" s="1127">
      <c r="E1653" s="219" t="n"/>
    </row>
    <row r="1654" ht="13.2" customHeight="1" s="1127">
      <c r="E1654" s="219" t="n"/>
    </row>
    <row r="1655" ht="13.2" customHeight="1" s="1127">
      <c r="E1655" s="219" t="n"/>
    </row>
    <row r="1656" ht="13.2" customHeight="1" s="1127">
      <c r="E1656" s="219" t="n"/>
    </row>
    <row r="1657" ht="13.2" customHeight="1" s="1127">
      <c r="E1657" s="219" t="n"/>
    </row>
    <row r="1658" ht="13.2" customHeight="1" s="1127">
      <c r="E1658" s="219" t="n"/>
    </row>
    <row r="1659" ht="13.2" customHeight="1" s="1127">
      <c r="E1659" s="219" t="n"/>
    </row>
    <row r="1660" ht="13.2" customHeight="1" s="1127">
      <c r="E1660" s="219" t="n"/>
    </row>
    <row r="1661" ht="13.2" customHeight="1" s="1127">
      <c r="E1661" s="219" t="n"/>
    </row>
    <row r="1662" ht="13.2" customHeight="1" s="1127">
      <c r="E1662" s="219" t="n"/>
    </row>
    <row r="1663" ht="13.2" customHeight="1" s="1127">
      <c r="E1663" s="219" t="n"/>
    </row>
    <row r="1664" ht="13.2" customHeight="1" s="1127">
      <c r="E1664" s="219" t="n"/>
    </row>
    <row r="1665" ht="13.2" customHeight="1" s="1127">
      <c r="E1665" s="219" t="n"/>
    </row>
    <row r="1666" ht="13.2" customHeight="1" s="1127">
      <c r="E1666" s="219" t="n"/>
    </row>
    <row r="1667" ht="13.2" customHeight="1" s="1127">
      <c r="E1667" s="219" t="n"/>
    </row>
    <row r="1668" ht="13.2" customHeight="1" s="1127">
      <c r="E1668" s="219" t="n"/>
    </row>
    <row r="1669" ht="13.2" customHeight="1" s="1127">
      <c r="E1669" s="219" t="n"/>
    </row>
    <row r="1670" ht="13.2" customHeight="1" s="1127">
      <c r="E1670" s="219" t="n"/>
    </row>
    <row r="1671" ht="13.2" customHeight="1" s="1127">
      <c r="E1671" s="219" t="n"/>
    </row>
    <row r="1672" ht="13.2" customHeight="1" s="1127">
      <c r="E1672" s="219" t="n"/>
    </row>
    <row r="1673" ht="13.2" customHeight="1" s="1127">
      <c r="E1673" s="219" t="n"/>
    </row>
    <row r="1674" ht="13.2" customHeight="1" s="1127">
      <c r="E1674" s="219" t="n"/>
    </row>
    <row r="1675" ht="13.2" customHeight="1" s="1127">
      <c r="E1675" s="219" t="n"/>
    </row>
    <row r="1676" ht="13.2" customHeight="1" s="1127">
      <c r="E1676" s="219" t="n"/>
    </row>
    <row r="1677" ht="13.2" customHeight="1" s="1127">
      <c r="E1677" s="219" t="n"/>
    </row>
    <row r="1678" ht="13.2" customHeight="1" s="1127">
      <c r="E1678" s="219" t="n"/>
    </row>
    <row r="1679" ht="13.2" customHeight="1" s="1127">
      <c r="E1679" s="219" t="n"/>
    </row>
    <row r="1680" ht="13.2" customHeight="1" s="1127">
      <c r="E1680" s="219" t="n"/>
    </row>
    <row r="1681" ht="13.2" customHeight="1" s="1127">
      <c r="E1681" s="219" t="n"/>
    </row>
    <row r="1682" ht="13.2" customHeight="1" s="1127">
      <c r="E1682" s="219" t="n"/>
    </row>
    <row r="1683" ht="13.2" customHeight="1" s="1127">
      <c r="E1683" s="219" t="n"/>
    </row>
    <row r="1684" ht="13.2" customHeight="1" s="1127">
      <c r="E1684" s="219" t="n"/>
    </row>
    <row r="1685" ht="13.2" customHeight="1" s="1127">
      <c r="E1685" s="219" t="n"/>
    </row>
    <row r="1686" ht="13.2" customHeight="1" s="1127">
      <c r="E1686" s="219" t="n"/>
    </row>
    <row r="1687" ht="13.2" customHeight="1" s="1127">
      <c r="E1687" s="219" t="n"/>
    </row>
    <row r="1688" ht="13.2" customHeight="1" s="1127">
      <c r="E1688" s="219" t="n"/>
    </row>
    <row r="1689" ht="13.2" customHeight="1" s="1127">
      <c r="E1689" s="219" t="n"/>
    </row>
    <row r="1690" ht="13.2" customHeight="1" s="1127">
      <c r="E1690" s="219" t="n"/>
    </row>
    <row r="1691" ht="13.2" customHeight="1" s="1127">
      <c r="E1691" s="219" t="n"/>
    </row>
    <row r="1692" ht="13.2" customHeight="1" s="1127">
      <c r="E1692" s="219" t="n"/>
    </row>
    <row r="1693" ht="13.2" customHeight="1" s="1127">
      <c r="E1693" s="219" t="n"/>
    </row>
    <row r="1694" ht="13.2" customHeight="1" s="1127">
      <c r="E1694" s="219" t="n"/>
    </row>
    <row r="1695" ht="13.2" customHeight="1" s="1127">
      <c r="E1695" s="219" t="n"/>
    </row>
    <row r="1696" ht="13.2" customHeight="1" s="1127">
      <c r="E1696" s="219" t="n"/>
    </row>
    <row r="1697" ht="13.2" customHeight="1" s="1127">
      <c r="E1697" s="219" t="n"/>
    </row>
    <row r="1698" ht="13.2" customHeight="1" s="1127">
      <c r="E1698" s="219" t="n"/>
    </row>
    <row r="1699" ht="13.2" customHeight="1" s="1127">
      <c r="E1699" s="219" t="n"/>
    </row>
    <row r="1700" ht="13.2" customHeight="1" s="1127">
      <c r="E1700" s="219" t="n"/>
    </row>
    <row r="1701" ht="13.2" customHeight="1" s="1127">
      <c r="E1701" s="219" t="n"/>
    </row>
    <row r="1702" ht="13.2" customHeight="1" s="1127">
      <c r="E1702" s="219" t="n"/>
    </row>
    <row r="1703" ht="13.2" customHeight="1" s="1127">
      <c r="E1703" s="219" t="n"/>
    </row>
    <row r="1704" ht="13.2" customHeight="1" s="1127">
      <c r="E1704" s="219" t="n"/>
    </row>
    <row r="1705" ht="13.2" customHeight="1" s="1127">
      <c r="E1705" s="219" t="n"/>
    </row>
    <row r="1706" ht="13.2" customHeight="1" s="1127">
      <c r="E1706" s="219" t="n"/>
    </row>
    <row r="1707" ht="13.2" customHeight="1" s="1127">
      <c r="E1707" s="219" t="n"/>
    </row>
    <row r="1708" ht="13.2" customHeight="1" s="1127">
      <c r="E1708" s="219" t="n"/>
    </row>
    <row r="1709" ht="13.2" customHeight="1" s="1127">
      <c r="E1709" s="219" t="n"/>
    </row>
    <row r="1710" ht="13.2" customHeight="1" s="1127">
      <c r="E1710" s="219" t="n"/>
    </row>
    <row r="1711" ht="13.2" customHeight="1" s="1127">
      <c r="E1711" s="219" t="n"/>
    </row>
    <row r="1712" ht="13.2" customHeight="1" s="1127">
      <c r="E1712" s="219" t="n"/>
    </row>
    <row r="1713" ht="13.2" customHeight="1" s="1127">
      <c r="E1713" s="219" t="n"/>
    </row>
    <row r="1714" ht="13.2" customHeight="1" s="1127">
      <c r="E1714" s="219" t="n"/>
    </row>
    <row r="1715" ht="13.2" customHeight="1" s="1127">
      <c r="E1715" s="219" t="n"/>
    </row>
    <row r="1716" ht="13.2" customHeight="1" s="1127">
      <c r="E1716" s="219" t="n"/>
    </row>
    <row r="1717" ht="13.2" customHeight="1" s="1127">
      <c r="E1717" s="219" t="n"/>
    </row>
    <row r="1718" ht="13.2" customHeight="1" s="1127">
      <c r="E1718" s="219" t="n"/>
    </row>
    <row r="1719" ht="13.2" customHeight="1" s="1127">
      <c r="E1719" s="219" t="n"/>
    </row>
    <row r="1720" ht="13.2" customHeight="1" s="1127">
      <c r="E1720" s="219" t="n"/>
    </row>
    <row r="1721" ht="13.2" customHeight="1" s="1127">
      <c r="E1721" s="219" t="n"/>
    </row>
    <row r="1722" ht="13.2" customHeight="1" s="1127">
      <c r="E1722" s="219" t="n"/>
    </row>
    <row r="1723" ht="13.2" customHeight="1" s="1127">
      <c r="E1723" s="219" t="n"/>
    </row>
  </sheetData>
  <mergeCells count="2">
    <mergeCell ref="H2:L2"/>
    <mergeCell ref="B262:F262"/>
  </mergeCells>
  <dataValidations count="2">
    <dataValidation sqref="F727:F770 F772:F842 F844:F851 F853:F864 F866:F868 F870:F885 F887:F897 F899:F903 F905:F907 F909:F919 F921:F924 F926:F940 F942:F945 F947:F957 F959 F961:F972 F974:F977 F979:F1009 F1011 F1013:F1032 F1034 F1036:F1037 F1039:F1055 F1058 F1060:F1069 F1071:F1084 F1086:F1087 F1089:F1106 F1108 F1110 F1112:F1118 F1120:F1128 F1130:F1138 F1140:F1145 F1147:F1152 F1154:F1155 F1157:F1167 F1169:F1170 F1172:F1173 F1175:F1189 F1191:F1193 F1195 F1197:F1198 F1200:F1209 F1211:F1225 F1227:F1229 F1231:F1242 F1244 F1246:F1259 F1261:F1264 F1266:F1276 F1278:F1285 F1287:F1293 F1295:F1301 F1303:F1309 F1311:F1334 F1336:F1341 F1343:F1357 F1359:F1416" showDropDown="0" showInputMessage="0" showErrorMessage="1" allowBlank="1" type="list">
      <formula1>"Не срочно,Срочно,Оплатить надо,Приоритет к оплате,Оплачено ,Не оплачено"</formula1>
    </dataValidation>
    <dataValidation sqref="F265:F719" showDropDown="0" showInputMessage="0" showErrorMessage="1" allowBlank="1" type="list">
      <formula1>"К оплате,Выплачено,Отложено,Приоритет к оплате"</formula1>
    </dataValidation>
  </dataValidations>
  <hyperlinks>
    <hyperlink xmlns:r="http://schemas.openxmlformats.org/officeDocument/2006/relationships" ref="C776" r:id="rId1"/>
    <hyperlink xmlns:r="http://schemas.openxmlformats.org/officeDocument/2006/relationships" ref="C816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C27BA0"/>
    <outlinePr summaryBelow="0" summaryRight="0"/>
    <pageSetUpPr/>
  </sheetPr>
  <dimension ref="A1:N1448"/>
  <sheetViews>
    <sheetView workbookViewId="0">
      <selection activeCell="A1" sqref="A1"/>
    </sheetView>
  </sheetViews>
  <sheetFormatPr baseColWidth="8" defaultColWidth="12.6640625" defaultRowHeight="15.75" customHeight="1" outlineLevelRow="2"/>
  <cols>
    <col width="9.44140625" customWidth="1" style="1127" min="1" max="1"/>
    <col width="19.21875" customWidth="1" style="1127" min="2" max="2"/>
    <col width="37.88671875" customWidth="1" style="1127" min="3" max="3"/>
    <col width="18.33203125" customWidth="1" style="1127" min="4" max="4"/>
    <col width="15.88671875" customWidth="1" style="1127" min="5" max="5"/>
    <col width="22.77734375" customWidth="1" style="1127" min="6" max="6"/>
    <col width="15.109375" customWidth="1" style="1127" min="7" max="7"/>
    <col width="21.88671875" customWidth="1" style="1127" min="8" max="8"/>
    <col width="18.109375" customWidth="1" style="1127" min="9" max="9"/>
    <col width="15.33203125" customWidth="1" style="1127" min="10" max="10"/>
    <col width="16" customWidth="1" style="1127" min="11" max="11"/>
    <col width="17.77734375" customWidth="1" style="1127" min="12" max="12"/>
  </cols>
  <sheetData>
    <row r="1" ht="13.2" customHeight="1" s="1127">
      <c r="A1" s="456" t="inlineStr">
        <is>
          <t xml:space="preserve">  </t>
        </is>
      </c>
      <c r="B1" s="186" t="inlineStr">
        <is>
          <t>ПРОСТАВЬТЕ неделю</t>
        </is>
      </c>
      <c r="C1" s="187" t="n"/>
      <c r="E1" s="219" t="n"/>
    </row>
    <row r="2" ht="26.4" customHeight="1" s="1127">
      <c r="B2" s="557" t="n">
        <v>1</v>
      </c>
      <c r="C2" s="190" t="inlineStr">
        <is>
          <t>Остаток на начало</t>
        </is>
      </c>
      <c r="D2" s="191" t="inlineStr">
        <is>
          <t>Поступление</t>
        </is>
      </c>
      <c r="E2" s="190" t="inlineStr">
        <is>
          <t>Выбытие</t>
        </is>
      </c>
      <c r="F2" s="192" t="inlineStr">
        <is>
          <t>Остаток на конец</t>
        </is>
      </c>
      <c r="G2" s="193" t="n"/>
      <c r="H2" s="1208" t="inlineStr">
        <is>
          <t>Оплата поставщикам</t>
        </is>
      </c>
      <c r="I2" s="1209" t="n"/>
      <c r="J2" s="1209" t="n"/>
      <c r="K2" s="1209" t="n"/>
      <c r="L2" s="1210" t="n"/>
      <c r="N2" s="194" t="inlineStr">
        <is>
          <t>ОПИУ на 25.06.2026</t>
        </is>
      </c>
    </row>
    <row r="3" ht="34.8" customHeight="1" s="1127">
      <c r="A3" s="456" t="inlineStr">
        <is>
          <t>01.07.2026 (1нед, вкл. 29,30.26)</t>
        </is>
      </c>
      <c r="B3" s="195" t="inlineStr">
        <is>
          <t>Расчётный счёт</t>
        </is>
      </c>
      <c r="C3" s="196" t="n">
        <v>0</v>
      </c>
      <c r="D3" s="197">
        <f>SUMIF(B11:B121,B2,E11:E121)</f>
        <v/>
      </c>
      <c r="E3" s="202">
        <f>SUMIF(B126:B447,B2,E126:E447)</f>
        <v/>
      </c>
      <c r="F3" s="197">
        <f>C3+D3-E3</f>
        <v/>
      </c>
      <c r="G3" s="199" t="n"/>
      <c r="H3" s="19" t="inlineStr">
        <is>
          <t>01.06-07.06.2026</t>
        </is>
      </c>
      <c r="I3" s="19" t="inlineStr">
        <is>
          <t>08.06-14.06.2026</t>
        </is>
      </c>
      <c r="J3" s="19" t="inlineStr">
        <is>
          <t>15.06-21.06.2026</t>
        </is>
      </c>
      <c r="K3" s="19" t="inlineStr">
        <is>
          <t>22.06-28.06.2026</t>
        </is>
      </c>
      <c r="L3" s="19" t="inlineStr">
        <is>
          <t>29.06-30.06.2027</t>
        </is>
      </c>
      <c r="M3" s="200" t="inlineStr">
        <is>
          <t>сумма, средний %</t>
        </is>
      </c>
      <c r="N3" s="68" t="n"/>
    </row>
    <row r="4" ht="17.4" customHeight="1" s="1127">
      <c r="A4" s="456" t="inlineStr">
        <is>
          <t>06.07.2026 (2нед)</t>
        </is>
      </c>
      <c r="B4" s="201" t="inlineStr">
        <is>
          <t>Касса</t>
        </is>
      </c>
      <c r="C4" s="202" t="n">
        <v>0</v>
      </c>
      <c r="D4" s="197">
        <f>SUMIF(B11:B123,B2,D10:D123)</f>
        <v/>
      </c>
      <c r="E4" s="202">
        <f>SUMIF(B127:B448,B2,D127:D448)</f>
        <v/>
      </c>
      <c r="F4" s="197">
        <f>C4+D4-E4</f>
        <v/>
      </c>
      <c r="G4" s="203" t="inlineStr">
        <is>
          <t>гашение КЗ</t>
        </is>
      </c>
      <c r="H4" s="19">
        <f>34458818+964000</f>
        <v/>
      </c>
      <c r="I4" s="19">
        <f>25257596+4303979+241995</f>
        <v/>
      </c>
      <c r="J4" s="204">
        <f>24398148+4556056</f>
        <v/>
      </c>
      <c r="K4" s="205">
        <f>27832950+2576580+718145</f>
        <v/>
      </c>
      <c r="L4" s="206" t="n">
        <v>1</v>
      </c>
      <c r="M4" s="204">
        <f>I4+J4+K4+L4+H4</f>
        <v/>
      </c>
      <c r="N4" s="746" t="n">
        <v>114121764</v>
      </c>
    </row>
    <row r="5" ht="17.4" customHeight="1" s="1127">
      <c r="A5" s="456" t="inlineStr">
        <is>
          <t>13.07.2026 (3нед)</t>
        </is>
      </c>
      <c r="B5" s="201" t="inlineStr">
        <is>
          <t>Копилка</t>
        </is>
      </c>
      <c r="C5" s="196" t="n">
        <v>0</v>
      </c>
      <c r="D5" s="207" t="n"/>
      <c r="E5" s="208" t="n"/>
      <c r="F5" s="209" t="n"/>
      <c r="G5" s="210" t="inlineStr">
        <is>
          <t>выручка</t>
        </is>
      </c>
      <c r="H5" s="212" t="n">
        <v>49606340</v>
      </c>
      <c r="I5" s="212" t="n">
        <v>72681513</v>
      </c>
      <c r="J5" s="212" t="n">
        <v>60988297</v>
      </c>
      <c r="K5" s="212">
        <f>45642381</f>
        <v/>
      </c>
      <c r="L5" s="543" t="n">
        <v>1</v>
      </c>
      <c r="M5" s="205">
        <f>I5+J5+K5+L5+H5</f>
        <v/>
      </c>
      <c r="N5" s="746" t="n">
        <v>231572946</v>
      </c>
    </row>
    <row r="6" ht="17.4" customHeight="1" s="1127">
      <c r="A6" s="456" t="inlineStr">
        <is>
          <t>20.07.2026 (4 нед)</t>
        </is>
      </c>
      <c r="B6" s="214" t="inlineStr">
        <is>
          <t>ИТОГО</t>
        </is>
      </c>
      <c r="C6" s="216">
        <f>C5+C4+C3</f>
        <v/>
      </c>
      <c r="D6" s="216">
        <f>D3+D4+D5</f>
        <v/>
      </c>
      <c r="E6" s="216">
        <f>E3+E4+E5</f>
        <v/>
      </c>
      <c r="F6" s="216">
        <f>F3+F4+F5</f>
        <v/>
      </c>
      <c r="G6" s="210" t="inlineStr">
        <is>
          <t>% от выручки</t>
        </is>
      </c>
      <c r="H6" s="217">
        <f>H4/H5</f>
        <v/>
      </c>
      <c r="I6" s="217">
        <f>I4/I5</f>
        <v/>
      </c>
      <c r="J6" s="217">
        <f>J4/J5</f>
        <v/>
      </c>
      <c r="K6" s="217">
        <f>K4/K5</f>
        <v/>
      </c>
      <c r="L6" s="217">
        <f>L4/L5</f>
        <v/>
      </c>
      <c r="M6" s="217">
        <f>AVERAGE(I6:L6)</f>
        <v/>
      </c>
      <c r="N6" s="217">
        <f>N4/N5</f>
        <v/>
      </c>
    </row>
    <row r="7" ht="13.2" customHeight="1" s="1127">
      <c r="A7" s="456" t="inlineStr">
        <is>
          <t>27.07.2026 (5 нед)</t>
        </is>
      </c>
      <c r="E7" s="219" t="n"/>
    </row>
    <row r="8" ht="14.4" customHeight="1" s="1127">
      <c r="D8" s="218" t="n"/>
      <c r="E8" s="219" t="n"/>
      <c r="K8" s="219" t="n">
        <v>-28825915</v>
      </c>
    </row>
    <row r="9" collapsed="1" ht="17.4" customHeight="1" s="1127">
      <c r="B9" s="220" t="inlineStr">
        <is>
          <t>Поступления</t>
        </is>
      </c>
      <c r="C9" s="221" t="n"/>
      <c r="D9" s="221" t="n"/>
      <c r="E9" s="222" t="n"/>
      <c r="F9" s="221" t="n"/>
      <c r="K9" s="219" t="n">
        <v>-2876580</v>
      </c>
    </row>
    <row r="10" hidden="1" outlineLevel="1" ht="13.2" customHeight="1" s="1127">
      <c r="B10" s="223" t="inlineStr">
        <is>
          <t>Дата</t>
        </is>
      </c>
      <c r="C10" s="223" t="inlineStr">
        <is>
          <t>Наименование контрагента</t>
        </is>
      </c>
      <c r="D10" s="223" t="inlineStr">
        <is>
          <t>Наличный</t>
        </is>
      </c>
      <c r="E10" s="224" t="inlineStr">
        <is>
          <t>Безналичный</t>
        </is>
      </c>
      <c r="F10" s="223" t="inlineStr">
        <is>
          <t>Комментарий</t>
        </is>
      </c>
      <c r="K10" s="219" t="n">
        <v>-718145</v>
      </c>
    </row>
    <row r="11" hidden="1" outlineLevel="1" ht="15" customHeight="1" s="1127">
      <c r="B11" s="558" t="n">
        <v>1</v>
      </c>
      <c r="C11" s="559" t="inlineStr">
        <is>
          <t>85-ДФЗ (дистрибьютор)</t>
        </is>
      </c>
      <c r="D11" s="566" t="n"/>
      <c r="E11" s="568" t="n">
        <v>22250000</v>
      </c>
      <c r="F11" s="68" t="n"/>
    </row>
    <row r="12" hidden="1" outlineLevel="1" ht="13.2" customHeight="1" s="1127">
      <c r="B12" s="558" t="n">
        <v>1</v>
      </c>
      <c r="C12" s="559" t="inlineStr">
        <is>
          <t>102-Яндекс лавка ОСНОВНОЙ</t>
        </is>
      </c>
      <c r="D12" s="566" t="n"/>
      <c r="E12" s="568" t="n">
        <v>14000000</v>
      </c>
      <c r="F12" s="68" t="n"/>
    </row>
    <row r="13" hidden="1" outlineLevel="1" ht="13.2" customHeight="1" s="1127">
      <c r="B13" s="558" t="n">
        <v>1</v>
      </c>
      <c r="C13" s="559" t="inlineStr">
        <is>
          <t>7-Kaspi Банк (Склад ГП)</t>
        </is>
      </c>
      <c r="D13" s="566" t="n"/>
      <c r="E13" s="568" t="n">
        <v>5000000</v>
      </c>
      <c r="F13" s="68" t="n"/>
    </row>
    <row r="14" hidden="1" outlineLevel="1" ht="13.2" customHeight="1" s="1127">
      <c r="B14" s="558" t="n">
        <v>1</v>
      </c>
      <c r="C14" s="559" t="inlineStr">
        <is>
          <t>99-RP АЗС основной</t>
        </is>
      </c>
      <c r="D14" s="566" t="n"/>
      <c r="E14" s="568" t="n">
        <v>8000000</v>
      </c>
      <c r="F14" s="68" t="n"/>
    </row>
    <row r="15" hidden="1" outlineLevel="1" ht="13.2" customHeight="1" s="1127">
      <c r="B15" s="558" t="n">
        <v>1</v>
      </c>
      <c r="C15" s="559" t="inlineStr">
        <is>
          <t>96-ТОО DSF (дистрибьютор)</t>
        </is>
      </c>
      <c r="D15" s="566" t="n"/>
      <c r="E15" s="568" t="n">
        <v>8000000</v>
      </c>
      <c r="F15" s="68" t="n"/>
    </row>
    <row r="16" hidden="1" outlineLevel="1" ht="13.2" customHeight="1" s="1127">
      <c r="B16" s="558" t="n">
        <v>1</v>
      </c>
      <c r="C16" s="559" t="inlineStr">
        <is>
          <t>2-Базилик 2 (Желтоксан)</t>
        </is>
      </c>
      <c r="D16" s="566" t="n"/>
      <c r="E16" s="568" t="n">
        <v>1500000</v>
      </c>
      <c r="F16" s="68" t="n"/>
    </row>
    <row r="17" hidden="1" outlineLevel="1" ht="13.2" customHeight="1" s="1127">
      <c r="B17" s="558" t="n">
        <v>1</v>
      </c>
      <c r="C17" s="559" t="inlineStr">
        <is>
          <t>1-Базилик 1 (Шевченко)</t>
        </is>
      </c>
      <c r="D17" s="566" t="n"/>
      <c r="E17" s="568" t="n">
        <v>1300000</v>
      </c>
      <c r="F17" s="68" t="n"/>
    </row>
    <row r="18" hidden="1" outlineLevel="1" ht="13.2" customHeight="1" s="1127">
      <c r="B18" s="558" t="n">
        <v>1</v>
      </c>
      <c r="C18" s="559" t="inlineStr">
        <is>
          <t>111 ТОО ГЛОВО ОСНОВНОЙ</t>
        </is>
      </c>
      <c r="D18" s="566" t="n"/>
      <c r="E18" s="568" t="n">
        <v>1000000</v>
      </c>
      <c r="F18" s="68" t="n"/>
    </row>
    <row r="19" hidden="1" outlineLevel="1" ht="13.2" customHeight="1" s="1127">
      <c r="B19" s="558" t="n">
        <v>1</v>
      </c>
      <c r="C19" s="559" t="inlineStr">
        <is>
          <t>90-Маймарт</t>
        </is>
      </c>
      <c r="D19" s="566" t="n"/>
      <c r="E19" s="568" t="n">
        <v>1000000</v>
      </c>
      <c r="F19" s="68" t="n"/>
    </row>
    <row r="20" hidden="1" outlineLevel="1" ht="13.2" customHeight="1" s="1127">
      <c r="B20" s="558" t="n">
        <v>1</v>
      </c>
      <c r="C20" s="559" t="inlineStr">
        <is>
          <t>0Частное лицо Покупатель</t>
        </is>
      </c>
      <c r="D20" s="566" t="n"/>
      <c r="E20" s="568" t="n">
        <v>1000000</v>
      </c>
      <c r="F20" s="68" t="n"/>
    </row>
    <row r="21" hidden="1" outlineLevel="1" ht="13.2" customHeight="1" s="1127">
      <c r="B21" s="558" t="n">
        <v>1</v>
      </c>
      <c r="C21" s="559" t="inlineStr">
        <is>
          <t>110 АЗС "Sinooil" ШЫМКЕНТ</t>
        </is>
      </c>
      <c r="D21" s="566" t="n"/>
      <c r="E21" s="568" t="n">
        <v>500000</v>
      </c>
      <c r="F21" s="68" t="n"/>
    </row>
    <row r="22" hidden="1" outlineLevel="1" ht="13.2" customHeight="1" s="1127">
      <c r="B22" s="558" t="n">
        <v>1</v>
      </c>
      <c r="C22" s="559" t="inlineStr">
        <is>
          <t>108-GO Market KRG ИП ОСНОВНОЙ</t>
        </is>
      </c>
      <c r="D22" s="566" t="n"/>
      <c r="E22" s="568" t="n">
        <v>500000</v>
      </c>
      <c r="F22" s="68" t="n"/>
    </row>
    <row r="23" hidden="1" outlineLevel="1" ht="13.2" customHeight="1" s="1127">
      <c r="B23" s="558" t="n">
        <v>1</v>
      </c>
      <c r="C23" s="559" t="inlineStr">
        <is>
          <t>113-Wolt Services Kazakhstan ОСНОВНОЙ</t>
        </is>
      </c>
      <c r="D23" s="566" t="n"/>
      <c r="E23" s="568" t="n">
        <v>300000</v>
      </c>
      <c r="F23" s="68" t="n"/>
    </row>
    <row r="24" hidden="1" outlineLevel="1" ht="13.2" customHeight="1" s="1127">
      <c r="B24" s="558" t="n">
        <v>1</v>
      </c>
      <c r="C24" s="559" t="inlineStr">
        <is>
          <t>110 АЗС "Sinooil" ТАРАЗ</t>
        </is>
      </c>
      <c r="D24" s="566" t="n"/>
      <c r="E24" s="568" t="n">
        <v>100000</v>
      </c>
      <c r="F24" s="68" t="n"/>
    </row>
    <row r="25" hidden="1" outlineLevel="1" ht="13.2" customHeight="1" s="1127">
      <c r="B25" s="558" t="n">
        <v>2</v>
      </c>
      <c r="C25" s="559" t="inlineStr">
        <is>
          <t>85-ДФЗ (дистрибьютор)</t>
        </is>
      </c>
      <c r="D25" s="566" t="n"/>
      <c r="E25" s="568" t="n">
        <v>22250000</v>
      </c>
      <c r="F25" s="68" t="n"/>
    </row>
    <row r="26" hidden="1" outlineLevel="1" ht="13.2" customHeight="1" s="1127">
      <c r="B26" s="558" t="n">
        <v>2</v>
      </c>
      <c r="C26" s="559" t="inlineStr">
        <is>
          <t>102-Яндекс лавка ОСНОВНОЙ</t>
        </is>
      </c>
      <c r="D26" s="566" t="n"/>
      <c r="E26" s="568" t="n">
        <v>12000000</v>
      </c>
      <c r="F26" s="68" t="n"/>
    </row>
    <row r="27" hidden="1" outlineLevel="1" ht="13.2" customHeight="1" s="1127">
      <c r="B27" s="558" t="n">
        <v>2</v>
      </c>
      <c r="C27" s="559" t="inlineStr">
        <is>
          <t>99-RP АЗС основной</t>
        </is>
      </c>
      <c r="D27" s="566" t="n"/>
      <c r="E27" s="562" t="n">
        <v>4000000</v>
      </c>
      <c r="F27" s="68" t="n"/>
    </row>
    <row r="28" hidden="1" outlineLevel="1" ht="13.2" customHeight="1" s="1127">
      <c r="B28" s="558" t="n">
        <v>2</v>
      </c>
      <c r="C28" s="559" t="inlineStr">
        <is>
          <t>96-ТОО DSF (дистрибьютор)</t>
        </is>
      </c>
      <c r="D28" s="566" t="n"/>
      <c r="E28" s="562" t="n">
        <v>3000000</v>
      </c>
      <c r="F28" s="68" t="n"/>
    </row>
    <row r="29" hidden="1" outlineLevel="1" ht="13.2" customHeight="1" s="1127">
      <c r="B29" s="558" t="n">
        <v>2</v>
      </c>
      <c r="C29" s="559" t="inlineStr">
        <is>
          <t>1-Базилик 1 (Шевченко)</t>
        </is>
      </c>
      <c r="D29" s="566" t="n"/>
      <c r="E29" s="562" t="n">
        <v>2000000</v>
      </c>
      <c r="F29" s="68" t="n"/>
    </row>
    <row r="30" hidden="1" outlineLevel="1" ht="13.2" customHeight="1" s="1127">
      <c r="B30" s="558" t="n">
        <v>2</v>
      </c>
      <c r="C30" s="559" t="inlineStr">
        <is>
          <t>90-Маймарт</t>
        </is>
      </c>
      <c r="D30" s="566" t="n"/>
      <c r="E30" s="562" t="n">
        <v>1500000</v>
      </c>
      <c r="F30" s="68" t="n"/>
    </row>
    <row r="31" hidden="1" outlineLevel="1" ht="13.2" customHeight="1" s="1127">
      <c r="B31" s="558" t="n">
        <v>2</v>
      </c>
      <c r="C31" s="559" t="inlineStr">
        <is>
          <t>98- O-live</t>
        </is>
      </c>
      <c r="D31" s="566" t="n"/>
      <c r="E31" s="562" t="n">
        <v>2000000</v>
      </c>
      <c r="F31" s="68" t="n"/>
    </row>
    <row r="32" hidden="1" outlineLevel="1" ht="13.2" customHeight="1" s="1127">
      <c r="B32" s="558" t="n">
        <v>2</v>
      </c>
      <c r="C32" s="559" t="inlineStr">
        <is>
          <t>7-Kaspi Банк (Склад ГП)</t>
        </is>
      </c>
      <c r="D32" s="566" t="n"/>
      <c r="E32" s="562" t="n">
        <v>5000000</v>
      </c>
      <c r="F32" s="68" t="n"/>
    </row>
    <row r="33" hidden="1" outlineLevel="1" ht="13.2" customHeight="1" s="1127">
      <c r="B33" s="558" t="n">
        <v>2</v>
      </c>
      <c r="C33" s="559" t="inlineStr">
        <is>
          <t>555 Zakazbuketov (торты)</t>
        </is>
      </c>
      <c r="D33" s="566" t="n"/>
      <c r="E33" s="562" t="n">
        <v>500000</v>
      </c>
      <c r="F33" s="68" t="n"/>
    </row>
    <row r="34" hidden="1" outlineLevel="1" ht="13.2" customHeight="1" s="1127">
      <c r="B34" s="558" t="n">
        <v>2</v>
      </c>
      <c r="C34" s="559" t="inlineStr">
        <is>
          <t>111 ТОО ГЛОВО ОСНОВНОЙ</t>
        </is>
      </c>
      <c r="D34" s="566" t="n"/>
      <c r="E34" s="562" t="n">
        <v>400000</v>
      </c>
      <c r="F34" s="68" t="n"/>
    </row>
    <row r="35" hidden="1" outlineLevel="1" ht="13.2" customHeight="1" s="1127">
      <c r="B35" s="558" t="n">
        <v>2</v>
      </c>
      <c r="C35" s="559" t="inlineStr">
        <is>
          <t>104-DQ12 ТОО г.Тараз, Конаева 12</t>
        </is>
      </c>
      <c r="D35" s="566" t="n"/>
      <c r="E35" s="562" t="n">
        <v>300000</v>
      </c>
      <c r="F35" s="68" t="n"/>
    </row>
    <row r="36" hidden="1" outlineLevel="1" ht="13.2" customHeight="1" s="1127">
      <c r="B36" s="558" t="n">
        <v>2</v>
      </c>
      <c r="C36" s="559" t="inlineStr">
        <is>
          <t>105-Алга экспресс ОСНОВНОЙ</t>
        </is>
      </c>
      <c r="D36" s="566" t="n"/>
      <c r="E36" s="562" t="n">
        <v>300000</v>
      </c>
      <c r="F36" s="68" t="n"/>
    </row>
    <row r="37" hidden="1" outlineLevel="1" ht="13.2" customHeight="1" s="1127">
      <c r="B37" s="558" t="n">
        <v>2</v>
      </c>
      <c r="C37" s="559" t="inlineStr">
        <is>
          <t>9-Базилик 5 (Аксай)</t>
        </is>
      </c>
      <c r="D37" s="566" t="n"/>
      <c r="E37" s="562" t="n">
        <v>300000</v>
      </c>
      <c r="F37" s="68" t="n"/>
    </row>
    <row r="38" hidden="1" outlineLevel="1" ht="13.2" customHeight="1" s="1127">
      <c r="B38" s="558" t="n">
        <v>2</v>
      </c>
      <c r="C38" s="559" t="inlineStr">
        <is>
          <t>107-AL Group ул.Мусатай Карима 12/12 офис 11</t>
        </is>
      </c>
      <c r="D38" s="566" t="n"/>
      <c r="E38" s="562" t="n">
        <v>300000</v>
      </c>
      <c r="F38" s="68" t="n"/>
    </row>
    <row r="39" hidden="1" outlineLevel="1" ht="13.2" customHeight="1" s="1127">
      <c r="B39" s="558" t="n">
        <v>2</v>
      </c>
      <c r="C39" s="559" t="inlineStr">
        <is>
          <t>103-Бобух ИП, ул. Торетай 92, бутик 103</t>
        </is>
      </c>
      <c r="D39" s="566" t="n"/>
      <c r="E39" s="562" t="n">
        <v>200000</v>
      </c>
      <c r="F39" s="68" t="n"/>
    </row>
    <row r="40" hidden="1" outlineLevel="1" ht="13.2" customHeight="1" s="1127">
      <c r="B40" s="558" t="n">
        <v>3</v>
      </c>
      <c r="C40" s="559" t="inlineStr">
        <is>
          <t>85-ДФЗ (дистрибьютор)</t>
        </is>
      </c>
      <c r="D40" s="566" t="n"/>
      <c r="E40" s="562" t="n">
        <v>23000000</v>
      </c>
      <c r="F40" s="566" t="n"/>
    </row>
    <row r="41" hidden="1" outlineLevel="1" ht="13.2" customHeight="1" s="1127">
      <c r="B41" s="564" t="n">
        <v>3</v>
      </c>
      <c r="C41" s="559" t="inlineStr">
        <is>
          <t>102-Яндекс лавка ОСНОВНОЙ</t>
        </is>
      </c>
      <c r="D41" s="566" t="n"/>
      <c r="E41" s="562" t="n">
        <v>13000000</v>
      </c>
      <c r="F41" s="566" t="n"/>
    </row>
    <row r="42" hidden="1" outlineLevel="1" ht="13.2" customHeight="1" s="1127">
      <c r="B42" s="564" t="n">
        <v>3</v>
      </c>
      <c r="C42" s="559" t="inlineStr">
        <is>
          <t>90-Маймарт</t>
        </is>
      </c>
      <c r="D42" s="566" t="n"/>
      <c r="E42" s="562" t="n">
        <v>9000000</v>
      </c>
      <c r="F42" s="566" t="n"/>
    </row>
    <row r="43" hidden="1" outlineLevel="1" ht="13.2" customHeight="1" s="1127">
      <c r="B43" s="564" t="n">
        <v>3</v>
      </c>
      <c r="C43" s="559" t="inlineStr">
        <is>
          <t>99-RP АЗС основной</t>
        </is>
      </c>
      <c r="D43" s="566" t="n"/>
      <c r="E43" s="562" t="n">
        <v>6000000</v>
      </c>
      <c r="F43" s="566" t="n"/>
    </row>
    <row r="44" hidden="1" outlineLevel="1" ht="13.2" customHeight="1" s="1127">
      <c r="B44" s="564" t="n">
        <v>3</v>
      </c>
      <c r="C44" s="559" t="inlineStr">
        <is>
          <t>7-Kaspi Банк (Склад ГП)</t>
        </is>
      </c>
      <c r="D44" s="566" t="n"/>
      <c r="E44" s="562" t="n">
        <v>6000000</v>
      </c>
      <c r="F44" s="566" t="n"/>
    </row>
    <row r="45" hidden="1" outlineLevel="1" ht="13.2" customHeight="1" s="1127">
      <c r="B45" s="564" t="n">
        <v>3</v>
      </c>
      <c r="C45" s="559" t="inlineStr">
        <is>
          <t>96-ТОО DSF (дистрибьютор)</t>
        </is>
      </c>
      <c r="D45" s="566" t="n"/>
      <c r="E45" s="562" t="n">
        <v>5000000</v>
      </c>
      <c r="F45" s="566" t="n"/>
    </row>
    <row r="46" hidden="1" outlineLevel="1" ht="13.2" customHeight="1" s="1127">
      <c r="B46" s="564" t="n">
        <v>3</v>
      </c>
      <c r="C46" s="559" t="inlineStr">
        <is>
          <t>98- O-live</t>
        </is>
      </c>
      <c r="D46" s="566" t="n"/>
      <c r="E46" s="562" t="n">
        <v>2000000</v>
      </c>
      <c r="F46" s="566" t="n"/>
    </row>
    <row r="47" hidden="1" outlineLevel="1" ht="13.2" customHeight="1" s="1127">
      <c r="B47" s="564" t="n">
        <v>3</v>
      </c>
      <c r="C47" s="559" t="inlineStr">
        <is>
          <t>1-Базилик 1 (Шевченко)</t>
        </is>
      </c>
      <c r="D47" s="566" t="n"/>
      <c r="E47" s="562" t="n">
        <v>1500000</v>
      </c>
      <c r="F47" s="566" t="n"/>
    </row>
    <row r="48" hidden="1" outlineLevel="1" ht="13.2" customHeight="1" s="1127">
      <c r="B48" s="564" t="n">
        <v>3</v>
      </c>
      <c r="C48" s="559" t="inlineStr">
        <is>
          <t>0Частное лицо Покупатель</t>
        </is>
      </c>
      <c r="D48" s="566" t="n"/>
      <c r="E48" s="562" t="n">
        <v>1300000</v>
      </c>
      <c r="F48" s="566" t="n"/>
    </row>
    <row r="49" hidden="1" outlineLevel="1" ht="13.2" customHeight="1" s="1127">
      <c r="B49" s="564" t="n">
        <v>3</v>
      </c>
      <c r="C49" s="559" t="inlineStr">
        <is>
          <t>86-Crave Cafe (Жетысу-4,2а)</t>
        </is>
      </c>
      <c r="D49" s="566" t="n"/>
      <c r="E49" s="562" t="n">
        <v>1000000</v>
      </c>
      <c r="F49" s="566" t="n"/>
    </row>
    <row r="50" hidden="1" outlineLevel="1" ht="13.2" customHeight="1" s="1127">
      <c r="B50" s="564" t="n">
        <v>3</v>
      </c>
      <c r="C50" s="559" t="inlineStr">
        <is>
          <t>110 АЗС "Sinooil" АЛМАТЫ</t>
        </is>
      </c>
      <c r="D50" s="566" t="n"/>
      <c r="E50" s="562" t="n">
        <v>1000000</v>
      </c>
      <c r="F50" s="566" t="n"/>
    </row>
    <row r="51" hidden="1" outlineLevel="1" ht="13.2" customHeight="1" s="1127">
      <c r="B51" s="564" t="n">
        <v>3</v>
      </c>
      <c r="C51" s="559" t="inlineStr">
        <is>
          <t>111 ТОО ГЛОВО ОСНОВНОЙ</t>
        </is>
      </c>
      <c r="D51" s="566" t="n"/>
      <c r="E51" s="562" t="n">
        <v>1000000</v>
      </c>
      <c r="F51" s="566" t="n"/>
    </row>
    <row r="52" hidden="1" outlineLevel="1" ht="13.2" customHeight="1" s="1127">
      <c r="B52" s="564" t="n">
        <v>3</v>
      </c>
      <c r="C52" s="559" t="inlineStr">
        <is>
          <t>9-Базилик 5 (Аксай)</t>
        </is>
      </c>
      <c r="D52" s="565" t="n"/>
      <c r="E52" s="562" t="n">
        <v>500000</v>
      </c>
      <c r="F52" s="566" t="n"/>
    </row>
    <row r="53" hidden="1" outlineLevel="1" ht="13.2" customHeight="1" s="1127">
      <c r="B53" s="564" t="n">
        <v>3</v>
      </c>
      <c r="C53" s="559" t="inlineStr">
        <is>
          <t>104-DQ12 ТОО г.Тараз, Конаева 12</t>
        </is>
      </c>
      <c r="D53" s="566" t="n"/>
      <c r="E53" s="562" t="n">
        <v>500000</v>
      </c>
      <c r="F53" s="566" t="n"/>
    </row>
    <row r="54" hidden="1" outlineLevel="1" ht="13.2" customHeight="1" s="1127">
      <c r="B54" s="564" t="n">
        <v>3</v>
      </c>
      <c r="C54" s="559" t="inlineStr">
        <is>
          <t>97-ИП Ник и Ко (Кейтеринг)</t>
        </is>
      </c>
      <c r="D54" s="566" t="n"/>
      <c r="E54" s="562" t="n">
        <v>500000</v>
      </c>
      <c r="F54" s="566" t="n"/>
    </row>
    <row r="55" hidden="1" outlineLevel="1" ht="13.2" customHeight="1" s="1127">
      <c r="B55" s="564" t="n">
        <v>3</v>
      </c>
      <c r="C55" s="559" t="inlineStr">
        <is>
          <t>103-Бобух ИП, ул. Торетай 92, бутик 103</t>
        </is>
      </c>
      <c r="D55" s="566" t="n"/>
      <c r="E55" s="562" t="n">
        <v>200000</v>
      </c>
      <c r="F55" s="566" t="n"/>
    </row>
    <row r="56" hidden="1" outlineLevel="1" ht="13.2" customHeight="1" s="1127">
      <c r="B56" s="564" t="n">
        <v>3</v>
      </c>
      <c r="C56" s="559" t="inlineStr">
        <is>
          <t>110 АЗС "Sinooil" ТАРАЗ</t>
        </is>
      </c>
      <c r="D56" s="566" t="n"/>
      <c r="E56" s="562" t="n">
        <v>100000</v>
      </c>
      <c r="F56" s="566" t="n"/>
    </row>
    <row r="57" hidden="1" outlineLevel="1" ht="13.2" customHeight="1" s="1127">
      <c r="B57" s="564" t="n">
        <v>3</v>
      </c>
      <c r="C57" s="559" t="inlineStr">
        <is>
          <t>08-GO Market KRG ИП ОСНОВНОЙ</t>
        </is>
      </c>
      <c r="D57" s="566" t="n"/>
      <c r="E57" s="562" t="n">
        <v>50000</v>
      </c>
      <c r="F57" s="566" t="n"/>
    </row>
    <row r="58" hidden="1" outlineLevel="1" ht="13.2" customHeight="1" s="1127">
      <c r="B58" s="564" t="n">
        <v>3</v>
      </c>
      <c r="C58" s="559" t="inlineStr">
        <is>
          <t>107-AL Group ул.Мусатай Карима 12/12 офис 11</t>
        </is>
      </c>
      <c r="D58" s="566" t="n"/>
      <c r="E58" s="562" t="n">
        <v>50000</v>
      </c>
      <c r="F58" s="566" t="n"/>
    </row>
    <row r="59" hidden="1" outlineLevel="1" ht="13.2" customHeight="1" s="1127">
      <c r="B59" s="564" t="n">
        <v>3</v>
      </c>
      <c r="C59" s="559" t="inlineStr">
        <is>
          <t>110 АЗС "Sinooil" ШЫМКЕНТ</t>
        </is>
      </c>
      <c r="D59" s="566" t="n"/>
      <c r="E59" s="562" t="n">
        <v>15000</v>
      </c>
      <c r="F59" s="566" t="n"/>
    </row>
    <row r="60" hidden="1" outlineLevel="1" ht="13.2" customHeight="1" s="1127">
      <c r="B60" s="564" t="n">
        <v>4</v>
      </c>
      <c r="C60" s="559" t="inlineStr">
        <is>
          <t>85-ДФЗ (дистрибьютор)</t>
        </is>
      </c>
      <c r="D60" s="566" t="n"/>
      <c r="E60" s="567" t="n">
        <v>22000000</v>
      </c>
      <c r="F60" s="68" t="n"/>
    </row>
    <row r="61" hidden="1" outlineLevel="1" ht="13.2" customHeight="1" s="1127">
      <c r="B61" s="564" t="n">
        <v>4</v>
      </c>
      <c r="C61" s="559" t="inlineStr">
        <is>
          <t>102-Яндекс лавка ОСНОВНОЙ</t>
        </is>
      </c>
      <c r="D61" s="566" t="n"/>
      <c r="E61" s="567" t="n">
        <v>11500000</v>
      </c>
      <c r="F61" s="68" t="n"/>
    </row>
    <row r="62" hidden="1" outlineLevel="1" ht="13.2" customHeight="1" s="1127">
      <c r="B62" s="564" t="n">
        <v>4</v>
      </c>
      <c r="C62" s="559" t="inlineStr">
        <is>
          <t>7-Kaspi Банк (Склад ГП)</t>
        </is>
      </c>
      <c r="D62" s="566" t="n"/>
      <c r="E62" s="567" t="n">
        <v>7000000</v>
      </c>
      <c r="F62" s="68" t="n"/>
    </row>
    <row r="63" hidden="1" outlineLevel="1" ht="13.2" customHeight="1" s="1127">
      <c r="B63" s="564" t="n">
        <v>4</v>
      </c>
      <c r="C63" s="559" t="inlineStr">
        <is>
          <t>99-RP АЗС основной</t>
        </is>
      </c>
      <c r="D63" s="566" t="n"/>
      <c r="E63" s="567" t="n">
        <v>5000000</v>
      </c>
      <c r="F63" s="68" t="n"/>
    </row>
    <row r="64" hidden="1" outlineLevel="1" ht="13.2" customHeight="1" s="1127">
      <c r="B64" s="564" t="n">
        <v>4</v>
      </c>
      <c r="C64" s="559" t="inlineStr">
        <is>
          <t>1-Базилик 1 (Шевченко)</t>
        </is>
      </c>
      <c r="D64" s="566" t="n"/>
      <c r="E64" s="567" t="n">
        <v>1500000</v>
      </c>
      <c r="F64" s="68" t="n"/>
    </row>
    <row r="65" hidden="1" outlineLevel="1" ht="13.2" customHeight="1" s="1127">
      <c r="B65" s="564" t="n">
        <v>4</v>
      </c>
      <c r="C65" s="559" t="inlineStr">
        <is>
          <t>98- O-live</t>
        </is>
      </c>
      <c r="D65" s="566" t="n"/>
      <c r="E65" s="567" t="n">
        <v>800000</v>
      </c>
      <c r="F65" s="68" t="n"/>
    </row>
    <row r="66" hidden="1" outlineLevel="1" ht="13.2" customHeight="1" s="1127">
      <c r="B66" s="564" t="n">
        <v>4</v>
      </c>
      <c r="C66" s="559" t="inlineStr">
        <is>
          <t>111 ТОО ГЛОВО ОСНОВНОЙ</t>
        </is>
      </c>
      <c r="D66" s="566" t="n"/>
      <c r="E66" s="567" t="n">
        <v>500000</v>
      </c>
      <c r="F66" s="68" t="n"/>
    </row>
    <row r="67" hidden="1" outlineLevel="1" ht="13.2" customHeight="1" s="1127">
      <c r="B67" s="564" t="n">
        <v>4</v>
      </c>
      <c r="C67" s="559" t="inlineStr">
        <is>
          <t>0Частное лицо Покупатель</t>
        </is>
      </c>
      <c r="D67" s="566" t="n"/>
      <c r="E67" s="567" t="n">
        <v>400000</v>
      </c>
      <c r="F67" s="68" t="n"/>
    </row>
    <row r="68" hidden="1" outlineLevel="1" ht="13.2" customHeight="1" s="1127">
      <c r="B68" s="564" t="n">
        <v>4</v>
      </c>
      <c r="C68" s="559" t="inlineStr">
        <is>
          <t>9-Базилик 5 (Аксай)</t>
        </is>
      </c>
      <c r="D68" s="566" t="n"/>
      <c r="E68" s="567" t="n">
        <v>300000</v>
      </c>
      <c r="F68" s="68" t="n"/>
    </row>
    <row r="69" hidden="1" outlineLevel="1" ht="13.2" customHeight="1" s="1127">
      <c r="B69" s="564" t="n">
        <v>4</v>
      </c>
      <c r="C69" s="559" t="inlineStr">
        <is>
          <t>556-Romantic (торты) Махамбетов Акзер</t>
        </is>
      </c>
      <c r="D69" s="566" t="n"/>
      <c r="E69" s="568" t="n">
        <v>260000</v>
      </c>
      <c r="F69" s="68" t="n"/>
    </row>
    <row r="70" hidden="1" outlineLevel="1" ht="13.2" customHeight="1" s="1127">
      <c r="B70" s="564" t="n">
        <v>4</v>
      </c>
      <c r="C70" s="559" t="inlineStr">
        <is>
          <t>558- ТРИО Romantic (торты) Нурлыбаев Алибек</t>
        </is>
      </c>
      <c r="D70" s="566" t="n"/>
      <c r="E70" s="568" t="n">
        <v>260000</v>
      </c>
      <c r="F70" s="68" t="n"/>
    </row>
    <row r="71" hidden="1" outlineLevel="1" ht="13.2" customHeight="1" s="1127">
      <c r="B71" s="564" t="n">
        <v>5</v>
      </c>
      <c r="C71" s="559" t="inlineStr">
        <is>
          <t>85-ДФЗ (дистрибьютор)</t>
        </is>
      </c>
      <c r="D71" s="566" t="n"/>
      <c r="E71" s="567" t="n">
        <v>22000000</v>
      </c>
      <c r="F71" s="68" t="n"/>
    </row>
    <row r="72" hidden="1" outlineLevel="1" ht="13.2" customHeight="1" s="1127">
      <c r="B72" s="564" t="n">
        <v>5</v>
      </c>
      <c r="C72" s="559" t="inlineStr">
        <is>
          <t>102-Яндекс лавка ОСНОВНОЙ</t>
        </is>
      </c>
      <c r="D72" s="566" t="n"/>
      <c r="E72" s="567" t="n">
        <v>11500000</v>
      </c>
      <c r="F72" s="68" t="n"/>
    </row>
    <row r="73" hidden="1" outlineLevel="1" ht="13.2" customHeight="1" s="1127">
      <c r="B73" s="564" t="n">
        <v>5</v>
      </c>
      <c r="C73" s="559" t="inlineStr">
        <is>
          <t>7-Kaspi Банк (Склад ГП)</t>
        </is>
      </c>
      <c r="D73" s="566" t="n"/>
      <c r="E73" s="567" t="n">
        <v>7000000</v>
      </c>
      <c r="F73" s="68" t="n"/>
    </row>
    <row r="74" hidden="1" outlineLevel="1" ht="13.2" customHeight="1" s="1127">
      <c r="B74" s="564" t="n">
        <v>5</v>
      </c>
      <c r="C74" s="559" t="inlineStr">
        <is>
          <t>99-RP АЗС основной</t>
        </is>
      </c>
      <c r="D74" s="566" t="n"/>
      <c r="E74" s="567" t="n">
        <v>5000000</v>
      </c>
      <c r="F74" s="68" t="n"/>
    </row>
    <row r="75" hidden="1" outlineLevel="1" ht="13.2" customHeight="1" s="1127">
      <c r="B75" s="564" t="n">
        <v>5</v>
      </c>
      <c r="C75" s="559" t="inlineStr">
        <is>
          <t>90-Маймарт</t>
        </is>
      </c>
      <c r="D75" s="312" t="n"/>
      <c r="E75" s="568" t="n">
        <v>3000000</v>
      </c>
      <c r="F75" s="68" t="n"/>
    </row>
    <row r="76" hidden="1" outlineLevel="1" ht="13.2" customHeight="1" s="1127">
      <c r="B76" s="564" t="n">
        <v>5</v>
      </c>
      <c r="C76" s="559" t="inlineStr">
        <is>
          <t>1-Базилик 1 (Шевченко)</t>
        </is>
      </c>
      <c r="D76" s="305" t="n"/>
      <c r="E76" s="567" t="n">
        <v>1500000</v>
      </c>
      <c r="F76" s="68" t="n"/>
    </row>
    <row r="77" hidden="1" outlineLevel="1" ht="13.2" customHeight="1" s="1127">
      <c r="B77" s="564" t="n">
        <v>5</v>
      </c>
      <c r="C77" s="559" t="inlineStr">
        <is>
          <t>98- O-live</t>
        </is>
      </c>
      <c r="D77" s="312" t="n"/>
      <c r="E77" s="567" t="n">
        <v>800000</v>
      </c>
      <c r="F77" s="68" t="n"/>
    </row>
    <row r="78" hidden="1" outlineLevel="1" ht="13.2" customHeight="1" s="1127">
      <c r="B78" s="564" t="n">
        <v>5</v>
      </c>
      <c r="C78" s="559" t="inlineStr">
        <is>
          <t>111 ТОО ГЛОВО ОСНОВНОЙ</t>
        </is>
      </c>
      <c r="D78" s="312" t="n"/>
      <c r="E78" s="567" t="n">
        <v>500000</v>
      </c>
      <c r="F78" s="68" t="n"/>
    </row>
    <row r="79" hidden="1" outlineLevel="1" ht="13.2" customHeight="1" s="1127">
      <c r="B79" s="564" t="n">
        <v>5</v>
      </c>
      <c r="C79" s="559" t="inlineStr">
        <is>
          <t>0Частное лицо Покупатель</t>
        </is>
      </c>
      <c r="D79" s="68" t="n"/>
      <c r="E79" s="567" t="n">
        <v>400000</v>
      </c>
      <c r="F79" s="68" t="n"/>
    </row>
    <row r="80" hidden="1" outlineLevel="1" ht="13.2" customHeight="1" s="1127">
      <c r="B80" s="564" t="n">
        <v>5</v>
      </c>
      <c r="C80" s="559" t="inlineStr">
        <is>
          <t>9-Базилик 5 (Аксай)</t>
        </is>
      </c>
      <c r="D80" s="305" t="n"/>
      <c r="E80" s="567" t="n">
        <v>300000</v>
      </c>
      <c r="F80" s="68" t="n"/>
    </row>
    <row r="81" hidden="1" outlineLevel="1" ht="13.2" customHeight="1" s="1127">
      <c r="B81" s="564" t="n">
        <v>5</v>
      </c>
      <c r="C81" s="559" t="inlineStr">
        <is>
          <t>556-Romantic (торты) Махамбетов Акзер</t>
        </is>
      </c>
      <c r="D81" s="305" t="n"/>
      <c r="E81" s="568" t="n">
        <v>260000</v>
      </c>
      <c r="F81" s="68" t="n"/>
    </row>
    <row r="82" hidden="1" outlineLevel="1" ht="13.2" customHeight="1" s="1127">
      <c r="B82" s="564" t="n">
        <v>5</v>
      </c>
      <c r="C82" s="569" t="inlineStr">
        <is>
          <t>558- ТРИО Romantic (торты) Нурлыбаев Алибек</t>
        </is>
      </c>
      <c r="D82" s="344" t="n"/>
      <c r="E82" s="568" t="n">
        <v>260000</v>
      </c>
      <c r="F82" s="68" t="n"/>
    </row>
    <row r="83" hidden="1" outlineLevel="1" ht="13.2" customHeight="1" s="1127">
      <c r="B83" s="337" t="n"/>
      <c r="C83" s="311" t="n"/>
      <c r="D83" s="312" t="n"/>
      <c r="E83" s="342" t="n"/>
      <c r="F83" s="68" t="n"/>
    </row>
    <row r="84" hidden="1" outlineLevel="1" ht="13.2" customHeight="1" s="1127">
      <c r="B84" s="337" t="n"/>
      <c r="C84" s="311" t="n"/>
      <c r="D84" s="312" t="n"/>
      <c r="E84" s="346" t="n"/>
      <c r="F84" s="68" t="n"/>
    </row>
    <row r="85" hidden="1" outlineLevel="1" ht="13.2" customHeight="1" s="1127">
      <c r="B85" s="337" t="n"/>
      <c r="C85" s="311" t="n"/>
      <c r="D85" s="68" t="n"/>
      <c r="E85" s="341" t="n"/>
      <c r="F85" s="68" t="n"/>
    </row>
    <row r="86" hidden="1" outlineLevel="1" ht="13.2" customHeight="1" s="1127">
      <c r="B86" s="337" t="n"/>
      <c r="C86" s="311" t="n"/>
      <c r="D86" s="312" t="n"/>
      <c r="E86" s="342" t="n"/>
      <c r="F86" s="68" t="n"/>
    </row>
    <row r="87" hidden="1" outlineLevel="1" ht="13.2" customHeight="1" s="1127">
      <c r="B87" s="337" t="n"/>
      <c r="C87" s="311" t="n"/>
      <c r="D87" s="312" t="n"/>
      <c r="E87" s="342" t="n"/>
      <c r="F87" s="68" t="n"/>
    </row>
    <row r="88" hidden="1" outlineLevel="1" ht="13.2" customHeight="1" s="1127">
      <c r="B88" s="337" t="n"/>
      <c r="C88" s="311" t="n"/>
      <c r="D88" s="312" t="n"/>
      <c r="E88" s="342" t="n"/>
      <c r="F88" s="68" t="n"/>
    </row>
    <row r="89" hidden="1" outlineLevel="1" ht="13.2" customHeight="1" s="1127">
      <c r="B89" s="337" t="n"/>
      <c r="C89" s="311" t="n"/>
      <c r="D89" s="312" t="n"/>
      <c r="E89" s="342" t="n"/>
      <c r="F89" s="68" t="n"/>
    </row>
    <row r="90" hidden="1" outlineLevel="1" ht="13.2" customHeight="1" s="1127">
      <c r="B90" s="337" t="n"/>
      <c r="C90" s="311" t="n"/>
      <c r="D90" s="312" t="n"/>
      <c r="E90" s="342" t="n"/>
      <c r="F90" s="68" t="n"/>
    </row>
    <row r="91" hidden="1" outlineLevel="1" ht="13.2" customHeight="1" s="1127">
      <c r="B91" s="337" t="n"/>
      <c r="C91" s="311" t="n"/>
      <c r="D91" s="312" t="n"/>
      <c r="E91" s="342" t="n"/>
      <c r="F91" s="68" t="n"/>
    </row>
    <row r="92" hidden="1" outlineLevel="1" ht="13.2" customHeight="1" s="1127">
      <c r="B92" s="337" t="n"/>
      <c r="C92" s="311" t="n"/>
      <c r="D92" s="312" t="n"/>
      <c r="E92" s="342" t="n"/>
      <c r="F92" s="68" t="n"/>
    </row>
    <row r="93" hidden="1" outlineLevel="1" ht="13.2" customHeight="1" s="1127">
      <c r="B93" s="337" t="n"/>
      <c r="C93" s="311" t="n"/>
      <c r="D93" s="312" t="n"/>
      <c r="E93" s="342" t="n"/>
      <c r="F93" s="68" t="n"/>
    </row>
    <row r="94" hidden="1" outlineLevel="1" ht="13.2" customHeight="1" s="1127">
      <c r="B94" s="337" t="n"/>
      <c r="C94" s="311" t="n"/>
      <c r="D94" s="570" t="n"/>
      <c r="E94" s="571" t="n"/>
      <c r="F94" s="68" t="n"/>
    </row>
    <row r="95" hidden="1" outlineLevel="1" ht="13.2" customHeight="1" s="1127">
      <c r="B95" s="337" t="n"/>
      <c r="C95" s="311" t="n"/>
      <c r="D95" s="312" t="n"/>
      <c r="E95" s="342" t="n"/>
      <c r="F95" s="68" t="n"/>
    </row>
    <row r="96" hidden="1" outlineLevel="1" ht="13.2" customHeight="1" s="1127">
      <c r="B96" s="337" t="n"/>
      <c r="C96" s="311" t="n"/>
      <c r="D96" s="312" t="n"/>
      <c r="E96" s="342" t="n"/>
      <c r="F96" s="68" t="n"/>
    </row>
    <row r="97" hidden="1" outlineLevel="1" ht="13.2" customHeight="1" s="1127">
      <c r="B97" s="337" t="n"/>
      <c r="C97" s="311" t="n"/>
      <c r="D97" s="312" t="n"/>
      <c r="E97" s="349" t="n"/>
      <c r="F97" s="68" t="n"/>
    </row>
    <row r="98" hidden="1" outlineLevel="1" ht="13.2" customHeight="1" s="1127">
      <c r="B98" s="337" t="n"/>
      <c r="C98" s="311" t="n"/>
      <c r="D98" s="312" t="n"/>
      <c r="E98" s="342" t="n"/>
      <c r="F98" s="68" t="n"/>
    </row>
    <row r="99" hidden="1" outlineLevel="1" ht="13.2" customHeight="1" s="1127">
      <c r="B99" s="337" t="n"/>
      <c r="C99" s="311" t="n"/>
      <c r="D99" s="312" t="n"/>
      <c r="E99" s="342" t="n"/>
      <c r="F99" s="68" t="n"/>
    </row>
    <row r="100" hidden="1" outlineLevel="1" ht="13.2" customHeight="1" s="1127">
      <c r="B100" s="337" t="n"/>
      <c r="C100" s="311" t="n"/>
      <c r="D100" s="312" t="n"/>
      <c r="E100" s="342" t="n"/>
      <c r="F100" s="68" t="n"/>
    </row>
    <row r="101" hidden="1" outlineLevel="1" ht="13.2" customHeight="1" s="1127">
      <c r="B101" s="337" t="n"/>
      <c r="C101" s="311" t="n"/>
      <c r="D101" s="312" t="n"/>
      <c r="E101" s="342" t="n"/>
      <c r="F101" s="68" t="n"/>
    </row>
    <row r="102" hidden="1" outlineLevel="1" ht="13.2" customHeight="1" s="1127">
      <c r="B102" s="337" t="n"/>
      <c r="C102" s="311" t="n"/>
      <c r="D102" s="312" t="n"/>
      <c r="E102" s="342" t="n"/>
      <c r="F102" s="68" t="n"/>
    </row>
    <row r="103" hidden="1" outlineLevel="1" ht="13.2" customHeight="1" s="1127">
      <c r="B103" s="337" t="n"/>
      <c r="C103" s="311" t="n"/>
      <c r="D103" s="312" t="n"/>
      <c r="E103" s="342" t="n"/>
      <c r="F103" s="68" t="n"/>
    </row>
    <row r="104" hidden="1" outlineLevel="1" ht="13.2" customHeight="1" s="1127">
      <c r="B104" s="337" t="n"/>
      <c r="C104" s="311" t="n"/>
      <c r="D104" s="312" t="n"/>
      <c r="E104" s="342" t="n"/>
      <c r="F104" s="68" t="n"/>
    </row>
    <row r="105" hidden="1" outlineLevel="1" ht="13.2" customHeight="1" s="1127">
      <c r="B105" s="350" t="n"/>
      <c r="C105" s="311" t="n"/>
      <c r="D105" s="312" t="n"/>
      <c r="E105" s="342" t="n"/>
      <c r="F105" s="68" t="n"/>
    </row>
    <row r="106" hidden="1" outlineLevel="1" ht="13.2" customHeight="1" s="1127">
      <c r="B106" s="350" t="n"/>
      <c r="C106" s="311" t="n"/>
      <c r="D106" s="312" t="n"/>
      <c r="E106" s="342" t="n"/>
      <c r="F106" s="68" t="n"/>
    </row>
    <row r="107" hidden="1" outlineLevel="1" ht="13.2" customHeight="1" s="1127">
      <c r="B107" s="350" t="n"/>
      <c r="C107" s="311" t="n"/>
      <c r="D107" s="312" t="n"/>
      <c r="E107" s="342" t="n"/>
      <c r="F107" s="68" t="n"/>
    </row>
    <row r="108" hidden="1" outlineLevel="1" ht="13.2" customHeight="1" s="1127">
      <c r="B108" s="350" t="n"/>
      <c r="C108" s="311" t="n"/>
      <c r="D108" s="68" t="n"/>
      <c r="E108" s="341" t="n"/>
      <c r="F108" s="68" t="n"/>
    </row>
    <row r="109" hidden="1" outlineLevel="1" ht="13.2" customHeight="1" s="1127">
      <c r="B109" s="350" t="n"/>
      <c r="C109" s="311" t="n"/>
      <c r="D109" s="312" t="n"/>
      <c r="E109" s="341" t="n"/>
      <c r="F109" s="68" t="n"/>
    </row>
    <row r="110" hidden="1" outlineLevel="1" ht="13.2" customHeight="1" s="1127">
      <c r="B110" s="337" t="n"/>
      <c r="C110" s="311" t="n"/>
      <c r="D110" s="312" t="n"/>
      <c r="E110" s="342" t="n"/>
      <c r="F110" s="68" t="n"/>
    </row>
    <row r="111" hidden="1" outlineLevel="1" ht="13.2" customHeight="1" s="1127">
      <c r="B111" s="337" t="n"/>
      <c r="C111" s="311" t="n"/>
      <c r="D111" s="312" t="n"/>
      <c r="E111" s="342" t="n"/>
      <c r="F111" s="68" t="n"/>
    </row>
    <row r="112" hidden="1" outlineLevel="1" ht="13.2" customHeight="1" s="1127">
      <c r="B112" s="337" t="n"/>
      <c r="C112" s="311" t="n"/>
      <c r="D112" s="312" t="n"/>
      <c r="E112" s="342" t="n"/>
      <c r="F112" s="68" t="n"/>
    </row>
    <row r="113" hidden="1" outlineLevel="1" ht="13.2" customHeight="1" s="1127">
      <c r="B113" s="337" t="n"/>
      <c r="C113" s="311" t="n"/>
      <c r="D113" s="312" t="n"/>
      <c r="E113" s="342" t="n"/>
      <c r="F113" s="68" t="n"/>
    </row>
    <row r="114" hidden="1" outlineLevel="1" ht="13.2" customHeight="1" s="1127">
      <c r="B114" s="337" t="n"/>
      <c r="C114" s="311" t="n"/>
      <c r="D114" s="312" t="n"/>
      <c r="E114" s="342" t="n"/>
      <c r="F114" s="68" t="n"/>
    </row>
    <row r="115" hidden="1" outlineLevel="1" ht="13.2" customHeight="1" s="1127">
      <c r="B115" s="337" t="n"/>
      <c r="C115" s="311" t="n"/>
      <c r="D115" s="312" t="n"/>
      <c r="E115" s="342" t="n"/>
      <c r="F115" s="68" t="n"/>
    </row>
    <row r="116" hidden="1" outlineLevel="1" ht="13.2" customHeight="1" s="1127">
      <c r="B116" s="337" t="n"/>
      <c r="C116" s="311" t="n"/>
      <c r="D116" s="312" t="n"/>
      <c r="E116" s="342" t="n"/>
      <c r="F116" s="68" t="n"/>
    </row>
    <row r="117" hidden="1" outlineLevel="1" ht="13.2" customHeight="1" s="1127">
      <c r="B117" s="337" t="n"/>
      <c r="C117" s="311" t="n"/>
      <c r="D117" s="312" t="n"/>
      <c r="E117" s="342" t="n"/>
      <c r="F117" s="68" t="n"/>
    </row>
    <row r="118" hidden="1" outlineLevel="1" ht="13.2" customHeight="1" s="1127">
      <c r="B118" s="337" t="n"/>
      <c r="C118" s="311" t="n"/>
      <c r="D118" s="312" t="n"/>
      <c r="E118" s="342" t="n"/>
      <c r="F118" s="68" t="n"/>
    </row>
    <row r="119" hidden="1" outlineLevel="1" ht="13.2" customHeight="1" s="1127">
      <c r="B119" s="337" t="n"/>
      <c r="C119" s="311" t="n"/>
      <c r="D119" s="312" t="n"/>
      <c r="E119" s="342" t="n"/>
      <c r="F119" s="68" t="n"/>
    </row>
    <row r="120" hidden="1" outlineLevel="1" ht="13.2" customHeight="1" s="1127">
      <c r="B120" s="337" t="n"/>
      <c r="C120" s="311" t="n"/>
      <c r="D120" s="312" t="n"/>
      <c r="E120" s="342" t="n"/>
      <c r="F120" s="68" t="n"/>
    </row>
    <row r="121" hidden="1" outlineLevel="1" ht="13.8" customHeight="1" s="1127">
      <c r="B121" s="337" t="n"/>
      <c r="C121" s="311" t="n"/>
      <c r="D121" s="312" t="n"/>
      <c r="E121" s="307" t="n"/>
      <c r="F121" s="68" t="n"/>
    </row>
    <row r="122" ht="13.2" customHeight="1" s="1127">
      <c r="E122" s="219" t="n"/>
    </row>
    <row r="123" ht="13.8" customHeight="1" s="1127">
      <c r="B123" s="1211" t="n"/>
    </row>
    <row r="124" ht="17.4" customHeight="1" s="1127">
      <c r="B124" s="220" t="inlineStr">
        <is>
          <t>Выбытие</t>
        </is>
      </c>
      <c r="C124" s="221" t="n"/>
      <c r="D124" s="221" t="n"/>
      <c r="E124" s="222" t="n"/>
      <c r="F124" s="221" t="n"/>
    </row>
    <row r="125" outlineLevel="1" collapsed="1" ht="13.2" customHeight="1" s="1127">
      <c r="B125" s="223" t="inlineStr">
        <is>
          <t>Дата</t>
        </is>
      </c>
      <c r="C125" s="223" t="inlineStr">
        <is>
          <t>Основание</t>
        </is>
      </c>
      <c r="D125" s="223" t="inlineStr">
        <is>
          <t>Наличный</t>
        </is>
      </c>
      <c r="E125" s="224" t="inlineStr">
        <is>
          <t>Безналичный</t>
        </is>
      </c>
      <c r="F125" s="352" t="inlineStr">
        <is>
          <t>Комментарий</t>
        </is>
      </c>
      <c r="G125" s="353" t="n"/>
    </row>
    <row r="126" hidden="1" outlineLevel="2" ht="13.8" customHeight="1" s="1127">
      <c r="B126" s="354" t="n">
        <v>46121</v>
      </c>
      <c r="C126" s="771" t="inlineStr">
        <is>
          <t>Бригадиру Болатбек Даулету</t>
        </is>
      </c>
      <c r="D126" s="774" t="n">
        <v>50000</v>
      </c>
      <c r="E126" s="366" t="n"/>
      <c r="F126" s="73" t="inlineStr">
        <is>
          <t>Выплачено</t>
        </is>
      </c>
      <c r="G126" s="358" t="n"/>
    </row>
    <row r="127" hidden="1" outlineLevel="2" ht="13.8" customHeight="1" s="1127">
      <c r="B127" s="354" t="n">
        <v>46121</v>
      </c>
      <c r="C127" s="774" t="inlineStr">
        <is>
          <t xml:space="preserve">ЗП </t>
        </is>
      </c>
      <c r="D127" s="774" t="n"/>
      <c r="E127" s="360" t="n">
        <v>15223108.79</v>
      </c>
      <c r="F127" s="73" t="inlineStr">
        <is>
          <t>Выплачено</t>
        </is>
      </c>
      <c r="G127" s="358" t="n"/>
    </row>
    <row r="128" hidden="1" outlineLevel="2" ht="13.8" customHeight="1" s="1127">
      <c r="B128" s="354" t="n">
        <v>46121</v>
      </c>
      <c r="C128" s="771" t="inlineStr">
        <is>
          <t>закуп сырьё</t>
        </is>
      </c>
      <c r="D128" s="771" t="n"/>
      <c r="E128" s="360" t="n">
        <v>1776000</v>
      </c>
      <c r="F128" s="73" t="inlineStr">
        <is>
          <t>Выплачено</t>
        </is>
      </c>
      <c r="G128" s="358" t="n"/>
    </row>
    <row r="129" hidden="1" outlineLevel="2" ht="13.8" customHeight="1" s="1127">
      <c r="B129" s="354" t="n">
        <v>46121</v>
      </c>
      <c r="C129" s="774" t="inlineStr">
        <is>
          <t>ЗП лагманщикам</t>
        </is>
      </c>
      <c r="D129" s="774" t="n">
        <v>306000</v>
      </c>
      <c r="E129" s="360" t="n"/>
      <c r="F129" s="73" t="inlineStr">
        <is>
          <t>Выплачено</t>
        </is>
      </c>
      <c r="G129" s="358" t="n"/>
    </row>
    <row r="130" hidden="1" outlineLevel="2" ht="13.8" customHeight="1" s="1127">
      <c r="B130" s="354" t="n">
        <v>46121</v>
      </c>
      <c r="C130" s="777" t="inlineStr">
        <is>
          <t>Ли Станислав</t>
        </is>
      </c>
      <c r="D130" s="774" t="n">
        <v>600000</v>
      </c>
      <c r="E130" s="360" t="n"/>
      <c r="F130" s="73" t="inlineStr">
        <is>
          <t>Выплачено</t>
        </is>
      </c>
      <c r="G130" s="358" t="n"/>
    </row>
    <row r="131" hidden="1" outlineLevel="2" ht="13.8" customHeight="1" s="1127">
      <c r="B131" s="364" t="n">
        <v>46121</v>
      </c>
      <c r="C131" s="771" t="inlineStr">
        <is>
          <t>Дорожные</t>
        </is>
      </c>
      <c r="D131" s="771" t="n">
        <v>9000</v>
      </c>
      <c r="E131" s="360" t="n"/>
      <c r="F131" s="73" t="inlineStr">
        <is>
          <t>Выплачено</t>
        </is>
      </c>
      <c r="G131" s="358" t="n"/>
    </row>
    <row r="132" hidden="1" outlineLevel="2" ht="13.8" customHeight="1" s="1127">
      <c r="B132" s="354" t="n">
        <v>46122</v>
      </c>
      <c r="C132" s="777" t="inlineStr">
        <is>
          <t>ОСТАТОК КПН</t>
        </is>
      </c>
      <c r="D132" s="774" t="n"/>
      <c r="E132" s="360" t="n">
        <v>1104937</v>
      </c>
      <c r="F132" s="73" t="inlineStr">
        <is>
          <t>Выплачено</t>
        </is>
      </c>
      <c r="G132" s="358" t="n"/>
    </row>
    <row r="133" hidden="1" outlineLevel="2" ht="13.8" customHeight="1" s="1127">
      <c r="B133" s="354" t="n">
        <v>46122</v>
      </c>
      <c r="C133" s="777" t="inlineStr">
        <is>
          <t>ЗП Уволеных</t>
        </is>
      </c>
      <c r="D133" s="774" t="n">
        <v>2393824</v>
      </c>
      <c r="E133" s="360" t="n"/>
      <c r="F133" s="73" t="inlineStr">
        <is>
          <t>Выплачено</t>
        </is>
      </c>
      <c r="G133" s="358" t="n"/>
    </row>
    <row r="134" hidden="1" outlineLevel="2" ht="13.8" customHeight="1" s="1127">
      <c r="B134" s="354" t="n">
        <v>46122</v>
      </c>
      <c r="C134" s="777" t="inlineStr">
        <is>
          <t>На размещение платных объявлений</t>
        </is>
      </c>
      <c r="D134" s="774" t="n">
        <v>20000</v>
      </c>
      <c r="E134" s="360" t="n"/>
      <c r="F134" s="73" t="inlineStr">
        <is>
          <t>Выплачено</t>
        </is>
      </c>
      <c r="G134" s="1126" t="n"/>
    </row>
    <row r="135" hidden="1" outlineLevel="2" ht="13.8" customHeight="1" s="1127">
      <c r="B135" s="354" t="n">
        <v>46122</v>
      </c>
      <c r="C135" s="777" t="inlineStr">
        <is>
          <t>Дизайнер РП  (2 тейбл тента)</t>
        </is>
      </c>
      <c r="D135" s="774" t="n">
        <v>14000</v>
      </c>
      <c r="E135" s="360" t="n"/>
      <c r="F135" s="73" t="inlineStr">
        <is>
          <t>Выплачено</t>
        </is>
      </c>
      <c r="G135" s="1126" t="n"/>
    </row>
    <row r="136" hidden="1" outlineLevel="2" ht="13.8" customHeight="1" s="1127">
      <c r="B136" s="364" t="n">
        <v>46122</v>
      </c>
      <c r="C136" s="771" t="inlineStr">
        <is>
          <t xml:space="preserve">ЗП 5 сотрудникам  они получает до 12 число </t>
        </is>
      </c>
      <c r="D136" s="774" t="n">
        <v>1251000</v>
      </c>
      <c r="E136" s="360" t="n"/>
      <c r="F136" s="73" t="inlineStr">
        <is>
          <t>К оплате</t>
        </is>
      </c>
      <c r="G136" s="365" t="n"/>
    </row>
    <row r="137" hidden="1" outlineLevel="2" ht="13.8" customHeight="1" s="1127">
      <c r="B137" s="364" t="n">
        <v>46122</v>
      </c>
      <c r="C137" s="771" t="inlineStr">
        <is>
          <t>вызов ассенизаторской 2  машины</t>
        </is>
      </c>
      <c r="D137" s="774" t="n">
        <v>50000</v>
      </c>
      <c r="E137" s="366" t="n"/>
      <c r="F137" s="73" t="inlineStr">
        <is>
          <t>Выплачено</t>
        </is>
      </c>
      <c r="G137" s="367" t="n"/>
    </row>
    <row r="138" hidden="1" outlineLevel="2" ht="13.8" customHeight="1" s="1127">
      <c r="B138" s="364" t="n">
        <v>46122</v>
      </c>
      <c r="C138" s="777" t="inlineStr">
        <is>
          <t>за оплату почты</t>
        </is>
      </c>
      <c r="D138" s="368" t="n">
        <v>107000</v>
      </c>
      <c r="E138" s="360" t="n"/>
      <c r="F138" s="73" t="inlineStr">
        <is>
          <t>Выплачено</t>
        </is>
      </c>
    </row>
    <row r="139" hidden="1" outlineLevel="2" ht="13.8" customHeight="1" s="1127">
      <c r="B139" s="364" t="n">
        <v>46122</v>
      </c>
      <c r="C139" s="777" t="inlineStr">
        <is>
          <t>Оплата за логистику Демьянов</t>
        </is>
      </c>
      <c r="D139" s="368" t="n">
        <v>300000</v>
      </c>
      <c r="E139" s="360" t="n"/>
      <c r="F139" s="73" t="inlineStr">
        <is>
          <t>Выплачено</t>
        </is>
      </c>
    </row>
    <row r="140" hidden="1" outlineLevel="2" ht="13.8" customHeight="1" s="1127">
      <c r="B140" s="364" t="n">
        <v>46122</v>
      </c>
      <c r="C140" s="777" t="inlineStr">
        <is>
          <t>Даулет, нач. производства ЗП</t>
        </is>
      </c>
      <c r="D140" s="368" t="n">
        <v>1281165</v>
      </c>
      <c r="E140" s="360" t="n"/>
      <c r="F140" s="73" t="inlineStr">
        <is>
          <t>Выплачено</t>
        </is>
      </c>
    </row>
    <row r="141" hidden="1" outlineLevel="2" ht="13.8" customHeight="1" s="1127">
      <c r="B141" s="364" t="n">
        <v>46122</v>
      </c>
      <c r="C141" s="777" t="inlineStr">
        <is>
          <t>Астана</t>
        </is>
      </c>
      <c r="D141" s="368" t="n">
        <v>120000</v>
      </c>
      <c r="E141" s="360" t="n"/>
      <c r="F141" s="73" t="inlineStr">
        <is>
          <t>К оплате</t>
        </is>
      </c>
    </row>
    <row r="142" hidden="1" outlineLevel="2" ht="14.4" customHeight="1" s="1127">
      <c r="B142" s="364" t="n">
        <v>46122</v>
      </c>
      <c r="C142" s="771" t="inlineStr">
        <is>
          <t>закуп сырьё</t>
        </is>
      </c>
      <c r="D142" s="368" t="n"/>
      <c r="E142" s="369" t="n">
        <v>3778100</v>
      </c>
      <c r="F142" s="73" t="inlineStr">
        <is>
          <t>Выплачено</t>
        </is>
      </c>
    </row>
    <row r="143" hidden="1" outlineLevel="2" ht="14.4" customHeight="1" s="1127">
      <c r="B143" s="364" t="n">
        <v>46122</v>
      </c>
      <c r="C143" s="771" t="inlineStr">
        <is>
          <t xml:space="preserve">Веб касса </t>
        </is>
      </c>
      <c r="D143" s="368" t="n">
        <v>8200</v>
      </c>
      <c r="E143" s="369" t="n"/>
      <c r="F143" s="73" t="inlineStr">
        <is>
          <t>Выплачено</t>
        </is>
      </c>
    </row>
    <row r="144" hidden="1" outlineLevel="2" ht="14.4" customHeight="1" s="1127">
      <c r="B144" s="284" t="n">
        <v>46125</v>
      </c>
      <c r="C144" s="771" t="inlineStr">
        <is>
          <t>Герасименко (аренда+депозит за кв)</t>
        </is>
      </c>
      <c r="D144" s="370">
        <f>390000+150000</f>
        <v/>
      </c>
      <c r="E144" s="369" t="n"/>
      <c r="F144" s="73" t="inlineStr">
        <is>
          <t>Выплачено</t>
        </is>
      </c>
    </row>
    <row r="145" hidden="1" outlineLevel="2" ht="14.4" customHeight="1" s="1127">
      <c r="B145" s="284" t="n">
        <v>46125</v>
      </c>
      <c r="C145" s="771" t="inlineStr">
        <is>
          <t xml:space="preserve">Тоймарт </t>
        </is>
      </c>
      <c r="D145" s="371" t="inlineStr">
        <is>
          <t>390 344</t>
        </is>
      </c>
      <c r="E145" s="369" t="n"/>
      <c r="F145" s="73" t="inlineStr">
        <is>
          <t>Выплачено</t>
        </is>
      </c>
      <c r="G145" s="372" t="n"/>
    </row>
    <row r="146" hidden="1" outlineLevel="2" ht="13.8" customHeight="1" s="1127">
      <c r="B146" s="284" t="n">
        <v>46125</v>
      </c>
      <c r="C146" s="771" t="inlineStr">
        <is>
          <t>ЗАКУП СЫРЬЁ (безнал)</t>
        </is>
      </c>
      <c r="D146" s="368" t="n"/>
      <c r="E146" s="360" t="n">
        <v>6263921</v>
      </c>
      <c r="F146" s="73" t="inlineStr">
        <is>
          <t>Выплачено</t>
        </is>
      </c>
    </row>
    <row r="147" hidden="1" outlineLevel="2" ht="13.8" customHeight="1" s="1127">
      <c r="B147" s="284" t="n">
        <v>46125</v>
      </c>
      <c r="C147" s="777" t="inlineStr">
        <is>
          <t>Ayala Trade ТОО творг</t>
        </is>
      </c>
      <c r="D147" s="368" t="n"/>
      <c r="E147" s="360" t="n">
        <v>416500</v>
      </c>
      <c r="F147" s="73" t="inlineStr">
        <is>
          <t>Выплачено</t>
        </is>
      </c>
    </row>
    <row r="148" hidden="1" outlineLevel="2" ht="13.8" customHeight="1" s="1127">
      <c r="B148" s="284" t="n">
        <v>46125</v>
      </c>
      <c r="C148" s="148" t="inlineStr">
        <is>
          <t xml:space="preserve">квартира Узбеков </t>
        </is>
      </c>
      <c r="D148" s="148" t="n">
        <v>300000</v>
      </c>
      <c r="E148" s="373" t="n"/>
      <c r="F148" s="73" t="inlineStr">
        <is>
          <t>Выплачено</t>
        </is>
      </c>
    </row>
    <row r="149" hidden="1" outlineLevel="2" ht="15.6" customHeight="1" s="1127">
      <c r="B149" s="284" t="n">
        <v>46125</v>
      </c>
      <c r="C149" s="374" t="inlineStr">
        <is>
          <t>Сергей Сон ЗП март (часть)</t>
        </is>
      </c>
      <c r="D149" s="148" t="n">
        <v>54600</v>
      </c>
      <c r="E149" s="373" t="n"/>
      <c r="F149" s="73" t="inlineStr">
        <is>
          <t>Выплачено</t>
        </is>
      </c>
    </row>
    <row r="150" hidden="1" outlineLevel="2" ht="13.8" customHeight="1" s="1127">
      <c r="B150" s="284" t="n">
        <v>46125</v>
      </c>
      <c r="C150" s="393" t="n"/>
      <c r="D150" s="148" t="n">
        <v>1000000</v>
      </c>
      <c r="E150" s="373" t="n"/>
      <c r="F150" s="73" t="inlineStr">
        <is>
          <t>Выплачено</t>
        </is>
      </c>
    </row>
    <row r="151" hidden="1" outlineLevel="2" ht="13.8" customHeight="1" s="1127">
      <c r="B151" s="284" t="n">
        <v>46125</v>
      </c>
      <c r="C151" s="148" t="inlineStr">
        <is>
          <t xml:space="preserve">Ахмерова </t>
        </is>
      </c>
      <c r="D151" s="148" t="n"/>
      <c r="E151" s="373" t="n">
        <v>110160</v>
      </c>
      <c r="F151" s="73" t="inlineStr">
        <is>
          <t>Выплачено</t>
        </is>
      </c>
    </row>
    <row r="152" hidden="1" outlineLevel="2" ht="13.8" customHeight="1" s="1127">
      <c r="B152" s="284" t="n">
        <v>46125</v>
      </c>
      <c r="C152" s="375" t="inlineStr">
        <is>
          <t>Эрик Капуста</t>
        </is>
      </c>
      <c r="D152" s="376" t="n">
        <v>138400</v>
      </c>
      <c r="E152" s="373" t="n"/>
      <c r="F152" s="73" t="inlineStr">
        <is>
          <t>Выплачено</t>
        </is>
      </c>
      <c r="G152" s="456" t="inlineStr">
        <is>
          <t>повтор</t>
        </is>
      </c>
    </row>
    <row r="153" hidden="1" outlineLevel="2" ht="13.8" customHeight="1" s="1127">
      <c r="B153" s="284" t="n">
        <v>46125</v>
      </c>
      <c r="C153" s="777" t="inlineStr">
        <is>
          <t>ИП Демьянов</t>
        </is>
      </c>
      <c r="D153" s="368" t="n"/>
      <c r="E153" s="360" t="n">
        <v>1870000</v>
      </c>
      <c r="F153" s="73" t="inlineStr">
        <is>
          <t>Выплачено</t>
        </is>
      </c>
    </row>
    <row r="154" hidden="1" outlineLevel="2" ht="13.8" customHeight="1" s="1127">
      <c r="B154" s="377" t="n">
        <v>46126</v>
      </c>
      <c r="C154" s="378" t="inlineStr">
        <is>
          <t>Ли Станислав</t>
        </is>
      </c>
      <c r="D154" s="379" t="n">
        <v>1000000</v>
      </c>
      <c r="E154" s="380" t="n"/>
      <c r="F154" s="381" t="inlineStr">
        <is>
          <t>Выплачено</t>
        </is>
      </c>
    </row>
    <row r="155" hidden="1" outlineLevel="2" ht="13.8" customHeight="1" s="1127">
      <c r="B155" s="377" t="n">
        <v>46126</v>
      </c>
      <c r="C155" s="378" t="inlineStr">
        <is>
          <t>аванс по СЗ</t>
        </is>
      </c>
      <c r="D155" s="379" t="n">
        <v>150000</v>
      </c>
      <c r="E155" s="380" t="n"/>
      <c r="F155" s="381" t="inlineStr">
        <is>
          <t>Выплачено</t>
        </is>
      </c>
    </row>
    <row r="156" hidden="1" outlineLevel="2" ht="13.8" customHeight="1" s="1127">
      <c r="B156" s="377" t="n">
        <v>46126</v>
      </c>
      <c r="C156" s="382" t="inlineStr">
        <is>
          <t>за Нотариуса</t>
        </is>
      </c>
      <c r="D156" s="379" t="n">
        <v>10813</v>
      </c>
      <c r="E156" s="380" t="n"/>
      <c r="F156" s="381" t="inlineStr">
        <is>
          <t>Выплачено</t>
        </is>
      </c>
    </row>
    <row r="157" hidden="1" outlineLevel="2" ht="13.8" customHeight="1" s="1127">
      <c r="B157" s="377" t="n">
        <v>46126</v>
      </c>
      <c r="C157" s="378" t="inlineStr">
        <is>
          <t>Закуп сырьё</t>
        </is>
      </c>
      <c r="D157" s="379" t="n"/>
      <c r="E157" s="380" t="n">
        <v>9125564</v>
      </c>
      <c r="F157" s="381" t="inlineStr">
        <is>
          <t>Выплачено</t>
        </is>
      </c>
    </row>
    <row r="158" hidden="1" outlineLevel="2" ht="13.8" customHeight="1" s="1127">
      <c r="B158" s="377" t="n">
        <v>46126</v>
      </c>
      <c r="C158" s="378" t="inlineStr">
        <is>
          <t xml:space="preserve">Силиконовые шторы </t>
        </is>
      </c>
      <c r="D158" s="379" t="n"/>
      <c r="E158" s="380" t="n">
        <v>31000</v>
      </c>
      <c r="F158" s="381" t="inlineStr">
        <is>
          <t>Выплачено</t>
        </is>
      </c>
    </row>
    <row r="159" hidden="1" outlineLevel="2" ht="15" customHeight="1" s="1127">
      <c r="B159" s="377" t="n">
        <v>46126</v>
      </c>
      <c r="C159" s="383" t="inlineStr">
        <is>
          <t xml:space="preserve">Лампы </t>
        </is>
      </c>
      <c r="D159" s="379" t="n"/>
      <c r="E159" s="380" t="n"/>
      <c r="F159" s="381" t="inlineStr">
        <is>
          <t>К оплате</t>
        </is>
      </c>
    </row>
    <row r="160" hidden="1" outlineLevel="2" ht="13.8" customHeight="1" s="1127">
      <c r="B160" s="377" t="n">
        <v>46126</v>
      </c>
      <c r="C160" s="378" t="inlineStr">
        <is>
          <t>Масло подсолнечное</t>
        </is>
      </c>
      <c r="D160" s="379" t="n"/>
      <c r="E160" s="380" t="n">
        <v>120000</v>
      </c>
      <c r="F160" s="381" t="inlineStr">
        <is>
          <t>К оплате</t>
        </is>
      </c>
    </row>
    <row r="161" hidden="1" outlineLevel="2" ht="13.8" customHeight="1" s="1127">
      <c r="B161" s="364" t="n">
        <v>46127</v>
      </c>
      <c r="C161" s="777" t="inlineStr">
        <is>
          <t xml:space="preserve">Компенсация бензина (РОП) вчера не была деньги  </t>
        </is>
      </c>
      <c r="D161" s="368" t="n">
        <v>35000</v>
      </c>
      <c r="E161" s="360" t="n"/>
      <c r="F161" s="381" t="inlineStr">
        <is>
          <t>Выплачено</t>
        </is>
      </c>
      <c r="G161" s="384" t="inlineStr">
        <is>
          <t>создать приказ</t>
        </is>
      </c>
    </row>
    <row r="162" hidden="1" outlineLevel="2" ht="13.8" customHeight="1" s="1127">
      <c r="B162" s="385" t="n">
        <v>46127</v>
      </c>
      <c r="C162" s="386" t="inlineStr">
        <is>
          <t xml:space="preserve">Аренда помещения </t>
        </is>
      </c>
      <c r="D162" s="387" t="n"/>
      <c r="E162" s="388" t="n">
        <v>6655000</v>
      </c>
      <c r="F162" s="381" t="inlineStr">
        <is>
          <t>Выплачено</t>
        </is>
      </c>
    </row>
    <row r="163" hidden="1" outlineLevel="2" ht="13.8" customHeight="1" s="1127">
      <c r="B163" s="364" t="n">
        <v>46127</v>
      </c>
      <c r="C163" s="777" t="inlineStr">
        <is>
          <t>аванс по СЗ</t>
        </is>
      </c>
      <c r="D163" s="389" t="n">
        <v>100000</v>
      </c>
      <c r="E163" s="360" t="n"/>
      <c r="F163" s="381" t="inlineStr">
        <is>
          <t>Выплачено</t>
        </is>
      </c>
    </row>
    <row r="164" hidden="1" outlineLevel="2" ht="13.8" customHeight="1" s="1127">
      <c r="B164" s="364" t="n">
        <v>46127</v>
      </c>
      <c r="C164" s="777" t="inlineStr">
        <is>
          <t>Заиров Расулжан ЗП по Сз</t>
        </is>
      </c>
      <c r="D164" s="368" t="inlineStr">
        <is>
          <t>369 000</t>
        </is>
      </c>
      <c r="E164" s="360" t="n"/>
      <c r="F164" s="381" t="inlineStr">
        <is>
          <t>Выплачено</t>
        </is>
      </c>
    </row>
    <row r="165" hidden="1" outlineLevel="2" ht="14.4" customHeight="1" s="1127">
      <c r="B165" s="364" t="n">
        <v>46127</v>
      </c>
      <c r="C165" s="390" t="inlineStr">
        <is>
          <t xml:space="preserve">Исполнителный  лист </t>
        </is>
      </c>
      <c r="D165" s="391" t="n"/>
      <c r="E165" s="392" t="inlineStr">
        <is>
          <t>800 000</t>
        </is>
      </c>
      <c r="F165" s="381" t="inlineStr">
        <is>
          <t>Выплачено</t>
        </is>
      </c>
      <c r="G165" s="456" t="inlineStr">
        <is>
          <t>что входит</t>
        </is>
      </c>
    </row>
    <row r="166" hidden="1" outlineLevel="2" ht="13.8" customHeight="1" s="1127">
      <c r="B166" s="364" t="n">
        <v>46127</v>
      </c>
      <c r="C166" s="393" t="inlineStr">
        <is>
          <t>Public Health Inspection</t>
        </is>
      </c>
      <c r="D166" s="368" t="n"/>
      <c r="E166" s="360" t="inlineStr">
        <is>
          <t>144 800</t>
        </is>
      </c>
      <c r="F166" s="381" t="inlineStr">
        <is>
          <t>Выплачено</t>
        </is>
      </c>
    </row>
    <row r="167" hidden="1" outlineLevel="2" ht="13.8" customHeight="1" s="1127">
      <c r="B167" s="364" t="n">
        <v>46127</v>
      </c>
      <c r="C167" s="777" t="inlineStr">
        <is>
          <t>ТОО Horeca Guardian</t>
        </is>
      </c>
      <c r="D167" s="368" t="n"/>
      <c r="E167" s="360" t="inlineStr">
        <is>
          <t>340 000</t>
        </is>
      </c>
      <c r="F167" s="381" t="inlineStr">
        <is>
          <t>Выплачено</t>
        </is>
      </c>
    </row>
    <row r="168" hidden="1" outlineLevel="2" ht="13.8" customHeight="1" s="1127">
      <c r="B168" s="364" t="n">
        <v>46127</v>
      </c>
      <c r="C168" s="777" t="inlineStr">
        <is>
          <t>Ли Станислав</t>
        </is>
      </c>
      <c r="D168" s="389" t="inlineStr">
        <is>
          <t>500 000</t>
        </is>
      </c>
      <c r="E168" s="360" t="n"/>
      <c r="F168" s="381" t="inlineStr">
        <is>
          <t>Выплачено</t>
        </is>
      </c>
    </row>
    <row r="169" hidden="1" outlineLevel="2" ht="15.6" customHeight="1" s="1127">
      <c r="B169" s="364" t="n">
        <v>46127</v>
      </c>
      <c r="C169" s="374" t="inlineStr">
        <is>
          <t>Дашида</t>
        </is>
      </c>
      <c r="D169" s="394" t="n">
        <v>437200</v>
      </c>
      <c r="E169" s="360" t="n"/>
      <c r="F169" s="381" t="inlineStr">
        <is>
          <t>Выплачено</t>
        </is>
      </c>
    </row>
    <row r="170" hidden="1" outlineLevel="2" ht="13.8" customHeight="1" s="1127">
      <c r="B170" s="364" t="n">
        <v>46127</v>
      </c>
      <c r="C170" s="777" t="inlineStr">
        <is>
          <t>Закуп сырьё</t>
        </is>
      </c>
      <c r="D170" s="771" t="n"/>
      <c r="E170" s="360" t="n">
        <v>5000000</v>
      </c>
      <c r="F170" s="381" t="inlineStr">
        <is>
          <t>К оплате</t>
        </is>
      </c>
    </row>
    <row r="171" hidden="1" outlineLevel="2" ht="13.8" customHeight="1" s="1127">
      <c r="B171" s="395" t="n">
        <v>46128</v>
      </c>
      <c r="C171" s="443" t="inlineStr">
        <is>
          <t>аванс по СЗ</t>
        </is>
      </c>
      <c r="D171" s="397" t="n">
        <v>150000</v>
      </c>
      <c r="E171" s="398" t="n"/>
      <c r="F171" s="381" t="inlineStr">
        <is>
          <t>Выплачено</t>
        </is>
      </c>
    </row>
    <row r="172" hidden="1" outlineLevel="2" ht="13.8" customHeight="1" s="1127">
      <c r="B172" s="395" t="n">
        <v>46128</v>
      </c>
      <c r="C172" s="399" t="inlineStr">
        <is>
          <t>ЗП лагманщикам</t>
        </is>
      </c>
      <c r="D172" s="397" t="n">
        <v>316000</v>
      </c>
      <c r="E172" s="398" t="n"/>
      <c r="F172" s="381" t="inlineStr">
        <is>
          <t>Выплачено</t>
        </is>
      </c>
    </row>
    <row r="173" hidden="1" outlineLevel="2" ht="13.8" customHeight="1" s="1127">
      <c r="B173" s="395" t="n">
        <v>46128</v>
      </c>
      <c r="C173" s="399" t="inlineStr">
        <is>
          <t>Ли Станислав</t>
        </is>
      </c>
      <c r="D173" s="397" t="inlineStr">
        <is>
          <t>700 000</t>
        </is>
      </c>
      <c r="E173" s="398" t="n"/>
      <c r="F173" s="381" t="inlineStr">
        <is>
          <t>Выплачено</t>
        </is>
      </c>
    </row>
    <row r="174" hidden="1" outlineLevel="2" ht="13.8" customHeight="1" s="1127">
      <c r="B174" s="395" t="n">
        <v>46128</v>
      </c>
      <c r="C174" s="399" t="inlineStr">
        <is>
          <t xml:space="preserve">Закуп сырьё </t>
        </is>
      </c>
      <c r="D174" s="397" t="n"/>
      <c r="E174" s="398" t="n">
        <v>5526012</v>
      </c>
      <c r="F174" s="381" t="inlineStr">
        <is>
          <t>Выплачено</t>
        </is>
      </c>
    </row>
    <row r="175" hidden="1" outlineLevel="2" ht="13.8" customHeight="1" s="1127">
      <c r="B175" s="395" t="n">
        <v>46128</v>
      </c>
      <c r="C175" s="399" t="inlineStr">
        <is>
          <t>Логистика АСТАНА (выдать Александру)</t>
        </is>
      </c>
      <c r="D175" s="397" t="n">
        <v>54000</v>
      </c>
      <c r="E175" s="398" t="n"/>
      <c r="F175" s="381" t="inlineStr">
        <is>
          <t>Выплачено</t>
        </is>
      </c>
    </row>
    <row r="176" hidden="1" outlineLevel="2" ht="13.8" customHeight="1" s="1127">
      <c r="B176" s="395" t="n">
        <v>46128</v>
      </c>
      <c r="C176" s="399" t="inlineStr">
        <is>
          <t>Оплата дизайнеру</t>
        </is>
      </c>
      <c r="D176" s="397" t="n">
        <v>50000</v>
      </c>
      <c r="E176" s="398" t="n"/>
      <c r="F176" s="381" t="inlineStr">
        <is>
          <t>Выплачено</t>
        </is>
      </c>
    </row>
    <row r="177" hidden="1" outlineLevel="2" ht="13.8" customHeight="1" s="1127">
      <c r="B177" s="395" t="n">
        <v>46128</v>
      </c>
      <c r="C177" s="399" t="inlineStr">
        <is>
          <t>Аванс Барататова</t>
        </is>
      </c>
      <c r="D177" s="397" t="n">
        <v>150000</v>
      </c>
      <c r="E177" s="398" t="n"/>
      <c r="F177" s="381" t="inlineStr">
        <is>
          <t>Выплачено</t>
        </is>
      </c>
    </row>
    <row r="178" hidden="1" outlineLevel="2" ht="13.8" customHeight="1" s="1127">
      <c r="B178" s="395" t="n">
        <v>46128</v>
      </c>
      <c r="C178" s="399" t="inlineStr">
        <is>
          <t>Аванс Худобаева</t>
        </is>
      </c>
      <c r="D178" s="397" t="n">
        <v>100000</v>
      </c>
      <c r="E178" s="398" t="n"/>
      <c r="F178" s="381" t="inlineStr">
        <is>
          <t>Выплачено</t>
        </is>
      </c>
    </row>
    <row r="179" hidden="1" outlineLevel="2" ht="13.8" customHeight="1" s="1127">
      <c r="B179" s="395" t="n">
        <v>46128</v>
      </c>
      <c r="C179" s="399" t="inlineStr">
        <is>
          <t>Каталоги</t>
        </is>
      </c>
      <c r="D179" s="397" t="n"/>
      <c r="E179" s="415" t="inlineStr">
        <is>
          <t>15 760</t>
        </is>
      </c>
      <c r="F179" s="381" t="inlineStr">
        <is>
          <t>Выплачено</t>
        </is>
      </c>
    </row>
    <row r="180" hidden="1" outlineLevel="2" ht="13.8" customHeight="1" s="1127">
      <c r="B180" s="395" t="n">
        <v>46129</v>
      </c>
      <c r="C180" s="399" t="inlineStr">
        <is>
          <t>Ли Станислав</t>
        </is>
      </c>
      <c r="D180" s="401" t="inlineStr">
        <is>
          <t>500 000</t>
        </is>
      </c>
      <c r="E180" s="398" t="n"/>
      <c r="F180" s="381" t="inlineStr">
        <is>
          <t>Выплачено</t>
        </is>
      </c>
    </row>
    <row r="181" hidden="1" outlineLevel="2" ht="13.8" customHeight="1" s="1127">
      <c r="B181" s="395" t="n">
        <v>46129</v>
      </c>
      <c r="C181" s="399" t="inlineStr">
        <is>
          <t xml:space="preserve">Шашубаева </t>
        </is>
      </c>
      <c r="D181" s="401" t="inlineStr">
        <is>
          <t>50 000</t>
        </is>
      </c>
      <c r="E181" s="398" t="n"/>
      <c r="F181" s="381" t="inlineStr">
        <is>
          <t>Выплачено</t>
        </is>
      </c>
    </row>
    <row r="182" hidden="1" outlineLevel="2" ht="13.8" customHeight="1" s="1127">
      <c r="B182" s="395" t="n">
        <v>46129</v>
      </c>
      <c r="C182" s="402" t="inlineStr">
        <is>
          <t>удержание с логистической компании</t>
        </is>
      </c>
      <c r="D182" s="401" t="inlineStr">
        <is>
          <t>56 939</t>
        </is>
      </c>
      <c r="E182" s="398" t="n"/>
      <c r="F182" s="381" t="inlineStr">
        <is>
          <t>Выплачено</t>
        </is>
      </c>
    </row>
    <row r="183" hidden="1" outlineLevel="2" ht="13.8" customHeight="1" s="1127">
      <c r="B183" s="395" t="n">
        <v>46129</v>
      </c>
      <c r="C183" s="399" t="inlineStr">
        <is>
          <t>установка окна для курьера</t>
        </is>
      </c>
      <c r="D183" s="401" t="inlineStr">
        <is>
          <t>80 000</t>
        </is>
      </c>
      <c r="E183" s="398" t="n"/>
      <c r="F183" s="381" t="inlineStr">
        <is>
          <t>Выплачено</t>
        </is>
      </c>
    </row>
    <row r="184" hidden="1" outlineLevel="2" ht="13.8" customHeight="1" s="1127">
      <c r="B184" s="395" t="n">
        <v>46129</v>
      </c>
      <c r="C184" s="399" t="inlineStr">
        <is>
          <t xml:space="preserve">Аванс Имашев Улан </t>
        </is>
      </c>
      <c r="D184" s="401" t="inlineStr">
        <is>
          <t>300 000</t>
        </is>
      </c>
      <c r="E184" s="398" t="n"/>
      <c r="F184" s="381" t="inlineStr">
        <is>
          <t>Выплачено</t>
        </is>
      </c>
    </row>
    <row r="185" hidden="1" outlineLevel="2" ht="13.8" customHeight="1" s="1127">
      <c r="B185" s="395" t="n">
        <v>46129</v>
      </c>
      <c r="C185" s="399" t="inlineStr">
        <is>
          <t>Аванс Шишериной М.С</t>
        </is>
      </c>
      <c r="D185" s="401" t="inlineStr">
        <is>
          <t>110 000</t>
        </is>
      </c>
      <c r="E185" s="398" t="n"/>
      <c r="F185" s="381" t="inlineStr">
        <is>
          <t>Выплачено</t>
        </is>
      </c>
    </row>
    <row r="186" hidden="1" outlineLevel="2" ht="13.8" customHeight="1" s="1127">
      <c r="B186" s="403" t="n">
        <v>46129</v>
      </c>
      <c r="C186" s="399" t="inlineStr">
        <is>
          <t>Отложить на ЗП</t>
        </is>
      </c>
      <c r="D186" s="399" t="n"/>
      <c r="E186" s="398" t="n">
        <v>10000000</v>
      </c>
      <c r="F186" s="381" t="inlineStr">
        <is>
          <t>К оплате</t>
        </is>
      </c>
    </row>
    <row r="187" hidden="1" outlineLevel="2" ht="13.8" customHeight="1" s="1127">
      <c r="B187" s="395" t="n">
        <v>46129</v>
      </c>
      <c r="C187" s="399" t="inlineStr">
        <is>
          <t>Закуп сырьё утро</t>
        </is>
      </c>
      <c r="D187" s="402" t="n">
        <v>126000</v>
      </c>
      <c r="E187" s="398" t="n">
        <v>3680180</v>
      </c>
      <c r="F187" s="381" t="inlineStr">
        <is>
          <t>Выплачено</t>
        </is>
      </c>
    </row>
    <row r="188" hidden="1" outlineLevel="2" ht="13.8" customHeight="1" s="1127">
      <c r="B188" s="395" t="n">
        <v>46129</v>
      </c>
      <c r="C188" s="399" t="inlineStr">
        <is>
          <t>Аренда квартиры ф.дир (19.04-19.05)</t>
        </is>
      </c>
      <c r="D188" s="397" t="n">
        <v>390000</v>
      </c>
      <c r="E188" s="398" t="n"/>
      <c r="F188" s="381" t="inlineStr">
        <is>
          <t>Выплачено</t>
        </is>
      </c>
    </row>
    <row r="189" hidden="1" outlineLevel="2" ht="13.8" customHeight="1" s="1127">
      <c r="B189" s="395" t="n">
        <v>46129</v>
      </c>
      <c r="C189" s="399" t="inlineStr">
        <is>
          <t>Закуп сырьё вечер</t>
        </is>
      </c>
      <c r="D189" s="397" t="n"/>
      <c r="E189" s="398">
        <f>2000000+300000+263625</f>
        <v/>
      </c>
      <c r="F189" s="381" t="inlineStr">
        <is>
          <t>Выплачено</t>
        </is>
      </c>
    </row>
    <row r="190" hidden="1" outlineLevel="2" ht="13.8" customHeight="1" s="1127">
      <c r="B190" s="395" t="n">
        <v>46129</v>
      </c>
      <c r="C190" s="399" t="inlineStr">
        <is>
          <t>ЗП уволенных</t>
        </is>
      </c>
      <c r="D190" s="397" t="n">
        <v>2600000</v>
      </c>
      <c r="E190" s="398" t="n"/>
      <c r="F190" s="381" t="inlineStr">
        <is>
          <t>Выплачено</t>
        </is>
      </c>
    </row>
    <row r="191" hidden="1" outlineLevel="2" ht="13.8" customHeight="1" s="1127">
      <c r="B191" s="395" t="n">
        <v>46132</v>
      </c>
      <c r="C191" s="399" t="inlineStr">
        <is>
          <t xml:space="preserve">Айран и Газ балон </t>
        </is>
      </c>
      <c r="D191" s="401" t="n">
        <v>48600</v>
      </c>
      <c r="E191" s="398" t="n"/>
      <c r="F191" s="381" t="inlineStr">
        <is>
          <t>Выплачено</t>
        </is>
      </c>
    </row>
    <row r="192" hidden="1" outlineLevel="2" ht="13.8" customHeight="1" s="1127">
      <c r="B192" s="395" t="n">
        <v>46132</v>
      </c>
      <c r="C192" s="399" t="inlineStr">
        <is>
          <t>Оплата за разработку логотипа</t>
        </is>
      </c>
      <c r="D192" s="402" t="n"/>
      <c r="E192" s="398" t="n">
        <v>1000000</v>
      </c>
      <c r="F192" s="381" t="inlineStr">
        <is>
          <t>Выплачено</t>
        </is>
      </c>
    </row>
    <row r="193" hidden="1" outlineLevel="2" ht="13.8" customHeight="1" s="1127">
      <c r="B193" s="395" t="n">
        <v>46132</v>
      </c>
      <c r="C193" s="399" t="inlineStr">
        <is>
          <t xml:space="preserve">Ноутбук </t>
        </is>
      </c>
      <c r="D193" s="401" t="n">
        <v>173446</v>
      </c>
      <c r="E193" s="398" t="n"/>
      <c r="F193" s="381" t="inlineStr">
        <is>
          <t>Выплачено</t>
        </is>
      </c>
    </row>
    <row r="194" hidden="1" outlineLevel="2" ht="13.8" customHeight="1" s="1127">
      <c r="B194" s="395" t="n">
        <v>46132</v>
      </c>
      <c r="C194" s="399" t="inlineStr">
        <is>
          <t>ЗП</t>
        </is>
      </c>
      <c r="D194" s="404">
        <f>17826000+369000</f>
        <v/>
      </c>
      <c r="E194" s="398" t="n"/>
      <c r="F194" s="381" t="inlineStr">
        <is>
          <t>Выплачено</t>
        </is>
      </c>
    </row>
    <row r="195" hidden="1" outlineLevel="2" ht="13.8" customHeight="1" s="1127">
      <c r="B195" s="395" t="n">
        <v>46132</v>
      </c>
      <c r="C195" s="399" t="inlineStr">
        <is>
          <t>Закуп сырьё вечер</t>
        </is>
      </c>
      <c r="D195" s="397" t="n">
        <v>427620</v>
      </c>
      <c r="E195" s="415" t="n">
        <v>1886893</v>
      </c>
      <c r="F195" s="381" t="inlineStr">
        <is>
          <t>Выплачено</t>
        </is>
      </c>
    </row>
    <row r="196" hidden="1" outlineLevel="2" ht="13.8" customHeight="1" s="1127">
      <c r="B196" s="395" t="n">
        <v>46133</v>
      </c>
      <c r="C196" s="399" t="inlineStr">
        <is>
          <t>Закуп сырьё</t>
        </is>
      </c>
      <c r="D196" s="402" t="n"/>
      <c r="E196" s="398" t="n">
        <v>4040634</v>
      </c>
      <c r="F196" s="381" t="inlineStr">
        <is>
          <t>Выплачено</t>
        </is>
      </c>
    </row>
    <row r="197" hidden="1" outlineLevel="2" ht="13.8" customHeight="1" s="1127">
      <c r="B197" s="395" t="n">
        <v>46133</v>
      </c>
      <c r="C197" s="399" t="inlineStr">
        <is>
          <t>Зарплата не весь остаток (производство)</t>
        </is>
      </c>
      <c r="D197" s="405" t="n">
        <v>5961267</v>
      </c>
      <c r="E197" s="398" t="n"/>
      <c r="F197" s="381" t="inlineStr">
        <is>
          <t>Выплачено</t>
        </is>
      </c>
    </row>
    <row r="198" hidden="1" outlineLevel="2" ht="13.8" customHeight="1" s="1127">
      <c r="B198" s="395" t="n">
        <v>46133</v>
      </c>
      <c r="C198" s="399" t="inlineStr">
        <is>
          <t>Оплата грузчикам</t>
        </is>
      </c>
      <c r="D198" s="404" t="n">
        <v>24000</v>
      </c>
      <c r="E198" s="398" t="n"/>
      <c r="F198" s="381" t="inlineStr">
        <is>
          <t>Выплачено</t>
        </is>
      </c>
    </row>
    <row r="199" hidden="1" outlineLevel="2" ht="13.8" customHeight="1" s="1127">
      <c r="B199" s="395" t="n">
        <v>46133</v>
      </c>
      <c r="C199" s="406" t="inlineStr">
        <is>
          <t xml:space="preserve">Ли Станислав </t>
        </is>
      </c>
      <c r="D199" s="405" t="n">
        <v>500000</v>
      </c>
      <c r="E199" s="398" t="n"/>
      <c r="F199" s="381" t="inlineStr">
        <is>
          <t>Выплачено</t>
        </is>
      </c>
    </row>
    <row r="200" hidden="1" outlineLevel="2" ht="13.8" customHeight="1" s="1127">
      <c r="B200" s="395" t="n">
        <v>46134</v>
      </c>
      <c r="C200" s="399" t="inlineStr">
        <is>
          <t>Култаева Жадыра  За лекарства  по  СЗ</t>
        </is>
      </c>
      <c r="D200" s="404" t="n">
        <v>60329</v>
      </c>
      <c r="E200" s="398" t="n"/>
      <c r="F200" s="381" t="inlineStr">
        <is>
          <t>Выплачено</t>
        </is>
      </c>
    </row>
    <row r="201" hidden="1" outlineLevel="2" ht="13.8" customHeight="1" s="1127">
      <c r="B201" s="395" t="n">
        <v>46134</v>
      </c>
      <c r="C201" s="399" t="inlineStr">
        <is>
          <t xml:space="preserve">Ли Станислав </t>
        </is>
      </c>
      <c r="D201" s="404" t="n">
        <v>500000</v>
      </c>
      <c r="E201" s="398" t="n"/>
      <c r="F201" s="381" t="inlineStr">
        <is>
          <t>Выплачено</t>
        </is>
      </c>
    </row>
    <row r="202" hidden="1" outlineLevel="2" ht="13.8" customHeight="1" s="1127">
      <c r="B202" s="395" t="n">
        <v>46134</v>
      </c>
      <c r="C202" s="399" t="inlineStr">
        <is>
          <t>Ремонтные работы холодильного агрегата</t>
        </is>
      </c>
      <c r="D202" s="404" t="n"/>
      <c r="E202" s="398" t="n">
        <v>270000</v>
      </c>
      <c r="F202" s="381" t="inlineStr">
        <is>
          <t>Выплачено</t>
        </is>
      </c>
    </row>
    <row r="203" hidden="1" outlineLevel="2" ht="13.8" customHeight="1" s="1127">
      <c r="B203" s="395" t="n">
        <v>46134</v>
      </c>
      <c r="C203" s="399" t="inlineStr">
        <is>
          <t>На закуп поддона для микроволновки</t>
        </is>
      </c>
      <c r="D203" s="404" t="n">
        <v>13000</v>
      </c>
      <c r="E203" s="398" t="n"/>
      <c r="F203" s="381" t="inlineStr">
        <is>
          <t>Выплачено</t>
        </is>
      </c>
    </row>
    <row r="204" hidden="1" outlineLevel="2" ht="13.8" customHeight="1" s="1127">
      <c r="B204" s="395" t="n">
        <v>46134</v>
      </c>
      <c r="C204" s="407" t="inlineStr">
        <is>
          <t>Возврат переплаты согласно письма ИП БоБух</t>
        </is>
      </c>
      <c r="D204" s="404" t="n"/>
      <c r="E204" s="398" t="n">
        <v>75706</v>
      </c>
      <c r="F204" s="381" t="inlineStr">
        <is>
          <t>Выплачено</t>
        </is>
      </c>
    </row>
    <row r="205" hidden="1" outlineLevel="2" ht="13.8" customHeight="1" s="1127">
      <c r="B205" s="395" t="n">
        <v>46134</v>
      </c>
      <c r="C205" s="399" t="inlineStr">
        <is>
          <t>За негативное воздействие на окружающую среду</t>
        </is>
      </c>
      <c r="D205" s="404" t="n"/>
      <c r="E205" s="398" t="n">
        <v>21009</v>
      </c>
      <c r="F205" s="381" t="inlineStr">
        <is>
          <t>К оплате</t>
        </is>
      </c>
    </row>
    <row r="206" hidden="1" outlineLevel="2" ht="13.8" customHeight="1" s="1127">
      <c r="B206" s="395" t="n">
        <v>46134</v>
      </c>
      <c r="C206" s="399" t="inlineStr">
        <is>
          <t>Закуп утро</t>
        </is>
      </c>
      <c r="D206" s="405" t="n"/>
      <c r="E206" s="398" t="n">
        <v>1600000</v>
      </c>
      <c r="F206" s="381" t="inlineStr">
        <is>
          <t>Выплачено</t>
        </is>
      </c>
    </row>
    <row r="207" hidden="1" outlineLevel="2" ht="13.8" customHeight="1" s="1127">
      <c r="B207" s="395" t="n">
        <v>46134</v>
      </c>
      <c r="C207" s="399" t="inlineStr">
        <is>
          <t>Закуп вечер</t>
        </is>
      </c>
      <c r="D207" s="405" t="n"/>
      <c r="E207" s="398" t="n">
        <v>1538573</v>
      </c>
      <c r="F207" s="381" t="inlineStr">
        <is>
          <t>Выплачено</t>
        </is>
      </c>
    </row>
    <row r="208" hidden="1" outlineLevel="2" ht="13.8" customHeight="1" s="1127">
      <c r="B208" s="408" t="n">
        <v>46134</v>
      </c>
      <c r="C208" s="409" t="inlineStr">
        <is>
          <t>ЗП выдано</t>
        </is>
      </c>
      <c r="D208" s="409" t="n">
        <v>3190000</v>
      </c>
      <c r="E208" s="410" t="n"/>
      <c r="F208" s="381" t="inlineStr">
        <is>
          <t>Выплачено</t>
        </is>
      </c>
    </row>
    <row r="209" hidden="1" outlineLevel="2" ht="13.8" customHeight="1" s="1127">
      <c r="B209" s="395" t="n">
        <v>46135</v>
      </c>
      <c r="C209" s="399" t="inlineStr">
        <is>
          <t>Закуп утро</t>
        </is>
      </c>
      <c r="D209" s="402" t="n"/>
      <c r="E209" s="398" t="n">
        <v>1309364</v>
      </c>
      <c r="F209" s="381" t="inlineStr">
        <is>
          <t>Выплачено</t>
        </is>
      </c>
    </row>
    <row r="210" hidden="1" outlineLevel="2" ht="13.8" customHeight="1" s="1127">
      <c r="B210" s="395" t="n">
        <v>46135</v>
      </c>
      <c r="C210" s="399" t="inlineStr">
        <is>
          <t>Закуп вечер (заявка в 15.00 после подтв. прихода)</t>
        </is>
      </c>
      <c r="D210" s="404" t="n">
        <v>800000</v>
      </c>
      <c r="E210" s="411" t="n">
        <v>6755033</v>
      </c>
      <c r="F210" s="381" t="inlineStr">
        <is>
          <t>Выплачено</t>
        </is>
      </c>
    </row>
    <row r="211" hidden="1" outlineLevel="2" ht="13.8" customHeight="1" s="1127">
      <c r="B211" s="395" t="n">
        <v>46135</v>
      </c>
      <c r="C211" s="399" t="inlineStr">
        <is>
          <t>НАЛОГИ зарплатные (первая часть оставить в резерв)</t>
        </is>
      </c>
      <c r="D211" s="402" t="n"/>
      <c r="E211" s="398" t="n">
        <v>4000000</v>
      </c>
      <c r="F211" s="381" t="inlineStr">
        <is>
          <t>Выплачено</t>
        </is>
      </c>
    </row>
    <row r="212" hidden="1" outlineLevel="2" ht="13.8" customHeight="1" s="1127">
      <c r="B212" s="395" t="n">
        <v>46135</v>
      </c>
      <c r="C212" s="399" t="inlineStr">
        <is>
          <t xml:space="preserve">Ли Станислав </t>
        </is>
      </c>
      <c r="D212" s="412" t="inlineStr">
        <is>
          <t>600 000</t>
        </is>
      </c>
      <c r="E212" s="398" t="n"/>
      <c r="F212" s="381" t="inlineStr">
        <is>
          <t>К оплате</t>
        </is>
      </c>
    </row>
    <row r="213" hidden="1" outlineLevel="2" ht="13.8" customHeight="1" s="1127">
      <c r="B213" s="395" t="n">
        <v>46135</v>
      </c>
      <c r="C213" s="399" t="inlineStr">
        <is>
          <t>ЗП лагманщик  выдоно  172 000</t>
        </is>
      </c>
      <c r="D213" s="412" t="inlineStr">
        <is>
          <t>400 000</t>
        </is>
      </c>
      <c r="E213" s="398" t="n"/>
      <c r="F213" s="381" t="inlineStr">
        <is>
          <t>Выплачено</t>
        </is>
      </c>
    </row>
    <row r="214" hidden="1" outlineLevel="2" ht="13.8" customHeight="1" s="1127">
      <c r="B214" s="395" t="n">
        <v>46135</v>
      </c>
      <c r="C214" s="399" t="inlineStr">
        <is>
          <t xml:space="preserve">Дорожные  Маша </t>
        </is>
      </c>
      <c r="D214" s="402" t="n"/>
      <c r="E214" s="398" t="n"/>
      <c r="F214" s="381" t="inlineStr">
        <is>
          <t>К оплате</t>
        </is>
      </c>
    </row>
    <row r="215" hidden="1" outlineLevel="2" ht="13.8" customHeight="1" s="1127">
      <c r="B215" s="395" t="n">
        <v>46135</v>
      </c>
      <c r="C215" s="399" t="inlineStr">
        <is>
          <t>Налоги   (Соц налог 159 975, ИПН 2 530 458)</t>
        </is>
      </c>
      <c r="D215" s="402" t="n"/>
      <c r="E215" s="413" t="inlineStr">
        <is>
          <t>2 690 433</t>
        </is>
      </c>
      <c r="F215" s="381" t="inlineStr">
        <is>
          <t>Выплачено</t>
        </is>
      </c>
    </row>
    <row r="216" hidden="1" outlineLevel="2" ht="13.8" customHeight="1" s="1127">
      <c r="B216" s="395" t="n">
        <v>46136</v>
      </c>
      <c r="C216" s="399" t="inlineStr">
        <is>
          <t xml:space="preserve">Ли Станислав </t>
        </is>
      </c>
      <c r="D216" s="412" t="inlineStr">
        <is>
          <t>500 000</t>
        </is>
      </c>
      <c r="E216" s="398" t="n"/>
      <c r="F216" s="381" t="inlineStr">
        <is>
          <t>К оплате</t>
        </is>
      </c>
    </row>
    <row r="217" hidden="1" outlineLevel="2" ht="13.8" customHeight="1" s="1127">
      <c r="B217" s="395" t="n">
        <v>46136</v>
      </c>
      <c r="C217" s="443" t="inlineStr">
        <is>
          <t>TOO "Компания B&amp;A.kz"</t>
        </is>
      </c>
      <c r="D217" s="402" t="n"/>
      <c r="E217" s="413" t="inlineStr">
        <is>
          <t>145 116</t>
        </is>
      </c>
      <c r="F217" s="381" t="inlineStr">
        <is>
          <t>Выплачено</t>
        </is>
      </c>
    </row>
    <row r="218" hidden="1" outlineLevel="2" ht="13.8" customHeight="1" s="1127">
      <c r="B218" s="395" t="n">
        <v>46136</v>
      </c>
      <c r="C218" s="399" t="inlineStr">
        <is>
          <t>НАЛОГИ зарплатные (остаток, оплата до 25.04)</t>
        </is>
      </c>
      <c r="D218" s="402" t="n"/>
      <c r="E218" s="398" t="n">
        <v>7818239</v>
      </c>
      <c r="F218" s="381" t="inlineStr">
        <is>
          <t>К оплате</t>
        </is>
      </c>
    </row>
    <row r="219" hidden="1" outlineLevel="2" ht="13.8" customHeight="1" s="1127">
      <c r="B219" s="395" t="n">
        <v>46136</v>
      </c>
      <c r="C219" s="399" t="inlineStr">
        <is>
          <t>Гос. пошлина за судебное Фудтехника</t>
        </is>
      </c>
      <c r="D219" s="404" t="n"/>
      <c r="E219" s="398" t="n">
        <v>74286</v>
      </c>
      <c r="F219" s="381" t="inlineStr">
        <is>
          <t>Выплачено</t>
        </is>
      </c>
    </row>
    <row r="220" hidden="1" outlineLevel="2" ht="13.8" customHeight="1" s="1127">
      <c r="B220" s="395" t="n">
        <v>46136</v>
      </c>
      <c r="C220" s="399" t="inlineStr">
        <is>
          <t>Закуп (вечер)</t>
        </is>
      </c>
      <c r="D220" s="404" t="n"/>
      <c r="E220" s="398" t="n">
        <v>6109748</v>
      </c>
      <c r="F220" s="381" t="inlineStr">
        <is>
          <t>Выплачено</t>
        </is>
      </c>
    </row>
    <row r="221" hidden="1" outlineLevel="2" ht="13.8" customHeight="1" s="1127">
      <c r="B221" s="395" t="n">
        <v>46139</v>
      </c>
      <c r="C221" s="399" t="inlineStr">
        <is>
          <t xml:space="preserve">Уволенные </t>
        </is>
      </c>
      <c r="D221" s="412" t="inlineStr">
        <is>
          <t>2 034 252</t>
        </is>
      </c>
      <c r="E221" s="398" t="n"/>
      <c r="F221" s="381" t="inlineStr">
        <is>
          <t>Выплачено</t>
        </is>
      </c>
    </row>
    <row r="222" hidden="1" outlineLevel="2" ht="13.8" customHeight="1" s="1127">
      <c r="B222" s="395" t="n">
        <v>46139</v>
      </c>
      <c r="C222" s="399" t="inlineStr">
        <is>
          <t>ЗП (производство)</t>
        </is>
      </c>
      <c r="D222" s="404" t="n">
        <v>1927000</v>
      </c>
      <c r="E222" s="398" t="n"/>
      <c r="F222" s="381" t="inlineStr">
        <is>
          <t>Выплачено</t>
        </is>
      </c>
    </row>
    <row r="223" hidden="1" outlineLevel="2" ht="13.8" customHeight="1" s="1127">
      <c r="B223" s="395" t="n">
        <v>46139</v>
      </c>
      <c r="C223" s="399" t="inlineStr">
        <is>
          <t xml:space="preserve">Ли Станислав </t>
        </is>
      </c>
      <c r="D223" s="412" t="inlineStr">
        <is>
          <t>500 000</t>
        </is>
      </c>
      <c r="E223" s="398" t="n"/>
      <c r="F223" s="381" t="inlineStr">
        <is>
          <t>Выплачено</t>
        </is>
      </c>
    </row>
    <row r="224" hidden="1" outlineLevel="2" ht="13.8" customHeight="1" s="1127">
      <c r="B224" s="395" t="n">
        <v>46139</v>
      </c>
      <c r="C224" s="399" t="inlineStr">
        <is>
          <t xml:space="preserve">Кварира Олеся </t>
        </is>
      </c>
      <c r="D224" s="412" t="inlineStr">
        <is>
          <t>350 149</t>
        </is>
      </c>
      <c r="E224" s="398" t="n"/>
      <c r="F224" s="381" t="inlineStr">
        <is>
          <t>Выплачено</t>
        </is>
      </c>
    </row>
    <row r="225" hidden="1" outlineLevel="2" ht="13.8" customHeight="1" s="1127">
      <c r="B225" s="395" t="n">
        <v>46139</v>
      </c>
      <c r="C225" s="399" t="inlineStr">
        <is>
          <t>Сырьё заявка утро</t>
        </is>
      </c>
      <c r="D225" s="412" t="n"/>
      <c r="E225" s="398" t="n">
        <v>1227500</v>
      </c>
      <c r="F225" s="381" t="inlineStr">
        <is>
          <t>Выплачено</t>
        </is>
      </c>
    </row>
    <row r="226" hidden="1" outlineLevel="2" ht="13.8" customHeight="1" s="1127">
      <c r="B226" s="395" t="n">
        <v>46139</v>
      </c>
      <c r="C226" s="399" t="inlineStr">
        <is>
          <t>Сырьё заявка вечер</t>
        </is>
      </c>
      <c r="D226" s="412" t="n"/>
      <c r="E226" s="398" t="n">
        <v>6886949</v>
      </c>
      <c r="F226" s="381" t="inlineStr">
        <is>
          <t>Выплачено</t>
        </is>
      </c>
    </row>
    <row r="227" hidden="1" outlineLevel="2" ht="13.8" customHeight="1" s="1127">
      <c r="B227" s="395" t="n">
        <v>46139</v>
      </c>
      <c r="C227" s="414" t="inlineStr">
        <is>
          <t>Вызывных грузчиков</t>
        </is>
      </c>
      <c r="D227" s="412" t="inlineStr">
        <is>
          <t>72 000</t>
        </is>
      </c>
      <c r="E227" s="398" t="n"/>
      <c r="F227" s="381" t="inlineStr">
        <is>
          <t>Выплачено</t>
        </is>
      </c>
    </row>
    <row r="228" hidden="1" outlineLevel="2" ht="13.8" customHeight="1" s="1127">
      <c r="B228" s="395" t="n">
        <v>46139</v>
      </c>
      <c r="C228" s="399" t="inlineStr">
        <is>
          <t xml:space="preserve">Дорожные  Диана </t>
        </is>
      </c>
      <c r="D228" s="402" t="n">
        <v>4000</v>
      </c>
      <c r="E228" s="398" t="n"/>
      <c r="F228" s="381" t="inlineStr">
        <is>
          <t>Выплачено</t>
        </is>
      </c>
    </row>
    <row r="229" hidden="1" outlineLevel="2" ht="13.8" customHeight="1" s="1127">
      <c r="B229" s="395" t="n">
        <v>46139</v>
      </c>
      <c r="C229" s="399" t="inlineStr">
        <is>
          <t>Standard Life АО страхование</t>
        </is>
      </c>
      <c r="D229" s="402" t="n"/>
      <c r="E229" s="398" t="n">
        <v>427718</v>
      </c>
      <c r="F229" s="381" t="inlineStr">
        <is>
          <t>Выплачено</t>
        </is>
      </c>
    </row>
    <row r="230" hidden="1" outlineLevel="2" ht="13.8" customHeight="1" s="1127">
      <c r="B230" s="395" t="n">
        <v>46139</v>
      </c>
      <c r="C230" s="399" t="inlineStr">
        <is>
          <t>APF service company ИП</t>
        </is>
      </c>
      <c r="D230" s="402" t="n"/>
      <c r="E230" s="398" t="n">
        <v>535920</v>
      </c>
      <c r="F230" s="381" t="inlineStr">
        <is>
          <t>Выплачено</t>
        </is>
      </c>
    </row>
    <row r="231" hidden="1" outlineLevel="2" ht="13.8" customHeight="1" s="1127">
      <c r="B231" s="395" t="n">
        <v>46139</v>
      </c>
      <c r="C231" s="399" t="inlineStr">
        <is>
          <t>Алексеевское ИП</t>
        </is>
      </c>
      <c r="D231" s="402" t="n"/>
      <c r="E231" s="398" t="n">
        <v>100000</v>
      </c>
      <c r="F231" s="381" t="inlineStr">
        <is>
          <t>Выплачено</t>
        </is>
      </c>
    </row>
    <row r="232" hidden="1" outlineLevel="2" ht="13.8" customHeight="1" s="1127">
      <c r="B232" s="395" t="n">
        <v>46140</v>
      </c>
      <c r="C232" s="399" t="inlineStr">
        <is>
          <t xml:space="preserve">Экспресс-сервис  Коммуналка </t>
        </is>
      </c>
      <c r="D232" s="404" t="n"/>
      <c r="E232" s="415" t="n">
        <v>6534051</v>
      </c>
      <c r="F232" s="381" t="inlineStr">
        <is>
          <t>Выплачено</t>
        </is>
      </c>
    </row>
    <row r="233" hidden="1" outlineLevel="2" ht="13.8" customHeight="1" s="1127">
      <c r="B233" s="395" t="n">
        <v>46140</v>
      </c>
      <c r="C233" s="406" t="inlineStr">
        <is>
          <t xml:space="preserve">за починку сенсорного моноблока </t>
        </is>
      </c>
      <c r="D233" s="412" t="n">
        <v>32750</v>
      </c>
      <c r="E233" s="398" t="n"/>
      <c r="F233" s="381" t="inlineStr">
        <is>
          <t>Выплачено</t>
        </is>
      </c>
    </row>
    <row r="234" hidden="1" outlineLevel="2" ht="13.8" customHeight="1" s="1127">
      <c r="B234" s="395" t="n">
        <v>46140</v>
      </c>
      <c r="C234" s="399" t="inlineStr">
        <is>
          <t>Орешница (на производство)</t>
        </is>
      </c>
      <c r="D234" s="412" t="n">
        <v>85000</v>
      </c>
      <c r="E234" s="398" t="n"/>
      <c r="F234" s="381" t="inlineStr">
        <is>
          <t>Выплачено</t>
        </is>
      </c>
    </row>
    <row r="235" hidden="1" outlineLevel="2" ht="13.8" customHeight="1" s="1127">
      <c r="B235" s="395" t="n">
        <v>46140</v>
      </c>
      <c r="C235" s="399" t="inlineStr">
        <is>
          <t>Сырьё заявка вечер</t>
        </is>
      </c>
      <c r="D235" s="412" t="n"/>
      <c r="E235" s="413" t="inlineStr">
        <is>
          <t>7 183 400</t>
        </is>
      </c>
      <c r="F235" s="381" t="inlineStr">
        <is>
          <t>Выплачено</t>
        </is>
      </c>
    </row>
    <row r="236" hidden="1" outlineLevel="2" ht="13.8" customHeight="1" s="1127">
      <c r="B236" s="395" t="n">
        <v>46141</v>
      </c>
      <c r="C236" s="399" t="inlineStr">
        <is>
          <t>Гашение кредита</t>
        </is>
      </c>
      <c r="D236" s="412" t="n"/>
      <c r="E236" s="415" t="n">
        <v>2741000</v>
      </c>
      <c r="F236" s="381" t="inlineStr">
        <is>
          <t>Выплачено</t>
        </is>
      </c>
    </row>
    <row r="237" hidden="1" outlineLevel="2" ht="13.8" customHeight="1" s="1127">
      <c r="B237" s="395" t="n">
        <v>46141</v>
      </c>
      <c r="C237" s="399" t="inlineStr">
        <is>
          <t xml:space="preserve">Остаток по ЗП производство (после 16.00) </t>
        </is>
      </c>
      <c r="D237" s="404" t="n">
        <v>1950000</v>
      </c>
      <c r="E237" s="398" t="n"/>
      <c r="F237" s="381" t="inlineStr">
        <is>
          <t>Выплачено</t>
        </is>
      </c>
    </row>
    <row r="238" hidden="1" outlineLevel="2" ht="13.8" customHeight="1" s="1127">
      <c r="B238" s="395" t="n">
        <v>46141</v>
      </c>
      <c r="C238" s="399" t="inlineStr">
        <is>
          <t xml:space="preserve">Ли Станислав </t>
        </is>
      </c>
      <c r="D238" s="412" t="inlineStr">
        <is>
          <t>500 000</t>
        </is>
      </c>
      <c r="E238" s="398" t="n"/>
      <c r="F238" s="381" t="inlineStr">
        <is>
          <t>Выплачено</t>
        </is>
      </c>
    </row>
    <row r="239" hidden="1" outlineLevel="2" ht="13.8" customHeight="1" s="1127">
      <c r="B239" s="395" t="n">
        <v>46141</v>
      </c>
      <c r="C239" s="416" t="inlineStr">
        <is>
          <t>предоплаты по аренде авто на выездной тимбилдинг</t>
        </is>
      </c>
      <c r="D239" s="412" t="inlineStr">
        <is>
          <t>10 000</t>
        </is>
      </c>
      <c r="E239" s="398" t="n"/>
      <c r="F239" s="381" t="inlineStr">
        <is>
          <t>Выплачено</t>
        </is>
      </c>
    </row>
    <row r="240" hidden="1" outlineLevel="2" ht="13.8" customHeight="1" s="1127">
      <c r="B240" s="395" t="n">
        <v>46141</v>
      </c>
      <c r="C240" s="417" t="inlineStr">
        <is>
          <t>ЗА ИП «Айдана»</t>
        </is>
      </c>
      <c r="D240" s="412" t="inlineStr">
        <is>
          <t>100 000</t>
        </is>
      </c>
      <c r="E240" s="418" t="n"/>
      <c r="F240" s="381" t="inlineStr">
        <is>
          <t>Выплачено</t>
        </is>
      </c>
    </row>
    <row r="241" hidden="1" outlineLevel="2" ht="13.8" customHeight="1" s="1127">
      <c r="B241" s="395" t="n">
        <v>46141</v>
      </c>
      <c r="C241" s="419" t="inlineStr">
        <is>
          <t>ИП "AMP Printology"</t>
        </is>
      </c>
      <c r="D241" s="404" t="n"/>
      <c r="E241" s="413" t="inlineStr">
        <is>
          <t>36 100</t>
        </is>
      </c>
      <c r="F241" s="381" t="inlineStr">
        <is>
          <t>Выплачено</t>
        </is>
      </c>
    </row>
    <row r="242" hidden="1" outlineLevel="2" ht="13.8" customHeight="1" s="1127">
      <c r="B242" s="395" t="n">
        <v>46141</v>
      </c>
      <c r="C242" s="419" t="inlineStr">
        <is>
          <t>ИП "Qloom"</t>
        </is>
      </c>
      <c r="D242" s="404" t="n"/>
      <c r="E242" s="413" t="inlineStr">
        <is>
          <t>36 000</t>
        </is>
      </c>
      <c r="F242" s="381" t="inlineStr">
        <is>
          <t>Выплачено</t>
        </is>
      </c>
    </row>
    <row r="243" hidden="1" outlineLevel="2" ht="13.8" customHeight="1" s="1127">
      <c r="B243" s="395" t="n">
        <v>46141</v>
      </c>
      <c r="C243" s="420" t="inlineStr">
        <is>
          <t>Заявка утро и вечер</t>
        </is>
      </c>
      <c r="D243" s="412" t="n"/>
      <c r="E243" s="398" t="n">
        <v>5067065</v>
      </c>
      <c r="F243" s="381" t="inlineStr">
        <is>
          <t>Выплачено</t>
        </is>
      </c>
    </row>
    <row r="244" hidden="1" outlineLevel="2" ht="13.8" customHeight="1" s="1127">
      <c r="B244" s="395" t="n">
        <v>46141</v>
      </c>
      <c r="C244" s="420" t="inlineStr">
        <is>
          <t>ЗП на карту</t>
        </is>
      </c>
      <c r="D244" s="412" t="n"/>
      <c r="E244" s="413" t="n">
        <v>2080000</v>
      </c>
      <c r="F244" s="381" t="inlineStr">
        <is>
          <t>Выплачено</t>
        </is>
      </c>
    </row>
    <row r="245" hidden="1" outlineLevel="2" ht="13.8" customHeight="1" s="1127">
      <c r="B245" s="395" t="n">
        <v>46141</v>
      </c>
      <c r="C245" s="399" t="inlineStr">
        <is>
          <t>Налог остаток за 25 год</t>
        </is>
      </c>
      <c r="D245" s="404" t="n"/>
      <c r="E245" s="437" t="n">
        <v>3309798</v>
      </c>
      <c r="F245" s="381" t="inlineStr">
        <is>
          <t>Выплачено</t>
        </is>
      </c>
    </row>
    <row r="246" hidden="1" outlineLevel="2" ht="13.8" customHeight="1" s="1127">
      <c r="B246" s="422" t="n">
        <v>46142</v>
      </c>
      <c r="C246" s="68" t="inlineStr">
        <is>
          <t>Закуп вечер</t>
        </is>
      </c>
      <c r="D246" s="423" t="n"/>
      <c r="E246" s="424" t="n">
        <v>6463639</v>
      </c>
      <c r="F246" s="381" t="inlineStr">
        <is>
          <t>Выплачено</t>
        </is>
      </c>
    </row>
    <row r="247" hidden="1" outlineLevel="2" ht="13.8" customHeight="1" s="1127">
      <c r="B247" s="422" t="n">
        <v>46142</v>
      </c>
      <c r="C247" s="68" t="inlineStr">
        <is>
          <t>ЗП АУП</t>
        </is>
      </c>
      <c r="D247" s="423" t="n">
        <v>3417000</v>
      </c>
      <c r="E247" s="424" t="n"/>
      <c r="F247" s="381" t="inlineStr">
        <is>
          <t>Выплачено</t>
        </is>
      </c>
    </row>
    <row r="248" hidden="1" outlineLevel="2" ht="13.8" customHeight="1" s="1127">
      <c r="B248" s="422" t="n">
        <v>46142</v>
      </c>
      <c r="C248" s="68" t="inlineStr">
        <is>
          <t xml:space="preserve">Служебки вызывной  сотрудник </t>
        </is>
      </c>
      <c r="D248" s="423" t="n">
        <v>35000</v>
      </c>
      <c r="E248" s="424" t="n"/>
      <c r="F248" s="381" t="inlineStr">
        <is>
          <t>Выплачено</t>
        </is>
      </c>
    </row>
    <row r="249" hidden="1" outlineLevel="2" ht="13.8" customHeight="1" s="1127">
      <c r="B249" s="422" t="n">
        <v>46142</v>
      </c>
      <c r="C249" s="425" t="inlineStr">
        <is>
          <t>ЗП лагманщик</t>
        </is>
      </c>
      <c r="D249" s="426" t="n">
        <v>400000</v>
      </c>
      <c r="E249" s="427" t="n"/>
      <c r="F249" s="381" t="inlineStr">
        <is>
          <t>Выплачено</t>
        </is>
      </c>
    </row>
    <row r="250" hidden="1" outlineLevel="2" ht="13.8" customHeight="1" s="1127">
      <c r="B250" s="422" t="n">
        <v>46142</v>
      </c>
      <c r="C250" s="425" t="inlineStr">
        <is>
          <t xml:space="preserve">Налог ИП Айдана </t>
        </is>
      </c>
      <c r="D250" s="426" t="n"/>
      <c r="E250" s="427" t="n">
        <v>43350</v>
      </c>
      <c r="F250" s="381" t="inlineStr">
        <is>
          <t>Выплачено</t>
        </is>
      </c>
    </row>
    <row r="251" hidden="1" outlineLevel="2" ht="13.8" customHeight="1" s="1127">
      <c r="B251" s="422" t="n">
        <v>46146</v>
      </c>
      <c r="C251" s="425" t="inlineStr">
        <is>
          <t>ЗП АУП</t>
        </is>
      </c>
      <c r="D251" s="426" t="n">
        <v>116000</v>
      </c>
      <c r="E251" s="427" t="n"/>
      <c r="F251" s="381" t="inlineStr">
        <is>
          <t>Выплачено</t>
        </is>
      </c>
      <c r="G251" s="456" t="inlineStr">
        <is>
          <t xml:space="preserve">Олеся,Сергей,Руслан,Адиль,Александр </t>
        </is>
      </c>
    </row>
    <row r="252" hidden="1" outlineLevel="2" ht="13.8" customHeight="1" s="1127">
      <c r="B252" s="422" t="n">
        <v>46146</v>
      </c>
      <c r="C252" s="425" t="inlineStr">
        <is>
          <t>Закуп утро</t>
        </is>
      </c>
      <c r="D252" s="426" t="n"/>
      <c r="E252" s="427" t="n">
        <v>2674740</v>
      </c>
      <c r="F252" s="381" t="inlineStr">
        <is>
          <t>Выплачено</t>
        </is>
      </c>
    </row>
    <row r="253" hidden="1" outlineLevel="2" ht="13.8" customHeight="1" s="1127">
      <c r="B253" s="422" t="n">
        <v>46146</v>
      </c>
      <c r="C253" s="425" t="inlineStr">
        <is>
          <t>Закуп вечер</t>
        </is>
      </c>
      <c r="D253" s="426" t="n"/>
      <c r="E253" s="427" t="n">
        <v>5776917</v>
      </c>
      <c r="F253" s="381" t="inlineStr">
        <is>
          <t>Выплачено</t>
        </is>
      </c>
    </row>
    <row r="254" hidden="1" outlineLevel="2" ht="13.8" customHeight="1" s="1127">
      <c r="B254" s="422" t="n">
        <v>46147</v>
      </c>
      <c r="C254" s="425" t="inlineStr">
        <is>
          <t>ЗП Ермагамбет Каламкас  (она уежает  06.05)</t>
        </is>
      </c>
      <c r="D254" s="426" t="inlineStr">
        <is>
          <t>600 000</t>
        </is>
      </c>
      <c r="E254" s="427" t="n"/>
      <c r="F254" s="381" t="inlineStr">
        <is>
          <t>Выплачено</t>
        </is>
      </c>
    </row>
    <row r="255" hidden="1" outlineLevel="2" ht="13.8" customHeight="1" s="1127">
      <c r="B255" s="422" t="n">
        <v>46147</v>
      </c>
      <c r="C255" s="425" t="inlineStr">
        <is>
          <t xml:space="preserve">ЗП аванс выдала   450 000 ост сегодня выдадим </t>
        </is>
      </c>
      <c r="D255" s="426" t="n">
        <v>640000</v>
      </c>
      <c r="E255" s="427" t="n"/>
      <c r="F255" s="381" t="inlineStr">
        <is>
          <t>Выплачено</t>
        </is>
      </c>
    </row>
    <row r="256" hidden="1" outlineLevel="2" ht="13.8" customHeight="1" s="1127">
      <c r="B256" s="422" t="n">
        <v>46147</v>
      </c>
      <c r="C256" s="456" t="inlineStr">
        <is>
          <t>Закуп утро</t>
        </is>
      </c>
      <c r="D256" s="426" t="n"/>
      <c r="E256" s="424" t="n">
        <v>2782518</v>
      </c>
      <c r="F256" s="381" t="inlineStr">
        <is>
          <t>Выплачено</t>
        </is>
      </c>
    </row>
    <row r="257" hidden="1" outlineLevel="2" ht="13.8" customHeight="1" s="1127">
      <c r="B257" s="422" t="n">
        <v>46147</v>
      </c>
      <c r="C257" s="425" t="inlineStr">
        <is>
          <t xml:space="preserve">ЗП АУП    451 000  выдала </t>
        </is>
      </c>
      <c r="D257" s="426" t="n">
        <v>4623440</v>
      </c>
      <c r="E257" s="427" t="n"/>
      <c r="F257" s="381" t="inlineStr">
        <is>
          <t>Выплачено</t>
        </is>
      </c>
    </row>
    <row r="258" hidden="1" outlineLevel="2" ht="13.8" customHeight="1" s="1127">
      <c r="B258" s="422" t="n">
        <v>46147</v>
      </c>
      <c r="C258" s="425" t="inlineStr">
        <is>
          <t xml:space="preserve">Ли Станислав </t>
        </is>
      </c>
      <c r="D258" s="426" t="inlineStr">
        <is>
          <t>600 000</t>
        </is>
      </c>
      <c r="E258" s="427" t="n"/>
      <c r="F258" s="381" t="inlineStr">
        <is>
          <t>Выплачено</t>
        </is>
      </c>
    </row>
    <row r="259" hidden="1" outlineLevel="2" ht="13.8" customHeight="1" s="1127">
      <c r="B259" s="422" t="n">
        <v>46147</v>
      </c>
      <c r="C259" s="425" t="inlineStr">
        <is>
          <t>ЗП Ермагамбет Каламкас  (она уежает  06.05)</t>
        </is>
      </c>
      <c r="D259" s="426" t="inlineStr">
        <is>
          <t>600 000</t>
        </is>
      </c>
      <c r="E259" s="427" t="n"/>
      <c r="F259" s="381" t="inlineStr">
        <is>
          <t>Выплачено</t>
        </is>
      </c>
    </row>
    <row r="260" hidden="1" outlineLevel="2" ht="13.8" customHeight="1" s="1127">
      <c r="B260" s="422" t="n">
        <v>46147</v>
      </c>
      <c r="C260" s="456" t="inlineStr">
        <is>
          <t>Закуп вечер</t>
        </is>
      </c>
      <c r="D260" s="426" t="n"/>
      <c r="E260" s="424" t="n">
        <v>5397117</v>
      </c>
      <c r="F260" s="381" t="inlineStr">
        <is>
          <t>Выплачено</t>
        </is>
      </c>
    </row>
    <row r="261" hidden="1" outlineLevel="2" ht="13.8" customHeight="1" s="1127">
      <c r="B261" s="422" t="n">
        <v>46148</v>
      </c>
      <c r="C261" s="425" t="inlineStr">
        <is>
          <t xml:space="preserve">Кафе Софт KZ ТОО </t>
        </is>
      </c>
      <c r="D261" s="426" t="n"/>
      <c r="E261" s="424" t="inlineStr">
        <is>
          <t>85 400</t>
        </is>
      </c>
      <c r="F261" s="381" t="inlineStr">
        <is>
          <t>Выплачено</t>
        </is>
      </c>
    </row>
    <row r="262" hidden="1" outlineLevel="2" ht="13.8" customHeight="1" s="1127">
      <c r="B262" s="422" t="n">
        <v>46148</v>
      </c>
      <c r="C262" s="425" t="inlineStr">
        <is>
          <t xml:space="preserve">Access Group ТОО </t>
        </is>
      </c>
      <c r="D262" s="426" t="n"/>
      <c r="E262" s="427" t="n">
        <v>85177</v>
      </c>
      <c r="F262" s="381" t="inlineStr">
        <is>
          <t>Выплачено</t>
        </is>
      </c>
    </row>
    <row r="263" hidden="1" outlineLevel="2" ht="13.8" customHeight="1" s="1127">
      <c r="B263" s="422" t="n">
        <v>46148</v>
      </c>
      <c r="C263" s="425" t="inlineStr">
        <is>
          <t>Закуп утро</t>
        </is>
      </c>
      <c r="D263" s="426" t="n"/>
      <c r="E263" s="427" t="n">
        <v>2033006</v>
      </c>
      <c r="F263" s="381" t="inlineStr">
        <is>
          <t>Выплачено</t>
        </is>
      </c>
    </row>
    <row r="264" hidden="1" outlineLevel="2" ht="13.8" customHeight="1" s="1127">
      <c r="B264" s="422" t="n">
        <v>46148</v>
      </c>
      <c r="C264" s="425" t="inlineStr">
        <is>
          <t>Закуп вечер</t>
        </is>
      </c>
      <c r="D264" s="426" t="n"/>
      <c r="E264" s="427" t="n">
        <v>8933232</v>
      </c>
      <c r="F264" s="381" t="inlineStr">
        <is>
          <t>Выплачено</t>
        </is>
      </c>
    </row>
    <row r="265" hidden="1" outlineLevel="2" ht="15" customHeight="1" s="1127">
      <c r="B265" s="422" t="n">
        <v>46148</v>
      </c>
      <c r="C265" s="428" t="inlineStr">
        <is>
          <t>Согласование выплаты удаленному рекрутеру</t>
        </is>
      </c>
      <c r="D265" s="426" t="n">
        <v>20000</v>
      </c>
      <c r="E265" s="427" t="n"/>
      <c r="F265" s="381" t="inlineStr">
        <is>
          <t>Выплачено</t>
        </is>
      </c>
    </row>
    <row r="266" hidden="1" outlineLevel="2" ht="13.8" customHeight="1" s="1127">
      <c r="B266" s="422" t="n">
        <v>46148</v>
      </c>
      <c r="C266" s="425" t="inlineStr">
        <is>
          <t xml:space="preserve">ИП "ABAY" </t>
        </is>
      </c>
      <c r="D266" s="426" t="n"/>
      <c r="E266" s="427" t="n">
        <v>600000</v>
      </c>
      <c r="F266" s="381" t="inlineStr">
        <is>
          <t>Выплачено</t>
        </is>
      </c>
    </row>
    <row r="267" hidden="1" outlineLevel="2" ht="13.8" customHeight="1" s="1127">
      <c r="B267" s="422" t="n">
        <v>46148</v>
      </c>
      <c r="C267" s="425" t="inlineStr">
        <is>
          <t>AMP Printology ИП</t>
        </is>
      </c>
      <c r="D267" s="426" t="n"/>
      <c r="E267" s="427" t="n">
        <v>44200</v>
      </c>
      <c r="F267" s="381" t="inlineStr">
        <is>
          <t>Выплачено</t>
        </is>
      </c>
    </row>
    <row r="268" hidden="1" outlineLevel="2" ht="13.8" customHeight="1" s="1127">
      <c r="B268" s="422" t="n">
        <v>46149</v>
      </c>
      <c r="C268" s="425" t="inlineStr">
        <is>
          <t>Закуп оборудования Александр М.</t>
        </is>
      </c>
      <c r="D268" s="426" t="n">
        <v>600000</v>
      </c>
      <c r="E268" s="427" t="n"/>
      <c r="F268" s="381" t="inlineStr">
        <is>
          <t>Выплачено</t>
        </is>
      </c>
    </row>
    <row r="269" hidden="1" outlineLevel="2" ht="13.8" customHeight="1" s="1127">
      <c r="B269" s="422" t="n">
        <v>45784</v>
      </c>
      <c r="C269" s="425" t="inlineStr">
        <is>
          <t xml:space="preserve">Закуп кур филе Стас рынок </t>
        </is>
      </c>
      <c r="D269" s="426" t="n">
        <v>500000</v>
      </c>
      <c r="E269" s="427" t="n"/>
      <c r="F269" s="381" t="inlineStr">
        <is>
          <t>Выплачено</t>
        </is>
      </c>
    </row>
    <row r="270" hidden="1" outlineLevel="2" ht="15" customHeight="1" s="1127">
      <c r="B270" s="422" t="n">
        <v>45784</v>
      </c>
      <c r="C270" s="428" t="inlineStr">
        <is>
          <t>закуп подарков для мужчин производства 7 мая</t>
        </is>
      </c>
      <c r="D270" s="426" t="n">
        <v>159000</v>
      </c>
      <c r="E270" s="427" t="n"/>
      <c r="F270" s="381" t="inlineStr">
        <is>
          <t>Выплачено</t>
        </is>
      </c>
    </row>
    <row r="271" hidden="1" outlineLevel="2" ht="13.8" customHeight="1" s="1127">
      <c r="B271" s="422" t="n">
        <v>46149</v>
      </c>
      <c r="C271" s="425" t="inlineStr">
        <is>
          <t xml:space="preserve">ЗП лагманщик </t>
        </is>
      </c>
      <c r="D271" s="426" t="n">
        <v>306000</v>
      </c>
      <c r="E271" s="427" t="n"/>
      <c r="F271" s="381" t="inlineStr">
        <is>
          <t>Выплачено</t>
        </is>
      </c>
    </row>
    <row r="272" hidden="1" outlineLevel="2" ht="13.8" customHeight="1" s="1127">
      <c r="B272" s="422" t="n">
        <v>46149</v>
      </c>
      <c r="C272" s="425" t="inlineStr">
        <is>
          <t xml:space="preserve">Ли Станислав </t>
        </is>
      </c>
      <c r="D272" s="426" t="n">
        <v>800000</v>
      </c>
      <c r="E272" s="427" t="n"/>
      <c r="F272" s="381" t="inlineStr">
        <is>
          <t>Выплачено</t>
        </is>
      </c>
    </row>
    <row r="273" hidden="1" outlineLevel="2" ht="13.8" customHeight="1" s="1127">
      <c r="B273" s="422" t="n">
        <v>46150</v>
      </c>
      <c r="C273" s="425" t="inlineStr">
        <is>
          <t>ЗП ОЛЖАС</t>
        </is>
      </c>
      <c r="D273" s="426" t="n">
        <v>472928</v>
      </c>
      <c r="E273" s="427" t="n"/>
      <c r="F273" s="381" t="inlineStr">
        <is>
          <t>Выплачено</t>
        </is>
      </c>
    </row>
    <row r="274" hidden="1" outlineLevel="2" ht="13.8" customHeight="1" s="1127">
      <c r="B274" s="422" t="n">
        <v>46150</v>
      </c>
      <c r="C274" s="425" t="inlineStr">
        <is>
          <t xml:space="preserve">Ли Станислав </t>
        </is>
      </c>
      <c r="D274" s="426" t="n">
        <v>500000</v>
      </c>
      <c r="E274" s="427" t="n"/>
      <c r="F274" s="381" t="inlineStr">
        <is>
          <t>Выплачено</t>
        </is>
      </c>
    </row>
    <row r="275" hidden="1" outlineLevel="2" ht="13.8" customHeight="1" s="1127">
      <c r="B275" s="422" t="n">
        <v>46150</v>
      </c>
      <c r="C275" s="425" t="inlineStr">
        <is>
          <t>ЗП уволенных</t>
        </is>
      </c>
      <c r="D275" s="426" t="n">
        <v>781097</v>
      </c>
      <c r="E275" s="427" t="n"/>
      <c r="F275" s="381" t="inlineStr">
        <is>
          <t>Выплачено</t>
        </is>
      </c>
    </row>
    <row r="276" hidden="1" outlineLevel="2" ht="13.8" customHeight="1" s="1127">
      <c r="B276" s="422" t="n">
        <v>46150</v>
      </c>
      <c r="C276" s="425" t="inlineStr">
        <is>
          <t xml:space="preserve">Закуп </t>
        </is>
      </c>
      <c r="D276" s="426" t="n">
        <v>2003360</v>
      </c>
      <c r="E276" s="427" t="n"/>
      <c r="F276" s="381" t="inlineStr">
        <is>
          <t>Выплачено</t>
        </is>
      </c>
    </row>
    <row r="277" hidden="1" outlineLevel="2" ht="13.8" customHeight="1" s="1127">
      <c r="B277" s="422" t="n">
        <v>46153</v>
      </c>
      <c r="C277" s="425" t="inlineStr">
        <is>
          <t>ИП Uchet SK</t>
        </is>
      </c>
      <c r="D277" s="426" t="n"/>
      <c r="E277" s="427" t="n">
        <v>950000</v>
      </c>
      <c r="F277" s="381" t="inlineStr">
        <is>
          <t>Выплачено</t>
        </is>
      </c>
    </row>
    <row r="278" hidden="1" outlineLevel="2" ht="13.8" customHeight="1" s="1127">
      <c r="B278" s="422" t="n">
        <v>46153</v>
      </c>
      <c r="C278" s="425" t="inlineStr">
        <is>
          <t>ЗП Дюсембин Руслан</t>
        </is>
      </c>
      <c r="D278" s="426" t="n">
        <v>244000</v>
      </c>
      <c r="E278" s="427" t="n"/>
      <c r="F278" s="381" t="inlineStr">
        <is>
          <t>Выплачено</t>
        </is>
      </c>
    </row>
    <row r="279" hidden="1" outlineLevel="2" ht="13.8" customHeight="1" s="1127">
      <c r="B279" s="422" t="n">
        <v>46153</v>
      </c>
      <c r="C279" s="425" t="inlineStr">
        <is>
          <t xml:space="preserve">Оплата бонус Той Март (снять к 16.00) </t>
        </is>
      </c>
      <c r="D279" s="429" t="n">
        <v>404817</v>
      </c>
      <c r="E279" s="427" t="n"/>
      <c r="F279" s="381" t="inlineStr">
        <is>
          <t>Выплачено</t>
        </is>
      </c>
    </row>
    <row r="280" hidden="1" outlineLevel="2" ht="13.8" customHeight="1" s="1127">
      <c r="B280" s="422" t="n">
        <v>46153</v>
      </c>
      <c r="C280" s="425" t="inlineStr">
        <is>
          <t>Д.Эрик Капуста</t>
        </is>
      </c>
      <c r="D280" s="426" t="n">
        <v>1017650</v>
      </c>
      <c r="E280" s="427" t="n"/>
      <c r="F280" s="381" t="inlineStr">
        <is>
          <t>Выплачено</t>
        </is>
      </c>
    </row>
    <row r="281" hidden="1" outlineLevel="2" ht="13.8" customHeight="1" s="1127">
      <c r="B281" s="422" t="n">
        <v>46153</v>
      </c>
      <c r="C281" s="425" t="inlineStr">
        <is>
          <t xml:space="preserve">Ли Станислав </t>
        </is>
      </c>
      <c r="D281" s="426" t="n">
        <v>500000</v>
      </c>
      <c r="E281" s="427" t="n"/>
      <c r="F281" s="381" t="inlineStr">
        <is>
          <t>Выплачено</t>
        </is>
      </c>
    </row>
    <row r="282" hidden="1" outlineLevel="2" ht="13.8" customHeight="1" s="1127">
      <c r="B282" s="422" t="n">
        <v>46154</v>
      </c>
      <c r="C282" s="425" t="inlineStr">
        <is>
          <t xml:space="preserve">Ли Станислав </t>
        </is>
      </c>
      <c r="D282" s="426" t="n">
        <v>500000</v>
      </c>
      <c r="E282" s="427" t="n"/>
      <c r="F282" s="381" t="inlineStr">
        <is>
          <t>Выплачено</t>
        </is>
      </c>
    </row>
    <row r="283" hidden="1" outlineLevel="2" ht="13.8" customHeight="1" s="1127">
      <c r="B283" s="422" t="n">
        <v>46154</v>
      </c>
      <c r="C283" s="425" t="inlineStr">
        <is>
          <t>Ваня (1/3 часть зп)</t>
        </is>
      </c>
      <c r="D283" s="426" t="n">
        <v>800000</v>
      </c>
      <c r="E283" s="427" t="n"/>
      <c r="F283" s="381" t="inlineStr">
        <is>
          <t>Выплачено</t>
        </is>
      </c>
    </row>
    <row r="284" hidden="1" outlineLevel="2" ht="13.8" customHeight="1" s="1127">
      <c r="B284" s="422" t="n">
        <v>46154</v>
      </c>
      <c r="C284" s="425" t="inlineStr">
        <is>
          <t xml:space="preserve">Олеся (добавлено снять к 16.00)   За газ </t>
        </is>
      </c>
      <c r="D284" s="426" t="n">
        <v>1100000</v>
      </c>
      <c r="E284" s="427" t="n"/>
      <c r="F284" s="381" t="inlineStr">
        <is>
          <t>Выплачено</t>
        </is>
      </c>
    </row>
    <row r="285" hidden="1" outlineLevel="2" ht="13.8" customHeight="1" s="1127">
      <c r="B285" s="422" t="n">
        <v>46154</v>
      </c>
      <c r="C285" s="425" t="inlineStr">
        <is>
          <t>ЗП (нал полностью) Жансултан</t>
        </is>
      </c>
      <c r="D285" s="426" t="n">
        <v>389000</v>
      </c>
      <c r="E285" s="427" t="n"/>
      <c r="F285" s="381" t="inlineStr">
        <is>
          <t>Выплачено</t>
        </is>
      </c>
    </row>
    <row r="286" hidden="1" outlineLevel="2" ht="13.8" customHeight="1" s="1127">
      <c r="B286" s="422" t="n">
        <v>46154</v>
      </c>
      <c r="C286" s="425" t="inlineStr">
        <is>
          <t>ЗП (нал полностью) Мария Шишенина</t>
        </is>
      </c>
      <c r="D286" s="426" t="n">
        <v>462000</v>
      </c>
      <c r="E286" s="427" t="n"/>
      <c r="F286" s="381" t="inlineStr">
        <is>
          <t>Выплачено</t>
        </is>
      </c>
    </row>
    <row r="287" hidden="1" outlineLevel="2" ht="13.8" customHeight="1" s="1127">
      <c r="B287" s="422" t="n">
        <v>46154</v>
      </c>
      <c r="C287" s="425" t="inlineStr">
        <is>
          <t>НДС (часть)</t>
        </is>
      </c>
      <c r="D287" s="426" t="n"/>
      <c r="E287" s="427" t="n">
        <v>7200000</v>
      </c>
      <c r="F287" s="381" t="inlineStr">
        <is>
          <t>Выплачено</t>
        </is>
      </c>
    </row>
    <row r="288" hidden="1" outlineLevel="2" ht="13.8" customHeight="1" s="1127">
      <c r="B288" s="422" t="n">
        <v>46154</v>
      </c>
      <c r="C288" s="425" t="inlineStr">
        <is>
          <t>Закуп утро</t>
        </is>
      </c>
      <c r="D288" s="426" t="n"/>
      <c r="E288" s="427" t="n">
        <v>6196685</v>
      </c>
      <c r="F288" s="381" t="inlineStr">
        <is>
          <t>Выплачено</t>
        </is>
      </c>
    </row>
    <row r="289" hidden="1" outlineLevel="2" ht="13.8" customHeight="1" s="1127">
      <c r="B289" s="422" t="n">
        <v>46154</v>
      </c>
      <c r="C289" s="430" t="inlineStr">
        <is>
          <t xml:space="preserve">дополнительная декларация за 4 кв 2025 ПЕНЯ </t>
        </is>
      </c>
      <c r="D289" s="426" t="n"/>
      <c r="E289" s="431" t="inlineStr">
        <is>
          <t>133 262.79</t>
        </is>
      </c>
      <c r="F289" s="381" t="inlineStr">
        <is>
          <t>Выплачено</t>
        </is>
      </c>
    </row>
    <row r="290" hidden="1" outlineLevel="2" ht="13.8" customHeight="1" s="1127">
      <c r="B290" s="422" t="n">
        <v>46154</v>
      </c>
      <c r="C290" s="456" t="inlineStr">
        <is>
          <t>ИП PRODVIG</t>
        </is>
      </c>
      <c r="D290" s="426" t="n"/>
      <c r="E290" s="427" t="n">
        <v>220400</v>
      </c>
      <c r="F290" s="381" t="inlineStr">
        <is>
          <t>Выплачено</t>
        </is>
      </c>
    </row>
    <row r="291" hidden="1" outlineLevel="2" ht="13.8" customHeight="1" s="1127">
      <c r="B291" s="422" t="n">
        <v>46154</v>
      </c>
      <c r="C291" s="430" t="inlineStr">
        <is>
          <t>ЗП на карту</t>
        </is>
      </c>
      <c r="D291" s="426" t="n"/>
      <c r="E291" s="427" t="n">
        <v>13803793.39</v>
      </c>
      <c r="F291" s="381" t="inlineStr">
        <is>
          <t>Выплачено</t>
        </is>
      </c>
    </row>
    <row r="292" hidden="1" outlineLevel="2" ht="13.8" customHeight="1" s="1127">
      <c r="B292" s="422" t="n">
        <v>46154</v>
      </c>
      <c r="C292" s="425" t="inlineStr">
        <is>
          <t>Заиров Расулжан ЗП по Сз</t>
        </is>
      </c>
      <c r="D292" s="426" t="n">
        <v>100000</v>
      </c>
      <c r="E292" s="427" t="n"/>
      <c r="F292" s="381" t="inlineStr">
        <is>
          <t>Выплачено</t>
        </is>
      </c>
    </row>
    <row r="293" hidden="1" outlineLevel="2" ht="13.8" customHeight="1" s="1127">
      <c r="B293" s="422" t="n">
        <v>46154</v>
      </c>
      <c r="C293" s="456" t="inlineStr">
        <is>
          <t xml:space="preserve">ТОО "JOYU"  дезинсекция </t>
        </is>
      </c>
      <c r="D293" s="426" t="n"/>
      <c r="E293" s="427" t="n">
        <v>150000</v>
      </c>
      <c r="F293" s="381" t="inlineStr">
        <is>
          <t>Выплачено</t>
        </is>
      </c>
    </row>
    <row r="294" hidden="1" outlineLevel="2" ht="13.8" customHeight="1" s="1127">
      <c r="B294" s="422" t="n">
        <v>46154</v>
      </c>
      <c r="C294" s="425" t="inlineStr">
        <is>
          <t>Закуп вечер</t>
        </is>
      </c>
      <c r="D294" s="426" t="n"/>
      <c r="E294" s="427" t="n">
        <v>4291667</v>
      </c>
      <c r="F294" s="381" t="inlineStr">
        <is>
          <t>Выплачено</t>
        </is>
      </c>
    </row>
    <row r="295" hidden="1" outlineLevel="2" ht="13.8" customHeight="1" s="1127">
      <c r="B295" s="422" t="n">
        <v>46154</v>
      </c>
      <c r="C295" s="425" t="inlineStr">
        <is>
          <t>Баратова Мадина (аванс по СЗ)</t>
        </is>
      </c>
      <c r="D295" s="426" t="n">
        <v>120000</v>
      </c>
      <c r="E295" s="427" t="n"/>
      <c r="F295" s="381" t="inlineStr">
        <is>
          <t>Выплачено</t>
        </is>
      </c>
    </row>
    <row r="296" hidden="1" outlineLevel="2" ht="13.8" customHeight="1" s="1127">
      <c r="B296" s="432" t="n">
        <v>46155</v>
      </c>
      <c r="C296" s="433" t="inlineStr">
        <is>
          <t>Ибрайханов  (он должен получить до 12 число )</t>
        </is>
      </c>
      <c r="D296" s="434" t="n">
        <v>246000</v>
      </c>
      <c r="E296" s="435" t="n"/>
      <c r="F296" s="381" t="inlineStr">
        <is>
          <t>Выплачено</t>
        </is>
      </c>
    </row>
    <row r="297" hidden="1" outlineLevel="2" ht="13.8" customHeight="1" s="1127">
      <c r="B297" s="432" t="n">
        <v>46155</v>
      </c>
      <c r="C297" s="433" t="inlineStr">
        <is>
          <t xml:space="preserve">Ли Станислав </t>
        </is>
      </c>
      <c r="D297" s="434" t="n">
        <v>500000</v>
      </c>
      <c r="E297" s="435" t="n"/>
      <c r="F297" s="381" t="inlineStr">
        <is>
          <t>Выплачено</t>
        </is>
      </c>
    </row>
    <row r="298" hidden="1" outlineLevel="2" ht="13.8" customHeight="1" s="1127">
      <c r="B298" s="432" t="n">
        <v>46155</v>
      </c>
      <c r="C298" s="433" t="inlineStr">
        <is>
          <t>Болатбеков Даулет Болатбекович</t>
        </is>
      </c>
      <c r="D298" s="436" t="n">
        <v>700000</v>
      </c>
      <c r="E298" s="437" t="n"/>
      <c r="F298" s="381" t="inlineStr">
        <is>
          <t>Выплачено</t>
        </is>
      </c>
    </row>
    <row r="299" hidden="1" outlineLevel="2" ht="13.8" customHeight="1" s="1127">
      <c r="B299" s="432" t="n">
        <v>46155</v>
      </c>
      <c r="C299" s="438" t="inlineStr">
        <is>
          <t>Малышев А под отчет</t>
        </is>
      </c>
      <c r="D299" s="434" t="n">
        <v>605000</v>
      </c>
      <c r="E299" s="435" t="n"/>
      <c r="F299" s="381" t="inlineStr">
        <is>
          <t>Выплачено</t>
        </is>
      </c>
    </row>
    <row r="300" hidden="1" outlineLevel="2" ht="13.8" customHeight="1" s="1127">
      <c r="B300" s="432" t="n">
        <v>46155</v>
      </c>
      <c r="C300" s="433" t="inlineStr">
        <is>
          <t>Закуп утро</t>
        </is>
      </c>
      <c r="D300" s="434" t="n"/>
      <c r="E300" s="435" t="n">
        <v>8414812</v>
      </c>
      <c r="F300" s="381" t="inlineStr">
        <is>
          <t>Выплачено</t>
        </is>
      </c>
    </row>
    <row r="301" hidden="1" outlineLevel="2" ht="13.8" customHeight="1" s="1127">
      <c r="B301" s="432" t="n">
        <v>46155</v>
      </c>
      <c r="C301" s="438" t="inlineStr">
        <is>
          <t>ЗП Шухрат</t>
        </is>
      </c>
      <c r="D301" s="434" t="n">
        <v>529665</v>
      </c>
      <c r="E301" s="435" t="n"/>
      <c r="F301" s="381" t="inlineStr">
        <is>
          <t>Выплачено</t>
        </is>
      </c>
    </row>
    <row r="302" hidden="1" outlineLevel="2" ht="13.8" customHeight="1" s="1127">
      <c r="B302" s="432" t="n">
        <v>46155</v>
      </c>
      <c r="C302" s="433" t="inlineStr">
        <is>
          <t xml:space="preserve">Рынок  приправа Дашида  </t>
        </is>
      </c>
      <c r="D302" s="434" t="n">
        <v>301200</v>
      </c>
      <c r="E302" s="435" t="n"/>
      <c r="F302" s="381" t="inlineStr">
        <is>
          <t>Выплачено</t>
        </is>
      </c>
    </row>
    <row r="303" hidden="1" outlineLevel="2" ht="13.8" customHeight="1" s="1127">
      <c r="B303" s="432" t="n">
        <v>46155</v>
      </c>
      <c r="C303" s="433" t="inlineStr">
        <is>
          <t>Хаджид Бахатул</t>
        </is>
      </c>
      <c r="D303" s="439" t="n">
        <v>36348</v>
      </c>
      <c r="E303" s="398" t="n"/>
      <c r="F303" s="381" t="inlineStr">
        <is>
          <t>Выплачено</t>
        </is>
      </c>
    </row>
    <row r="304" hidden="1" outlineLevel="2" ht="13.8" customHeight="1" s="1127">
      <c r="B304" s="432" t="n">
        <v>46156</v>
      </c>
      <c r="C304" s="399" t="inlineStr">
        <is>
          <t>ЗП лагаман</t>
        </is>
      </c>
      <c r="D304" s="439" t="n">
        <v>295000</v>
      </c>
      <c r="E304" s="398" t="n"/>
      <c r="F304" s="381" t="inlineStr">
        <is>
          <t>Выплачено</t>
        </is>
      </c>
    </row>
    <row r="305" hidden="1" outlineLevel="2" ht="13.8" customHeight="1" s="1127">
      <c r="B305" s="432" t="n">
        <v>46156</v>
      </c>
      <c r="C305" s="399" t="inlineStr">
        <is>
          <t xml:space="preserve">Ли Станислав </t>
        </is>
      </c>
      <c r="D305" s="439" t="n">
        <v>500000</v>
      </c>
      <c r="E305" s="398" t="n"/>
      <c r="F305" s="381" t="inlineStr">
        <is>
          <t>Выплачено</t>
        </is>
      </c>
    </row>
    <row r="306" hidden="1" outlineLevel="2" ht="13.8" customHeight="1" s="1127">
      <c r="B306" s="432" t="n">
        <v>46156</v>
      </c>
      <c r="C306" s="399" t="inlineStr">
        <is>
          <t xml:space="preserve">Закуп </t>
        </is>
      </c>
      <c r="D306" s="439" t="n"/>
      <c r="E306" s="398" t="n">
        <v>2347894</v>
      </c>
      <c r="F306" s="381" t="inlineStr">
        <is>
          <t>Выплачено</t>
        </is>
      </c>
    </row>
    <row r="307" hidden="1" outlineLevel="2" ht="13.8" customHeight="1" s="1127">
      <c r="B307" s="432" t="n">
        <v>46156</v>
      </c>
      <c r="C307" s="399" t="inlineStr">
        <is>
          <t xml:space="preserve">Закуп </t>
        </is>
      </c>
      <c r="D307" s="439" t="n"/>
      <c r="E307" s="398" t="n">
        <v>7376147</v>
      </c>
      <c r="F307" s="381" t="inlineStr">
        <is>
          <t>Выплачено</t>
        </is>
      </c>
    </row>
    <row r="308" hidden="1" outlineLevel="2" ht="13.8" customHeight="1" s="1127">
      <c r="B308" s="432" t="n">
        <v>46156</v>
      </c>
      <c r="C308" s="438" t="inlineStr">
        <is>
          <t>Малышев А под отчет колеса трессилер</t>
        </is>
      </c>
      <c r="D308" s="434" t="n">
        <v>10000</v>
      </c>
      <c r="E308" s="398" t="n"/>
      <c r="F308" s="381" t="inlineStr">
        <is>
          <t>Выплачено</t>
        </is>
      </c>
    </row>
    <row r="309" hidden="1" outlineLevel="2" ht="13.8" customHeight="1" s="1127">
      <c r="B309" s="432" t="n">
        <v>46156</v>
      </c>
      <c r="C309" s="440" t="inlineStr">
        <is>
          <t xml:space="preserve">Фатыкова Аяжан </t>
        </is>
      </c>
      <c r="D309" s="439" t="n">
        <v>219000</v>
      </c>
      <c r="E309" s="398" t="n"/>
      <c r="F309" s="381" t="inlineStr">
        <is>
          <t>Выплачено</t>
        </is>
      </c>
    </row>
    <row r="310" hidden="1" outlineLevel="2" ht="13.8" customHeight="1" s="1127">
      <c r="B310" s="395" t="n">
        <v>46156</v>
      </c>
      <c r="C310" s="399" t="inlineStr">
        <is>
          <t>Ельдар Кабиев за хранение и доставку Яндекс Лавка</t>
        </is>
      </c>
      <c r="D310" s="439" t="n">
        <v>73300</v>
      </c>
      <c r="E310" s="398" t="n"/>
      <c r="F310" s="381" t="inlineStr">
        <is>
          <t>Отложено</t>
        </is>
      </c>
    </row>
    <row r="311" hidden="1" outlineLevel="2" ht="13.8" customHeight="1" s="1127">
      <c r="B311" s="395" t="n">
        <v>46157</v>
      </c>
      <c r="C311" s="441" t="inlineStr">
        <is>
          <t xml:space="preserve">Аренда помещения </t>
        </is>
      </c>
      <c r="D311" s="439" t="n"/>
      <c r="E311" s="398" t="n">
        <v>6655000</v>
      </c>
      <c r="F311" s="381" t="inlineStr">
        <is>
          <t>Выплачено</t>
        </is>
      </c>
    </row>
    <row r="312" hidden="1" outlineLevel="2" ht="13.8" customHeight="1" s="1127">
      <c r="B312" s="395" t="n">
        <v>46156</v>
      </c>
      <c r="C312" s="442" t="inlineStr">
        <is>
          <t>чистке канализации</t>
        </is>
      </c>
      <c r="D312" s="439" t="n">
        <v>40000</v>
      </c>
      <c r="E312" s="398" t="n"/>
      <c r="F312" s="381" t="inlineStr">
        <is>
          <t>Выплачено</t>
        </is>
      </c>
    </row>
    <row r="313" hidden="1" outlineLevel="2" ht="13.8" customHeight="1" s="1127">
      <c r="B313" s="395" t="n">
        <v>46157</v>
      </c>
      <c r="C313" s="399" t="inlineStr">
        <is>
          <t>ЗП  Александр</t>
        </is>
      </c>
      <c r="D313" s="439" t="n">
        <v>700000</v>
      </c>
      <c r="E313" s="398" t="n"/>
      <c r="F313" s="381" t="inlineStr">
        <is>
          <t>Выплачено</t>
        </is>
      </c>
    </row>
    <row r="314" hidden="1" outlineLevel="2" ht="13.8" customHeight="1" s="1127">
      <c r="B314" s="395" t="n">
        <v>46157</v>
      </c>
      <c r="C314" s="399" t="n"/>
      <c r="D314" s="439" t="n"/>
      <c r="E314" s="398" t="n"/>
      <c r="F314" s="381" t="inlineStr">
        <is>
          <t>К оплате</t>
        </is>
      </c>
    </row>
    <row r="315" hidden="1" outlineLevel="2" ht="13.8" customHeight="1" s="1127">
      <c r="B315" s="395" t="n">
        <v>46157</v>
      </c>
      <c r="C315" s="443" t="inlineStr">
        <is>
          <t>НДС (часть)</t>
        </is>
      </c>
      <c r="D315" s="443" t="n"/>
      <c r="E315" s="398" t="n">
        <v>4200000</v>
      </c>
      <c r="F315" s="381" t="inlineStr">
        <is>
          <t>К оплате</t>
        </is>
      </c>
    </row>
    <row r="316" hidden="1" outlineLevel="2" ht="13.8" customHeight="1" s="1127">
      <c r="B316" s="395" t="n">
        <v>46157</v>
      </c>
      <c r="C316" s="443" t="inlineStr">
        <is>
          <t xml:space="preserve">Витамин </t>
        </is>
      </c>
      <c r="D316" s="439" t="n"/>
      <c r="E316" s="398" t="n">
        <v>1000000</v>
      </c>
      <c r="F316" s="381" t="inlineStr">
        <is>
          <t>Выплачено</t>
        </is>
      </c>
    </row>
    <row r="317" hidden="1" outlineLevel="2" ht="13.8" customHeight="1" s="1127">
      <c r="B317" s="395" t="n">
        <v>46157</v>
      </c>
      <c r="C317" s="399" t="inlineStr">
        <is>
          <t>Александру М (за блендр погружной)</t>
        </is>
      </c>
      <c r="D317" s="439" t="n">
        <v>295800</v>
      </c>
      <c r="E317" s="398" t="n"/>
      <c r="F317" s="381" t="inlineStr">
        <is>
          <t>Выплачено</t>
        </is>
      </c>
      <c r="G317" s="445" t="n"/>
      <c r="H317" s="445" t="n"/>
    </row>
    <row r="318" hidden="1" outlineLevel="2" ht="13.8" customHeight="1" s="1127">
      <c r="B318" s="395" t="n">
        <v>46157</v>
      </c>
      <c r="C318" s="399" t="inlineStr">
        <is>
          <t>Александру М (оплата кран Трессилер Олив)</t>
        </is>
      </c>
      <c r="D318" s="439" t="n">
        <v>50000</v>
      </c>
      <c r="E318" s="398" t="n"/>
      <c r="F318" s="381" t="inlineStr">
        <is>
          <t>К оплате</t>
        </is>
      </c>
    </row>
    <row r="319" hidden="1" outlineLevel="2" ht="13.8" customHeight="1" s="1127">
      <c r="B319" s="395" t="n">
        <v>46157</v>
      </c>
      <c r="C319" s="399" t="inlineStr">
        <is>
          <t>Уволенные</t>
        </is>
      </c>
      <c r="D319" s="439" t="n">
        <v>1947577</v>
      </c>
      <c r="E319" s="398" t="n"/>
      <c r="F319" s="381" t="inlineStr">
        <is>
          <t>К оплате</t>
        </is>
      </c>
    </row>
    <row r="320" hidden="1" outlineLevel="2" ht="13.8" customHeight="1" s="1127">
      <c r="B320" s="395" t="n">
        <v>46160</v>
      </c>
      <c r="C320" s="277" t="inlineStr">
        <is>
          <t>ИП "АМР Printology"</t>
        </is>
      </c>
      <c r="D320" s="439" t="n"/>
      <c r="E320" s="446" t="n">
        <v>54100</v>
      </c>
      <c r="F320" s="381" t="inlineStr">
        <is>
          <t>К оплате</t>
        </is>
      </c>
    </row>
    <row r="321" hidden="1" outlineLevel="2" ht="13.8" customHeight="1" s="1127">
      <c r="B321" s="395" t="n">
        <v>46160</v>
      </c>
      <c r="C321" s="442" t="inlineStr">
        <is>
          <t>Услуги асенизатора</t>
        </is>
      </c>
      <c r="D321" s="439" t="n">
        <v>50000</v>
      </c>
      <c r="E321" s="398" t="n"/>
      <c r="F321" s="381" t="inlineStr">
        <is>
          <t>Выплачено</t>
        </is>
      </c>
    </row>
    <row r="322" hidden="1" outlineLevel="2" ht="13.8" customHeight="1" s="1127">
      <c r="B322" s="395" t="n">
        <v>46160</v>
      </c>
      <c r="C322" s="406" t="inlineStr">
        <is>
          <t>За оплату корпоративной почты</t>
        </is>
      </c>
      <c r="D322" s="439" t="n">
        <v>110000</v>
      </c>
      <c r="E322" s="446" t="n"/>
      <c r="F322" s="381" t="inlineStr">
        <is>
          <t>Выплачено</t>
        </is>
      </c>
    </row>
    <row r="323" hidden="1" outlineLevel="2" ht="13.8" customHeight="1" s="1127">
      <c r="B323" s="395" t="n">
        <v>46160</v>
      </c>
      <c r="C323" s="442" t="inlineStr">
        <is>
          <t>Маркетинговые расходы (Заказ флагов)</t>
        </is>
      </c>
      <c r="D323" s="439" t="n">
        <v>34040</v>
      </c>
      <c r="E323" s="398" t="n"/>
      <c r="F323" s="381" t="inlineStr">
        <is>
          <t>Выплачено</t>
        </is>
      </c>
    </row>
    <row r="324" hidden="1" outlineLevel="2" ht="13.8" customHeight="1" s="1127">
      <c r="B324" s="395" t="n">
        <v>46160</v>
      </c>
      <c r="C324" s="399" t="inlineStr">
        <is>
          <t>Закуп утро</t>
        </is>
      </c>
      <c r="D324" s="439" t="n"/>
      <c r="E324" s="398" t="n">
        <v>2674230</v>
      </c>
      <c r="F324" s="381" t="inlineStr">
        <is>
          <t>Выплачено</t>
        </is>
      </c>
    </row>
    <row r="325" hidden="1" outlineLevel="2" ht="13.8" customHeight="1" s="1127">
      <c r="B325" s="395" t="n">
        <v>46160</v>
      </c>
      <c r="C325" s="399" t="inlineStr">
        <is>
          <t>Закуп вечер</t>
        </is>
      </c>
      <c r="D325" s="439" t="n"/>
      <c r="E325" s="398" t="n">
        <v>6957182</v>
      </c>
      <c r="F325" s="381" t="inlineStr">
        <is>
          <t>Выплачено</t>
        </is>
      </c>
    </row>
    <row r="326" hidden="1" outlineLevel="2" ht="13.8" customHeight="1" s="1127">
      <c r="B326" s="395" t="n">
        <v>46160</v>
      </c>
      <c r="C326" s="399" t="inlineStr">
        <is>
          <t>Уволенные (остаток)</t>
        </is>
      </c>
      <c r="D326" s="439" t="n">
        <v>600000</v>
      </c>
      <c r="E326" s="398" t="n"/>
      <c r="F326" s="381" t="inlineStr">
        <is>
          <t>К оплате</t>
        </is>
      </c>
    </row>
    <row r="327" hidden="1" outlineLevel="2" ht="13.8" customHeight="1" s="1127">
      <c r="B327" s="395" t="n">
        <v>46160</v>
      </c>
      <c r="C327" s="399" t="inlineStr">
        <is>
          <t xml:space="preserve">Бонус за возврать Бухгалтерия  </t>
        </is>
      </c>
      <c r="D327" s="439" t="n">
        <v>350000</v>
      </c>
      <c r="E327" s="398" t="n"/>
      <c r="F327" s="381" t="inlineStr">
        <is>
          <t>Выплачено</t>
        </is>
      </c>
    </row>
    <row r="328" hidden="1" outlineLevel="2" ht="13.8" customHeight="1" s="1127">
      <c r="B328" s="395" t="n">
        <v>46160</v>
      </c>
      <c r="C328" s="442" t="inlineStr">
        <is>
          <t>Жунисгуловой Гульжазиры</t>
        </is>
      </c>
      <c r="D328" s="439" t="n">
        <v>40000</v>
      </c>
      <c r="E328" s="398" t="n"/>
      <c r="F328" s="381" t="inlineStr">
        <is>
          <t>Отложено</t>
        </is>
      </c>
    </row>
    <row r="329" hidden="1" outlineLevel="2" ht="13.8" customHeight="1" s="1127">
      <c r="B329" s="395" t="n">
        <v>46160</v>
      </c>
      <c r="C329" s="399" t="inlineStr">
        <is>
          <t>Аренда КВ. О.С.</t>
        </is>
      </c>
      <c r="D329" s="439" t="n">
        <v>390000</v>
      </c>
      <c r="E329" s="398" t="n"/>
      <c r="F329" s="381" t="inlineStr">
        <is>
          <t>Выплачено</t>
        </is>
      </c>
    </row>
    <row r="330" hidden="1" outlineLevel="2" ht="13.8" customHeight="1" s="1127">
      <c r="B330" s="422" t="n">
        <v>46161</v>
      </c>
      <c r="C330" s="68" t="inlineStr">
        <is>
          <t xml:space="preserve">Ли Станислав </t>
        </is>
      </c>
      <c r="D330" s="426" t="n">
        <v>500000</v>
      </c>
      <c r="E330" s="427" t="n"/>
      <c r="F330" s="381" t="inlineStr">
        <is>
          <t>Выплачено</t>
        </is>
      </c>
    </row>
    <row r="331" hidden="1" outlineLevel="2" ht="13.8" customHeight="1" s="1127">
      <c r="B331" s="422" t="n">
        <v>46161</v>
      </c>
      <c r="C331" s="425" t="inlineStr">
        <is>
          <t>Закуп утро</t>
        </is>
      </c>
      <c r="D331" s="426" t="n"/>
      <c r="E331" s="427" t="n">
        <v>2000000</v>
      </c>
      <c r="F331" s="381" t="inlineStr">
        <is>
          <t>Выплачено</t>
        </is>
      </c>
    </row>
    <row r="332" hidden="1" outlineLevel="2" ht="13.8" customHeight="1" s="1127">
      <c r="B332" s="422" t="n">
        <v>46161</v>
      </c>
      <c r="C332" s="425" t="inlineStr">
        <is>
          <t>Закуп вечер</t>
        </is>
      </c>
      <c r="D332" s="426" t="n"/>
      <c r="E332" s="427" t="n">
        <v>6011532</v>
      </c>
      <c r="F332" s="381" t="inlineStr">
        <is>
          <t>Выплачено</t>
        </is>
      </c>
    </row>
    <row r="333" hidden="1" outlineLevel="2" ht="13.8" customHeight="1" s="1127">
      <c r="B333" s="422" t="n">
        <v>46161</v>
      </c>
      <c r="C333" s="447" t="inlineStr">
        <is>
          <t xml:space="preserve">Алыбаев Акжол </t>
        </is>
      </c>
      <c r="D333" s="426" t="n">
        <v>50000</v>
      </c>
      <c r="E333" s="427" t="n"/>
      <c r="F333" s="381" t="inlineStr">
        <is>
          <t>Выплачено</t>
        </is>
      </c>
    </row>
    <row r="334" hidden="1" outlineLevel="2" ht="15" customHeight="1" s="1127">
      <c r="B334" s="422" t="n">
        <v>46161</v>
      </c>
      <c r="C334" s="448" t="inlineStr">
        <is>
          <t>Айнабекова Куралай</t>
        </is>
      </c>
      <c r="D334" s="426" t="n">
        <v>150000</v>
      </c>
      <c r="E334" s="427" t="n"/>
      <c r="F334" s="381" t="inlineStr">
        <is>
          <t>Выплачено</t>
        </is>
      </c>
    </row>
    <row r="335" hidden="1" outlineLevel="2" ht="13.8" customHeight="1" s="1127">
      <c r="B335" s="422" t="n">
        <v>46161</v>
      </c>
      <c r="C335" s="447" t="inlineStr">
        <is>
          <t xml:space="preserve">Ойшынов Жансултан </t>
        </is>
      </c>
      <c r="D335" s="426" t="n">
        <v>180000</v>
      </c>
      <c r="E335" s="427" t="n"/>
      <c r="F335" s="381" t="inlineStr">
        <is>
          <t>Выплачено</t>
        </is>
      </c>
    </row>
    <row r="336" hidden="1" outlineLevel="2" ht="13.8" customHeight="1" s="1127">
      <c r="B336" s="422" t="n">
        <v>46161</v>
      </c>
      <c r="C336" s="430" t="inlineStr">
        <is>
          <t>за пополнение тарифа роутера</t>
        </is>
      </c>
      <c r="D336" s="426" t="n">
        <v>15000</v>
      </c>
      <c r="E336" s="427" t="n"/>
      <c r="F336" s="381" t="inlineStr">
        <is>
          <t>Выплачено</t>
        </is>
      </c>
    </row>
    <row r="337" hidden="1" outlineLevel="2" ht="13.8" customHeight="1" s="1127">
      <c r="B337" s="422" t="n">
        <v>46161</v>
      </c>
      <c r="C337" s="447" t="inlineStr">
        <is>
          <t xml:space="preserve">уволенный Бауржан,Толегенов Нурбол  </t>
        </is>
      </c>
      <c r="D337" s="426" t="n">
        <v>705076</v>
      </c>
      <c r="E337" s="427" t="n"/>
      <c r="F337" s="381" t="inlineStr">
        <is>
          <t>Выплачено</t>
        </is>
      </c>
    </row>
    <row r="338" hidden="1" outlineLevel="2" ht="13.8" customHeight="1" s="1127">
      <c r="B338" s="422" t="n">
        <v>46161</v>
      </c>
      <c r="C338" s="447" t="inlineStr">
        <is>
          <t>Александр, подотчёт, закуп ТМЦ</t>
        </is>
      </c>
      <c r="D338" s="426" t="n">
        <v>281200</v>
      </c>
      <c r="E338" s="427" t="n"/>
      <c r="F338" s="381" t="inlineStr">
        <is>
          <t>Выплачено</t>
        </is>
      </c>
    </row>
    <row r="339" hidden="1" outlineLevel="2" ht="13.8" customHeight="1" s="1127">
      <c r="B339" s="422" t="n">
        <v>46162</v>
      </c>
      <c r="C339" s="447" t="inlineStr">
        <is>
          <t xml:space="preserve">Ли Станислав </t>
        </is>
      </c>
      <c r="D339" s="426" t="n">
        <v>400000</v>
      </c>
      <c r="E339" s="427" t="n"/>
      <c r="F339" s="381" t="inlineStr">
        <is>
          <t>Выплачено</t>
        </is>
      </c>
    </row>
    <row r="340" hidden="1" outlineLevel="2" ht="13.8" customHeight="1" s="1127">
      <c r="B340" s="422" t="n">
        <v>46162</v>
      </c>
      <c r="C340" s="456" t="inlineStr">
        <is>
          <t>ЗП Производство</t>
        </is>
      </c>
      <c r="D340" s="426" t="n">
        <v>6953000</v>
      </c>
      <c r="E340" s="427" t="n"/>
      <c r="F340" s="381" t="inlineStr">
        <is>
          <t>Выплачено</t>
        </is>
      </c>
    </row>
    <row r="341" hidden="1" outlineLevel="2" ht="13.8" customHeight="1" s="1127">
      <c r="B341" s="422" t="n">
        <v>46163</v>
      </c>
      <c r="C341" s="447" t="inlineStr">
        <is>
          <t>Тобулова Динара  она получает 20.05 число</t>
        </is>
      </c>
      <c r="D341" s="426" t="n">
        <v>319000</v>
      </c>
      <c r="E341" s="427" t="n"/>
      <c r="F341" s="381" t="inlineStr">
        <is>
          <t>Выплачено</t>
        </is>
      </c>
    </row>
    <row r="342" hidden="1" outlineLevel="2" ht="13.8" customHeight="1" s="1127">
      <c r="B342" s="422" t="n">
        <v>46163</v>
      </c>
      <c r="C342" s="449" t="inlineStr">
        <is>
          <t xml:space="preserve">Ли Станислав </t>
        </is>
      </c>
      <c r="D342" s="426" t="n">
        <v>700000</v>
      </c>
      <c r="E342" s="427" t="n"/>
      <c r="F342" s="381" t="inlineStr">
        <is>
          <t>Выплачено</t>
        </is>
      </c>
    </row>
    <row r="343" hidden="1" outlineLevel="2" ht="13.8" customHeight="1" s="1127">
      <c r="B343" s="422" t="n">
        <v>46163</v>
      </c>
      <c r="C343" s="450" t="inlineStr">
        <is>
          <t>Оплата вызовных</t>
        </is>
      </c>
      <c r="D343" s="426" t="n">
        <v>24000</v>
      </c>
      <c r="E343" s="427" t="n"/>
      <c r="F343" s="381" t="inlineStr">
        <is>
          <t>Выплачено</t>
        </is>
      </c>
    </row>
    <row r="344" hidden="1" outlineLevel="2" ht="13.8" customHeight="1" s="1127">
      <c r="B344" s="422" t="n">
        <v>46163</v>
      </c>
      <c r="C344" s="447" t="inlineStr">
        <is>
          <t>НАЛОГИ (НДС) предоплата</t>
        </is>
      </c>
      <c r="D344" s="426" t="n"/>
      <c r="E344" s="427" t="n">
        <v>6000000</v>
      </c>
      <c r="F344" s="381" t="inlineStr">
        <is>
          <t>К оплате</t>
        </is>
      </c>
    </row>
    <row r="345" hidden="1" outlineLevel="2" ht="13.8" customHeight="1" s="1127">
      <c r="B345" s="422" t="n">
        <v>46163</v>
      </c>
      <c r="C345" s="447" t="inlineStr">
        <is>
          <t>ЗП Производство</t>
        </is>
      </c>
      <c r="D345" s="426" t="n">
        <v>10312000</v>
      </c>
      <c r="E345" s="427" t="n"/>
      <c r="F345" s="381" t="inlineStr">
        <is>
          <t>Выплачено</t>
        </is>
      </c>
    </row>
    <row r="346" hidden="1" outlineLevel="2" ht="13.8" customHeight="1" s="1127">
      <c r="B346" s="422" t="n">
        <v>46163</v>
      </c>
      <c r="C346" s="447" t="inlineStr">
        <is>
          <t xml:space="preserve">Зп Лагманщик </t>
        </is>
      </c>
      <c r="D346" s="426" t="n">
        <v>222000</v>
      </c>
      <c r="E346" s="427" t="n"/>
      <c r="F346" s="381" t="inlineStr">
        <is>
          <t>Выплачено</t>
        </is>
      </c>
    </row>
    <row r="347" hidden="1" outlineLevel="2" ht="13.8" customHeight="1" s="1127">
      <c r="B347" s="422" t="n">
        <v>46163</v>
      </c>
      <c r="C347" s="456" t="inlineStr">
        <is>
          <t>Компания Э-КОМ ПРАЙМ</t>
        </is>
      </c>
      <c r="D347" s="426" t="n"/>
      <c r="E347" s="427" t="n">
        <v>90000</v>
      </c>
      <c r="F347" s="381" t="inlineStr">
        <is>
          <t>Выплачено</t>
        </is>
      </c>
    </row>
    <row r="348" hidden="1" outlineLevel="2" ht="13.8" customHeight="1" s="1127">
      <c r="B348" s="422" t="n">
        <v>46164</v>
      </c>
      <c r="C348" s="447" t="inlineStr">
        <is>
          <t>ЗП уволенным</t>
        </is>
      </c>
      <c r="D348" s="426" t="n">
        <v>2009334</v>
      </c>
      <c r="E348" s="427" t="n"/>
      <c r="F348" s="381" t="inlineStr">
        <is>
          <t>Выплачено</t>
        </is>
      </c>
    </row>
    <row r="349" hidden="1" outlineLevel="2" ht="13.8" customHeight="1" s="1127">
      <c r="B349" s="422" t="n">
        <v>46164</v>
      </c>
      <c r="C349" s="447" t="inlineStr">
        <is>
          <t>ЗП офис</t>
        </is>
      </c>
      <c r="D349" s="426" t="inlineStr">
        <is>
          <t>700 000</t>
        </is>
      </c>
      <c r="E349" s="427" t="n"/>
      <c r="F349" s="381" t="inlineStr">
        <is>
          <t>Выплачено</t>
        </is>
      </c>
    </row>
    <row r="350" hidden="1" outlineLevel="2" ht="13.8" customHeight="1" s="1127">
      <c r="B350" s="422" t="n">
        <v>46164</v>
      </c>
      <c r="C350" s="447" t="inlineStr">
        <is>
          <t>ЗП (производство)</t>
        </is>
      </c>
      <c r="D350" s="451" t="n">
        <v>2000000</v>
      </c>
      <c r="E350" s="427" t="n"/>
      <c r="F350" s="381" t="inlineStr">
        <is>
          <t>К оплате</t>
        </is>
      </c>
    </row>
    <row r="351" hidden="1" outlineLevel="2" ht="13.8" customHeight="1" s="1127">
      <c r="B351" s="422" t="n">
        <v>46164</v>
      </c>
      <c r="C351" s="447" t="inlineStr">
        <is>
          <t>Закуп тенов (Александр) через Битрикс</t>
        </is>
      </c>
      <c r="D351" s="426" t="inlineStr">
        <is>
          <t>95 000</t>
        </is>
      </c>
      <c r="E351" s="427" t="n"/>
      <c r="F351" s="381" t="inlineStr">
        <is>
          <t>К оплате</t>
        </is>
      </c>
    </row>
    <row r="352" hidden="1" outlineLevel="2" ht="13.8" customHeight="1" s="1127">
      <c r="B352" s="422" t="n">
        <v>46164</v>
      </c>
      <c r="C352" s="430" t="inlineStr">
        <is>
          <t>За поездку в банк</t>
        </is>
      </c>
      <c r="D352" s="426" t="n">
        <v>5810</v>
      </c>
      <c r="E352" s="427" t="n"/>
      <c r="F352" s="381" t="inlineStr">
        <is>
          <t>Выплачено</t>
        </is>
      </c>
    </row>
    <row r="353" hidden="1" outlineLevel="2" ht="13.8" customHeight="1" s="1127">
      <c r="B353" s="422" t="n">
        <v>46164</v>
      </c>
      <c r="C353" s="447" t="inlineStr">
        <is>
          <t>НАЛОГ НДС</t>
        </is>
      </c>
      <c r="D353" s="426" t="n"/>
      <c r="E353" s="427" t="n">
        <v>5000000</v>
      </c>
      <c r="F353" s="381" t="inlineStr">
        <is>
          <t>К оплате</t>
        </is>
      </c>
    </row>
    <row r="354" hidden="1" outlineLevel="2" ht="15" customHeight="1" s="1127">
      <c r="B354" s="422" t="n">
        <v>46164</v>
      </c>
      <c r="C354" s="448" t="inlineStr">
        <is>
          <t xml:space="preserve">уволенный  Нурлан Ляззат  </t>
        </is>
      </c>
      <c r="D354" s="426" t="n">
        <v>600000</v>
      </c>
      <c r="E354" s="427" t="n"/>
      <c r="F354" s="381" t="inlineStr">
        <is>
          <t>Выплачено</t>
        </is>
      </c>
    </row>
    <row r="355" hidden="1" outlineLevel="2" ht="14.4" customHeight="1" s="1127">
      <c r="B355" s="422" t="n">
        <v>46164</v>
      </c>
      <c r="C355" s="452" t="inlineStr">
        <is>
          <t>Закуп Тены</t>
        </is>
      </c>
      <c r="D355" s="453" t="inlineStr">
        <is>
          <t>1 000 000</t>
        </is>
      </c>
      <c r="E355" s="524" t="n"/>
      <c r="F355" s="381" t="inlineStr">
        <is>
          <t>К оплате</t>
        </is>
      </c>
    </row>
    <row r="356" hidden="1" outlineLevel="2" ht="13.8" customHeight="1" s="1127">
      <c r="B356" s="422" t="n">
        <v>46167</v>
      </c>
      <c r="C356" s="447" t="inlineStr">
        <is>
          <t>Сергей Вон (остаток по зп)</t>
        </is>
      </c>
      <c r="D356" s="426" t="n">
        <v>1063274</v>
      </c>
      <c r="E356" s="427" t="n"/>
      <c r="F356" s="381" t="inlineStr">
        <is>
          <t>Выплачено</t>
        </is>
      </c>
      <c r="G356" s="456" t="n">
        <v>27200000</v>
      </c>
    </row>
    <row r="357" hidden="1" outlineLevel="2" ht="13.8" customHeight="1" s="1127">
      <c r="B357" s="422" t="n">
        <v>46167</v>
      </c>
      <c r="C357" s="425" t="inlineStr">
        <is>
          <t>Комуналка (ээ, газ, мусор)</t>
        </is>
      </c>
      <c r="D357" s="493" t="n"/>
      <c r="E357" s="427" t="n">
        <v>8626227</v>
      </c>
      <c r="F357" s="381" t="inlineStr">
        <is>
          <t>Выплачено</t>
        </is>
      </c>
      <c r="G357" s="456">
        <f>G356-6000000</f>
        <v/>
      </c>
    </row>
    <row r="358" hidden="1" outlineLevel="2" ht="13.8" customHeight="1" s="1127">
      <c r="B358" s="422" t="n">
        <v>46167</v>
      </c>
      <c r="C358" s="425" t="inlineStr">
        <is>
          <t>налоги</t>
        </is>
      </c>
      <c r="D358" s="493" t="n"/>
      <c r="E358" s="427" t="n">
        <v>13247636</v>
      </c>
      <c r="F358" s="381" t="inlineStr">
        <is>
          <t>Выплачено</t>
        </is>
      </c>
    </row>
    <row r="359" hidden="1" outlineLevel="2" ht="13.8" customHeight="1" s="1127">
      <c r="B359" s="422" t="n">
        <v>46167</v>
      </c>
      <c r="C359" s="456" t="inlineStr">
        <is>
          <t xml:space="preserve">Закуп </t>
        </is>
      </c>
      <c r="D359" s="493" t="n"/>
      <c r="E359" s="427" t="n">
        <v>16797147</v>
      </c>
      <c r="F359" s="381" t="inlineStr">
        <is>
          <t>Выплачено</t>
        </is>
      </c>
    </row>
    <row r="360" hidden="1" outlineLevel="2" ht="13.8" customHeight="1" s="1127">
      <c r="B360" s="457" t="n">
        <v>46168</v>
      </c>
      <c r="C360" s="425" t="inlineStr">
        <is>
          <t>ЗП Производство (нал)</t>
        </is>
      </c>
      <c r="D360" s="493" t="n">
        <v>8559000</v>
      </c>
      <c r="E360" s="219" t="n"/>
      <c r="F360" s="381" t="inlineStr">
        <is>
          <t>Выплачено</t>
        </is>
      </c>
      <c r="G360" s="445" t="inlineStr">
        <is>
          <t>ост зп по производства  10 729 000</t>
        </is>
      </c>
      <c r="H360" s="445" t="n"/>
    </row>
    <row r="361" hidden="1" outlineLevel="2" ht="13.8" customHeight="1" s="1127">
      <c r="B361" s="422" t="n">
        <v>46168</v>
      </c>
      <c r="C361" s="425" t="inlineStr">
        <is>
          <t>Компания  Standard Life АО страхование</t>
        </is>
      </c>
      <c r="D361" s="426" t="n"/>
      <c r="E361" s="427" t="n">
        <v>427718</v>
      </c>
      <c r="F361" s="381" t="inlineStr">
        <is>
          <t>Выплачено</t>
        </is>
      </c>
    </row>
    <row r="362" hidden="1" outlineLevel="2" ht="13.8" customHeight="1" s="1127">
      <c r="B362" s="457" t="n">
        <v>46168</v>
      </c>
      <c r="C362" s="425" t="inlineStr">
        <is>
          <t xml:space="preserve">Ли Станислав </t>
        </is>
      </c>
      <c r="D362" s="493" t="n">
        <v>800000</v>
      </c>
      <c r="E362" s="427" t="n"/>
      <c r="F362" s="381" t="inlineStr">
        <is>
          <t>Выплачено</t>
        </is>
      </c>
    </row>
    <row r="363" hidden="1" outlineLevel="2" ht="17.4" customHeight="1" s="1127">
      <c r="B363" s="457" t="n">
        <v>46168</v>
      </c>
      <c r="C363" s="458" t="inlineStr">
        <is>
          <t>дорожные за 21.05</t>
        </is>
      </c>
      <c r="D363" s="493" t="n">
        <v>4000</v>
      </c>
      <c r="E363" s="427" t="n"/>
      <c r="F363" s="381" t="inlineStr">
        <is>
          <t>Выплачено</t>
        </is>
      </c>
    </row>
    <row r="364" hidden="1" outlineLevel="2" ht="16.8" customHeight="1" s="1127">
      <c r="B364" s="457" t="n">
        <v>46169</v>
      </c>
      <c r="C364" s="459" t="inlineStr">
        <is>
          <t xml:space="preserve">Ли Станислав </t>
        </is>
      </c>
      <c r="D364" s="493" t="n">
        <v>500000</v>
      </c>
      <c r="E364" s="427" t="n"/>
      <c r="F364" s="381" t="inlineStr">
        <is>
          <t>Выплачено</t>
        </is>
      </c>
    </row>
    <row r="365" hidden="1" outlineLevel="2" ht="13.8" customHeight="1" s="1127">
      <c r="B365" s="457" t="n">
        <v>46169</v>
      </c>
      <c r="C365" s="425" t="inlineStr">
        <is>
          <t>ЗП АУП (нал)</t>
        </is>
      </c>
      <c r="D365" s="493" t="n">
        <v>4239252</v>
      </c>
      <c r="E365" s="427" t="n"/>
      <c r="F365" s="381" t="inlineStr">
        <is>
          <t>Выплачено</t>
        </is>
      </c>
    </row>
    <row r="366" hidden="1" outlineLevel="2" ht="13.8" customHeight="1" s="1127">
      <c r="B366" s="457" t="n">
        <v>46169</v>
      </c>
      <c r="C366" s="425" t="inlineStr">
        <is>
          <t xml:space="preserve">ЧП №1 за лекарства и прем врача ребилитолога </t>
        </is>
      </c>
      <c r="D366" s="493" t="n">
        <v>60329</v>
      </c>
      <c r="E366" s="427" t="n"/>
      <c r="F366" s="381" t="inlineStr">
        <is>
          <t>Выплачено</t>
        </is>
      </c>
    </row>
    <row r="367" hidden="1" outlineLevel="2" ht="13.8" customHeight="1" s="1127">
      <c r="B367" s="457" t="n">
        <v>46169</v>
      </c>
      <c r="C367" s="425" t="inlineStr">
        <is>
          <t>Вывоз мусора</t>
        </is>
      </c>
      <c r="D367" s="493" t="n"/>
      <c r="E367" s="427" t="n">
        <v>635920</v>
      </c>
      <c r="F367" s="381" t="inlineStr">
        <is>
          <t>Выплачено</t>
        </is>
      </c>
    </row>
    <row r="368" hidden="1" outlineLevel="2" ht="13.8" customHeight="1" s="1127">
      <c r="B368" s="457" t="n">
        <v>46169</v>
      </c>
      <c r="C368" s="425" t="inlineStr">
        <is>
          <t>Александр М. (за барана)</t>
        </is>
      </c>
      <c r="D368" s="460" t="n">
        <v>130000</v>
      </c>
      <c r="E368" s="427" t="n"/>
      <c r="F368" s="381" t="inlineStr">
        <is>
          <t>Выплачено</t>
        </is>
      </c>
    </row>
    <row r="369" hidden="1" outlineLevel="2" ht="13.8" customHeight="1" s="1127">
      <c r="B369" s="457" t="n">
        <v>46169</v>
      </c>
      <c r="C369" s="456" t="inlineStr">
        <is>
          <t xml:space="preserve">Дорожный Жанна  </t>
        </is>
      </c>
      <c r="D369" s="493" t="n">
        <v>7198</v>
      </c>
      <c r="E369" s="427" t="n"/>
      <c r="F369" s="381" t="inlineStr">
        <is>
          <t>Выплачено</t>
        </is>
      </c>
    </row>
    <row r="370" hidden="1" outlineLevel="2" ht="13.8" customHeight="1" s="1127">
      <c r="B370" s="422" t="n">
        <v>46169</v>
      </c>
      <c r="C370" s="425" t="inlineStr">
        <is>
          <t>Подотчёт снабжение (Жибек)</t>
        </is>
      </c>
      <c r="D370" s="493" t="n">
        <v>100000</v>
      </c>
      <c r="E370" s="427" t="n"/>
      <c r="F370" s="381" t="inlineStr">
        <is>
          <t>Выплачено</t>
        </is>
      </c>
    </row>
    <row r="371" hidden="1" outlineLevel="2" ht="13.8" customHeight="1" s="1127">
      <c r="B371" s="422" t="n">
        <v>46169</v>
      </c>
      <c r="C371" s="456" t="inlineStr">
        <is>
          <t>Вызывной техперсонал   и грузчики</t>
        </is>
      </c>
      <c r="D371" s="493" t="n">
        <v>48000</v>
      </c>
      <c r="E371" s="219" t="n"/>
      <c r="F371" s="381" t="inlineStr">
        <is>
          <t>Выплачено</t>
        </is>
      </c>
    </row>
    <row r="372" hidden="1" outlineLevel="2" ht="13.8" customHeight="1" s="1127">
      <c r="B372" s="422" t="n">
        <v>46170</v>
      </c>
      <c r="C372" s="68" t="inlineStr">
        <is>
          <t xml:space="preserve">ЗП Лагман </t>
        </is>
      </c>
      <c r="D372" s="493" t="n">
        <v>296000</v>
      </c>
      <c r="E372" s="427" t="n"/>
      <c r="F372" s="381" t="inlineStr">
        <is>
          <t>Выплачено</t>
        </is>
      </c>
    </row>
    <row r="373" hidden="1" outlineLevel="2" ht="13.8" customHeight="1" s="1127">
      <c r="B373" s="422" t="n">
        <v>46170</v>
      </c>
      <c r="C373" s="425" t="inlineStr">
        <is>
          <t>Униформа ИП Craft</t>
        </is>
      </c>
      <c r="D373" s="426" t="n">
        <v>520000</v>
      </c>
      <c r="E373" s="427" t="n"/>
      <c r="F373" s="381" t="inlineStr">
        <is>
          <t>Выплачено</t>
        </is>
      </c>
    </row>
    <row r="374" hidden="1" outlineLevel="2" ht="13.8" customHeight="1" s="1127">
      <c r="B374" s="422" t="n">
        <v>46170</v>
      </c>
      <c r="C374" s="425" t="inlineStr">
        <is>
          <t>ЗП АУП (нал)</t>
        </is>
      </c>
      <c r="D374" s="426" t="n">
        <v>3669773</v>
      </c>
      <c r="E374" s="427" t="n"/>
      <c r="F374" s="381" t="inlineStr">
        <is>
          <t>Выплачено</t>
        </is>
      </c>
    </row>
    <row r="375" hidden="1" outlineLevel="2" ht="13.8" customHeight="1" s="1127">
      <c r="B375" s="422" t="n">
        <v>46170</v>
      </c>
      <c r="C375" s="450" t="inlineStr">
        <is>
          <t>Компания Экологического проектирования</t>
        </is>
      </c>
      <c r="D375" s="426" t="n"/>
      <c r="E375" s="427" t="n">
        <v>70000</v>
      </c>
      <c r="F375" s="381" t="inlineStr">
        <is>
          <t>Выплачено</t>
        </is>
      </c>
    </row>
    <row r="376" hidden="1" outlineLevel="2" ht="13.8" customHeight="1" s="1127">
      <c r="B376" s="422" t="n">
        <v>46170</v>
      </c>
      <c r="C376" s="450" t="inlineStr">
        <is>
          <t>Коннекторы RJ-45 в количестве 100 штук</t>
        </is>
      </c>
      <c r="D376" s="493" t="n">
        <v>6600</v>
      </c>
      <c r="E376" s="427" t="n"/>
      <c r="F376" s="381" t="inlineStr">
        <is>
          <t>Выплачено</t>
        </is>
      </c>
    </row>
    <row r="377" hidden="1" outlineLevel="2" ht="13.8" customHeight="1" s="1127">
      <c r="B377" s="422" t="n">
        <v>46170</v>
      </c>
      <c r="C377" s="68" t="inlineStr">
        <is>
          <t>Кварира Олеся С</t>
        </is>
      </c>
      <c r="D377" s="493" t="n">
        <v>350000</v>
      </c>
      <c r="E377" s="427" t="n"/>
      <c r="F377" s="381" t="inlineStr">
        <is>
          <t>Выплачено</t>
        </is>
      </c>
    </row>
    <row r="378" hidden="1" outlineLevel="2" ht="13.8" customHeight="1" s="1127">
      <c r="A378" s="461" t="inlineStr">
        <is>
          <t>расход</t>
        </is>
      </c>
      <c r="B378" s="422" t="n">
        <v>46171</v>
      </c>
      <c r="C378" s="425" t="inlineStr">
        <is>
          <t>APF service company ИП</t>
        </is>
      </c>
      <c r="D378" s="493" t="n"/>
      <c r="E378" s="424" t="inlineStr">
        <is>
          <t>478 500</t>
        </is>
      </c>
      <c r="F378" s="381" t="inlineStr">
        <is>
          <t>Выплачено</t>
        </is>
      </c>
    </row>
    <row r="379" hidden="1" outlineLevel="2" ht="13.8" customHeight="1" s="1127">
      <c r="A379" s="461" t="inlineStr">
        <is>
          <t>расход</t>
        </is>
      </c>
      <c r="B379" s="422" t="n">
        <v>46171</v>
      </c>
      <c r="C379" s="425" t="inlineStr">
        <is>
          <t>Алексеевское ИП пищевые отходы</t>
        </is>
      </c>
      <c r="D379" s="493" t="n"/>
      <c r="E379" s="427" t="n">
        <v>100000</v>
      </c>
      <c r="F379" s="381" t="inlineStr">
        <is>
          <t>Выплачено</t>
        </is>
      </c>
    </row>
    <row r="380" hidden="1" outlineLevel="2" ht="13.8" customHeight="1" s="1127">
      <c r="A380" s="461" t="inlineStr">
        <is>
          <t>расход</t>
        </is>
      </c>
      <c r="B380" s="422" t="n">
        <v>46171</v>
      </c>
      <c r="C380" s="425" t="inlineStr">
        <is>
          <t>Аванс Каспи</t>
        </is>
      </c>
      <c r="D380" s="493" t="n">
        <v>1760000</v>
      </c>
      <c r="E380" s="427" t="n"/>
      <c r="F380" s="381" t="inlineStr">
        <is>
          <t>Выплачено</t>
        </is>
      </c>
    </row>
    <row r="381" hidden="1" outlineLevel="2" ht="13.8" customHeight="1" s="1127">
      <c r="A381" s="461" t="inlineStr">
        <is>
          <t>расход</t>
        </is>
      </c>
      <c r="B381" s="457" t="n">
        <v>46171</v>
      </c>
      <c r="C381" s="425" t="inlineStr">
        <is>
          <t xml:space="preserve">Аванс Акерке  </t>
        </is>
      </c>
      <c r="D381" s="424" t="n">
        <v>150000</v>
      </c>
      <c r="E381" s="427" t="n"/>
      <c r="F381" s="381" t="inlineStr">
        <is>
          <t>Выплачено</t>
        </is>
      </c>
    </row>
    <row r="382" hidden="1" outlineLevel="2" ht="14.4" customHeight="1" s="1127">
      <c r="A382" s="461" t="inlineStr">
        <is>
          <t>расход</t>
        </is>
      </c>
      <c r="B382" s="462" t="n">
        <v>46170</v>
      </c>
      <c r="C382" s="463" t="inlineStr">
        <is>
          <t>Дубницкий Роман</t>
        </is>
      </c>
      <c r="D382" s="479" t="n">
        <v>414773</v>
      </c>
      <c r="E382" s="465" t="n"/>
      <c r="F382" s="381" t="inlineStr">
        <is>
          <t>Выплачено</t>
        </is>
      </c>
    </row>
    <row r="383" hidden="1" outlineLevel="2" ht="14.4" customHeight="1" s="1127">
      <c r="A383" s="461" t="inlineStr">
        <is>
          <t>расход</t>
        </is>
      </c>
      <c r="B383" s="462" t="n">
        <v>46171</v>
      </c>
      <c r="C383" s="463" t="inlineStr">
        <is>
          <t>Тен Николай</t>
        </is>
      </c>
      <c r="D383" s="479" t="n">
        <v>1246187</v>
      </c>
      <c r="E383" s="466" t="n"/>
      <c r="F383" s="381" t="inlineStr">
        <is>
          <t>Выплачено</t>
        </is>
      </c>
    </row>
    <row r="384" hidden="1" outlineLevel="2" ht="14.4" customHeight="1" s="1127">
      <c r="A384" s="461" t="inlineStr">
        <is>
          <t>расход</t>
        </is>
      </c>
      <c r="B384" s="462" t="n">
        <v>46171</v>
      </c>
      <c r="C384" s="467" t="inlineStr">
        <is>
          <t>Акбарова Турсынай</t>
        </is>
      </c>
      <c r="D384" s="468" t="n">
        <v>217111</v>
      </c>
      <c r="E384" s="465" t="n"/>
      <c r="F384" s="381" t="inlineStr">
        <is>
          <t>Выплачено</t>
        </is>
      </c>
    </row>
    <row r="385" hidden="1" outlineLevel="2" ht="14.4" customHeight="1" s="1127">
      <c r="A385" s="461" t="inlineStr">
        <is>
          <t>расход</t>
        </is>
      </c>
      <c r="B385" s="462" t="n">
        <v>46171</v>
      </c>
      <c r="C385" s="463" t="inlineStr">
        <is>
          <t>Якупов Артем</t>
        </is>
      </c>
      <c r="D385" s="468" t="n">
        <v>170000</v>
      </c>
      <c r="E385" s="465" t="n"/>
      <c r="F385" s="381" t="inlineStr">
        <is>
          <t>Выплачено</t>
        </is>
      </c>
    </row>
    <row r="386" hidden="1" outlineLevel="2" ht="13.8" customHeight="1" s="1127">
      <c r="A386" s="461" t="inlineStr">
        <is>
          <t>расход</t>
        </is>
      </c>
      <c r="B386" s="462" t="n">
        <v>46171</v>
      </c>
      <c r="C386" s="223" t="inlineStr">
        <is>
          <t xml:space="preserve">Елеусиз Бакдаулет </t>
        </is>
      </c>
      <c r="D386" s="469" t="inlineStr">
        <is>
          <t>396 440</t>
        </is>
      </c>
      <c r="E386" s="465" t="n"/>
      <c r="F386" s="381" t="inlineStr">
        <is>
          <t>Выплачено</t>
        </is>
      </c>
    </row>
    <row r="387" hidden="1" outlineLevel="2" ht="13.8" customHeight="1" s="1127">
      <c r="A387" s="461" t="inlineStr">
        <is>
          <t>расход</t>
        </is>
      </c>
      <c r="B387" s="457" t="n">
        <v>46171</v>
      </c>
      <c r="C387" s="456" t="inlineStr">
        <is>
          <t xml:space="preserve">Бижан </t>
        </is>
      </c>
      <c r="E387" s="427" t="n">
        <v>800000</v>
      </c>
      <c r="F387" s="381" t="inlineStr">
        <is>
          <t>Выплачено</t>
        </is>
      </c>
    </row>
    <row r="388" hidden="1" outlineLevel="2" ht="13.8" customHeight="1" s="1127">
      <c r="A388" s="461" t="inlineStr">
        <is>
          <t>расход</t>
        </is>
      </c>
      <c r="B388" s="457" t="n">
        <v>46171</v>
      </c>
      <c r="C388" s="425" t="inlineStr">
        <is>
          <t xml:space="preserve">Кумархан Айжан </t>
        </is>
      </c>
      <c r="D388" s="493" t="n">
        <v>425000</v>
      </c>
      <c r="E388" s="427" t="n"/>
      <c r="F388" s="381" t="inlineStr">
        <is>
          <t>Выплачено</t>
        </is>
      </c>
    </row>
    <row r="389" outlineLevel="1" ht="13.8" customHeight="1" s="1127">
      <c r="A389" s="461" t="inlineStr">
        <is>
          <t>расход</t>
        </is>
      </c>
      <c r="B389" s="572" t="n">
        <v>1</v>
      </c>
      <c r="C389" s="573" t="inlineStr">
        <is>
          <t xml:space="preserve">Закуп </t>
        </is>
      </c>
      <c r="D389" s="574" t="n"/>
      <c r="E389" s="575" t="n">
        <v>34000000</v>
      </c>
      <c r="F389" s="381" t="inlineStr">
        <is>
          <t>К оплате</t>
        </is>
      </c>
    </row>
    <row r="390" outlineLevel="1" ht="13.8" customHeight="1" s="1127">
      <c r="A390" s="461" t="inlineStr">
        <is>
          <t>расход</t>
        </is>
      </c>
      <c r="B390" s="572" t="n">
        <v>1</v>
      </c>
      <c r="C390" s="573" t="inlineStr">
        <is>
          <t>Ит обслуживание</t>
        </is>
      </c>
      <c r="D390" s="68" t="n"/>
      <c r="E390" s="575" t="n">
        <v>500000</v>
      </c>
      <c r="F390" s="381" t="inlineStr">
        <is>
          <t>К оплате</t>
        </is>
      </c>
    </row>
    <row r="391" outlineLevel="1" ht="13.8" customHeight="1" s="1127">
      <c r="A391" s="461" t="inlineStr">
        <is>
          <t>расход</t>
        </is>
      </c>
      <c r="B391" s="572" t="n">
        <v>1</v>
      </c>
      <c r="C391" s="573" t="inlineStr">
        <is>
          <t>Адм. расходы</t>
        </is>
      </c>
      <c r="D391" s="68" t="n"/>
      <c r="E391" s="575" t="n">
        <v>500000</v>
      </c>
      <c r="F391" s="381" t="inlineStr">
        <is>
          <t>Выплачено</t>
        </is>
      </c>
    </row>
    <row r="392" outlineLevel="1" ht="13.8" customHeight="1" s="1127">
      <c r="A392" s="461" t="inlineStr">
        <is>
          <t>расход</t>
        </is>
      </c>
      <c r="B392" s="572" t="n">
        <v>1</v>
      </c>
      <c r="C392" s="68" t="inlineStr">
        <is>
          <t>Подотчёт</t>
        </is>
      </c>
      <c r="D392" s="574" t="n">
        <v>1000000</v>
      </c>
      <c r="E392" s="575" t="n"/>
      <c r="F392" s="381" t="inlineStr">
        <is>
          <t>Выплачено</t>
        </is>
      </c>
    </row>
    <row r="393" outlineLevel="1" ht="13.8" customHeight="1" s="1127">
      <c r="A393" s="461" t="inlineStr">
        <is>
          <t>расход</t>
        </is>
      </c>
      <c r="B393" s="572" t="n">
        <v>1</v>
      </c>
      <c r="C393" s="573" t="inlineStr">
        <is>
          <t>Бонус Той Март</t>
        </is>
      </c>
      <c r="D393" s="426" t="n">
        <v>500000</v>
      </c>
      <c r="E393" s="575" t="n"/>
      <c r="F393" s="381" t="inlineStr">
        <is>
          <t>Выплачено</t>
        </is>
      </c>
    </row>
    <row r="394" outlineLevel="1" ht="13.8" customHeight="1" s="1127">
      <c r="A394" s="461" t="inlineStr">
        <is>
          <t>расход</t>
        </is>
      </c>
      <c r="B394" s="572" t="n">
        <v>1</v>
      </c>
      <c r="C394" s="573" t="inlineStr">
        <is>
          <t xml:space="preserve">Лагманщики недельная ЗП </t>
        </is>
      </c>
      <c r="D394" s="426" t="n">
        <v>400000</v>
      </c>
      <c r="E394" s="575" t="n"/>
      <c r="F394" s="381" t="inlineStr">
        <is>
          <t>Выплачено</t>
        </is>
      </c>
    </row>
    <row r="395" outlineLevel="1" ht="13.8" customHeight="1" s="1127">
      <c r="A395" s="461" t="inlineStr">
        <is>
          <t>расход</t>
        </is>
      </c>
      <c r="B395" s="572" t="n">
        <v>1</v>
      </c>
      <c r="C395" s="573" t="inlineStr">
        <is>
          <t>Закуп ТМЦ</t>
        </is>
      </c>
      <c r="D395" s="426" t="n">
        <v>200000</v>
      </c>
      <c r="E395" s="575" t="n"/>
      <c r="F395" s="381" t="inlineStr">
        <is>
          <t>Выплачено</t>
        </is>
      </c>
    </row>
    <row r="396" outlineLevel="1" ht="13.8" customHeight="1" s="1127">
      <c r="A396" s="461" t="inlineStr">
        <is>
          <t>расход</t>
        </is>
      </c>
      <c r="B396" s="572" t="n">
        <v>1</v>
      </c>
      <c r="C396" s="573" t="inlineStr">
        <is>
          <t xml:space="preserve">Ремонт холодилник </t>
        </is>
      </c>
      <c r="D396" s="426" t="n"/>
      <c r="E396" s="426" t="n">
        <v>500000</v>
      </c>
      <c r="F396" s="381" t="inlineStr">
        <is>
          <t>Выплачено</t>
        </is>
      </c>
    </row>
    <row r="397" outlineLevel="1" ht="13.8" customHeight="1" s="1127">
      <c r="A397" s="461" t="inlineStr">
        <is>
          <t>расход</t>
        </is>
      </c>
      <c r="B397" s="572" t="n">
        <v>1</v>
      </c>
      <c r="C397" s="573" t="inlineStr">
        <is>
          <t xml:space="preserve">Подотчёт снабжение (Жибек) </t>
        </is>
      </c>
      <c r="D397" s="426" t="n">
        <v>100000</v>
      </c>
      <c r="E397" s="575" t="n"/>
      <c r="F397" s="381" t="inlineStr">
        <is>
          <t>Выплачено</t>
        </is>
      </c>
    </row>
    <row r="398" outlineLevel="1" ht="13.8" customHeight="1" s="1127">
      <c r="A398" s="461" t="inlineStr">
        <is>
          <t>расход</t>
        </is>
      </c>
      <c r="B398" s="572" t="n">
        <v>1</v>
      </c>
      <c r="C398" s="573" t="inlineStr">
        <is>
          <t>ЗП уволенным</t>
        </is>
      </c>
      <c r="D398" s="426" t="n">
        <v>2200000</v>
      </c>
      <c r="E398" s="575" t="n"/>
      <c r="F398" s="381" t="inlineStr">
        <is>
          <t>Выплачено</t>
        </is>
      </c>
    </row>
    <row r="399" outlineLevel="1" ht="13.8" customHeight="1" s="1127">
      <c r="A399" s="461" t="inlineStr">
        <is>
          <t>расход</t>
        </is>
      </c>
      <c r="B399" s="572" t="n">
        <v>1</v>
      </c>
      <c r="C399" s="573" t="inlineStr">
        <is>
          <t>Кредит</t>
        </is>
      </c>
      <c r="D399" s="426" t="n"/>
      <c r="E399" s="575" t="n"/>
      <c r="F399" s="381" t="inlineStr">
        <is>
          <t>Выплачено</t>
        </is>
      </c>
    </row>
    <row r="400" outlineLevel="1" ht="13.8" customHeight="1" s="1127">
      <c r="A400" s="461" t="inlineStr">
        <is>
          <t>расход</t>
        </is>
      </c>
      <c r="B400" s="572" t="n">
        <v>2</v>
      </c>
      <c r="C400" s="573" t="inlineStr">
        <is>
          <t>Аренда помещения</t>
        </is>
      </c>
      <c r="D400" s="574" t="n"/>
      <c r="E400" s="575" t="n">
        <v>6655000</v>
      </c>
      <c r="F400" s="381" t="inlineStr">
        <is>
          <t>Выплачено</t>
        </is>
      </c>
    </row>
    <row r="401" outlineLevel="1" ht="13.8" customHeight="1" s="1127">
      <c r="A401" s="461" t="inlineStr">
        <is>
          <t>расход</t>
        </is>
      </c>
      <c r="B401" s="572" t="n">
        <v>2</v>
      </c>
      <c r="C401" s="573" t="inlineStr">
        <is>
          <t xml:space="preserve">Закуп </t>
        </is>
      </c>
      <c r="D401" s="574" t="n"/>
      <c r="E401" s="575" t="n">
        <v>31000000</v>
      </c>
      <c r="F401" s="381" t="inlineStr">
        <is>
          <t>Выплачено</t>
        </is>
      </c>
    </row>
    <row r="402" outlineLevel="1" ht="13.8" customHeight="1" s="1127">
      <c r="A402" s="461" t="inlineStr">
        <is>
          <t>расход</t>
        </is>
      </c>
      <c r="B402" s="572" t="n">
        <v>2</v>
      </c>
      <c r="C402" s="68" t="inlineStr">
        <is>
          <t>Подотчёт</t>
        </is>
      </c>
      <c r="D402" s="574" t="n">
        <v>3000000</v>
      </c>
      <c r="E402" s="575" t="n"/>
      <c r="F402" s="381" t="inlineStr">
        <is>
          <t>Выплачено</t>
        </is>
      </c>
    </row>
    <row r="403" outlineLevel="1" ht="13.8" customHeight="1" s="1127">
      <c r="A403" s="461" t="inlineStr">
        <is>
          <t>расход</t>
        </is>
      </c>
      <c r="B403" s="572" t="n">
        <v>2</v>
      </c>
      <c r="C403" s="573" t="inlineStr">
        <is>
          <t>ЗП уволенным</t>
        </is>
      </c>
      <c r="D403" s="574" t="n">
        <v>2200000</v>
      </c>
      <c r="E403" s="575" t="n"/>
      <c r="F403" s="381" t="inlineStr">
        <is>
          <t>Выплачено</t>
        </is>
      </c>
    </row>
    <row r="404" outlineLevel="1" ht="13.8" customHeight="1" s="1127">
      <c r="A404" s="461" t="inlineStr">
        <is>
          <t>расход</t>
        </is>
      </c>
      <c r="B404" s="572" t="n">
        <v>2</v>
      </c>
      <c r="C404" s="425" t="inlineStr">
        <is>
          <t>Оплата за холодильники</t>
        </is>
      </c>
      <c r="D404" s="424" t="n"/>
      <c r="E404" s="427" t="n">
        <v>600000</v>
      </c>
      <c r="F404" s="381" t="inlineStr">
        <is>
          <t>Выплачено</t>
        </is>
      </c>
    </row>
    <row r="405" outlineLevel="1" ht="13.8" customHeight="1" s="1127">
      <c r="A405" s="461" t="inlineStr">
        <is>
          <t>расход</t>
        </is>
      </c>
      <c r="B405" s="572" t="n">
        <v>2</v>
      </c>
      <c r="C405" s="447" t="inlineStr">
        <is>
          <t>Заправку картриджей</t>
        </is>
      </c>
      <c r="D405" s="424" t="n"/>
      <c r="E405" s="427" t="n">
        <v>32800</v>
      </c>
      <c r="F405" s="381" t="inlineStr">
        <is>
          <t>Выплачено</t>
        </is>
      </c>
    </row>
    <row r="406" outlineLevel="1" ht="13.8" customHeight="1" s="1127">
      <c r="A406" s="461" t="inlineStr">
        <is>
          <t>расход</t>
        </is>
      </c>
      <c r="B406" s="572" t="n">
        <v>2</v>
      </c>
      <c r="C406" s="425" t="inlineStr">
        <is>
          <t xml:space="preserve">Лагманщики недельная ЗП </t>
        </is>
      </c>
      <c r="D406" s="424" t="n">
        <v>450000</v>
      </c>
      <c r="E406" s="427" t="n"/>
      <c r="F406" s="381" t="inlineStr">
        <is>
          <t>Выплачено</t>
        </is>
      </c>
    </row>
    <row r="407" outlineLevel="1" ht="13.8" customHeight="1" s="1127">
      <c r="A407" s="461" t="inlineStr">
        <is>
          <t>расход</t>
        </is>
      </c>
      <c r="B407" s="572" t="n">
        <v>2</v>
      </c>
      <c r="C407" s="425" t="inlineStr">
        <is>
          <t>Закуп ТМЦ</t>
        </is>
      </c>
      <c r="D407" s="424" t="n">
        <v>1200000</v>
      </c>
      <c r="E407" s="427" t="n"/>
      <c r="F407" s="381" t="inlineStr">
        <is>
          <t>Выплачено</t>
        </is>
      </c>
    </row>
    <row r="408" outlineLevel="1" ht="13.8" customHeight="1" s="1127">
      <c r="A408" s="461" t="n"/>
      <c r="B408" s="572" t="n">
        <v>2</v>
      </c>
      <c r="C408" s="573" t="n"/>
      <c r="D408" s="574" t="n"/>
      <c r="E408" s="575" t="n"/>
      <c r="F408" s="381" t="n"/>
      <c r="G408" s="496" t="n"/>
      <c r="H408" s="496" t="n"/>
    </row>
    <row r="409" outlineLevel="1" ht="13.8" customHeight="1" s="1127">
      <c r="A409" s="461" t="inlineStr">
        <is>
          <t>расход</t>
        </is>
      </c>
      <c r="B409" s="576" t="n">
        <v>3</v>
      </c>
      <c r="C409" s="573" t="inlineStr">
        <is>
          <t>ЗП (производство+офис начало)</t>
        </is>
      </c>
      <c r="D409" s="574" t="n"/>
      <c r="E409" s="575" t="n">
        <v>35000000</v>
      </c>
      <c r="F409" s="381" t="n"/>
      <c r="G409" s="496" t="n"/>
      <c r="H409" s="496" t="n"/>
    </row>
    <row r="410" outlineLevel="1" ht="13.8" customHeight="1" s="1127">
      <c r="A410" s="461" t="inlineStr">
        <is>
          <t>расход</t>
        </is>
      </c>
      <c r="B410" s="576" t="n">
        <v>3</v>
      </c>
      <c r="C410" s="430" t="inlineStr">
        <is>
          <t>За оплату тарифа корпоративной почты</t>
        </is>
      </c>
      <c r="D410" s="424" t="n">
        <v>114000</v>
      </c>
      <c r="E410" s="427" t="n"/>
      <c r="F410" s="381" t="inlineStr">
        <is>
          <t>Выплачено</t>
        </is>
      </c>
      <c r="G410" s="496" t="n"/>
      <c r="H410" s="496" t="n"/>
    </row>
    <row r="411" outlineLevel="1" ht="13.8" customHeight="1" s="1127">
      <c r="A411" s="461" t="inlineStr">
        <is>
          <t>расход</t>
        </is>
      </c>
      <c r="B411" s="576" t="n">
        <v>3</v>
      </c>
      <c r="C411" s="425" t="inlineStr">
        <is>
          <t>Квартира май Ольга</t>
        </is>
      </c>
      <c r="D411" s="424" t="n">
        <v>390000</v>
      </c>
      <c r="E411" s="427" t="n"/>
      <c r="F411" s="381" t="inlineStr">
        <is>
          <t>Выплачено</t>
        </is>
      </c>
      <c r="G411" s="496" t="n"/>
      <c r="H411" s="496" t="n"/>
    </row>
    <row r="412" outlineLevel="1" ht="13.8" customHeight="1" s="1127">
      <c r="A412" s="461" t="inlineStr">
        <is>
          <t>расход</t>
        </is>
      </c>
      <c r="B412" s="576" t="n">
        <v>3</v>
      </c>
      <c r="C412" s="425" t="inlineStr">
        <is>
          <t xml:space="preserve">Лагманщики недельная ЗП </t>
        </is>
      </c>
      <c r="D412" s="424" t="n">
        <v>404000</v>
      </c>
      <c r="E412" s="427" t="n"/>
      <c r="F412" s="381" t="inlineStr">
        <is>
          <t>Выплачено</t>
        </is>
      </c>
      <c r="G412" s="496" t="n"/>
      <c r="H412" s="496" t="n"/>
    </row>
    <row r="413" outlineLevel="1" ht="13.8" customHeight="1" s="1127">
      <c r="A413" s="461" t="inlineStr">
        <is>
          <t>расход</t>
        </is>
      </c>
      <c r="B413" s="576" t="n">
        <v>3</v>
      </c>
      <c r="C413" s="425" t="inlineStr">
        <is>
          <t>ЗП</t>
        </is>
      </c>
      <c r="D413" s="424" t="n">
        <v>17000000</v>
      </c>
      <c r="E413" s="427" t="n"/>
      <c r="F413" s="381" t="inlineStr">
        <is>
          <t>Выплачено</t>
        </is>
      </c>
      <c r="G413" s="496" t="n"/>
      <c r="H413" s="496" t="n"/>
    </row>
    <row r="414" outlineLevel="1" ht="13.8" customHeight="1" s="1127">
      <c r="A414" s="461" t="inlineStr">
        <is>
          <t>расход</t>
        </is>
      </c>
      <c r="B414" s="576" t="n">
        <v>4</v>
      </c>
      <c r="C414" s="573" t="inlineStr">
        <is>
          <t xml:space="preserve">Закуп </t>
        </is>
      </c>
      <c r="D414" s="574" t="n"/>
      <c r="E414" s="575" t="n">
        <v>31000000</v>
      </c>
      <c r="F414" s="381" t="inlineStr">
        <is>
          <t>Выплачено</t>
        </is>
      </c>
      <c r="G414" s="496" t="n"/>
      <c r="H414" s="496" t="n"/>
    </row>
    <row r="415" outlineLevel="1" ht="13.8" customHeight="1" s="1127">
      <c r="A415" s="461" t="inlineStr">
        <is>
          <t>расход</t>
        </is>
      </c>
      <c r="B415" s="576" t="n">
        <v>4</v>
      </c>
      <c r="C415" s="68" t="inlineStr">
        <is>
          <t>Подотчёт</t>
        </is>
      </c>
      <c r="D415" s="574" t="n">
        <v>3000000</v>
      </c>
      <c r="E415" s="575" t="n"/>
      <c r="F415" s="381" t="inlineStr">
        <is>
          <t>Выплачено</t>
        </is>
      </c>
      <c r="G415" s="496" t="n"/>
      <c r="H415" s="496" t="n"/>
    </row>
    <row r="416" outlineLevel="1" ht="13.8" customHeight="1" s="1127">
      <c r="A416" s="461" t="inlineStr">
        <is>
          <t>расход</t>
        </is>
      </c>
      <c r="B416" s="576" t="n">
        <v>3</v>
      </c>
      <c r="C416" s="425" t="inlineStr">
        <is>
          <t>ЗП производство</t>
        </is>
      </c>
      <c r="D416" s="493" t="n">
        <v>16270600</v>
      </c>
      <c r="E416" s="427" t="n"/>
      <c r="F416" s="381" t="inlineStr">
        <is>
          <t>Выплачено</t>
        </is>
      </c>
      <c r="G416" s="496" t="n"/>
      <c r="H416" s="496" t="n"/>
    </row>
    <row r="417" outlineLevel="1" ht="13.8" customHeight="1" s="1127">
      <c r="A417" s="461" t="inlineStr">
        <is>
          <t>расход</t>
        </is>
      </c>
      <c r="B417" s="576" t="n">
        <v>2</v>
      </c>
      <c r="C417" s="425" t="inlineStr">
        <is>
          <t>ЗП офис</t>
        </is>
      </c>
      <c r="D417" s="493" t="n">
        <v>1823000</v>
      </c>
      <c r="E417" s="427" t="n"/>
      <c r="F417" s="381" t="inlineStr">
        <is>
          <t>Выплачено</t>
        </is>
      </c>
      <c r="G417" s="496" t="n"/>
      <c r="H417" s="496" t="n"/>
    </row>
    <row r="418" outlineLevel="1" ht="13.8" customHeight="1" s="1127">
      <c r="A418" s="461" t="inlineStr">
        <is>
          <t>расход</t>
        </is>
      </c>
      <c r="B418" s="576" t="n">
        <v>4</v>
      </c>
      <c r="C418" s="425" t="inlineStr">
        <is>
          <t>закуп</t>
        </is>
      </c>
      <c r="D418" s="493" t="n"/>
      <c r="E418" s="427" t="n">
        <v>6301360</v>
      </c>
      <c r="F418" s="381" t="inlineStr">
        <is>
          <t>Выплачено</t>
        </is>
      </c>
      <c r="G418" s="496" t="n"/>
      <c r="H418" s="496" t="n"/>
    </row>
    <row r="419" outlineLevel="1" ht="16.5" customHeight="1" s="1127">
      <c r="A419" s="461" t="inlineStr">
        <is>
          <t>расход</t>
        </is>
      </c>
      <c r="B419" s="576" t="n">
        <v>5</v>
      </c>
      <c r="C419" s="425" t="inlineStr">
        <is>
          <t xml:space="preserve">Закуп </t>
        </is>
      </c>
      <c r="D419" s="68" t="n"/>
      <c r="E419" s="427" t="n">
        <v>35000000</v>
      </c>
      <c r="F419" s="381" t="inlineStr">
        <is>
          <t>К оплате</t>
        </is>
      </c>
      <c r="G419" s="496" t="n"/>
      <c r="H419" s="496" t="n"/>
    </row>
    <row r="420" outlineLevel="1" ht="16.5" customHeight="1" s="1127">
      <c r="A420" s="461" t="inlineStr">
        <is>
          <t>расход</t>
        </is>
      </c>
      <c r="B420" s="576" t="n">
        <v>5</v>
      </c>
      <c r="C420" s="425" t="inlineStr">
        <is>
          <t>Зарплатные налоги</t>
        </is>
      </c>
      <c r="D420" s="68" t="n"/>
      <c r="E420" s="427" t="n">
        <v>8625948</v>
      </c>
      <c r="F420" s="381" t="inlineStr">
        <is>
          <t>Выплачено</t>
        </is>
      </c>
      <c r="G420" s="496" t="n"/>
      <c r="H420" s="496" t="n"/>
    </row>
    <row r="421" outlineLevel="1" ht="16.5" customHeight="1" s="1127">
      <c r="A421" s="461" t="inlineStr">
        <is>
          <t>расход</t>
        </is>
      </c>
      <c r="B421" s="576" t="n">
        <v>5</v>
      </c>
      <c r="C421" s="425" t="inlineStr">
        <is>
          <t>Зарплата АУП (уточнить остаток)</t>
        </is>
      </c>
      <c r="D421" s="493" t="n">
        <v>5000000</v>
      </c>
      <c r="E421" s="427" t="n"/>
      <c r="F421" s="381" t="inlineStr">
        <is>
          <t>Выплачено</t>
        </is>
      </c>
      <c r="G421" s="496" t="n"/>
      <c r="H421" s="496" t="n"/>
    </row>
    <row r="422" outlineLevel="1" ht="16.5" customHeight="1" s="1127">
      <c r="A422" s="461" t="inlineStr">
        <is>
          <t>расход</t>
        </is>
      </c>
      <c r="B422" s="576" t="n">
        <v>5</v>
      </c>
      <c r="C422" s="68" t="inlineStr">
        <is>
          <t>Квартира Олеся С</t>
        </is>
      </c>
      <c r="D422" s="424" t="n">
        <v>350149</v>
      </c>
      <c r="E422" s="68" t="n"/>
      <c r="F422" s="381" t="inlineStr">
        <is>
          <t>Выплачено</t>
        </is>
      </c>
      <c r="G422" s="496" t="n"/>
      <c r="H422" s="496" t="n"/>
    </row>
    <row r="423" outlineLevel="1" ht="13.8" customHeight="1" s="1127">
      <c r="A423" s="461" t="inlineStr">
        <is>
          <t>расход</t>
        </is>
      </c>
      <c r="B423" s="576" t="n">
        <v>5</v>
      </c>
      <c r="C423" s="68" t="inlineStr">
        <is>
          <t>ИП «Алексеевское» (пищевой отходы)</t>
        </is>
      </c>
      <c r="D423" s="493" t="n"/>
      <c r="E423" s="427" t="n">
        <v>100000</v>
      </c>
      <c r="F423" s="381" t="inlineStr">
        <is>
          <t>Выплачено</t>
        </is>
      </c>
      <c r="G423" s="496" t="n"/>
      <c r="H423" s="496" t="n"/>
    </row>
    <row r="424" outlineLevel="1" ht="13.8" customHeight="1" s="1127">
      <c r="A424" s="461" t="inlineStr">
        <is>
          <t>расход</t>
        </is>
      </c>
      <c r="B424" s="576" t="n">
        <v>5</v>
      </c>
      <c r="C424" s="447" t="inlineStr">
        <is>
          <t xml:space="preserve">Газовые балоны,асенезатора,айран </t>
        </is>
      </c>
      <c r="D424" s="493" t="n">
        <v>83600</v>
      </c>
      <c r="E424" s="427" t="n"/>
      <c r="F424" s="381" t="inlineStr">
        <is>
          <t>Выплачено</t>
        </is>
      </c>
      <c r="G424" s="496" t="n"/>
      <c r="H424" s="496" t="n"/>
    </row>
    <row r="425" outlineLevel="1" ht="13.8" customHeight="1" s="1127">
      <c r="A425" s="461" t="inlineStr">
        <is>
          <t>расход</t>
        </is>
      </c>
      <c r="B425" s="576" t="n">
        <v>5</v>
      </c>
      <c r="C425" s="447" t="inlineStr">
        <is>
          <t xml:space="preserve">Оплата вызовных  </t>
        </is>
      </c>
      <c r="D425" s="493" t="n">
        <v>12000</v>
      </c>
      <c r="E425" s="427" t="n"/>
      <c r="F425" s="381" t="inlineStr">
        <is>
          <t>Выплачено</t>
        </is>
      </c>
      <c r="G425" s="496" t="n"/>
      <c r="H425" s="496" t="n"/>
    </row>
    <row r="426" outlineLevel="1" ht="13.8" customHeight="1" s="1127">
      <c r="A426" s="461" t="inlineStr">
        <is>
          <t>расход</t>
        </is>
      </c>
      <c r="B426" s="576" t="n">
        <v>5</v>
      </c>
      <c r="C426" s="573" t="inlineStr">
        <is>
          <t>ЗП уволенным</t>
        </is>
      </c>
      <c r="D426" s="574" t="n">
        <v>2200000</v>
      </c>
      <c r="E426" s="427" t="n"/>
      <c r="F426" s="381" t="inlineStr">
        <is>
          <t>Выплачено</t>
        </is>
      </c>
      <c r="G426" s="496" t="n"/>
      <c r="H426" s="496" t="n"/>
    </row>
    <row r="427" outlineLevel="1" ht="13.8" customHeight="1" s="1127">
      <c r="A427" s="461" t="inlineStr">
        <is>
          <t>расход</t>
        </is>
      </c>
      <c r="B427" s="576" t="n">
        <v>5</v>
      </c>
      <c r="C427" s="425" t="inlineStr">
        <is>
          <t>Оплата счёта за ээ</t>
        </is>
      </c>
      <c r="D427" s="493" t="n"/>
      <c r="E427" s="427" t="n">
        <v>9432232</v>
      </c>
      <c r="F427" s="381" t="inlineStr">
        <is>
          <t>К оплате</t>
        </is>
      </c>
    </row>
    <row r="428" outlineLevel="1" ht="13.8" customHeight="1" s="1127">
      <c r="A428" s="461" t="inlineStr">
        <is>
          <t>расход</t>
        </is>
      </c>
      <c r="B428" s="576" t="n">
        <v>4</v>
      </c>
      <c r="C428" s="425" t="inlineStr">
        <is>
          <t>Оплата налога НДС</t>
        </is>
      </c>
      <c r="D428" s="493" t="n"/>
      <c r="E428" s="427" t="n">
        <v>15000000</v>
      </c>
      <c r="F428" s="381" t="inlineStr">
        <is>
          <t>К оплате</t>
        </is>
      </c>
    </row>
    <row r="429" outlineLevel="1" ht="13.8" customHeight="1" s="1127">
      <c r="A429" s="461" t="inlineStr">
        <is>
          <t>расход</t>
        </is>
      </c>
      <c r="B429" s="576" t="n">
        <v>1</v>
      </c>
      <c r="C429" s="425" t="inlineStr">
        <is>
          <t>Расходы по логистике</t>
        </is>
      </c>
      <c r="D429" s="493" t="n">
        <v>2500000</v>
      </c>
      <c r="E429" s="427" t="n"/>
      <c r="F429" s="381" t="inlineStr">
        <is>
          <t>К оплате</t>
        </is>
      </c>
    </row>
    <row r="430" outlineLevel="1" ht="13.8" customHeight="1" s="1127">
      <c r="A430" s="461" t="inlineStr">
        <is>
          <t>расход</t>
        </is>
      </c>
      <c r="B430" s="576" t="n">
        <v>2</v>
      </c>
      <c r="C430" s="425" t="inlineStr">
        <is>
          <t>Расходы по логистике</t>
        </is>
      </c>
      <c r="D430" s="493" t="n">
        <v>2500000</v>
      </c>
      <c r="E430" s="427" t="n"/>
      <c r="F430" s="381" t="inlineStr">
        <is>
          <t>К оплате</t>
        </is>
      </c>
    </row>
    <row r="431" outlineLevel="1" ht="13.8" customHeight="1" s="1127">
      <c r="A431" s="461" t="inlineStr">
        <is>
          <t>расход</t>
        </is>
      </c>
      <c r="B431" s="576" t="n">
        <v>4</v>
      </c>
      <c r="C431" s="425" t="inlineStr">
        <is>
          <t>Расходы по логистике</t>
        </is>
      </c>
      <c r="D431" s="493" t="n">
        <v>2500000</v>
      </c>
      <c r="E431" s="427" t="n"/>
      <c r="F431" s="381" t="inlineStr">
        <is>
          <t>К оплате</t>
        </is>
      </c>
    </row>
    <row r="432" outlineLevel="1" ht="13.8" customHeight="1" s="1127">
      <c r="A432" s="461" t="inlineStr">
        <is>
          <t>расход</t>
        </is>
      </c>
      <c r="B432" s="576" t="n">
        <v>5</v>
      </c>
      <c r="C432" s="425" t="inlineStr">
        <is>
          <t>Расходы по логистике</t>
        </is>
      </c>
      <c r="D432" s="493" t="n">
        <v>2500000</v>
      </c>
      <c r="E432" s="427" t="n"/>
      <c r="F432" s="381" t="inlineStr">
        <is>
          <t>К оплате</t>
        </is>
      </c>
    </row>
    <row r="433" outlineLevel="1" ht="13.8" customHeight="1" s="1127">
      <c r="A433" s="461" t="inlineStr">
        <is>
          <t>расход</t>
        </is>
      </c>
      <c r="B433" s="576" t="n">
        <v>2</v>
      </c>
      <c r="C433" s="425" t="inlineStr">
        <is>
          <t>ЗП (часть перенос)</t>
        </is>
      </c>
      <c r="D433" s="493" t="n">
        <v>3000000</v>
      </c>
      <c r="E433" s="427" t="n"/>
      <c r="F433" s="381" t="inlineStr">
        <is>
          <t>К оплате</t>
        </is>
      </c>
    </row>
    <row r="434" outlineLevel="1" ht="13.8" customHeight="1" s="1127">
      <c r="A434" s="461" t="inlineStr">
        <is>
          <t>расход</t>
        </is>
      </c>
      <c r="B434" s="576" t="n">
        <v>1</v>
      </c>
      <c r="C434" s="425" t="inlineStr">
        <is>
          <t>Погашение кредита и %%</t>
        </is>
      </c>
      <c r="D434" s="493" t="n"/>
      <c r="E434" s="427" t="n">
        <v>1749942</v>
      </c>
      <c r="F434" s="381" t="inlineStr">
        <is>
          <t>К оплате</t>
        </is>
      </c>
    </row>
    <row r="435" outlineLevel="1" ht="13.8" customHeight="1" s="1127">
      <c r="A435" s="461" t="inlineStr">
        <is>
          <t>расход</t>
        </is>
      </c>
      <c r="B435" s="576" t="n">
        <v>3</v>
      </c>
      <c r="C435" s="425" t="inlineStr">
        <is>
          <t>Погашение кредита и %%</t>
        </is>
      </c>
      <c r="D435" s="493" t="n"/>
      <c r="E435" s="427" t="n">
        <v>4013564</v>
      </c>
      <c r="F435" s="381" t="inlineStr">
        <is>
          <t>К оплате</t>
        </is>
      </c>
    </row>
    <row r="436" outlineLevel="1" ht="13.8" customHeight="1" s="1127">
      <c r="A436" s="461" t="inlineStr">
        <is>
          <t>расход</t>
        </is>
      </c>
      <c r="B436" s="457" t="n"/>
      <c r="C436" s="450" t="n"/>
      <c r="D436" s="493" t="n"/>
      <c r="E436" s="427" t="n"/>
      <c r="F436" s="381" t="inlineStr">
        <is>
          <t>К оплате</t>
        </is>
      </c>
    </row>
    <row r="437" outlineLevel="1" ht="13.8" customHeight="1" s="1127">
      <c r="A437" s="461" t="inlineStr">
        <is>
          <t>расход</t>
        </is>
      </c>
      <c r="B437" s="457" t="n"/>
      <c r="C437" s="425" t="n"/>
      <c r="D437" s="493" t="n"/>
      <c r="E437" s="427" t="n"/>
      <c r="F437" s="381" t="inlineStr">
        <is>
          <t>К оплате</t>
        </is>
      </c>
    </row>
    <row r="438" outlineLevel="1" ht="13.8" customHeight="1" s="1127">
      <c r="A438" s="461" t="inlineStr">
        <is>
          <t>расход</t>
        </is>
      </c>
      <c r="B438" s="457" t="n"/>
      <c r="C438" s="425" t="n"/>
      <c r="D438" s="493" t="n"/>
      <c r="E438" s="427" t="n"/>
      <c r="F438" s="381" t="inlineStr">
        <is>
          <t>К оплате</t>
        </is>
      </c>
    </row>
    <row r="439" outlineLevel="1" ht="13.8" customHeight="1" s="1127">
      <c r="A439" s="461" t="inlineStr">
        <is>
          <t>расход</t>
        </is>
      </c>
      <c r="B439" s="457" t="n"/>
      <c r="C439" s="425" t="n"/>
      <c r="D439" s="493" t="n"/>
      <c r="E439" s="427" t="n"/>
      <c r="F439" s="381" t="inlineStr">
        <is>
          <t>К оплате</t>
        </is>
      </c>
    </row>
    <row r="440" outlineLevel="1" ht="13.8" customHeight="1" s="1127">
      <c r="A440" s="461" t="inlineStr">
        <is>
          <t>расход</t>
        </is>
      </c>
      <c r="B440" s="457" t="n"/>
      <c r="C440" s="425" t="n"/>
      <c r="D440" s="493" t="n"/>
      <c r="E440" s="427" t="n"/>
      <c r="F440" s="381" t="inlineStr">
        <is>
          <t>К оплате</t>
        </is>
      </c>
    </row>
    <row r="441" outlineLevel="1" ht="13.8" customHeight="1" s="1127">
      <c r="A441" s="461" t="inlineStr">
        <is>
          <t>расход</t>
        </is>
      </c>
      <c r="B441" s="457" t="n"/>
      <c r="C441" s="425" t="n"/>
      <c r="D441" s="493" t="n"/>
      <c r="E441" s="427" t="n"/>
      <c r="F441" s="381" t="inlineStr">
        <is>
          <t>К оплате</t>
        </is>
      </c>
    </row>
    <row r="442" outlineLevel="1" ht="13.8" customHeight="1" s="1127">
      <c r="A442" s="461" t="inlineStr">
        <is>
          <t>расход</t>
        </is>
      </c>
      <c r="B442" s="457" t="n"/>
      <c r="C442" s="425" t="n"/>
      <c r="D442" s="493" t="n"/>
      <c r="E442" s="427" t="n"/>
      <c r="F442" s="381" t="inlineStr">
        <is>
          <t>К оплате</t>
        </is>
      </c>
    </row>
    <row r="443" outlineLevel="1" ht="13.8" customHeight="1" s="1127">
      <c r="A443" s="461" t="inlineStr">
        <is>
          <t>расход</t>
        </is>
      </c>
      <c r="B443" s="457" t="n"/>
      <c r="C443" s="425" t="n"/>
      <c r="D443" s="493" t="n"/>
      <c r="E443" s="427" t="n"/>
      <c r="F443" s="381" t="inlineStr">
        <is>
          <t>К оплате</t>
        </is>
      </c>
    </row>
    <row r="444" outlineLevel="1" ht="13.8" customHeight="1" s="1127">
      <c r="A444" s="461" t="inlineStr">
        <is>
          <t>расход</t>
        </is>
      </c>
      <c r="B444" s="457" t="n"/>
      <c r="C444" s="425" t="n"/>
      <c r="D444" s="493" t="n"/>
      <c r="E444" s="427" t="n"/>
      <c r="F444" s="381" t="inlineStr">
        <is>
          <t>К оплате</t>
        </is>
      </c>
    </row>
    <row r="445" outlineLevel="1" ht="13.2" customHeight="1" s="1127"/>
    <row r="446" outlineLevel="1" ht="13.2" customHeight="1" s="1127"/>
    <row r="447" outlineLevel="1" ht="13.8" customHeight="1" s="1127">
      <c r="B447" s="498" t="n"/>
      <c r="C447" s="497" t="n"/>
      <c r="D447" s="499" t="n"/>
      <c r="E447" s="500" t="n"/>
      <c r="F447" s="501" t="n"/>
    </row>
    <row r="448" ht="13.8" customHeight="1" s="1127">
      <c r="B448" s="498" t="n"/>
      <c r="C448" s="497" t="n"/>
      <c r="D448" s="499" t="n"/>
      <c r="E448" s="500" t="n"/>
      <c r="F448" s="501" t="n"/>
    </row>
    <row r="449" ht="13.8" customHeight="1" s="1127">
      <c r="B449" s="498" t="n"/>
      <c r="C449" s="497" t="n"/>
      <c r="D449" s="499" t="n"/>
      <c r="E449" s="500" t="n"/>
      <c r="F449" s="501" t="n"/>
    </row>
    <row r="450" ht="17.4" customHeight="1" s="1127">
      <c r="B450" s="502" t="inlineStr">
        <is>
          <t>ЗАКУП СЫРЬЁ ОПЛАТА</t>
        </is>
      </c>
      <c r="C450" s="503" t="n"/>
      <c r="D450" s="503" t="n"/>
      <c r="E450" s="466" t="n"/>
      <c r="F450" s="503" t="n"/>
    </row>
    <row r="451" outlineLevel="1" ht="13.2" customHeight="1" s="1127">
      <c r="B451" s="223" t="n"/>
      <c r="C451" s="223" t="inlineStr">
        <is>
          <t>Контрагент</t>
        </is>
      </c>
      <c r="D451" s="223" t="inlineStr">
        <is>
          <t>Наименование товара</t>
        </is>
      </c>
      <c r="E451" s="224" t="inlineStr">
        <is>
          <t>Сумма</t>
        </is>
      </c>
      <c r="F451" s="223" t="inlineStr">
        <is>
          <t>Степень важности</t>
        </is>
      </c>
    </row>
    <row r="452" outlineLevel="1" ht="14.4" customHeight="1" s="1127">
      <c r="A452" s="456" t="n"/>
      <c r="B452" s="504" t="n">
        <v>46141</v>
      </c>
      <c r="C452" s="505" t="inlineStr">
        <is>
          <t>Компания Фудмастер-Трэйд ТОО</t>
        </is>
      </c>
      <c r="D452" s="506" t="n"/>
      <c r="E452" s="507" t="n">
        <v>99738</v>
      </c>
      <c r="F452" s="73" t="inlineStr">
        <is>
          <t xml:space="preserve">Оплачено </t>
        </is>
      </c>
    </row>
    <row r="453" outlineLevel="1" ht="14.4" customHeight="1" s="1127">
      <c r="A453" s="456" t="n"/>
      <c r="B453" s="422" t="n"/>
      <c r="C453" s="505" t="inlineStr">
        <is>
          <t>Сергей логист</t>
        </is>
      </c>
      <c r="D453" s="506" t="n"/>
      <c r="E453" s="507" t="n">
        <v>500000</v>
      </c>
      <c r="F453" s="73" t="inlineStr">
        <is>
          <t xml:space="preserve">Оплачено </t>
        </is>
      </c>
    </row>
    <row r="454" outlineLevel="1" ht="14.4" customHeight="1" s="1127">
      <c r="A454" s="456" t="n"/>
      <c r="B454" s="422" t="n"/>
      <c r="C454" s="505" t="inlineStr">
        <is>
          <t>Ихсан Техногаз ТОО</t>
        </is>
      </c>
      <c r="D454" s="506" t="n"/>
      <c r="E454" s="507" t="n">
        <v>132000</v>
      </c>
      <c r="F454" s="73" t="inlineStr">
        <is>
          <t xml:space="preserve">Оплачено </t>
        </is>
      </c>
    </row>
    <row r="455" outlineLevel="1" ht="14.4" customHeight="1" s="1127">
      <c r="A455" s="456" t="n"/>
      <c r="B455" s="422" t="n"/>
      <c r="C455" s="505" t="inlineStr">
        <is>
          <t>Berry Company ТОО</t>
        </is>
      </c>
      <c r="D455" s="506" t="n"/>
      <c r="E455" s="508" t="n">
        <v>60000</v>
      </c>
      <c r="F455" s="73" t="inlineStr">
        <is>
          <t xml:space="preserve">Оплачено </t>
        </is>
      </c>
    </row>
    <row r="456" outlineLevel="1" ht="14.4" customHeight="1" s="1127">
      <c r="A456" s="456" t="n"/>
      <c r="B456" s="422" t="n"/>
      <c r="C456" s="505" t="inlineStr">
        <is>
          <t>Глобал Фуд ТОО</t>
        </is>
      </c>
      <c r="D456" s="506" t="n"/>
      <c r="E456" s="508" t="n">
        <v>500000</v>
      </c>
      <c r="F456" s="73" t="inlineStr">
        <is>
          <t xml:space="preserve">Оплачено </t>
        </is>
      </c>
    </row>
    <row r="457" outlineLevel="1" ht="14.4" customHeight="1" s="1127">
      <c r="A457" s="456" t="n"/>
      <c r="B457" s="422" t="n"/>
      <c r="C457" s="505" t="inlineStr">
        <is>
          <t>Рай ИП</t>
        </is>
      </c>
      <c r="D457" s="506" t="n"/>
      <c r="E457" s="508" t="n">
        <v>100000</v>
      </c>
      <c r="F457" s="73" t="inlineStr">
        <is>
          <t xml:space="preserve">Оплачено </t>
        </is>
      </c>
      <c r="G457" s="219">
        <f>E472+E471+E470+E469+E468+E467+E466</f>
        <v/>
      </c>
    </row>
    <row r="458" outlineLevel="1" ht="14.4" customHeight="1" s="1127">
      <c r="A458" s="456" t="n"/>
      <c r="B458" s="422" t="n"/>
      <c r="C458" s="505" t="inlineStr">
        <is>
          <t>Succes овощи Айкоркем ИП</t>
        </is>
      </c>
      <c r="D458" s="506" t="n"/>
      <c r="E458" s="508" t="n">
        <v>50000</v>
      </c>
      <c r="F458" s="73" t="inlineStr">
        <is>
          <t xml:space="preserve">Оплачено </t>
        </is>
      </c>
    </row>
    <row r="459" outlineLevel="1" ht="14.4" customHeight="1" s="1127">
      <c r="A459" s="456" t="n"/>
      <c r="B459" s="422" t="n"/>
      <c r="C459" s="505" t="inlineStr">
        <is>
          <t>ИП Айсулу (Касым овощи)</t>
        </is>
      </c>
      <c r="D459" s="506" t="n"/>
      <c r="E459" s="508" t="n">
        <v>100000</v>
      </c>
      <c r="F459" s="73" t="inlineStr">
        <is>
          <t xml:space="preserve">Оплачено </t>
        </is>
      </c>
    </row>
    <row r="460" outlineLevel="1" ht="14.4" customHeight="1" s="1127">
      <c r="A460" s="456" t="n"/>
      <c r="B460" s="422" t="n"/>
      <c r="C460" s="505" t="inlineStr">
        <is>
          <t>Taisa ТОО</t>
        </is>
      </c>
      <c r="D460" s="506" t="n"/>
      <c r="E460" s="508" t="n">
        <v>103600</v>
      </c>
      <c r="F460" s="73" t="inlineStr">
        <is>
          <t xml:space="preserve">Оплачено </t>
        </is>
      </c>
    </row>
    <row r="461" outlineLevel="1" ht="14.4" customHeight="1" s="1127">
      <c r="A461" s="456" t="n"/>
      <c r="B461" s="422" t="n"/>
      <c r="C461" s="505" t="inlineStr">
        <is>
          <t>Первомайские Деликатесы ТОО</t>
        </is>
      </c>
      <c r="D461" s="506" t="n"/>
      <c r="E461" s="508" t="n">
        <v>500000</v>
      </c>
      <c r="F461" s="73" t="inlineStr">
        <is>
          <t xml:space="preserve">Оплачено </t>
        </is>
      </c>
    </row>
    <row r="462" outlineLevel="1" ht="14.4" customHeight="1" s="1127">
      <c r="A462" s="456" t="n"/>
      <c r="B462" s="422" t="n"/>
      <c r="C462" s="505" t="inlineStr">
        <is>
          <t>Color express ТОО</t>
        </is>
      </c>
      <c r="D462" s="506" t="n"/>
      <c r="E462" s="508" t="n">
        <v>200000</v>
      </c>
      <c r="F462" s="73" t="inlineStr">
        <is>
          <t xml:space="preserve">Оплачено </t>
        </is>
      </c>
    </row>
    <row r="463" outlineLevel="1" ht="14.4" customHeight="1" s="1127">
      <c r="A463" s="456" t="n"/>
      <c r="B463" s="504" t="n">
        <v>46141</v>
      </c>
      <c r="C463" s="505" t="inlineStr">
        <is>
          <t>Almaty Develop STM ТОО</t>
        </is>
      </c>
      <c r="D463" s="509" t="n"/>
      <c r="E463" s="510" t="n">
        <v>400000</v>
      </c>
      <c r="F463" s="73" t="inlineStr">
        <is>
          <t xml:space="preserve">Оплачено </t>
        </is>
      </c>
    </row>
    <row r="464" outlineLevel="1" ht="14.4" customHeight="1" s="1127">
      <c r="A464" s="456" t="n"/>
      <c r="B464" s="422" t="n"/>
      <c r="C464" s="511" t="inlineStr">
        <is>
          <t>QAZAQ SAPA GROUP ТОО</t>
        </is>
      </c>
      <c r="D464" s="506" t="n"/>
      <c r="E464" s="510" t="n">
        <v>500000</v>
      </c>
      <c r="F464" s="73" t="inlineStr">
        <is>
          <t xml:space="preserve">Оплачено </t>
        </is>
      </c>
    </row>
    <row r="465" outlineLevel="1" ht="14.4" customHeight="1" s="1127">
      <c r="A465" s="456" t="n"/>
      <c r="B465" s="422" t="n"/>
      <c r="C465" s="511" t="inlineStr">
        <is>
          <t>Rikkaus ИП</t>
        </is>
      </c>
      <c r="D465" s="506" t="n"/>
      <c r="E465" s="508" t="n">
        <v>110772</v>
      </c>
      <c r="F465" s="73" t="inlineStr">
        <is>
          <t xml:space="preserve">Оплачено </t>
        </is>
      </c>
    </row>
    <row r="466" outlineLevel="1" ht="14.4" customHeight="1" s="1127">
      <c r="A466" s="456" t="n"/>
      <c r="B466" s="422" t="n"/>
      <c r="C466" s="511" t="inlineStr">
        <is>
          <t>KazBeef Processing (КазБиф Процессинг) ТОО</t>
        </is>
      </c>
      <c r="D466" s="506" t="n"/>
      <c r="E466" s="508" t="n">
        <v>209995</v>
      </c>
      <c r="F466" s="73" t="inlineStr">
        <is>
          <t xml:space="preserve">Оплачено </t>
        </is>
      </c>
    </row>
    <row r="467" outlineLevel="1" ht="14.4" customHeight="1" s="1127">
      <c r="A467" s="456" t="n"/>
      <c r="B467" s="422" t="n"/>
      <c r="C467" s="511" t="inlineStr">
        <is>
          <t>Аяла Плюс ТОО</t>
        </is>
      </c>
      <c r="D467" s="506" t="n"/>
      <c r="E467" s="508" t="n">
        <v>219300</v>
      </c>
      <c r="F467" s="73" t="inlineStr">
        <is>
          <t xml:space="preserve">Оплачено </t>
        </is>
      </c>
    </row>
    <row r="468" outlineLevel="1" ht="14.4" customHeight="1" s="1127">
      <c r="A468" s="456" t="n"/>
      <c r="B468" s="422" t="n"/>
      <c r="C468" s="505" t="inlineStr">
        <is>
          <t>ИП Kolos</t>
        </is>
      </c>
      <c r="D468" s="506" t="n"/>
      <c r="E468" s="512" t="n">
        <v>87000</v>
      </c>
      <c r="F468" s="73" t="inlineStr">
        <is>
          <t xml:space="preserve">Оплачено </t>
        </is>
      </c>
    </row>
    <row r="469" outlineLevel="1" ht="14.4" customHeight="1" s="1127">
      <c r="A469" s="456" t="n"/>
      <c r="B469" s="422" t="n"/>
      <c r="C469" s="505" t="inlineStr">
        <is>
          <t>Food Company ТОО</t>
        </is>
      </c>
      <c r="D469" s="506" t="n"/>
      <c r="E469" s="508" t="n">
        <v>225360</v>
      </c>
      <c r="F469" s="73" t="inlineStr">
        <is>
          <t xml:space="preserve">Оплачено </t>
        </is>
      </c>
    </row>
    <row r="470" outlineLevel="1" ht="14.4" customHeight="1" s="1127">
      <c r="A470" s="456" t="n"/>
      <c r="B470" s="422" t="n"/>
      <c r="C470" s="505" t="inlineStr">
        <is>
          <t>Зымыран ИП</t>
        </is>
      </c>
      <c r="D470" s="506" t="n"/>
      <c r="E470" s="508" t="n">
        <v>159300</v>
      </c>
      <c r="F470" s="73" t="inlineStr">
        <is>
          <t xml:space="preserve">Оплачено </t>
        </is>
      </c>
    </row>
    <row r="471" hidden="1" outlineLevel="1" ht="14.4" customHeight="1" s="1127">
      <c r="A471" s="456" t="inlineStr">
        <is>
          <t xml:space="preserve"> </t>
        </is>
      </c>
      <c r="B471" s="422" t="n"/>
      <c r="C471" s="505" t="n"/>
      <c r="D471" s="506" t="n"/>
      <c r="E471" s="507" t="n"/>
      <c r="F471" s="73" t="inlineStr">
        <is>
          <t>Оплатить надо</t>
        </is>
      </c>
    </row>
    <row r="472" hidden="1" outlineLevel="1" ht="21.75" customHeight="1" s="1127">
      <c r="B472" s="422" t="n"/>
      <c r="C472" s="518" t="n"/>
      <c r="D472" s="506" t="n"/>
      <c r="E472" s="507" t="n"/>
      <c r="F472" s="73" t="inlineStr">
        <is>
          <t>Оплатить надо</t>
        </is>
      </c>
    </row>
    <row r="473" hidden="1" outlineLevel="1" ht="14.4" customHeight="1" s="1127">
      <c r="B473" s="422" t="n"/>
      <c r="C473" s="518" t="n"/>
      <c r="D473" s="506" t="n"/>
      <c r="E473" s="507" t="n"/>
      <c r="F473" s="73" t="inlineStr">
        <is>
          <t>Оплатить надо</t>
        </is>
      </c>
    </row>
    <row r="474" hidden="1" outlineLevel="1" ht="14.4" customHeight="1" s="1127">
      <c r="B474" s="422" t="n"/>
      <c r="C474" s="518" t="n"/>
      <c r="D474" s="506" t="n"/>
      <c r="E474" s="507" t="n"/>
      <c r="F474" s="73" t="inlineStr">
        <is>
          <t>Оплатить надо</t>
        </is>
      </c>
    </row>
    <row r="475" hidden="1" outlineLevel="1" ht="14.4" customHeight="1" s="1127">
      <c r="B475" s="422" t="n"/>
      <c r="C475" s="518" t="n"/>
      <c r="D475" s="514" t="n"/>
      <c r="E475" s="519" t="n"/>
      <c r="F475" s="73" t="inlineStr">
        <is>
          <t>Оплатить надо</t>
        </is>
      </c>
    </row>
    <row r="476" hidden="1" outlineLevel="1" ht="14.4" customHeight="1" s="1127">
      <c r="B476" s="422" t="n"/>
      <c r="C476" s="518" t="n"/>
      <c r="D476" s="514" t="n"/>
      <c r="E476" s="519" t="n"/>
      <c r="F476" s="73" t="inlineStr">
        <is>
          <t>Оплатить надо</t>
        </is>
      </c>
    </row>
    <row r="477" hidden="1" outlineLevel="1" ht="14.4" customHeight="1" s="1127">
      <c r="B477" s="422" t="n"/>
      <c r="C477" s="518" t="n"/>
      <c r="D477" s="506" t="n"/>
      <c r="E477" s="507" t="n"/>
      <c r="F477" s="73" t="inlineStr">
        <is>
          <t>Оплатить надо</t>
        </is>
      </c>
    </row>
    <row r="478" hidden="1" outlineLevel="1" ht="14.4" customHeight="1" s="1127">
      <c r="B478" s="422" t="n"/>
      <c r="C478" s="518" t="n"/>
      <c r="D478" s="516" t="n"/>
      <c r="E478" s="517" t="n"/>
      <c r="F478" s="73" t="inlineStr">
        <is>
          <t>Оплатить надо</t>
        </is>
      </c>
    </row>
    <row r="479" hidden="1" outlineLevel="1" ht="14.4" customHeight="1" s="1127">
      <c r="B479" s="422" t="n"/>
      <c r="C479" s="518" t="n"/>
      <c r="D479" s="516" t="n"/>
      <c r="E479" s="517" t="n"/>
      <c r="F479" s="73" t="n"/>
    </row>
    <row r="480" hidden="1" outlineLevel="1" ht="14.4" customHeight="1" s="1127">
      <c r="B480" s="422" t="n"/>
      <c r="C480" s="518" t="n"/>
      <c r="D480" s="506" t="n"/>
      <c r="E480" s="507" t="n"/>
      <c r="F480" s="73" t="inlineStr">
        <is>
          <t>Оплатить надо</t>
        </is>
      </c>
    </row>
    <row r="481" hidden="1" outlineLevel="1" ht="14.4" customHeight="1" s="1127">
      <c r="B481" s="422" t="n"/>
      <c r="C481" s="518" t="n"/>
      <c r="D481" s="518" t="n"/>
      <c r="E481" s="519" t="n"/>
      <c r="F481" s="73" t="inlineStr">
        <is>
          <t>Оплатить надо</t>
        </is>
      </c>
    </row>
    <row r="482" hidden="1" outlineLevel="1" ht="14.4" customHeight="1" s="1127">
      <c r="B482" s="422" t="n"/>
      <c r="C482" s="518" t="n"/>
      <c r="D482" s="506" t="n"/>
      <c r="E482" s="507" t="n"/>
      <c r="F482" s="73" t="inlineStr">
        <is>
          <t>Оплатить надо</t>
        </is>
      </c>
    </row>
    <row r="483" hidden="1" outlineLevel="1" ht="13.8" customHeight="1" s="1127">
      <c r="B483" s="422" t="n"/>
      <c r="C483" s="68" t="n"/>
      <c r="D483" s="68" t="n"/>
      <c r="E483" s="520" t="n"/>
      <c r="F483" s="73" t="n"/>
    </row>
    <row r="484" hidden="1" outlineLevel="1" ht="13.8" customHeight="1" s="1127">
      <c r="B484" s="422" t="n"/>
      <c r="C484" s="68" t="n"/>
      <c r="D484" s="68" t="n"/>
      <c r="E484" s="520" t="n"/>
      <c r="F484" s="73" t="n"/>
    </row>
    <row r="485" hidden="1" outlineLevel="1" ht="13.8" customHeight="1" s="1127">
      <c r="B485" s="422" t="n"/>
      <c r="C485" s="68" t="n"/>
      <c r="D485" s="68" t="n"/>
      <c r="E485" s="520" t="n"/>
      <c r="F485" s="73" t="n"/>
    </row>
    <row r="486" hidden="1" outlineLevel="1" ht="13.8" customHeight="1" s="1127">
      <c r="B486" s="422" t="n"/>
      <c r="C486" s="68" t="n"/>
      <c r="D486" s="68" t="n"/>
      <c r="E486" s="520" t="n"/>
      <c r="F486" s="73" t="n"/>
    </row>
    <row r="487" hidden="1" outlineLevel="1" ht="13.8" customHeight="1" s="1127">
      <c r="B487" s="422" t="n"/>
      <c r="C487" s="68" t="n"/>
      <c r="D487" s="68" t="n"/>
      <c r="E487" s="520" t="n"/>
      <c r="F487" s="73" t="n"/>
    </row>
    <row r="488" hidden="1" outlineLevel="1" ht="13.8" customHeight="1" s="1127">
      <c r="B488" s="422" t="n"/>
      <c r="C488" s="68" t="n"/>
      <c r="D488" s="68" t="n"/>
      <c r="E488" s="520" t="n"/>
      <c r="F488" s="73" t="n"/>
    </row>
    <row r="489" hidden="1" outlineLevel="1" ht="13.8" customHeight="1" s="1127">
      <c r="B489" s="422" t="n"/>
      <c r="C489" s="68" t="n"/>
      <c r="D489" s="68" t="n"/>
      <c r="E489" s="520" t="n"/>
      <c r="F489" s="73" t="n"/>
    </row>
    <row r="490" hidden="1" outlineLevel="1" ht="13.8" customHeight="1" s="1127">
      <c r="B490" s="422" t="n"/>
      <c r="C490" s="68" t="n"/>
      <c r="D490" s="68" t="n"/>
      <c r="E490" s="520" t="n"/>
      <c r="F490" s="73" t="n"/>
    </row>
    <row r="491" hidden="1" outlineLevel="1" ht="13.8" customHeight="1" s="1127">
      <c r="B491" s="422" t="n"/>
      <c r="C491" s="68" t="n"/>
      <c r="D491" s="68" t="n"/>
      <c r="E491" s="520" t="n"/>
      <c r="F491" s="73" t="n"/>
    </row>
    <row r="492" hidden="1" outlineLevel="1" ht="13.8" customHeight="1" s="1127">
      <c r="B492" s="422" t="n"/>
      <c r="C492" s="68" t="n"/>
      <c r="D492" s="68" t="n"/>
      <c r="E492" s="520" t="n"/>
      <c r="F492" s="73" t="n"/>
    </row>
    <row r="493" hidden="1" outlineLevel="1" ht="13.8" customHeight="1" s="1127">
      <c r="B493" s="422" t="n"/>
      <c r="C493" s="68" t="n"/>
      <c r="D493" s="68" t="n"/>
      <c r="E493" s="520" t="n"/>
      <c r="F493" s="73" t="n"/>
    </row>
    <row r="494" hidden="1" outlineLevel="1" ht="13.8" customHeight="1" s="1127">
      <c r="B494" s="422" t="n"/>
      <c r="C494" s="68" t="n"/>
      <c r="D494" s="68" t="n"/>
      <c r="E494" s="520" t="n"/>
      <c r="F494" s="73" t="n"/>
    </row>
    <row r="495" hidden="1" outlineLevel="1" ht="13.8" customHeight="1" s="1127">
      <c r="B495" s="422" t="n"/>
      <c r="C495" s="68" t="n"/>
      <c r="D495" s="68" t="n"/>
      <c r="E495" s="520" t="n"/>
      <c r="F495" s="73" t="n"/>
    </row>
    <row r="496" hidden="1" outlineLevel="1" ht="13.8" customHeight="1" s="1127">
      <c r="B496" s="422" t="n"/>
      <c r="E496" s="219">
        <f>SUM(E452:E495)</f>
        <v/>
      </c>
      <c r="F496" s="501" t="n"/>
    </row>
    <row r="497" outlineLevel="1" ht="14.4" customHeight="1" s="1127">
      <c r="B497" s="422" t="n"/>
      <c r="C497" s="505" t="inlineStr">
        <is>
          <t>Витамин+</t>
        </is>
      </c>
      <c r="D497" s="68" t="n"/>
      <c r="E497" s="508" t="n">
        <v>800000</v>
      </c>
      <c r="F497" s="73" t="inlineStr">
        <is>
          <t xml:space="preserve">Оплачено </t>
        </is>
      </c>
    </row>
    <row r="498" outlineLevel="1" ht="14.4" customHeight="1" s="1127">
      <c r="B498" s="504" t="n">
        <v>46142</v>
      </c>
      <c r="C498" s="505" t="inlineStr">
        <is>
          <t>KazBeef Processing (КазБиф Процессинг) ТОО</t>
        </is>
      </c>
      <c r="D498" s="68" t="n"/>
      <c r="E498" s="508" t="n">
        <v>1028205</v>
      </c>
      <c r="F498" s="73" t="inlineStr">
        <is>
          <t xml:space="preserve">Оплачено </t>
        </is>
      </c>
    </row>
    <row r="499" ht="14.4" customHeight="1" s="1127">
      <c r="B499" s="422" t="n"/>
      <c r="C499" s="505" t="inlineStr">
        <is>
          <t>Adolar Group ТОО</t>
        </is>
      </c>
      <c r="D499" s="68" t="n"/>
      <c r="E499" s="508" t="n">
        <v>1000000</v>
      </c>
      <c r="F499" s="73" t="inlineStr">
        <is>
          <t xml:space="preserve">Оплачено </t>
        </is>
      </c>
    </row>
    <row r="500" ht="14.4" customHeight="1" s="1127">
      <c r="B500" s="422" t="n"/>
      <c r="C500" s="505" t="inlineStr">
        <is>
          <t>Adalpack ТОО</t>
        </is>
      </c>
      <c r="D500" s="68" t="n"/>
      <c r="E500" s="508" t="n">
        <v>140000</v>
      </c>
      <c r="F500" s="73" t="inlineStr">
        <is>
          <t xml:space="preserve">Оплачено </t>
        </is>
      </c>
    </row>
    <row r="501" ht="14.4" customHeight="1" s="1127">
      <c r="B501" s="422" t="n"/>
      <c r="C501" s="521" t="inlineStr">
        <is>
          <t>Office-Expert.kz</t>
        </is>
      </c>
      <c r="D501" s="68" t="n"/>
      <c r="E501" s="508" t="n">
        <v>94079</v>
      </c>
      <c r="F501" s="73" t="inlineStr">
        <is>
          <t xml:space="preserve">Оплачено </t>
        </is>
      </c>
    </row>
    <row r="502" ht="14.4" customHeight="1" s="1127">
      <c r="B502" s="422" t="n"/>
      <c r="C502" s="505" t="inlineStr">
        <is>
          <t>CIS market ТОО</t>
        </is>
      </c>
      <c r="D502" s="68" t="n"/>
      <c r="E502" s="508" t="n">
        <v>300000</v>
      </c>
      <c r="F502" s="73" t="inlineStr">
        <is>
          <t xml:space="preserve">Оплачено </t>
        </is>
      </c>
    </row>
    <row r="503" ht="14.4" customHeight="1" s="1127">
      <c r="B503" s="422" t="n"/>
      <c r="C503" s="505" t="inlineStr">
        <is>
          <t>Мясоперерабатывающий завод БИЖАН ТОО</t>
        </is>
      </c>
      <c r="D503" s="68" t="n"/>
      <c r="E503" s="508" t="n">
        <v>500000</v>
      </c>
      <c r="F503" s="73" t="inlineStr">
        <is>
          <t xml:space="preserve">Оплачено </t>
        </is>
      </c>
    </row>
    <row r="504" ht="14.4" customHeight="1" s="1127">
      <c r="B504" s="422" t="n"/>
      <c r="C504" s="505" t="inlineStr">
        <is>
          <t>Сергей логист</t>
        </is>
      </c>
      <c r="D504" s="68" t="n"/>
      <c r="E504" s="508" t="n">
        <v>1000000</v>
      </c>
      <c r="F504" s="73" t="inlineStr">
        <is>
          <t xml:space="preserve">Оплачено </t>
        </is>
      </c>
    </row>
    <row r="505" ht="14.4" customHeight="1" s="1127">
      <c r="B505" s="422" t="n"/>
      <c r="C505" s="505" t="inlineStr">
        <is>
          <t>Глобал Фуд ТОО</t>
        </is>
      </c>
      <c r="D505" s="68" t="n"/>
      <c r="E505" s="508" t="n">
        <v>500000</v>
      </c>
      <c r="F505" s="73" t="inlineStr">
        <is>
          <t xml:space="preserve">Оплачено </t>
        </is>
      </c>
    </row>
    <row r="506" ht="14.4" customHeight="1" s="1127">
      <c r="B506" s="422" t="n"/>
      <c r="C506" s="505" t="inlineStr">
        <is>
          <t>Global Halal Food ТОО</t>
        </is>
      </c>
      <c r="D506" s="68" t="n"/>
      <c r="E506" s="508" t="n">
        <v>609000</v>
      </c>
      <c r="F506" s="73" t="inlineStr">
        <is>
          <t xml:space="preserve">Оплачено </t>
        </is>
      </c>
    </row>
    <row r="507" ht="14.4" customHeight="1" s="1127">
      <c r="B507" s="422" t="n"/>
      <c r="C507" s="505" t="inlineStr">
        <is>
          <t>Ирмас ЛТД ТОО</t>
        </is>
      </c>
      <c r="D507" s="68" t="n"/>
      <c r="E507" s="508" t="n">
        <v>300000</v>
      </c>
      <c r="F507" s="73" t="inlineStr">
        <is>
          <t xml:space="preserve">Оплачено </t>
        </is>
      </c>
    </row>
    <row r="508" ht="14.4" customHeight="1" s="1127">
      <c r="B508" s="422" t="n"/>
      <c r="C508" s="505" t="inlineStr">
        <is>
          <t>Каз Ман Ет ТОО</t>
        </is>
      </c>
      <c r="D508" s="68" t="n"/>
      <c r="E508" s="508" t="n">
        <v>700000</v>
      </c>
      <c r="F508" s="73" t="inlineStr">
        <is>
          <t xml:space="preserve">Оплачено </t>
        </is>
      </c>
    </row>
    <row r="509" ht="14.4" customHeight="1" s="1127">
      <c r="B509" s="422" t="n"/>
      <c r="C509" s="505" t="inlineStr">
        <is>
          <t>Витамин+ ТОО</t>
        </is>
      </c>
      <c r="D509" s="68" t="n"/>
      <c r="E509" s="508" t="n">
        <v>1022810</v>
      </c>
      <c r="F509" s="73" t="inlineStr">
        <is>
          <t xml:space="preserve">Оплачено </t>
        </is>
      </c>
    </row>
    <row r="510" collapsed="1" ht="14.4" customHeight="1" s="1127">
      <c r="B510" s="422" t="n"/>
      <c r="C510" s="505" t="inlineStr">
        <is>
          <t>Ихсан Техногаз ТОО</t>
        </is>
      </c>
      <c r="D510" s="68" t="n"/>
      <c r="E510" s="508" t="n">
        <v>154000</v>
      </c>
      <c r="F510" s="73" t="inlineStr">
        <is>
          <t xml:space="preserve">Оплачено </t>
        </is>
      </c>
    </row>
    <row r="511" hidden="1" outlineLevel="1" ht="14.4" customHeight="1" s="1127">
      <c r="B511" s="422" t="n"/>
      <c r="C511" s="505" t="n"/>
      <c r="D511" s="68" t="n"/>
      <c r="E511" s="508" t="n"/>
      <c r="F511" s="73" t="inlineStr">
        <is>
          <t xml:space="preserve">Оплачено </t>
        </is>
      </c>
    </row>
    <row r="512" hidden="1" outlineLevel="1" ht="14.4" customHeight="1" s="1127">
      <c r="B512" s="422" t="n"/>
      <c r="C512" s="505" t="n"/>
      <c r="D512" s="68" t="n"/>
      <c r="E512" s="508" t="n"/>
      <c r="F512" s="73" t="inlineStr">
        <is>
          <t xml:space="preserve">Оплачено </t>
        </is>
      </c>
    </row>
    <row r="513" hidden="1" outlineLevel="1" ht="14.4" customHeight="1" s="1127">
      <c r="B513" s="422" t="n"/>
      <c r="C513" s="505" t="n"/>
      <c r="D513" s="68" t="n"/>
      <c r="E513" s="508" t="n"/>
      <c r="F513" s="73" t="inlineStr">
        <is>
          <t xml:space="preserve">Оплачено </t>
        </is>
      </c>
    </row>
    <row r="514" hidden="1" outlineLevel="1" ht="14.4" customHeight="1" s="1127">
      <c r="B514" s="422" t="n"/>
      <c r="C514" s="505" t="n"/>
      <c r="D514" s="68" t="n"/>
      <c r="E514" s="508" t="n"/>
      <c r="F514" s="73" t="inlineStr">
        <is>
          <t xml:space="preserve">Оплачено </t>
        </is>
      </c>
    </row>
    <row r="515" hidden="1" outlineLevel="1" ht="14.4" customHeight="1" s="1127">
      <c r="B515" s="422" t="n"/>
      <c r="C515" s="505" t="n"/>
      <c r="D515" s="68" t="n"/>
      <c r="E515" s="508" t="n"/>
      <c r="F515" s="73" t="inlineStr">
        <is>
          <t xml:space="preserve">Оплачено </t>
        </is>
      </c>
    </row>
    <row r="516" hidden="1" outlineLevel="1" ht="14.4" customHeight="1" s="1127">
      <c r="B516" s="422" t="n"/>
      <c r="C516" s="505" t="n"/>
      <c r="D516" s="68" t="n"/>
      <c r="E516" s="508" t="n"/>
      <c r="F516" s="73" t="inlineStr">
        <is>
          <t xml:space="preserve">Оплачено </t>
        </is>
      </c>
    </row>
    <row r="517" hidden="1" outlineLevel="1" ht="14.4" customHeight="1" s="1127">
      <c r="B517" s="422" t="n"/>
      <c r="C517" s="505" t="n"/>
      <c r="D517" s="68" t="n"/>
      <c r="E517" s="508" t="n"/>
      <c r="F517" s="73" t="inlineStr">
        <is>
          <t xml:space="preserve">Оплачено </t>
        </is>
      </c>
    </row>
    <row r="518" hidden="1" outlineLevel="1" ht="14.4" customHeight="1" s="1127">
      <c r="B518" s="422" t="n"/>
      <c r="C518" s="505" t="n"/>
      <c r="D518" s="68" t="n"/>
      <c r="E518" s="508" t="n"/>
      <c r="F518" s="73" t="inlineStr">
        <is>
          <t xml:space="preserve">Оплачено </t>
        </is>
      </c>
    </row>
    <row r="519" hidden="1" outlineLevel="1" ht="14.4" customHeight="1" s="1127">
      <c r="B519" s="422" t="n"/>
      <c r="C519" s="505" t="n"/>
      <c r="D519" s="68" t="n"/>
      <c r="E519" s="508" t="n"/>
      <c r="F519" s="73" t="inlineStr">
        <is>
          <t xml:space="preserve">Оплачено </t>
        </is>
      </c>
    </row>
    <row r="520" hidden="1" outlineLevel="1" ht="14.4" customHeight="1" s="1127">
      <c r="B520" s="422" t="n"/>
      <c r="C520" s="505" t="n"/>
      <c r="D520" s="68" t="n"/>
      <c r="E520" s="508" t="n"/>
      <c r="F520" s="73" t="inlineStr">
        <is>
          <t xml:space="preserve">Оплачено </t>
        </is>
      </c>
    </row>
    <row r="521" hidden="1" outlineLevel="1" ht="14.4" customHeight="1" s="1127">
      <c r="B521" s="422" t="n"/>
      <c r="C521" s="505" t="n"/>
      <c r="D521" s="68" t="n"/>
      <c r="E521" s="508" t="n"/>
      <c r="F521" s="73" t="inlineStr">
        <is>
          <t xml:space="preserve">Оплачено </t>
        </is>
      </c>
    </row>
    <row r="522" hidden="1" outlineLevel="1" ht="14.4" customHeight="1" s="1127">
      <c r="B522" s="422" t="n"/>
      <c r="C522" s="505" t="n"/>
      <c r="D522" s="68" t="n"/>
      <c r="E522" s="508" t="n"/>
      <c r="F522" s="73" t="inlineStr">
        <is>
          <t xml:space="preserve">Оплачено </t>
        </is>
      </c>
    </row>
    <row r="523" hidden="1" outlineLevel="1" ht="14.4" customHeight="1" s="1127">
      <c r="B523" s="422" t="n"/>
      <c r="C523" s="505" t="n"/>
      <c r="D523" s="68" t="n"/>
      <c r="E523" s="508" t="n"/>
      <c r="F523" s="73" t="inlineStr">
        <is>
          <t xml:space="preserve">Оплачено </t>
        </is>
      </c>
    </row>
    <row r="524" hidden="1" outlineLevel="1" ht="14.4" customHeight="1" s="1127">
      <c r="B524" s="422" t="n"/>
      <c r="C524" s="505" t="n"/>
      <c r="D524" s="68" t="n"/>
      <c r="E524" s="508" t="n"/>
      <c r="F524" s="73" t="inlineStr">
        <is>
          <t xml:space="preserve">Оплачено </t>
        </is>
      </c>
    </row>
    <row r="525" hidden="1" outlineLevel="1" ht="14.4" customHeight="1" s="1127">
      <c r="B525" s="422" t="n"/>
      <c r="C525" s="505" t="n"/>
      <c r="D525" s="68" t="n"/>
      <c r="E525" s="508" t="n"/>
      <c r="F525" s="73" t="inlineStr">
        <is>
          <t xml:space="preserve">Оплачено </t>
        </is>
      </c>
    </row>
    <row r="526" hidden="1" outlineLevel="1" ht="14.4" customHeight="1" s="1127">
      <c r="B526" s="422" t="n"/>
      <c r="C526" s="505" t="n"/>
      <c r="D526" s="68" t="n"/>
      <c r="E526" s="508" t="n"/>
      <c r="F526" s="73" t="inlineStr">
        <is>
          <t xml:space="preserve">Оплачено </t>
        </is>
      </c>
    </row>
    <row r="527" hidden="1" outlineLevel="1" ht="14.4" customHeight="1" s="1127">
      <c r="B527" s="422" t="n"/>
      <c r="C527" s="505" t="n"/>
      <c r="D527" s="68" t="n"/>
      <c r="E527" s="508" t="n"/>
      <c r="F527" s="73" t="inlineStr">
        <is>
          <t xml:space="preserve">Оплачено </t>
        </is>
      </c>
    </row>
    <row r="528" hidden="1" outlineLevel="1" ht="14.4" customHeight="1" s="1127">
      <c r="B528" s="422" t="n"/>
      <c r="C528" s="505" t="n"/>
      <c r="D528" s="68" t="n"/>
      <c r="E528" s="508" t="n"/>
      <c r="F528" s="73" t="inlineStr">
        <is>
          <t xml:space="preserve">Оплачено </t>
        </is>
      </c>
    </row>
    <row r="529" hidden="1" outlineLevel="1" ht="14.4" customHeight="1" s="1127">
      <c r="B529" s="422" t="n"/>
      <c r="C529" s="505" t="n"/>
      <c r="D529" s="68" t="n"/>
      <c r="E529" s="508" t="n"/>
      <c r="F529" s="73" t="inlineStr">
        <is>
          <t xml:space="preserve">Оплачено </t>
        </is>
      </c>
    </row>
    <row r="530" hidden="1" outlineLevel="1" ht="14.4" customHeight="1" s="1127">
      <c r="B530" s="422" t="n"/>
      <c r="C530" s="505" t="n"/>
      <c r="D530" s="68" t="n"/>
      <c r="E530" s="508" t="n"/>
      <c r="F530" s="73" t="inlineStr">
        <is>
          <t xml:space="preserve">Оплачено </t>
        </is>
      </c>
    </row>
    <row r="531" hidden="1" outlineLevel="1" ht="14.4" customHeight="1" s="1127">
      <c r="B531" s="422" t="n"/>
      <c r="C531" s="505" t="n"/>
      <c r="D531" s="68" t="n"/>
      <c r="E531" s="508" t="n"/>
      <c r="F531" s="73" t="inlineStr">
        <is>
          <t xml:space="preserve">Оплачено </t>
        </is>
      </c>
    </row>
    <row r="532" hidden="1" outlineLevel="1" ht="14.4" customHeight="1" s="1127">
      <c r="B532" s="422" t="n"/>
      <c r="C532" s="505" t="n"/>
      <c r="D532" s="68" t="n"/>
      <c r="E532" s="508" t="n"/>
      <c r="F532" s="73" t="inlineStr">
        <is>
          <t xml:space="preserve">Оплачено </t>
        </is>
      </c>
    </row>
    <row r="533" hidden="1" outlineLevel="1" ht="14.4" customHeight="1" s="1127">
      <c r="B533" s="422" t="n"/>
      <c r="C533" s="505" t="n"/>
      <c r="D533" s="68" t="n"/>
      <c r="E533" s="508" t="n"/>
      <c r="F533" s="73" t="inlineStr">
        <is>
          <t xml:space="preserve">Оплачено </t>
        </is>
      </c>
    </row>
    <row r="534" hidden="1" outlineLevel="1" ht="14.4" customHeight="1" s="1127">
      <c r="B534" s="422" t="n"/>
      <c r="C534" s="505" t="n"/>
      <c r="D534" s="68" t="n"/>
      <c r="E534" s="508" t="n"/>
      <c r="F534" s="73" t="inlineStr">
        <is>
          <t xml:space="preserve">Оплачено </t>
        </is>
      </c>
    </row>
    <row r="535" ht="14.4" customHeight="1" s="1127">
      <c r="B535" s="422" t="n"/>
      <c r="C535" s="505" t="inlineStr">
        <is>
          <t>Champello ТОО</t>
        </is>
      </c>
      <c r="D535" s="68" t="n"/>
      <c r="E535" s="508" t="n">
        <v>300000</v>
      </c>
      <c r="F535" s="73" t="inlineStr">
        <is>
          <t xml:space="preserve">Оплачено </t>
        </is>
      </c>
    </row>
    <row r="536" ht="14.4" customHeight="1" s="1127">
      <c r="B536" s="422" t="n"/>
      <c r="C536" s="505" t="inlineStr">
        <is>
          <t>ТОО Семь морей -Алматы</t>
        </is>
      </c>
      <c r="D536" s="68" t="n"/>
      <c r="E536" s="508" t="n">
        <v>151200</v>
      </c>
      <c r="F536" s="73" t="inlineStr">
        <is>
          <t xml:space="preserve">Оплачено </t>
        </is>
      </c>
      <c r="G536" s="456" t="inlineStr">
        <is>
          <t xml:space="preserve">наличка </t>
        </is>
      </c>
    </row>
    <row r="537" ht="14.4" customHeight="1" s="1127">
      <c r="B537" s="422" t="n"/>
      <c r="C537" s="505" t="inlineStr">
        <is>
          <t>Лейпурин ТОО</t>
        </is>
      </c>
      <c r="D537" s="68" t="n"/>
      <c r="E537" s="508" t="n">
        <v>218000</v>
      </c>
      <c r="F537" s="73" t="inlineStr">
        <is>
          <t xml:space="preserve">Оплачено </t>
        </is>
      </c>
    </row>
    <row r="538" ht="14.4" customHeight="1" s="1127">
      <c r="B538" s="422" t="n"/>
      <c r="C538" s="505" t="inlineStr">
        <is>
          <t>Мир Кондитера ИП</t>
        </is>
      </c>
      <c r="D538" s="68" t="n"/>
      <c r="E538" s="508" t="n">
        <v>200000</v>
      </c>
      <c r="F538" s="73" t="inlineStr">
        <is>
          <t xml:space="preserve">Оплачено </t>
        </is>
      </c>
    </row>
    <row r="539" ht="14.4" customHeight="1" s="1127">
      <c r="B539" s="522" t="n"/>
      <c r="C539" s="531" t="inlineStr">
        <is>
          <t>Succes овощи Айкоркем ИП</t>
        </is>
      </c>
      <c r="D539" s="544" t="n"/>
      <c r="E539" s="524" t="n">
        <v>50000</v>
      </c>
      <c r="F539" s="73" t="inlineStr">
        <is>
          <t xml:space="preserve">Оплачено </t>
        </is>
      </c>
    </row>
    <row r="540" ht="14.4" customHeight="1" s="1127">
      <c r="B540" s="522" t="n"/>
      <c r="C540" s="531" t="inlineStr">
        <is>
          <t>ИП Айсулу (Касым овощи)</t>
        </is>
      </c>
      <c r="D540" s="544" t="n"/>
      <c r="E540" s="524" t="n">
        <v>100000</v>
      </c>
      <c r="F540" s="73" t="inlineStr">
        <is>
          <t xml:space="preserve">Оплачено </t>
        </is>
      </c>
    </row>
    <row r="541" ht="14.4" customHeight="1" s="1127">
      <c r="B541" s="522" t="n"/>
      <c r="C541" s="525" t="inlineStr">
        <is>
          <t>Office-Expert.kz</t>
        </is>
      </c>
      <c r="D541" s="544" t="n"/>
      <c r="E541" s="524" t="n">
        <v>48950</v>
      </c>
      <c r="F541" s="73" t="inlineStr">
        <is>
          <t xml:space="preserve">Оплачено </t>
        </is>
      </c>
    </row>
    <row r="542" ht="14.4" customHeight="1" s="1127">
      <c r="B542" s="522" t="n"/>
      <c r="C542" s="531" t="inlineStr">
        <is>
          <t>Storm Technology ТОО</t>
        </is>
      </c>
      <c r="D542" s="544" t="n"/>
      <c r="E542" s="524" t="n">
        <v>215167</v>
      </c>
      <c r="F542" s="73" t="inlineStr">
        <is>
          <t xml:space="preserve">Оплачено </t>
        </is>
      </c>
    </row>
    <row r="543" ht="14.4" customHeight="1" s="1127">
      <c r="B543" s="522" t="n"/>
      <c r="C543" s="531" t="inlineStr">
        <is>
          <t>TOIMART TOO</t>
        </is>
      </c>
      <c r="D543" s="544" t="n"/>
      <c r="E543" s="524" t="n">
        <v>832228</v>
      </c>
      <c r="F543" s="73" t="inlineStr">
        <is>
          <t xml:space="preserve">Оплачено </t>
        </is>
      </c>
    </row>
    <row r="544" ht="14.4" customHeight="1" s="1127">
      <c r="B544" s="528" t="n">
        <v>46146</v>
      </c>
      <c r="C544" s="531" t="inlineStr">
        <is>
          <t>Исмагулов ИП</t>
        </is>
      </c>
      <c r="D544" s="544" t="n"/>
      <c r="E544" s="524" t="n">
        <v>700000</v>
      </c>
      <c r="F544" s="73" t="inlineStr">
        <is>
          <t xml:space="preserve">Оплачено </t>
        </is>
      </c>
    </row>
    <row r="545" ht="14.4" customHeight="1" s="1127">
      <c r="B545" s="529" t="n"/>
      <c r="C545" s="505" t="inlineStr">
        <is>
          <t>Alfa Distributors ИП</t>
        </is>
      </c>
      <c r="D545" s="68" t="n"/>
      <c r="E545" s="524" t="n">
        <v>19320</v>
      </c>
      <c r="F545" s="73" t="inlineStr">
        <is>
          <t xml:space="preserve">Оплачено </t>
        </is>
      </c>
    </row>
    <row r="546" ht="14.4" customHeight="1" s="1127">
      <c r="B546" s="529" t="n"/>
      <c r="C546" s="505" t="inlineStr">
        <is>
          <t>Joyu ТОО</t>
        </is>
      </c>
      <c r="D546" s="68" t="n"/>
      <c r="E546" s="524" t="n">
        <v>50000</v>
      </c>
      <c r="F546" s="73" t="inlineStr">
        <is>
          <t xml:space="preserve">Оплачено </t>
        </is>
      </c>
    </row>
    <row r="547" ht="14.4" customHeight="1" s="1127">
      <c r="B547" s="529" t="n"/>
      <c r="C547" s="531" t="inlineStr">
        <is>
          <t>Succes овощи Айкоркем ИП</t>
        </is>
      </c>
      <c r="D547" s="544" t="n"/>
      <c r="E547" s="524" t="n">
        <v>50000</v>
      </c>
      <c r="F547" s="73" t="inlineStr">
        <is>
          <t xml:space="preserve">Оплачено </t>
        </is>
      </c>
    </row>
    <row r="548" ht="14.4" customHeight="1" s="1127">
      <c r="B548" s="529" t="n"/>
      <c r="C548" s="531" t="inlineStr">
        <is>
          <t>ИП Айсулу (Касым овощи)</t>
        </is>
      </c>
      <c r="D548" s="544" t="n"/>
      <c r="E548" s="524" t="n">
        <v>100000</v>
      </c>
      <c r="F548" s="73" t="inlineStr">
        <is>
          <t xml:space="preserve">Оплачено </t>
        </is>
      </c>
    </row>
    <row r="549" ht="14.4" customHeight="1" s="1127">
      <c r="B549" s="529" t="n"/>
      <c r="C549" s="505" t="inlineStr">
        <is>
          <t>Шымкентмай АО</t>
        </is>
      </c>
      <c r="D549" s="68" t="n"/>
      <c r="E549" s="524" t="n">
        <v>438000</v>
      </c>
      <c r="F549" s="73" t="inlineStr">
        <is>
          <t xml:space="preserve">Оплачено </t>
        </is>
      </c>
    </row>
    <row r="550" ht="14.4" customHeight="1" s="1127">
      <c r="B550" s="529" t="n"/>
      <c r="C550" s="505" t="inlineStr">
        <is>
          <t>Ихсан Техногаз ТОО</t>
        </is>
      </c>
      <c r="D550" s="68" t="n"/>
      <c r="E550" s="524" t="n">
        <v>220000</v>
      </c>
      <c r="F550" s="73" t="inlineStr">
        <is>
          <t xml:space="preserve">Оплачено </t>
        </is>
      </c>
    </row>
    <row r="551" ht="14.4" customHeight="1" s="1127">
      <c r="B551" s="529" t="n"/>
      <c r="C551" s="505" t="inlineStr">
        <is>
          <t>Торговый дом ROKOS ТОО</t>
        </is>
      </c>
      <c r="D551" s="68" t="n"/>
      <c r="E551" s="524" t="n">
        <v>8890</v>
      </c>
      <c r="F551" s="73" t="inlineStr">
        <is>
          <t xml:space="preserve">Оплачено </t>
        </is>
      </c>
    </row>
    <row r="552" ht="14.4" customHeight="1" s="1127">
      <c r="B552" s="529" t="n"/>
      <c r="C552" s="505" t="inlineStr">
        <is>
          <t>D&amp;G distribution ИП</t>
        </is>
      </c>
      <c r="D552" s="68" t="n"/>
      <c r="E552" s="524" t="n">
        <v>53400</v>
      </c>
      <c r="F552" s="73" t="inlineStr">
        <is>
          <t xml:space="preserve">Оплачено </t>
        </is>
      </c>
    </row>
    <row r="553" ht="14.4" customHeight="1" s="1127">
      <c r="B553" s="529" t="n"/>
      <c r="C553" s="505" t="inlineStr">
        <is>
          <t>KARAVAN (Караван) ТОО</t>
        </is>
      </c>
      <c r="D553" s="68" t="n"/>
      <c r="E553" s="524" t="n">
        <v>20800</v>
      </c>
      <c r="F553" s="73" t="inlineStr">
        <is>
          <t xml:space="preserve">Оплачено </t>
        </is>
      </c>
    </row>
    <row r="554" ht="14.4" customHeight="1" s="1127">
      <c r="B554" s="529" t="n"/>
      <c r="C554" s="505" t="inlineStr">
        <is>
          <t>Ахмерова Ф.И. ИП</t>
        </is>
      </c>
      <c r="D554" s="68" t="n"/>
      <c r="E554" s="524" t="n">
        <v>91800</v>
      </c>
      <c r="F554" s="73" t="inlineStr">
        <is>
          <t xml:space="preserve">Оплачено </t>
        </is>
      </c>
    </row>
    <row r="555" ht="14.4" customHeight="1" s="1127">
      <c r="B555" s="529" t="n"/>
      <c r="C555" s="531" t="inlineStr">
        <is>
          <t>TGR Company ТОО</t>
        </is>
      </c>
      <c r="D555" s="544" t="n"/>
      <c r="E555" s="524" t="n">
        <v>153030</v>
      </c>
      <c r="F555" s="73" t="inlineStr">
        <is>
          <t xml:space="preserve">Оплачено </t>
        </is>
      </c>
    </row>
    <row r="556" ht="14.4" customHeight="1" s="1127">
      <c r="B556" s="529" t="n"/>
      <c r="C556" s="505" t="inlineStr">
        <is>
          <t>Лейпурин ТОО</t>
        </is>
      </c>
      <c r="D556" s="68" t="n"/>
      <c r="E556" s="524" t="n">
        <v>469500</v>
      </c>
      <c r="F556" s="73" t="inlineStr">
        <is>
          <t xml:space="preserve">Оплачено </t>
        </is>
      </c>
    </row>
    <row r="557" ht="14.4" customHeight="1" s="1127">
      <c r="B557" s="529" t="n"/>
      <c r="C557" s="505" t="inlineStr">
        <is>
          <t>Сергей логист</t>
        </is>
      </c>
      <c r="D557" s="68" t="n"/>
      <c r="E557" s="524" t="n">
        <v>300000</v>
      </c>
      <c r="F557" s="73" t="inlineStr">
        <is>
          <t xml:space="preserve">Оплачено </t>
        </is>
      </c>
    </row>
    <row r="558" ht="14.4" customHeight="1" s="1127">
      <c r="B558" s="528" t="n">
        <v>46146</v>
      </c>
      <c r="C558" s="505" t="inlineStr">
        <is>
          <t>Interrom Kazakhstan ТОО</t>
        </is>
      </c>
      <c r="D558" s="68" t="n"/>
      <c r="E558" s="524" t="n">
        <v>101230</v>
      </c>
      <c r="F558" s="73" t="inlineStr">
        <is>
          <t xml:space="preserve">Оплачено </t>
        </is>
      </c>
    </row>
    <row r="559" ht="14.4" customHeight="1" s="1127">
      <c r="B559" s="529" t="n"/>
      <c r="C559" s="505" t="inlineStr">
        <is>
          <t>Berry Company ТОО</t>
        </is>
      </c>
      <c r="D559" s="68" t="n"/>
      <c r="E559" s="524" t="n">
        <v>905340</v>
      </c>
      <c r="F559" s="73" t="inlineStr">
        <is>
          <t xml:space="preserve">Оплачено </t>
        </is>
      </c>
    </row>
    <row r="560" ht="14.4" customHeight="1" s="1127">
      <c r="B560" s="529" t="n"/>
      <c r="C560" s="505" t="inlineStr">
        <is>
          <t>Adolar Group ТОО</t>
        </is>
      </c>
      <c r="D560" s="68" t="n"/>
      <c r="E560" s="524" t="n">
        <v>1000000</v>
      </c>
      <c r="F560" s="73" t="inlineStr">
        <is>
          <t xml:space="preserve">Оплачено </t>
        </is>
      </c>
    </row>
    <row r="561" ht="14.4" customHeight="1" s="1127">
      <c r="B561" s="529" t="n"/>
      <c r="C561" s="505" t="inlineStr">
        <is>
          <t>Бест импорт ТОО</t>
        </is>
      </c>
      <c r="D561" s="68" t="n"/>
      <c r="E561" s="524" t="n">
        <v>700000</v>
      </c>
      <c r="F561" s="73" t="inlineStr">
        <is>
          <t xml:space="preserve">Оплачено </t>
        </is>
      </c>
    </row>
    <row r="562" ht="14.4" customHeight="1" s="1127">
      <c r="B562" s="529" t="n"/>
      <c r="C562" s="505" t="inlineStr">
        <is>
          <t>Витамин +</t>
        </is>
      </c>
      <c r="D562" s="68" t="n"/>
      <c r="E562" s="524" t="n">
        <v>700000</v>
      </c>
      <c r="F562" s="73" t="inlineStr">
        <is>
          <t xml:space="preserve">Оплачено </t>
        </is>
      </c>
    </row>
    <row r="563" ht="14.4" customHeight="1" s="1127">
      <c r="B563" s="529" t="n"/>
      <c r="C563" s="505" t="inlineStr">
        <is>
          <t xml:space="preserve">Тоймарт </t>
        </is>
      </c>
      <c r="D563" s="68" t="n"/>
      <c r="E563" s="524" t="n">
        <v>300000</v>
      </c>
      <c r="F563" s="73" t="inlineStr">
        <is>
          <t xml:space="preserve">Оплачено </t>
        </is>
      </c>
    </row>
    <row r="564" ht="14.4" customHeight="1" s="1127">
      <c r="B564" s="529" t="n"/>
      <c r="C564" s="505" t="inlineStr">
        <is>
          <t>Global Halal Food ТОО</t>
        </is>
      </c>
      <c r="D564" s="68" t="n"/>
      <c r="E564" s="524" t="n">
        <v>1000000</v>
      </c>
      <c r="F564" s="73" t="inlineStr">
        <is>
          <t xml:space="preserve">Оплачено </t>
        </is>
      </c>
    </row>
    <row r="565" ht="14.4" customHeight="1" s="1127">
      <c r="B565" s="529" t="n"/>
      <c r="C565" s="505" t="inlineStr">
        <is>
          <t>Лейпурин ТОО</t>
        </is>
      </c>
      <c r="D565" s="68" t="n"/>
      <c r="E565" s="524" t="n">
        <v>469500</v>
      </c>
      <c r="F565" s="73" t="inlineStr">
        <is>
          <t xml:space="preserve">Оплачено </t>
        </is>
      </c>
    </row>
    <row r="566" ht="14.4" customHeight="1" s="1127">
      <c r="B566" s="529" t="n"/>
      <c r="C566" s="505" t="inlineStr">
        <is>
          <t>Аяла Плюс ТОО</t>
        </is>
      </c>
      <c r="D566" s="68" t="n"/>
      <c r="E566" s="524" t="n">
        <v>629000</v>
      </c>
      <c r="F566" s="73" t="inlineStr">
        <is>
          <t xml:space="preserve">Оплачено </t>
        </is>
      </c>
    </row>
    <row r="567" ht="14.4" customHeight="1" s="1127">
      <c r="B567" s="529" t="n"/>
      <c r="C567" s="505" t="inlineStr">
        <is>
          <t>Bestseller Food Company ТОО</t>
        </is>
      </c>
      <c r="D567" s="68" t="n"/>
      <c r="E567" s="524" t="n">
        <v>533588</v>
      </c>
      <c r="F567" s="73" t="inlineStr">
        <is>
          <t xml:space="preserve">Оплачено </t>
        </is>
      </c>
    </row>
    <row r="568" ht="14.4" customHeight="1" s="1127">
      <c r="B568" s="529" t="n"/>
      <c r="C568" s="505" t="inlineStr">
        <is>
          <t xml:space="preserve">  </t>
        </is>
      </c>
      <c r="D568" s="509" t="inlineStr">
        <is>
          <t>Итого:</t>
        </is>
      </c>
      <c r="E568" s="524" t="n">
        <v>6338658</v>
      </c>
      <c r="F568" s="73" t="n"/>
    </row>
    <row r="569" ht="14.4" customHeight="1" s="1127">
      <c r="B569" s="528" t="n">
        <v>46147</v>
      </c>
      <c r="C569" s="531" t="inlineStr">
        <is>
          <t>MPARGO ТОО</t>
        </is>
      </c>
      <c r="D569" s="544" t="n"/>
      <c r="E569" s="524" t="n">
        <v>114400</v>
      </c>
      <c r="F569" s="73" t="inlineStr">
        <is>
          <t xml:space="preserve">Оплачено </t>
        </is>
      </c>
    </row>
    <row r="570" ht="14.4" customHeight="1" s="1127">
      <c r="B570" s="529" t="n"/>
      <c r="C570" s="531" t="inlineStr">
        <is>
          <t>Фудтехника ТОО</t>
        </is>
      </c>
      <c r="D570" s="544" t="n"/>
      <c r="E570" s="524" t="n">
        <v>683500</v>
      </c>
      <c r="F570" s="73" t="inlineStr">
        <is>
          <t xml:space="preserve">Оплачено </t>
        </is>
      </c>
    </row>
    <row r="571" ht="14.4" customHeight="1" s="1127">
      <c r="B571" s="529" t="n"/>
      <c r="C571" s="531" t="inlineStr">
        <is>
          <t>Food Company ТОО</t>
        </is>
      </c>
      <c r="D571" s="544" t="n"/>
      <c r="E571" s="524" t="n">
        <v>120960</v>
      </c>
      <c r="F571" s="73" t="inlineStr">
        <is>
          <t xml:space="preserve">Оплачено </t>
        </is>
      </c>
    </row>
    <row r="572" ht="14.4" customHeight="1" s="1127">
      <c r="B572" s="529" t="n"/>
      <c r="C572" s="531" t="inlineStr">
        <is>
          <t>CIS market ТОО</t>
        </is>
      </c>
      <c r="D572" s="544" t="n"/>
      <c r="E572" s="524" t="n">
        <v>250000</v>
      </c>
      <c r="F572" s="73" t="inlineStr">
        <is>
          <t xml:space="preserve">Оплачено </t>
        </is>
      </c>
    </row>
    <row r="573" ht="14.4" customHeight="1" s="1127">
      <c r="B573" s="529" t="n"/>
      <c r="C573" s="531" t="inlineStr">
        <is>
          <t>Almaty Develop STM ТОО</t>
        </is>
      </c>
      <c r="D573" s="544" t="n"/>
      <c r="E573" s="524" t="n">
        <v>500000</v>
      </c>
      <c r="F573" s="73" t="inlineStr">
        <is>
          <t xml:space="preserve">Оплачено </t>
        </is>
      </c>
    </row>
    <row r="574" ht="14.4" customHeight="1" s="1127">
      <c r="B574" s="529" t="n"/>
      <c r="C574" s="531" t="inlineStr">
        <is>
          <t>ARDO plast ТОО</t>
        </is>
      </c>
      <c r="D574" s="544" t="n"/>
      <c r="E574" s="524" t="n">
        <v>370000</v>
      </c>
      <c r="F574" s="73" t="inlineStr">
        <is>
          <t xml:space="preserve">Оплачено </t>
        </is>
      </c>
    </row>
    <row r="575" ht="14.4" customHeight="1" s="1127">
      <c r="B575" s="529" t="n"/>
      <c r="C575" s="531" t="inlineStr">
        <is>
          <t>Art Food ИП</t>
        </is>
      </c>
      <c r="D575" s="544" t="n"/>
      <c r="E575" s="524" t="n">
        <v>414408</v>
      </c>
      <c r="F575" s="73" t="inlineStr">
        <is>
          <t xml:space="preserve">Оплачено </t>
        </is>
      </c>
    </row>
    <row r="576" ht="14.4" customHeight="1" s="1127">
      <c r="B576" s="529" t="n"/>
      <c r="C576" s="531" t="inlineStr">
        <is>
          <t>Acvee market ТОО</t>
        </is>
      </c>
      <c r="D576" s="544" t="n"/>
      <c r="E576" s="524" t="n">
        <v>329250</v>
      </c>
      <c r="F576" s="73" t="inlineStr">
        <is>
          <t xml:space="preserve">Оплачено </t>
        </is>
      </c>
    </row>
    <row r="577" ht="14.4" customHeight="1" s="1127">
      <c r="B577" s="529" t="n"/>
      <c r="C577" s="531" t="n"/>
      <c r="D577" s="509" t="inlineStr">
        <is>
          <t>Итого:</t>
        </is>
      </c>
      <c r="E577" s="524" t="n">
        <v>2738860</v>
      </c>
      <c r="F577" s="73" t="n"/>
    </row>
    <row r="578" ht="14.4" customHeight="1" s="1127">
      <c r="B578" s="528" t="n">
        <v>46147</v>
      </c>
      <c r="C578" s="531" t="inlineStr">
        <is>
          <t>Казойл Продакшн А ТОО</t>
        </is>
      </c>
      <c r="D578" s="544" t="n"/>
      <c r="E578" s="524" t="n">
        <v>800000</v>
      </c>
      <c r="F578" s="73" t="inlineStr">
        <is>
          <t xml:space="preserve">Оплачено </t>
        </is>
      </c>
    </row>
    <row r="579" ht="14.4" customHeight="1" s="1127">
      <c r="B579" s="529" t="n"/>
      <c r="C579" s="531" t="inlineStr">
        <is>
          <t>Berry Company ТОО</t>
        </is>
      </c>
      <c r="D579" s="544" t="n"/>
      <c r="E579" s="524" t="n">
        <v>500000</v>
      </c>
      <c r="F579" s="73" t="inlineStr">
        <is>
          <t xml:space="preserve">Оплачено </t>
        </is>
      </c>
    </row>
    <row r="580" ht="14.4" customHeight="1" s="1127">
      <c r="B580" s="529" t="n"/>
      <c r="C580" s="531" t="inlineStr">
        <is>
          <t>Adolar Group ТОО</t>
        </is>
      </c>
      <c r="D580" s="544" t="n"/>
      <c r="E580" s="524" t="n">
        <v>500000</v>
      </c>
      <c r="F580" s="73" t="inlineStr">
        <is>
          <t xml:space="preserve">Оплачено </t>
        </is>
      </c>
    </row>
    <row r="581" ht="14.4" customHeight="1" s="1127">
      <c r="B581" s="529" t="n"/>
      <c r="C581" s="531" t="inlineStr">
        <is>
          <t>Global Halal Food ТОО</t>
        </is>
      </c>
      <c r="D581" s="544" t="n"/>
      <c r="E581" s="524" t="n">
        <v>500000</v>
      </c>
      <c r="F581" s="73" t="inlineStr">
        <is>
          <t xml:space="preserve">Оплачено </t>
        </is>
      </c>
    </row>
    <row r="582" ht="14.4" customHeight="1" s="1127">
      <c r="B582" s="529" t="n"/>
      <c r="C582" s="531" t="inlineStr">
        <is>
          <t>Витамин +</t>
        </is>
      </c>
      <c r="D582" s="544" t="n"/>
      <c r="E582" s="524" t="n">
        <v>500000</v>
      </c>
      <c r="F582" s="73" t="inlineStr">
        <is>
          <t xml:space="preserve">Оплачено </t>
        </is>
      </c>
    </row>
    <row r="583" ht="14.4" customHeight="1" s="1127">
      <c r="B583" s="529" t="n"/>
      <c r="C583" s="531" t="inlineStr">
        <is>
          <t>BravoSauda ТОО</t>
        </is>
      </c>
      <c r="D583" s="544" t="n"/>
      <c r="E583" s="524" t="n">
        <v>181200</v>
      </c>
      <c r="F583" s="73" t="inlineStr">
        <is>
          <t xml:space="preserve">Оплачено </t>
        </is>
      </c>
    </row>
    <row r="584" ht="14.4" customHeight="1" s="1127">
      <c r="B584" s="529" t="n"/>
      <c r="C584" s="531" t="inlineStr">
        <is>
          <t>KazBeef Processing (КазБиф Процессинг) ТОО</t>
        </is>
      </c>
      <c r="D584" s="68" t="n"/>
      <c r="E584" s="524" t="n">
        <v>300000</v>
      </c>
      <c r="F584" s="73" t="inlineStr">
        <is>
          <t xml:space="preserve">Оплачено </t>
        </is>
      </c>
    </row>
    <row r="585" ht="14.4" customHeight="1" s="1127">
      <c r="B585" s="529" t="n"/>
      <c r="C585" s="531" t="inlineStr">
        <is>
          <t>Компания В ТОО</t>
        </is>
      </c>
      <c r="D585" s="544" t="n"/>
      <c r="E585" s="524" t="n">
        <v>697124</v>
      </c>
      <c r="F585" s="73" t="inlineStr">
        <is>
          <t xml:space="preserve">Оплачено </t>
        </is>
      </c>
    </row>
    <row r="586" ht="14.4" customHeight="1" s="1127">
      <c r="B586" s="529" t="n"/>
      <c r="C586" s="531" t="inlineStr">
        <is>
          <t>Каз Ман Ет ТОО</t>
        </is>
      </c>
      <c r="D586" s="544" t="n"/>
      <c r="E586" s="524" t="n">
        <v>500000</v>
      </c>
      <c r="F586" s="73" t="inlineStr">
        <is>
          <t xml:space="preserve">Оплачено </t>
        </is>
      </c>
    </row>
    <row r="587" ht="14.4" customHeight="1" s="1127">
      <c r="B587" s="529" t="n"/>
      <c r="C587" s="531" t="inlineStr">
        <is>
          <t>Handy Yummy ИП</t>
        </is>
      </c>
      <c r="D587" s="544" t="n"/>
      <c r="E587" s="524" t="n">
        <v>500000</v>
      </c>
      <c r="F587" s="73" t="inlineStr">
        <is>
          <t xml:space="preserve">Оплачено </t>
        </is>
      </c>
    </row>
    <row r="588" ht="14.4" customHeight="1" s="1127">
      <c r="B588" s="529" t="n"/>
      <c r="C588" s="531" t="inlineStr">
        <is>
          <t>Мясоперерабатывающий завод БИЖАН ТОО</t>
        </is>
      </c>
      <c r="D588" s="544" t="n"/>
      <c r="E588" s="524" t="n">
        <v>313325</v>
      </c>
      <c r="F588" s="73" t="inlineStr">
        <is>
          <t xml:space="preserve">Оплачено </t>
        </is>
      </c>
    </row>
    <row r="589" ht="14.4" customHeight="1" s="1127">
      <c r="B589" s="529" t="n"/>
      <c r="C589" s="531" t="inlineStr">
        <is>
          <t>ИП Айсулу (Касым овощи)</t>
        </is>
      </c>
      <c r="D589" s="544" t="n"/>
      <c r="E589" s="524" t="n">
        <v>100000</v>
      </c>
      <c r="F589" s="73" t="inlineStr">
        <is>
          <t xml:space="preserve">Оплачено </t>
        </is>
      </c>
    </row>
    <row r="590" ht="14.4" customHeight="1" s="1127">
      <c r="B590" s="529" t="n"/>
      <c r="C590" s="531" t="n"/>
      <c r="D590" s="509" t="inlineStr">
        <is>
          <t>Итого:</t>
        </is>
      </c>
      <c r="E590" s="524" t="n">
        <v>5391649</v>
      </c>
      <c r="F590" s="73" t="n"/>
    </row>
    <row r="591" ht="14.4" customHeight="1" s="1127">
      <c r="B591" s="528" t="n">
        <v>46148</v>
      </c>
      <c r="C591" s="505" t="inlineStr">
        <is>
          <t xml:space="preserve">Сергей логист </t>
        </is>
      </c>
      <c r="D591" s="68" t="n"/>
      <c r="E591" s="524" t="n">
        <v>700000</v>
      </c>
      <c r="F591" s="73" t="inlineStr">
        <is>
          <t xml:space="preserve">Оплачено </t>
        </is>
      </c>
    </row>
    <row r="592" ht="14.4" customHeight="1" s="1127">
      <c r="B592" s="529" t="n"/>
      <c r="C592" s="505" t="inlineStr">
        <is>
          <t>Frozen Fruit ТОО</t>
        </is>
      </c>
      <c r="D592" s="68" t="n"/>
      <c r="E592" s="524" t="n">
        <v>1000000</v>
      </c>
      <c r="F592" s="73" t="inlineStr">
        <is>
          <t xml:space="preserve">Оплачено </t>
        </is>
      </c>
    </row>
    <row r="593" ht="14.4" customHeight="1" s="1127">
      <c r="B593" s="529" t="n"/>
      <c r="C593" s="505" t="inlineStr">
        <is>
          <t>Витамин + ТОО</t>
        </is>
      </c>
      <c r="D593" s="68" t="n"/>
      <c r="E593" s="524" t="n">
        <v>300000</v>
      </c>
      <c r="F593" s="73" t="inlineStr">
        <is>
          <t xml:space="preserve">Оплачено </t>
        </is>
      </c>
    </row>
    <row r="594" ht="14.4" customHeight="1" s="1127">
      <c r="B594" s="529" t="n"/>
      <c r="C594" s="531" t="n"/>
      <c r="D594" s="509" t="inlineStr">
        <is>
          <t>Итого:</t>
        </is>
      </c>
      <c r="E594" s="524" t="n">
        <v>2000000</v>
      </c>
      <c r="F594" s="73" t="n"/>
    </row>
    <row r="595" ht="14.4" customHeight="1" s="1127">
      <c r="B595" s="528" t="n">
        <v>46148</v>
      </c>
      <c r="C595" s="531" t="inlineStr">
        <is>
          <t>Succes овощи Айкоркем ИП</t>
        </is>
      </c>
      <c r="D595" s="544" t="n"/>
      <c r="E595" s="524" t="n">
        <v>700000</v>
      </c>
      <c r="F595" s="73" t="inlineStr">
        <is>
          <t xml:space="preserve">Оплачено </t>
        </is>
      </c>
    </row>
    <row r="596" ht="14.4" customHeight="1" s="1127">
      <c r="B596" s="529" t="n"/>
      <c r="C596" s="531" t="inlineStr">
        <is>
          <t>ТОО Химбаза</t>
        </is>
      </c>
      <c r="D596" s="544" t="n"/>
      <c r="E596" s="524" t="n">
        <v>96000</v>
      </c>
      <c r="F596" s="73" t="inlineStr">
        <is>
          <t xml:space="preserve">Оплачено </t>
        </is>
      </c>
    </row>
    <row r="597" ht="14.4" customHeight="1" s="1127">
      <c r="B597" s="529" t="n"/>
      <c r="C597" s="505" t="inlineStr">
        <is>
          <t>Исмагулов ИП</t>
        </is>
      </c>
      <c r="D597" s="68" t="n"/>
      <c r="E597" s="524" t="n">
        <v>700000</v>
      </c>
      <c r="F597" s="73" t="inlineStr">
        <is>
          <t xml:space="preserve">Оплачено </t>
        </is>
      </c>
    </row>
    <row r="598" ht="14.4" customHeight="1" s="1127">
      <c r="B598" s="529" t="n"/>
      <c r="C598" s="505" t="inlineStr">
        <is>
          <t>Бест импорт ТОО</t>
        </is>
      </c>
      <c r="D598" s="68" t="n"/>
      <c r="E598" s="524" t="n">
        <v>500000</v>
      </c>
      <c r="F598" s="73" t="inlineStr">
        <is>
          <t xml:space="preserve">Оплачено </t>
        </is>
      </c>
    </row>
    <row r="599" ht="14.4" customHeight="1" s="1127">
      <c r="B599" s="68" t="n"/>
      <c r="C599" s="505" t="inlineStr">
        <is>
          <t>Global Halal Food ТОО</t>
        </is>
      </c>
      <c r="D599" s="68" t="n"/>
      <c r="E599" s="524" t="n">
        <v>1000000</v>
      </c>
      <c r="F599" s="73" t="inlineStr">
        <is>
          <t xml:space="preserve">Оплачено </t>
        </is>
      </c>
    </row>
    <row r="600" ht="14.4" customHeight="1" s="1127">
      <c r="B600" s="68" t="n"/>
      <c r="C600" s="505" t="inlineStr">
        <is>
          <t>Ирмас ЛТД ТОО</t>
        </is>
      </c>
      <c r="D600" s="68" t="n"/>
      <c r="E600" s="524" t="n">
        <v>505260</v>
      </c>
      <c r="F600" s="73" t="inlineStr">
        <is>
          <t xml:space="preserve">Оплачено </t>
        </is>
      </c>
    </row>
    <row r="601" ht="14.4" customHeight="1" s="1127">
      <c r="B601" s="68" t="n"/>
      <c r="C601" s="531" t="inlineStr">
        <is>
          <t>Компания В ТОО</t>
        </is>
      </c>
      <c r="D601" s="68" t="n"/>
      <c r="E601" s="524" t="n">
        <v>92000</v>
      </c>
      <c r="F601" s="73" t="inlineStr">
        <is>
          <t xml:space="preserve">Оплачено </t>
        </is>
      </c>
    </row>
    <row r="602" ht="14.4" customHeight="1" s="1127">
      <c r="B602" s="68" t="n"/>
      <c r="C602" s="531" t="inlineStr">
        <is>
          <t>SWEEZARD ТОО</t>
        </is>
      </c>
      <c r="D602" s="68" t="n"/>
      <c r="E602" s="524" t="n">
        <v>1000000</v>
      </c>
      <c r="F602" s="73" t="inlineStr">
        <is>
          <t xml:space="preserve">Оплачено </t>
        </is>
      </c>
    </row>
    <row r="603" ht="14.4" customHeight="1" s="1127">
      <c r="B603" s="68" t="n"/>
      <c r="C603" s="505" t="inlineStr">
        <is>
          <t>Эрико ТОО</t>
        </is>
      </c>
      <c r="D603" s="68" t="n"/>
      <c r="E603" s="524" t="n">
        <v>316620</v>
      </c>
      <c r="F603" s="73" t="inlineStr">
        <is>
          <t xml:space="preserve">Оплачено </t>
        </is>
      </c>
    </row>
    <row r="604" ht="14.4" customHeight="1" s="1127">
      <c r="B604" s="68" t="n"/>
      <c r="C604" s="505" t="inlineStr">
        <is>
          <t>Lirumax ТОО</t>
        </is>
      </c>
      <c r="D604" s="68" t="n"/>
      <c r="E604" s="524" t="n">
        <v>292500</v>
      </c>
      <c r="F604" s="73" t="inlineStr">
        <is>
          <t xml:space="preserve">Оплачено </t>
        </is>
      </c>
    </row>
    <row r="605" ht="14.4" customHeight="1" s="1127">
      <c r="B605" s="68" t="n"/>
      <c r="C605" s="505" t="inlineStr">
        <is>
          <t>Глобал Фуд ТОО</t>
        </is>
      </c>
      <c r="D605" s="68" t="n"/>
      <c r="E605" s="524" t="n">
        <v>1100000</v>
      </c>
      <c r="F605" s="73" t="inlineStr">
        <is>
          <t xml:space="preserve">Оплачено </t>
        </is>
      </c>
    </row>
    <row r="606" ht="14.4" customHeight="1" s="1127">
      <c r="B606" s="68" t="n"/>
      <c r="C606" s="531" t="inlineStr">
        <is>
          <t>Adolar Group ТОО</t>
        </is>
      </c>
      <c r="D606" s="242" t="n"/>
      <c r="E606" s="524" t="n">
        <v>1000000</v>
      </c>
      <c r="F606" s="73" t="inlineStr">
        <is>
          <t xml:space="preserve">Оплачено </t>
        </is>
      </c>
    </row>
    <row r="607" ht="14.4" customHeight="1" s="1127">
      <c r="B607" s="68" t="n"/>
      <c r="C607" s="531" t="inlineStr">
        <is>
          <t>ИП Айсулу (Касым овощи)</t>
        </is>
      </c>
      <c r="D607" s="544" t="n"/>
      <c r="E607" s="524" t="n">
        <v>100000</v>
      </c>
      <c r="F607" s="73" t="inlineStr">
        <is>
          <t xml:space="preserve">Оплачено </t>
        </is>
      </c>
    </row>
    <row r="608" ht="14.4" customHeight="1" s="1127">
      <c r="B608" s="531" t="n"/>
      <c r="C608" s="531" t="inlineStr">
        <is>
          <t xml:space="preserve">Сергей логист </t>
        </is>
      </c>
      <c r="D608" s="544" t="n"/>
      <c r="E608" s="524" t="n">
        <v>600000</v>
      </c>
      <c r="F608" s="73" t="inlineStr">
        <is>
          <t xml:space="preserve">Оплачено </t>
        </is>
      </c>
    </row>
    <row r="609" ht="14.4" customHeight="1" s="1127">
      <c r="B609" s="68" t="n"/>
      <c r="C609" s="531" t="inlineStr">
        <is>
          <t>Каз Ман Ет ТОО</t>
        </is>
      </c>
      <c r="D609" s="544" t="inlineStr">
        <is>
          <t xml:space="preserve">  </t>
        </is>
      </c>
      <c r="E609" s="524" t="n">
        <v>800000</v>
      </c>
      <c r="F609" s="73" t="inlineStr">
        <is>
          <t xml:space="preserve">Оплачено </t>
        </is>
      </c>
    </row>
    <row r="610" ht="14.4" customHeight="1" s="1127">
      <c r="B610" s="68" t="n"/>
      <c r="C610" s="531" t="inlineStr">
        <is>
          <t>QAZAQ SAPA GROUP ТОО</t>
        </is>
      </c>
      <c r="D610" s="544" t="n"/>
      <c r="E610" s="524" t="n">
        <v>500000</v>
      </c>
      <c r="F610" s="73" t="inlineStr">
        <is>
          <t xml:space="preserve">Оплачено </t>
        </is>
      </c>
    </row>
    <row r="611" ht="14.4" customHeight="1" s="1127">
      <c r="B611" s="68" t="n"/>
      <c r="C611" s="242" t="n"/>
      <c r="D611" s="509" t="inlineStr">
        <is>
          <t>Итого:</t>
        </is>
      </c>
      <c r="E611" s="524">
        <f>SUM(E595:E610)</f>
        <v/>
      </c>
      <c r="F611" s="73" t="n"/>
    </row>
    <row r="612" ht="14.4" customHeight="1" s="1127">
      <c r="B612" s="528" t="n">
        <v>46154</v>
      </c>
      <c r="C612" s="505" t="inlineStr">
        <is>
          <t>Нарлен ет ТОО мясо</t>
        </is>
      </c>
      <c r="D612" s="68" t="n"/>
      <c r="E612" s="524" t="n">
        <v>207425</v>
      </c>
      <c r="F612" s="73" t="inlineStr">
        <is>
          <t xml:space="preserve">Оплачено </t>
        </is>
      </c>
    </row>
    <row r="613" ht="14.4" customHeight="1" s="1127">
      <c r="B613" s="68" t="n"/>
      <c r="C613" s="505" t="inlineStr">
        <is>
          <t>Аяла Плюс ТОО</t>
        </is>
      </c>
      <c r="D613" s="453" t="inlineStr">
        <is>
          <t xml:space="preserve">по предоплате </t>
        </is>
      </c>
      <c r="E613" s="524" t="n">
        <v>219300</v>
      </c>
      <c r="F613" s="73" t="inlineStr">
        <is>
          <t xml:space="preserve">Оплачено </t>
        </is>
      </c>
    </row>
    <row r="614" ht="14.4" customHeight="1" s="1127">
      <c r="B614" s="68" t="n"/>
      <c r="C614" s="505" t="inlineStr">
        <is>
          <t>Альбатрос ВЭД ТОО</t>
        </is>
      </c>
      <c r="D614" s="453" t="inlineStr">
        <is>
          <t xml:space="preserve">по предоплате </t>
        </is>
      </c>
      <c r="E614" s="524" t="n">
        <v>82500</v>
      </c>
      <c r="F614" s="73" t="inlineStr">
        <is>
          <t xml:space="preserve">Оплачено </t>
        </is>
      </c>
    </row>
    <row r="615" ht="14.4" customHeight="1" s="1127">
      <c r="B615" s="68" t="n"/>
      <c r="C615" s="505" t="inlineStr">
        <is>
          <t>Ахмерова Ф.И. ИП</t>
        </is>
      </c>
      <c r="D615" s="453" t="inlineStr">
        <is>
          <t xml:space="preserve">по предоплате </t>
        </is>
      </c>
      <c r="E615" s="524" t="n">
        <v>61200</v>
      </c>
      <c r="F615" s="73" t="inlineStr">
        <is>
          <t xml:space="preserve">Оплачено </t>
        </is>
      </c>
    </row>
    <row r="616" ht="14.4" customHeight="1" s="1127">
      <c r="B616" s="68" t="n"/>
      <c r="C616" s="505" t="inlineStr">
        <is>
          <t>Frozen Fruit ТОО</t>
        </is>
      </c>
      <c r="D616" s="453" t="inlineStr">
        <is>
          <t>на стопе</t>
        </is>
      </c>
      <c r="E616" s="524" t="n">
        <v>1002160</v>
      </c>
      <c r="F616" s="73" t="inlineStr">
        <is>
          <t xml:space="preserve">Оплачено </t>
        </is>
      </c>
    </row>
    <row r="617" ht="14.4" customHeight="1" s="1127">
      <c r="B617" s="68" t="n"/>
      <c r="C617" s="505" t="inlineStr">
        <is>
          <t>TGR Company ТОО</t>
        </is>
      </c>
      <c r="D617" s="453" t="inlineStr">
        <is>
          <t>на стопе</t>
        </is>
      </c>
      <c r="E617" s="524" t="n">
        <v>197000</v>
      </c>
      <c r="F617" s="73" t="inlineStr">
        <is>
          <t xml:space="preserve">Оплачено </t>
        </is>
      </c>
    </row>
    <row r="618" ht="14.4" customHeight="1" s="1127">
      <c r="B618" s="68" t="n"/>
      <c r="C618" s="552" t="inlineStr">
        <is>
          <t>Иналка Фуд Сервис ТОО</t>
        </is>
      </c>
      <c r="D618" s="68" t="n"/>
      <c r="E618" s="524" t="n">
        <v>1529000</v>
      </c>
      <c r="F618" s="73" t="inlineStr">
        <is>
          <t xml:space="preserve">Оплачено </t>
        </is>
      </c>
    </row>
    <row r="619" ht="14.4" customHeight="1" s="1127">
      <c r="B619" s="68" t="n"/>
      <c r="C619" s="531" t="inlineStr">
        <is>
          <t>ПРОТЭК-АЛМАТЫ ТОО</t>
        </is>
      </c>
      <c r="D619" s="453" t="inlineStr">
        <is>
          <t>на стопе</t>
        </is>
      </c>
      <c r="E619" s="524" t="n">
        <v>1000000</v>
      </c>
      <c r="F619" s="73" t="inlineStr">
        <is>
          <t xml:space="preserve">Оплачено </t>
        </is>
      </c>
    </row>
    <row r="620" ht="14.4" customHeight="1" s="1127">
      <c r="B620" s="68" t="n"/>
      <c r="C620" s="505" t="inlineStr">
        <is>
          <t>Lirumax ТОО</t>
        </is>
      </c>
      <c r="D620" s="453" t="inlineStr">
        <is>
          <t>на стопе</t>
        </is>
      </c>
      <c r="E620" s="524" t="n">
        <v>292500</v>
      </c>
      <c r="F620" s="73" t="inlineStr">
        <is>
          <t xml:space="preserve">Оплачено </t>
        </is>
      </c>
    </row>
    <row r="621" ht="14.4" customHeight="1" s="1127">
      <c r="B621" s="68" t="n"/>
      <c r="C621" s="505" t="inlineStr">
        <is>
          <t>GRIND ИП</t>
        </is>
      </c>
      <c r="D621" s="68" t="n"/>
      <c r="E621" s="524" t="n">
        <v>13600</v>
      </c>
      <c r="F621" s="73" t="inlineStr">
        <is>
          <t xml:space="preserve">Оплачено </t>
        </is>
      </c>
    </row>
    <row r="622" ht="14.4" customHeight="1" s="1127">
      <c r="B622" s="68" t="n"/>
      <c r="C622" s="505" t="inlineStr">
        <is>
          <t>Сергей логист</t>
        </is>
      </c>
      <c r="D622" s="68" t="n"/>
      <c r="E622" s="524" t="n">
        <v>1500000</v>
      </c>
      <c r="F622" s="73" t="inlineStr">
        <is>
          <t xml:space="preserve">Оплачено </t>
        </is>
      </c>
    </row>
    <row r="623" ht="14.4" customHeight="1" s="1127">
      <c r="B623" s="68" t="n"/>
      <c r="C623" s="552" t="n"/>
      <c r="D623" s="509" t="inlineStr">
        <is>
          <t>Итого:</t>
        </is>
      </c>
      <c r="E623" s="524">
        <f>SUM(E612:E622)</f>
        <v/>
      </c>
      <c r="F623" s="73" t="n"/>
    </row>
    <row r="624" ht="14.4" customHeight="1" s="1127">
      <c r="B624" s="528" t="n">
        <v>46154</v>
      </c>
      <c r="C624" s="531" t="inlineStr">
        <is>
          <t>Витамин +</t>
        </is>
      </c>
      <c r="D624" s="68" t="n"/>
      <c r="E624" s="524" t="n">
        <v>1000000</v>
      </c>
      <c r="F624" s="73" t="inlineStr">
        <is>
          <t xml:space="preserve">Оплачено </t>
        </is>
      </c>
    </row>
    <row r="625" ht="14.4" customHeight="1" s="1127">
      <c r="B625" s="68" t="n"/>
      <c r="C625" s="531" t="inlineStr">
        <is>
          <t>ПРОТЭК-АЛМАТЫ ТОО</t>
        </is>
      </c>
      <c r="D625" s="453" t="inlineStr">
        <is>
          <t>на стопе</t>
        </is>
      </c>
      <c r="E625" s="524" t="n">
        <v>520940</v>
      </c>
      <c r="F625" s="73" t="inlineStr">
        <is>
          <t xml:space="preserve">Оплачено </t>
        </is>
      </c>
    </row>
    <row r="626" ht="14.4" customHeight="1" s="1127">
      <c r="B626" s="68" t="n"/>
      <c r="C626" s="505" t="inlineStr">
        <is>
          <t>Viki-Kazakhstan ТОО</t>
        </is>
      </c>
      <c r="D626" s="68" t="n"/>
      <c r="E626" s="524" t="n">
        <v>1024527</v>
      </c>
      <c r="F626" s="73" t="inlineStr">
        <is>
          <t xml:space="preserve">Оплачено </t>
        </is>
      </c>
    </row>
    <row r="627" ht="14.4" customHeight="1" s="1127">
      <c r="B627" s="68" t="n"/>
      <c r="C627" s="531" t="inlineStr">
        <is>
          <t>Каз Ман Ет ТОО</t>
        </is>
      </c>
      <c r="D627" s="68" t="n"/>
      <c r="E627" s="524" t="n">
        <v>1246200</v>
      </c>
      <c r="F627" s="73" t="inlineStr">
        <is>
          <t xml:space="preserve">Оплачено </t>
        </is>
      </c>
    </row>
    <row r="628" ht="14.4" customHeight="1" s="1127">
      <c r="B628" s="68" t="n"/>
      <c r="C628" s="531" t="inlineStr">
        <is>
          <t>QAZAQ SAPA GROUP ТОО</t>
        </is>
      </c>
      <c r="D628" s="453" t="n"/>
      <c r="E628" s="524" t="n">
        <v>500000</v>
      </c>
      <c r="F628" s="73" t="inlineStr">
        <is>
          <t xml:space="preserve">Оплачено </t>
        </is>
      </c>
    </row>
    <row r="629" ht="14.4" customHeight="1" s="1127">
      <c r="B629" s="68" t="n"/>
      <c r="C629" s="505" t="n"/>
      <c r="D629" s="509" t="inlineStr">
        <is>
          <t>Итого:</t>
        </is>
      </c>
      <c r="E629" s="524">
        <f>SUM(E624:E628)</f>
        <v/>
      </c>
      <c r="F629" s="73" t="n"/>
    </row>
    <row r="630" ht="14.4" customHeight="1" s="1127">
      <c r="B630" s="528" t="n">
        <v>46155</v>
      </c>
      <c r="C630" s="505" t="inlineStr">
        <is>
          <t>Шымкентмай АО</t>
        </is>
      </c>
      <c r="D630" s="453" t="inlineStr">
        <is>
          <t xml:space="preserve">по предоплате </t>
        </is>
      </c>
      <c r="E630" s="524" t="n">
        <v>657000</v>
      </c>
      <c r="F630" s="73" t="inlineStr">
        <is>
          <t xml:space="preserve">Оплачено </t>
        </is>
      </c>
    </row>
    <row r="631" ht="14.4" customHeight="1" s="1127">
      <c r="B631" s="68" t="n"/>
      <c r="C631" s="505" t="inlineStr">
        <is>
          <t>Казойл Продакшн А ТОО</t>
        </is>
      </c>
      <c r="D631" s="453" t="n"/>
      <c r="E631" s="524" t="n">
        <v>1500000</v>
      </c>
      <c r="F631" s="73" t="inlineStr">
        <is>
          <t xml:space="preserve">Оплачено </t>
        </is>
      </c>
    </row>
    <row r="632" ht="14.4" customHeight="1" s="1127">
      <c r="B632" s="68" t="n"/>
      <c r="C632" s="531" t="inlineStr">
        <is>
          <t>TGR Company</t>
        </is>
      </c>
      <c r="D632" s="453" t="n"/>
      <c r="E632" s="524" t="n">
        <v>208000</v>
      </c>
      <c r="F632" s="73" t="inlineStr">
        <is>
          <t xml:space="preserve">Оплачено </t>
        </is>
      </c>
    </row>
    <row r="633" ht="14.4" customHeight="1" s="1127">
      <c r="B633" s="528" t="n">
        <v>46155</v>
      </c>
      <c r="C633" s="505" t="n"/>
      <c r="D633" s="509" t="inlineStr">
        <is>
          <t>Итого:</t>
        </is>
      </c>
      <c r="E633" s="524" t="n">
        <v>2365000</v>
      </c>
      <c r="F633" s="73" t="n"/>
    </row>
    <row r="634" ht="14.4" customHeight="1" s="1127">
      <c r="B634" s="68" t="n"/>
      <c r="C634" s="531" t="inlineStr">
        <is>
          <t xml:space="preserve">Эрико ТОО этикетки </t>
        </is>
      </c>
      <c r="D634" s="453" t="inlineStr">
        <is>
          <t xml:space="preserve">по предоплате </t>
        </is>
      </c>
      <c r="E634" s="524" t="n">
        <v>500000</v>
      </c>
      <c r="F634" s="73" t="inlineStr">
        <is>
          <t xml:space="preserve">Оплачено </t>
        </is>
      </c>
    </row>
    <row r="635" ht="14.4" customHeight="1" s="1127">
      <c r="B635" s="68" t="n"/>
      <c r="C635" s="531" t="inlineStr">
        <is>
          <t>TOIMART TOO</t>
        </is>
      </c>
      <c r="D635" s="68" t="n"/>
      <c r="E635" s="524" t="n">
        <v>763118</v>
      </c>
      <c r="F635" s="73" t="inlineStr">
        <is>
          <t xml:space="preserve">Оплачено </t>
        </is>
      </c>
    </row>
    <row r="636" ht="14.4" customHeight="1" s="1127">
      <c r="B636" s="68" t="n"/>
      <c r="C636" s="452" t="inlineStr">
        <is>
          <t>Деметро ПК ТОО</t>
        </is>
      </c>
      <c r="D636" s="68" t="n"/>
      <c r="E636" s="524" t="n">
        <v>74230</v>
      </c>
      <c r="F636" s="73" t="inlineStr">
        <is>
          <t xml:space="preserve">Оплачено </t>
        </is>
      </c>
    </row>
    <row r="637" ht="14.4" customHeight="1" s="1127">
      <c r="B637" s="533" t="n"/>
      <c r="C637" s="452" t="inlineStr">
        <is>
          <t>Handy Yummy ИП</t>
        </is>
      </c>
      <c r="D637" s="68" t="n"/>
      <c r="E637" s="524" t="n">
        <v>700000</v>
      </c>
      <c r="F637" s="73" t="inlineStr">
        <is>
          <t xml:space="preserve">Оплачено </t>
        </is>
      </c>
    </row>
    <row r="638" ht="14.4" customHeight="1" s="1127">
      <c r="B638" s="68" t="n"/>
      <c r="C638" s="505" t="inlineStr">
        <is>
          <t>Глобал Фуд ТОО</t>
        </is>
      </c>
      <c r="D638" s="68" t="n"/>
      <c r="E638" s="524" t="n">
        <v>500000</v>
      </c>
      <c r="F638" s="73" t="inlineStr">
        <is>
          <t xml:space="preserve">Оплачено </t>
        </is>
      </c>
    </row>
    <row r="639" ht="14.4" customHeight="1" s="1127">
      <c r="B639" s="68" t="n"/>
      <c r="C639" s="505" t="inlineStr">
        <is>
          <t>Almaty Cleaning Products Х* Таблетки д/пароконвектомата</t>
        </is>
      </c>
      <c r="D639" s="68" t="n"/>
      <c r="E639" s="524" t="n">
        <v>96000</v>
      </c>
      <c r="F639" s="73" t="inlineStr">
        <is>
          <t xml:space="preserve">Оплачено </t>
        </is>
      </c>
    </row>
    <row r="640" ht="14.4" customHeight="1" s="1127">
      <c r="B640" s="68" t="n"/>
      <c r="C640" s="531" t="inlineStr">
        <is>
          <t>Ихсан Техногаз ТОО</t>
        </is>
      </c>
      <c r="D640" s="544" t="n"/>
      <c r="E640" s="524" t="n">
        <v>330000</v>
      </c>
      <c r="F640" s="73" t="inlineStr">
        <is>
          <t xml:space="preserve">Оплачено </t>
        </is>
      </c>
    </row>
    <row r="641" ht="14.4" customHeight="1" s="1127">
      <c r="B641" s="68" t="n"/>
      <c r="C641" s="531" t="inlineStr">
        <is>
          <t>StroyLux ТОО</t>
        </is>
      </c>
      <c r="D641" s="534" t="n"/>
      <c r="E641" s="524" t="n">
        <v>768300</v>
      </c>
      <c r="F641" s="73" t="inlineStr">
        <is>
          <t xml:space="preserve">Оплачено </t>
        </is>
      </c>
    </row>
    <row r="642" ht="14.4" customHeight="1" s="1127">
      <c r="B642" s="68" t="n"/>
      <c r="C642" s="531" t="inlineStr">
        <is>
          <t>RB Brands ТОО</t>
        </is>
      </c>
      <c r="D642" s="544" t="n"/>
      <c r="E642" s="524" t="n">
        <v>300000</v>
      </c>
      <c r="F642" s="73" t="inlineStr">
        <is>
          <t xml:space="preserve">Оплачено </t>
        </is>
      </c>
    </row>
    <row r="643" ht="14.4" customHeight="1" s="1127">
      <c r="B643" s="68" t="n"/>
      <c r="C643" s="505" t="inlineStr">
        <is>
          <t>Global Halal Food ТОО</t>
        </is>
      </c>
      <c r="D643" s="68" t="n"/>
      <c r="E643" s="524" t="n">
        <v>1518164</v>
      </c>
      <c r="F643" s="73" t="inlineStr">
        <is>
          <t xml:space="preserve">Оплачено </t>
        </is>
      </c>
    </row>
    <row r="644" ht="14.4" customHeight="1" s="1127">
      <c r="B644" s="68" t="n"/>
      <c r="C644" s="505" t="inlineStr">
        <is>
          <t>Сергей логист</t>
        </is>
      </c>
      <c r="D644" s="68" t="n"/>
      <c r="E644" s="524" t="n">
        <v>500000</v>
      </c>
      <c r="F644" s="73" t="inlineStr">
        <is>
          <t xml:space="preserve">Оплачено </t>
        </is>
      </c>
    </row>
    <row r="645" ht="14.4" customHeight="1" s="1127">
      <c r="B645" s="68" t="n"/>
      <c r="C645" s="531" t="n"/>
      <c r="D645" s="509" t="inlineStr">
        <is>
          <t>Итого:</t>
        </is>
      </c>
      <c r="E645" s="524">
        <f>SUM(E634:E644)</f>
        <v/>
      </c>
      <c r="F645" s="73" t="n"/>
    </row>
    <row r="646" ht="14.4" customHeight="1" s="1127">
      <c r="B646" s="528" t="n">
        <v>46156</v>
      </c>
      <c r="C646" s="531" t="inlineStr">
        <is>
          <t>Витамин +</t>
        </is>
      </c>
      <c r="D646" s="68" t="n"/>
      <c r="E646" s="524" t="n">
        <v>500000</v>
      </c>
      <c r="F646" s="73" t="inlineStr">
        <is>
          <t xml:space="preserve">Оплачено </t>
        </is>
      </c>
    </row>
    <row r="647" ht="14.4" customHeight="1" s="1127">
      <c r="B647" s="68" t="n"/>
      <c r="C647" s="531" t="inlineStr">
        <is>
          <t xml:space="preserve">Эрико ТОО этикетки </t>
        </is>
      </c>
      <c r="D647" s="453" t="inlineStr">
        <is>
          <t xml:space="preserve">по предоплате </t>
        </is>
      </c>
      <c r="E647" s="524" t="n">
        <v>530865</v>
      </c>
      <c r="F647" s="73" t="inlineStr">
        <is>
          <t xml:space="preserve">Оплачено </t>
        </is>
      </c>
    </row>
    <row r="648" ht="14.4" customHeight="1" s="1127">
      <c r="B648" s="529" t="n"/>
      <c r="C648" s="531" t="inlineStr">
        <is>
          <t>Исмагулов ИП</t>
        </is>
      </c>
      <c r="D648" s="68" t="n"/>
      <c r="E648" s="524" t="n">
        <v>772000</v>
      </c>
      <c r="F648" s="73" t="inlineStr">
        <is>
          <t xml:space="preserve">Оплачено </t>
        </is>
      </c>
    </row>
    <row r="649" ht="14.4" customHeight="1" s="1127">
      <c r="B649" s="68" t="n"/>
      <c r="C649" s="531" t="inlineStr">
        <is>
          <t>Евразиан Фудс Корпорэйшн АО</t>
        </is>
      </c>
      <c r="D649" s="453" t="inlineStr">
        <is>
          <t xml:space="preserve">на стопе </t>
        </is>
      </c>
      <c r="E649" s="524" t="n">
        <v>500000</v>
      </c>
      <c r="F649" s="73" t="inlineStr">
        <is>
          <t xml:space="preserve">Оплачено </t>
        </is>
      </c>
    </row>
    <row r="650" ht="14.4" customHeight="1" s="1127">
      <c r="B650" s="68" t="n"/>
      <c r="C650" s="531" t="n"/>
      <c r="D650" s="509" t="inlineStr">
        <is>
          <t>Итого:</t>
        </is>
      </c>
      <c r="E650" s="524">
        <f>SUM(E646:E649)</f>
        <v/>
      </c>
      <c r="F650" s="73" t="n"/>
    </row>
    <row r="651" ht="14.4" customHeight="1" s="1127">
      <c r="B651" s="528" t="n">
        <v>46156</v>
      </c>
      <c r="C651" s="531" t="inlineStr">
        <is>
          <t>DFK food ИП</t>
        </is>
      </c>
      <c r="D651" s="453" t="inlineStr">
        <is>
          <t xml:space="preserve">на стопе </t>
        </is>
      </c>
      <c r="E651" s="524" t="n">
        <v>517650</v>
      </c>
      <c r="F651" s="73" t="inlineStr">
        <is>
          <t xml:space="preserve">Оплачено </t>
        </is>
      </c>
    </row>
    <row r="652" ht="14.4" customHeight="1" s="1127">
      <c r="B652" s="68" t="n"/>
      <c r="C652" s="452" t="inlineStr">
        <is>
          <t>Бест импорт ТОО</t>
        </is>
      </c>
      <c r="D652" s="68" t="n"/>
      <c r="E652" s="524" t="n">
        <v>700000</v>
      </c>
      <c r="F652" s="73" t="inlineStr">
        <is>
          <t xml:space="preserve">Оплачено </t>
        </is>
      </c>
    </row>
    <row r="653" ht="14.4" customHeight="1" s="1127">
      <c r="B653" s="68" t="n"/>
      <c r="C653" s="531" t="inlineStr">
        <is>
          <t>Каз Ман Ет ТОО</t>
        </is>
      </c>
      <c r="D653" s="453" t="n"/>
      <c r="E653" s="524" t="n">
        <v>1000000</v>
      </c>
      <c r="F653" s="73" t="inlineStr">
        <is>
          <t xml:space="preserve">Оплачено </t>
        </is>
      </c>
    </row>
    <row r="654" ht="14.4" customHeight="1" s="1127">
      <c r="B654" s="68" t="n"/>
      <c r="C654" s="505" t="inlineStr">
        <is>
          <t>Мир Кондитера ИП</t>
        </is>
      </c>
      <c r="D654" s="453" t="inlineStr">
        <is>
          <t xml:space="preserve">на стопе </t>
        </is>
      </c>
      <c r="E654" s="524" t="n">
        <v>309150</v>
      </c>
      <c r="F654" s="73" t="inlineStr">
        <is>
          <t xml:space="preserve">Оплачено </t>
        </is>
      </c>
    </row>
    <row r="655" ht="14.4" customHeight="1" s="1127">
      <c r="B655" s="68" t="n"/>
      <c r="C655" s="531" t="inlineStr">
        <is>
          <t>Витамин +</t>
        </is>
      </c>
      <c r="D655" s="68" t="n"/>
      <c r="E655" s="524" t="n">
        <v>200000</v>
      </c>
      <c r="F655" s="73" t="inlineStr">
        <is>
          <t xml:space="preserve">Оплачено </t>
        </is>
      </c>
    </row>
    <row r="656" ht="14.4" customHeight="1" s="1127">
      <c r="B656" s="68" t="n"/>
      <c r="C656" s="505" t="inlineStr">
        <is>
          <t>Berry Company ТОО</t>
        </is>
      </c>
      <c r="E656" s="524" t="n">
        <v>528340</v>
      </c>
      <c r="F656" s="73" t="inlineStr">
        <is>
          <t xml:space="preserve">Оплачено </t>
        </is>
      </c>
    </row>
    <row r="657" ht="14.4" customHeight="1" s="1127">
      <c r="B657" s="68" t="n"/>
      <c r="C657" s="531" t="inlineStr">
        <is>
          <t>Adolar Group ТОО</t>
        </is>
      </c>
      <c r="D657" s="68" t="n"/>
      <c r="E657" s="524" t="n">
        <v>450000</v>
      </c>
      <c r="F657" s="73" t="inlineStr">
        <is>
          <t xml:space="preserve">Оплачено </t>
        </is>
      </c>
    </row>
    <row r="658" ht="14.4" customHeight="1" s="1127">
      <c r="B658" s="68" t="n"/>
      <c r="C658" s="452" t="inlineStr">
        <is>
          <t>Ирмас ЛТД ТОО</t>
        </is>
      </c>
      <c r="D658" s="68" t="n"/>
      <c r="E658" s="524" t="n">
        <v>490780</v>
      </c>
      <c r="F658" s="73" t="inlineStr">
        <is>
          <t xml:space="preserve">Оплачено </t>
        </is>
      </c>
    </row>
    <row r="659" ht="14.4" customHeight="1" s="1127">
      <c r="B659" s="68" t="n"/>
      <c r="C659" s="452" t="inlineStr">
        <is>
          <t>Первомайские Деликатесы ТОО</t>
        </is>
      </c>
      <c r="D659" s="68" t="n"/>
      <c r="E659" s="524" t="n">
        <v>300000</v>
      </c>
      <c r="F659" s="73" t="inlineStr">
        <is>
          <t xml:space="preserve">Оплачено </t>
        </is>
      </c>
    </row>
    <row r="660" ht="14.4" customHeight="1" s="1127">
      <c r="B660" s="68" t="n"/>
      <c r="C660" s="531" t="inlineStr">
        <is>
          <t>Овощи Касым</t>
        </is>
      </c>
      <c r="D660" s="68" t="n"/>
      <c r="E660" s="524" t="n">
        <v>120227</v>
      </c>
      <c r="F660" s="73" t="inlineStr">
        <is>
          <t xml:space="preserve">Оплачено </t>
        </is>
      </c>
    </row>
    <row r="661" ht="14.4" customHeight="1" s="1127">
      <c r="B661" s="68" t="n"/>
      <c r="C661" s="452" t="inlineStr">
        <is>
          <t>КазАгроПромТрейд ТОО</t>
        </is>
      </c>
      <c r="D661" s="68" t="n"/>
      <c r="E661" s="524" t="n">
        <v>554000</v>
      </c>
      <c r="F661" s="73" t="inlineStr">
        <is>
          <t xml:space="preserve">Оплачено </t>
        </is>
      </c>
    </row>
    <row r="662" ht="14.4" customHeight="1" s="1127">
      <c r="B662" s="68" t="n"/>
      <c r="C662" s="531" t="inlineStr">
        <is>
          <t>ПРОТЭК-АЛМАТЫ ТОО</t>
        </is>
      </c>
      <c r="D662" s="68" t="n"/>
      <c r="E662" s="524" t="n">
        <v>500000</v>
      </c>
      <c r="F662" s="73" t="inlineStr">
        <is>
          <t xml:space="preserve">Оплачено </t>
        </is>
      </c>
    </row>
    <row r="663" ht="14.4" customHeight="1" s="1127">
      <c r="B663" s="68" t="n"/>
      <c r="C663" s="531" t="inlineStr">
        <is>
          <t>Ихсан Техногаз ТОО</t>
        </is>
      </c>
      <c r="D663" s="453" t="inlineStr">
        <is>
          <t xml:space="preserve">по предоплате </t>
        </is>
      </c>
      <c r="E663" s="524" t="n">
        <v>506000</v>
      </c>
      <c r="F663" s="73" t="inlineStr">
        <is>
          <t xml:space="preserve">Оплачено </t>
        </is>
      </c>
    </row>
    <row r="664" ht="14.4" customHeight="1" s="1127">
      <c r="B664" s="68" t="n"/>
      <c r="C664" s="531" t="inlineStr">
        <is>
          <t>Витамин +</t>
        </is>
      </c>
      <c r="D664" s="68" t="n"/>
      <c r="E664" s="524" t="n">
        <v>216332</v>
      </c>
      <c r="F664" s="73" t="inlineStr">
        <is>
          <t xml:space="preserve">Оплачено </t>
        </is>
      </c>
    </row>
    <row r="665" ht="14.4" customHeight="1" s="1127">
      <c r="B665" s="68" t="n"/>
      <c r="C665" s="531" t="inlineStr">
        <is>
          <t>Евразиан Фудс Корпорэйшн АО</t>
        </is>
      </c>
      <c r="D665" s="453" t="inlineStr">
        <is>
          <t xml:space="preserve">на стопе </t>
        </is>
      </c>
      <c r="E665" s="524" t="n">
        <v>1000000</v>
      </c>
      <c r="F665" s="73" t="inlineStr">
        <is>
          <t xml:space="preserve">Оплачено </t>
        </is>
      </c>
    </row>
    <row r="666" ht="14.4" customHeight="1" s="1127">
      <c r="B666" s="68" t="n"/>
      <c r="C666" s="531" t="n"/>
      <c r="D666" s="509" t="inlineStr">
        <is>
          <t>Итого:</t>
        </is>
      </c>
      <c r="E666" s="524">
        <f>SUM(E651:E665)</f>
        <v/>
      </c>
      <c r="F666" s="73" t="n"/>
    </row>
    <row r="667" ht="14.4" customHeight="1" s="1127">
      <c r="B667" s="528" t="n">
        <v>46160</v>
      </c>
      <c r="C667" s="531" t="inlineStr">
        <is>
          <t>Шымкентмай АО</t>
        </is>
      </c>
      <c r="D667" s="453" t="inlineStr">
        <is>
          <t>по предоплате, на стопе</t>
        </is>
      </c>
      <c r="E667" s="524" t="n">
        <v>547500</v>
      </c>
      <c r="F667" s="73" t="inlineStr">
        <is>
          <t xml:space="preserve">Оплачено </t>
        </is>
      </c>
    </row>
    <row r="668" ht="14.4" customHeight="1" s="1127">
      <c r="B668" s="68" t="n"/>
      <c r="C668" s="531" t="inlineStr">
        <is>
          <t>Компания В ТОО</t>
        </is>
      </c>
      <c r="D668" s="453" t="inlineStr">
        <is>
          <t xml:space="preserve">по предоплате </t>
        </is>
      </c>
      <c r="E668" s="524" t="n">
        <v>1417500</v>
      </c>
      <c r="F668" s="73" t="inlineStr">
        <is>
          <t xml:space="preserve">Оплачено </t>
        </is>
      </c>
    </row>
    <row r="669" ht="14.4" customHeight="1" s="1127">
      <c r="B669" s="68" t="n"/>
      <c r="C669" s="505" t="inlineStr">
        <is>
          <t>Компания Фудмастер-Трэйд ТОО</t>
        </is>
      </c>
      <c r="D669" s="453" t="inlineStr">
        <is>
          <t>на стопе</t>
        </is>
      </c>
      <c r="E669" s="524" t="n">
        <v>61230</v>
      </c>
      <c r="F669" s="73" t="inlineStr">
        <is>
          <t xml:space="preserve">Оплачено </t>
        </is>
      </c>
    </row>
    <row r="670" ht="14.4" customHeight="1" s="1127">
      <c r="B670" s="68" t="n"/>
      <c r="C670" s="531" t="inlineStr">
        <is>
          <t>ТОО Семь морей -Алматы</t>
        </is>
      </c>
      <c r="D670" s="453" t="inlineStr">
        <is>
          <t>наличными</t>
        </is>
      </c>
      <c r="E670" s="524" t="n">
        <v>648000</v>
      </c>
      <c r="F670" s="73" t="inlineStr">
        <is>
          <t xml:space="preserve">Оплачено </t>
        </is>
      </c>
    </row>
    <row r="671" ht="14.4" customHeight="1" s="1127">
      <c r="B671" s="68" t="n"/>
      <c r="C671" s="505" t="n"/>
      <c r="D671" s="509" t="inlineStr">
        <is>
          <t>Итого:</t>
        </is>
      </c>
      <c r="E671" s="524">
        <f>SUM(E667:E670)</f>
        <v/>
      </c>
      <c r="F671" s="73" t="n"/>
    </row>
    <row r="672" ht="14.4" customHeight="1" s="1127">
      <c r="B672" s="528" t="n">
        <v>46160</v>
      </c>
      <c r="C672" s="505" t="inlineStr">
        <is>
          <t>QAZAQ SAPA GROUP ТОО</t>
        </is>
      </c>
      <c r="D672" s="453" t="inlineStr">
        <is>
          <t xml:space="preserve">на стопе </t>
        </is>
      </c>
      <c r="E672" s="524" t="n">
        <v>1210978</v>
      </c>
      <c r="F672" s="73" t="inlineStr">
        <is>
          <t xml:space="preserve">Оплачено </t>
        </is>
      </c>
    </row>
    <row r="673" ht="14.4" customHeight="1" s="1127">
      <c r="B673" s="68" t="n"/>
      <c r="C673" s="505" t="inlineStr">
        <is>
          <t>Глобал Фуд ТОО</t>
        </is>
      </c>
      <c r="D673" s="453" t="inlineStr">
        <is>
          <t xml:space="preserve">на стопе </t>
        </is>
      </c>
      <c r="E673" s="524" t="n">
        <v>1000000</v>
      </c>
      <c r="F673" s="73" t="inlineStr">
        <is>
          <t xml:space="preserve">Оплачено </t>
        </is>
      </c>
    </row>
    <row r="674" ht="14.4" customHeight="1" s="1127">
      <c r="B674" s="68" t="n"/>
      <c r="C674" s="505" t="inlineStr">
        <is>
          <t>КазЕвроСпецСнаб</t>
        </is>
      </c>
      <c r="D674" s="453" t="inlineStr">
        <is>
          <t xml:space="preserve">по предоплате </t>
        </is>
      </c>
      <c r="E674" s="524" t="n">
        <v>60000</v>
      </c>
      <c r="F674" s="73" t="inlineStr">
        <is>
          <t xml:space="preserve">Оплачено </t>
        </is>
      </c>
    </row>
    <row r="675" ht="14.4" customHeight="1" s="1127">
      <c r="B675" s="68" t="n"/>
      <c r="C675" s="531" t="inlineStr">
        <is>
          <t>Исмагулов ИП</t>
        </is>
      </c>
      <c r="D675" s="453" t="inlineStr">
        <is>
          <t>на стопе</t>
        </is>
      </c>
      <c r="E675" s="524" t="n">
        <v>760500</v>
      </c>
      <c r="F675" s="73" t="inlineStr">
        <is>
          <t xml:space="preserve">Оплачено </t>
        </is>
      </c>
    </row>
    <row r="676" ht="14.4" customHeight="1" s="1127">
      <c r="B676" s="68" t="n"/>
      <c r="C676" s="452" t="inlineStr">
        <is>
          <t>Kastorg ТОО</t>
        </is>
      </c>
      <c r="D676" s="453" t="inlineStr">
        <is>
          <t xml:space="preserve">по предоплате </t>
        </is>
      </c>
      <c r="E676" s="524" t="n">
        <v>561600</v>
      </c>
      <c r="F676" s="73" t="inlineStr">
        <is>
          <t xml:space="preserve">Оплачено </t>
        </is>
      </c>
    </row>
    <row r="677" ht="14.4" customHeight="1" s="1127">
      <c r="B677" s="68" t="n"/>
      <c r="C677" s="505" t="inlineStr">
        <is>
          <t>Adolar</t>
        </is>
      </c>
      <c r="D677" s="68" t="n"/>
      <c r="E677" s="524" t="n">
        <v>531256</v>
      </c>
      <c r="F677" s="73" t="inlineStr">
        <is>
          <t xml:space="preserve">Оплачено </t>
        </is>
      </c>
    </row>
    <row r="678" ht="14.4" customHeight="1" s="1127">
      <c r="B678" s="68" t="n"/>
      <c r="C678" s="505" t="inlineStr">
        <is>
          <t>Global Halal Food ТОО</t>
        </is>
      </c>
      <c r="D678" s="535" t="n"/>
      <c r="E678" s="524" t="n">
        <v>1000000</v>
      </c>
      <c r="F678" s="73" t="inlineStr">
        <is>
          <t xml:space="preserve">Оплачено </t>
        </is>
      </c>
    </row>
    <row r="679" ht="14.4" customHeight="1" s="1127">
      <c r="B679" s="536" t="n"/>
      <c r="C679" s="531" t="inlineStr">
        <is>
          <t>Казтехнолоджи Пак ТОО</t>
        </is>
      </c>
      <c r="D679" s="453" t="inlineStr">
        <is>
          <t>на основании ГП</t>
        </is>
      </c>
      <c r="E679" s="524" t="n">
        <v>500000</v>
      </c>
      <c r="F679" s="73" t="inlineStr">
        <is>
          <t xml:space="preserve">Оплачено </t>
        </is>
      </c>
    </row>
    <row r="680" ht="14.4" customHeight="1" s="1127">
      <c r="B680" s="68" t="n"/>
      <c r="C680" s="531" t="inlineStr">
        <is>
          <t>Yans (янс) ТОО</t>
        </is>
      </c>
      <c r="D680" s="453" t="inlineStr">
        <is>
          <t xml:space="preserve">по предоплате </t>
        </is>
      </c>
      <c r="E680" s="524" t="n">
        <v>132288</v>
      </c>
      <c r="F680" s="73" t="inlineStr">
        <is>
          <t xml:space="preserve">Оплачено </t>
        </is>
      </c>
    </row>
    <row r="681" ht="14.4" customHeight="1" s="1127">
      <c r="B681" s="68" t="n"/>
      <c r="C681" s="531" t="inlineStr">
        <is>
          <t>Эрико ТОО</t>
        </is>
      </c>
      <c r="D681" s="453" t="inlineStr">
        <is>
          <t xml:space="preserve">по предоплате </t>
        </is>
      </c>
      <c r="E681" s="524" t="n">
        <v>700560</v>
      </c>
      <c r="F681" s="73" t="inlineStr">
        <is>
          <t xml:space="preserve">Оплачено </t>
        </is>
      </c>
    </row>
    <row r="682" ht="14.4" customHeight="1" s="1127">
      <c r="B682" s="68" t="n"/>
      <c r="C682" s="505" t="inlineStr">
        <is>
          <t>Витамин</t>
        </is>
      </c>
      <c r="D682" s="68" t="n"/>
      <c r="E682" s="524" t="n">
        <v>500000</v>
      </c>
      <c r="F682" s="73" t="inlineStr">
        <is>
          <t xml:space="preserve">Оплачено </t>
        </is>
      </c>
    </row>
    <row r="683" ht="14.4" customHeight="1" s="1127">
      <c r="B683" s="68" t="n"/>
      <c r="C683" s="452" t="n"/>
      <c r="D683" s="509" t="inlineStr">
        <is>
          <t>Итого:</t>
        </is>
      </c>
      <c r="E683" s="524">
        <f>SUM(E672:E682)</f>
        <v/>
      </c>
      <c r="F683" s="73" t="n"/>
    </row>
    <row r="684" ht="14.4" customHeight="1" s="1127">
      <c r="B684" s="528" t="n">
        <v>46161</v>
      </c>
      <c r="C684" s="505" t="inlineStr">
        <is>
          <t>KazBeef Processing (КазБиф Процессинг) ТОО</t>
        </is>
      </c>
      <c r="D684" s="453" t="inlineStr">
        <is>
          <t>на основании ГП</t>
        </is>
      </c>
      <c r="E684" s="524" t="n">
        <v>2000000</v>
      </c>
      <c r="F684" s="73" t="inlineStr">
        <is>
          <t xml:space="preserve">Оплачено </t>
        </is>
      </c>
    </row>
    <row r="685" ht="14.4" customHeight="1" s="1127">
      <c r="B685" s="68" t="n"/>
      <c r="C685" s="505" t="n"/>
      <c r="D685" s="509" t="inlineStr">
        <is>
          <t>Итого:</t>
        </is>
      </c>
      <c r="E685" s="524">
        <f>E684</f>
        <v/>
      </c>
      <c r="F685" s="73" t="n"/>
    </row>
    <row r="686" ht="14.4" customHeight="1" s="1127">
      <c r="B686" s="528" t="n">
        <v>46161</v>
      </c>
      <c r="C686" s="531" t="inlineStr">
        <is>
          <t>Аяла Плюс ТОО</t>
        </is>
      </c>
      <c r="D686" s="542" t="inlineStr">
        <is>
          <t xml:space="preserve">по предоплате </t>
        </is>
      </c>
      <c r="E686" s="524" t="n">
        <v>467500</v>
      </c>
      <c r="F686" s="538" t="inlineStr">
        <is>
          <t xml:space="preserve">Оплачено </t>
        </is>
      </c>
      <c r="G686" s="772" t="n"/>
    </row>
    <row r="687" ht="14.4" customHeight="1" s="1127">
      <c r="B687" s="68" t="n"/>
      <c r="C687" s="531" t="inlineStr">
        <is>
          <t>Adalpack ТОО</t>
        </is>
      </c>
      <c r="D687" s="542" t="inlineStr">
        <is>
          <t xml:space="preserve">по предоплате </t>
        </is>
      </c>
      <c r="E687" s="524" t="n">
        <v>113000</v>
      </c>
      <c r="F687" s="538" t="inlineStr">
        <is>
          <t xml:space="preserve">Оплачено </t>
        </is>
      </c>
    </row>
    <row r="688" ht="14.4" customHeight="1" s="1127">
      <c r="B688" s="68" t="n"/>
      <c r="C688" s="531" t="inlineStr">
        <is>
          <t>Шымкентмай АО</t>
        </is>
      </c>
      <c r="D688" s="542" t="inlineStr">
        <is>
          <t>по предоплате</t>
        </is>
      </c>
      <c r="E688" s="524" t="n">
        <v>219000</v>
      </c>
      <c r="F688" s="538" t="inlineStr">
        <is>
          <t xml:space="preserve">Оплачено </t>
        </is>
      </c>
    </row>
    <row r="689" ht="14.4" customHeight="1" s="1127">
      <c r="B689" s="68" t="n"/>
      <c r="C689" s="505" t="inlineStr">
        <is>
          <t>Рэд Тим Дистрибьюшн ТОО</t>
        </is>
      </c>
      <c r="D689" s="453" t="inlineStr">
        <is>
          <t xml:space="preserve">по предоплате </t>
        </is>
      </c>
      <c r="E689" s="524" t="n">
        <v>397332</v>
      </c>
      <c r="F689" s="73" t="inlineStr">
        <is>
          <t xml:space="preserve">Оплачено </t>
        </is>
      </c>
    </row>
    <row r="690" ht="14.4" customHeight="1" s="1127">
      <c r="B690" s="68" t="n"/>
      <c r="C690" s="531" t="inlineStr">
        <is>
          <t>ПРОТЭК-АЛМАТЫ ТОО</t>
        </is>
      </c>
      <c r="D690" s="453" t="n"/>
      <c r="E690" s="524" t="n">
        <v>400000</v>
      </c>
      <c r="F690" s="538" t="inlineStr">
        <is>
          <t xml:space="preserve">Оплачено </t>
        </is>
      </c>
    </row>
    <row r="691" ht="14.4" customHeight="1" s="1127">
      <c r="B691" s="68" t="n"/>
      <c r="C691" s="531" t="inlineStr">
        <is>
          <t>Евразиан Фудс Корпорэйшн АО</t>
        </is>
      </c>
      <c r="D691" s="68" t="n"/>
      <c r="E691" s="524" t="n">
        <v>400000</v>
      </c>
      <c r="F691" s="538" t="inlineStr">
        <is>
          <t xml:space="preserve">Оплачено </t>
        </is>
      </c>
    </row>
    <row r="692" ht="14.4" customHeight="1" s="1127">
      <c r="B692" s="68" t="n"/>
      <c r="C692" s="531" t="inlineStr">
        <is>
          <t>Sweet Trade ИП</t>
        </is>
      </c>
      <c r="D692" s="542" t="inlineStr">
        <is>
          <t>остаток</t>
        </is>
      </c>
      <c r="E692" s="524" t="n">
        <v>26600</v>
      </c>
      <c r="F692" s="538" t="inlineStr">
        <is>
          <t xml:space="preserve">Оплачено </t>
        </is>
      </c>
    </row>
    <row r="693" ht="14.4" customHeight="1" s="1127">
      <c r="B693" s="68" t="n"/>
      <c r="C693" s="531" t="inlineStr">
        <is>
          <t>Ихсан Техногаз ТОО</t>
        </is>
      </c>
      <c r="D693" s="542" t="inlineStr">
        <is>
          <t xml:space="preserve">по предоплате </t>
        </is>
      </c>
      <c r="E693" s="524" t="n">
        <v>308000</v>
      </c>
      <c r="F693" s="538" t="inlineStr">
        <is>
          <t xml:space="preserve">Оплачено </t>
        </is>
      </c>
    </row>
    <row r="694" ht="14.4" customHeight="1" s="1127">
      <c r="B694" s="68" t="n"/>
      <c r="C694" s="531" t="inlineStr">
        <is>
          <t>Viki-Kazakhstan ТОО</t>
        </is>
      </c>
      <c r="D694" s="542" t="inlineStr">
        <is>
          <t>на стопе</t>
        </is>
      </c>
      <c r="E694" s="524" t="n">
        <v>1000000</v>
      </c>
      <c r="F694" s="538" t="inlineStr">
        <is>
          <t xml:space="preserve">Оплачено </t>
        </is>
      </c>
    </row>
    <row r="695" ht="14.4" customHeight="1" s="1127">
      <c r="B695" s="68" t="n"/>
      <c r="C695" s="531" t="inlineStr">
        <is>
          <t>Витамин +</t>
        </is>
      </c>
      <c r="D695" s="453" t="n"/>
      <c r="E695" s="524" t="n">
        <v>1200000</v>
      </c>
      <c r="F695" s="73" t="inlineStr">
        <is>
          <t xml:space="preserve">Оплачено </t>
        </is>
      </c>
    </row>
    <row r="696" ht="14.4" customHeight="1" s="1127">
      <c r="B696" s="68" t="n"/>
      <c r="C696" s="452" t="inlineStr">
        <is>
          <t>QAZAQ SAPA GROUP ТОО</t>
        </is>
      </c>
      <c r="E696" s="524" t="n">
        <v>980100</v>
      </c>
      <c r="F696" s="73" t="inlineStr">
        <is>
          <t xml:space="preserve">Оплачено </t>
        </is>
      </c>
    </row>
    <row r="697" ht="14.4" customHeight="1" s="1127">
      <c r="B697" s="68" t="n"/>
      <c r="C697" s="452" t="inlineStr">
        <is>
          <t>Сергей</t>
        </is>
      </c>
      <c r="D697" s="453" t="n"/>
      <c r="E697" s="524" t="n">
        <v>500000</v>
      </c>
      <c r="F697" s="73" t="inlineStr">
        <is>
          <t xml:space="preserve">Оплачено </t>
        </is>
      </c>
    </row>
    <row r="698" ht="14.4" customHeight="1" s="1127">
      <c r="B698" s="68" t="n"/>
      <c r="C698" s="531" t="n"/>
      <c r="D698" s="509" t="inlineStr">
        <is>
          <t>Итого:</t>
        </is>
      </c>
      <c r="E698" s="524">
        <f>SUM(E686:E697)</f>
        <v/>
      </c>
      <c r="F698" s="73" t="n"/>
    </row>
    <row r="699" ht="14.4" customHeight="1" s="1127">
      <c r="B699" s="528" t="n">
        <v>46164</v>
      </c>
      <c r="C699" s="505" t="inlineStr">
        <is>
          <t>Витамин+</t>
        </is>
      </c>
      <c r="D699" s="68" t="n"/>
      <c r="E699" s="524" t="n">
        <v>1500000</v>
      </c>
      <c r="F699" s="73" t="inlineStr">
        <is>
          <t xml:space="preserve">Оплачено </t>
        </is>
      </c>
    </row>
    <row r="700" ht="14.4" customHeight="1" s="1127">
      <c r="B700" s="68" t="n"/>
      <c r="C700" s="531" t="inlineStr">
        <is>
          <t>Сергей Логист</t>
        </is>
      </c>
      <c r="D700" s="68" t="n"/>
      <c r="E700" s="524" t="n">
        <v>1000000</v>
      </c>
      <c r="F700" s="73" t="inlineStr">
        <is>
          <t xml:space="preserve">Оплачено </t>
        </is>
      </c>
    </row>
    <row r="701" ht="14.4" customHeight="1" s="1127">
      <c r="B701" s="541" t="inlineStr">
        <is>
          <t>1 счет к оплате</t>
        </is>
      </c>
      <c r="C701" s="531" t="inlineStr">
        <is>
          <t>Food Company ТОО</t>
        </is>
      </c>
      <c r="D701" s="544" t="n"/>
      <c r="E701" s="524" t="n">
        <v>120960</v>
      </c>
      <c r="F701" s="73" t="inlineStr">
        <is>
          <t xml:space="preserve">Оплачено </t>
        </is>
      </c>
    </row>
    <row r="702" ht="14.4" customHeight="1" s="1127">
      <c r="B702" s="541" t="inlineStr">
        <is>
          <t>2 счет к оплате</t>
        </is>
      </c>
      <c r="C702" s="531" t="inlineStr">
        <is>
          <t>Food Company ТОО</t>
        </is>
      </c>
      <c r="D702" s="544" t="n"/>
      <c r="E702" s="524" t="n">
        <v>120960</v>
      </c>
      <c r="F702" s="73" t="inlineStr">
        <is>
          <t xml:space="preserve">Оплачено </t>
        </is>
      </c>
    </row>
    <row r="703" ht="14.4" customHeight="1" s="1127">
      <c r="B703" s="68" t="n"/>
      <c r="C703" s="531" t="n"/>
      <c r="D703" s="509" t="inlineStr">
        <is>
          <t>Итого:</t>
        </is>
      </c>
      <c r="E703" s="524">
        <f>SUM(E699:E702)</f>
        <v/>
      </c>
      <c r="F703" s="73" t="n"/>
    </row>
    <row r="704" ht="14.4" customHeight="1" s="1127">
      <c r="B704" s="528" t="n">
        <v>46167</v>
      </c>
      <c r="C704" s="531" t="inlineStr">
        <is>
          <t>Шымкентмай АО</t>
        </is>
      </c>
      <c r="D704" s="542" t="inlineStr">
        <is>
          <t>по предоплате</t>
        </is>
      </c>
      <c r="E704" s="524" t="n">
        <v>438000</v>
      </c>
      <c r="F704" s="73" t="inlineStr">
        <is>
          <t xml:space="preserve">Оплачено </t>
        </is>
      </c>
    </row>
    <row r="705" ht="14.4" customHeight="1" s="1127">
      <c r="B705" s="68" t="n"/>
      <c r="C705" s="531" t="inlineStr">
        <is>
          <t>CIS market ТОО</t>
        </is>
      </c>
      <c r="D705" s="542" t="inlineStr">
        <is>
          <t>на стопе</t>
        </is>
      </c>
      <c r="E705" s="524" t="n">
        <v>357000</v>
      </c>
      <c r="F705" s="73" t="inlineStr">
        <is>
          <t xml:space="preserve">Оплачено </t>
        </is>
      </c>
    </row>
    <row r="706" ht="14.4" customHeight="1" s="1127">
      <c r="B706" s="68" t="n"/>
      <c r="C706" s="531" t="inlineStr">
        <is>
          <t>Adolar Group ТОО</t>
        </is>
      </c>
      <c r="D706" s="542" t="n"/>
      <c r="E706" s="524" t="n">
        <v>1812536</v>
      </c>
      <c r="F706" s="73" t="inlineStr">
        <is>
          <t xml:space="preserve">Оплачено </t>
        </is>
      </c>
    </row>
    <row r="707" ht="14.4" customHeight="1" s="1127">
      <c r="B707" s="68" t="n"/>
      <c r="C707" s="531" t="inlineStr">
        <is>
          <t>Global Export Shipping ТОО</t>
        </is>
      </c>
      <c r="D707" s="542" t="n"/>
      <c r="E707" s="524" t="n">
        <v>200000</v>
      </c>
      <c r="F707" s="73" t="inlineStr">
        <is>
          <t xml:space="preserve">Оплачено </t>
        </is>
      </c>
    </row>
    <row r="708" ht="14.4" customHeight="1" s="1127">
      <c r="B708" s="68" t="n"/>
      <c r="C708" s="531" t="inlineStr">
        <is>
          <t>ИП Джазыкбаева (ранее Рай ИП)</t>
        </is>
      </c>
      <c r="D708" s="68" t="n"/>
      <c r="E708" s="524" t="n">
        <v>400000</v>
      </c>
      <c r="F708" s="73" t="inlineStr">
        <is>
          <t xml:space="preserve">Оплачено </t>
        </is>
      </c>
    </row>
    <row r="709" ht="14.4" customHeight="1" s="1127">
      <c r="B709" s="68" t="n"/>
      <c r="C709" s="531" t="inlineStr">
        <is>
          <t xml:space="preserve">Эрико ТОО </t>
        </is>
      </c>
      <c r="D709" s="542" t="inlineStr">
        <is>
          <t xml:space="preserve">по предоплате, остаток по счету </t>
        </is>
      </c>
      <c r="E709" s="524" t="n">
        <v>1030865</v>
      </c>
      <c r="F709" s="73" t="inlineStr">
        <is>
          <t xml:space="preserve">Оплачено </t>
        </is>
      </c>
    </row>
    <row r="710" ht="14.4" customHeight="1" s="1127">
      <c r="B710" s="68" t="n"/>
      <c r="C710" s="452" t="inlineStr">
        <is>
          <t>MPARGO ТОО</t>
        </is>
      </c>
      <c r="D710" s="542" t="inlineStr">
        <is>
          <t xml:space="preserve">по предоплате </t>
        </is>
      </c>
      <c r="E710" s="524" t="n">
        <v>114000</v>
      </c>
      <c r="F710" s="73" t="inlineStr">
        <is>
          <t xml:space="preserve">Оплачено </t>
        </is>
      </c>
    </row>
    <row r="711" ht="14.4" customHeight="1" s="1127">
      <c r="B711" s="68" t="n"/>
      <c r="C711" s="531" t="inlineStr">
        <is>
          <t>Art Food ИП</t>
        </is>
      </c>
      <c r="D711" s="542" t="inlineStr">
        <is>
          <t>на стопе</t>
        </is>
      </c>
      <c r="E711" s="524" t="n">
        <v>200000</v>
      </c>
      <c r="F711" s="73" t="inlineStr">
        <is>
          <t xml:space="preserve">Оплачено </t>
        </is>
      </c>
    </row>
    <row r="712" ht="14.4" customHeight="1" s="1127">
      <c r="B712" s="68" t="n"/>
      <c r="C712" s="531" t="inlineStr">
        <is>
          <t>Champello</t>
        </is>
      </c>
      <c r="D712" s="542" t="inlineStr">
        <is>
          <t>на стопе</t>
        </is>
      </c>
      <c r="E712" s="524" t="n">
        <v>250000</v>
      </c>
      <c r="F712" s="73" t="inlineStr">
        <is>
          <t xml:space="preserve">Оплачено </t>
        </is>
      </c>
    </row>
    <row r="713" ht="14.4" customHeight="1" s="1127">
      <c r="B713" s="68" t="n"/>
      <c r="C713" s="452" t="inlineStr">
        <is>
          <t>ПРОТЭК-АЛМАТЫ ТОО</t>
        </is>
      </c>
      <c r="D713" s="542" t="inlineStr">
        <is>
          <t>на стопе</t>
        </is>
      </c>
      <c r="E713" s="524" t="n">
        <v>1436642</v>
      </c>
      <c r="F713" s="73" t="inlineStr">
        <is>
          <t xml:space="preserve">Оплачено </t>
        </is>
      </c>
    </row>
    <row r="714" ht="14.4" customHeight="1" s="1127">
      <c r="B714" s="68" t="n"/>
      <c r="C714" s="531" t="inlineStr">
        <is>
          <t>Armansu ТОО</t>
        </is>
      </c>
      <c r="D714" s="542" t="inlineStr">
        <is>
          <t xml:space="preserve">по предоплате </t>
        </is>
      </c>
      <c r="E714" s="524" t="n">
        <v>110000</v>
      </c>
      <c r="F714" s="73" t="inlineStr">
        <is>
          <t xml:space="preserve">Оплачено </t>
        </is>
      </c>
    </row>
    <row r="715" ht="14.4" customHeight="1" s="1127">
      <c r="B715" s="68" t="n"/>
      <c r="C715" s="531" t="inlineStr">
        <is>
          <t>Frozen Fruit ТОО</t>
        </is>
      </c>
      <c r="D715" s="542" t="inlineStr">
        <is>
          <t xml:space="preserve">на стопе </t>
        </is>
      </c>
      <c r="E715" s="524" t="n">
        <v>800000</v>
      </c>
      <c r="F715" s="73" t="inlineStr">
        <is>
          <t xml:space="preserve">Оплачено </t>
        </is>
      </c>
    </row>
    <row r="716" ht="14.4" customHeight="1" s="1127">
      <c r="B716" s="68" t="n"/>
      <c r="C716" s="505" t="inlineStr">
        <is>
          <t>Фудтехника ТОО</t>
        </is>
      </c>
      <c r="D716" s="542" t="inlineStr">
        <is>
          <t xml:space="preserve">на стопе </t>
        </is>
      </c>
      <c r="E716" s="524" t="n">
        <v>1000000</v>
      </c>
      <c r="F716" s="73" t="inlineStr">
        <is>
          <t xml:space="preserve">Оплачено </t>
        </is>
      </c>
    </row>
    <row r="717" ht="14.4" customHeight="1" s="1127">
      <c r="B717" s="68" t="n"/>
      <c r="C717" s="452" t="inlineStr">
        <is>
          <t>Глобал Фуд ТОО</t>
        </is>
      </c>
      <c r="D717" s="542" t="n"/>
      <c r="E717" s="524" t="n">
        <v>500000</v>
      </c>
      <c r="F717" s="73" t="inlineStr">
        <is>
          <t xml:space="preserve">Оплачено </t>
        </is>
      </c>
    </row>
    <row r="718" ht="14.4" customHeight="1" s="1127">
      <c r="B718" s="68" t="n"/>
      <c r="C718" s="531" t="inlineStr">
        <is>
          <t>Fresh Frozen ТОО</t>
        </is>
      </c>
      <c r="D718" s="542" t="n"/>
      <c r="E718" s="524" t="n">
        <v>600000</v>
      </c>
      <c r="F718" s="73" t="inlineStr">
        <is>
          <t xml:space="preserve">Оплачено </t>
        </is>
      </c>
    </row>
    <row r="719" ht="14.4" customHeight="1" s="1127">
      <c r="B719" s="68" t="n"/>
      <c r="C719" s="505" t="inlineStr">
        <is>
          <t>AYALA TRADE TOO</t>
        </is>
      </c>
      <c r="D719" s="453" t="inlineStr">
        <is>
          <t xml:space="preserve">по предоплате </t>
        </is>
      </c>
      <c r="E719" s="524" t="n">
        <v>400000</v>
      </c>
      <c r="F719" s="73" t="inlineStr">
        <is>
          <t xml:space="preserve">Оплачено </t>
        </is>
      </c>
    </row>
    <row r="720" ht="14.4" customHeight="1" s="1127">
      <c r="B720" s="68" t="n"/>
      <c r="C720" s="505" t="inlineStr">
        <is>
          <t>ИХСАН ТЕХНОГАЗ ТОО</t>
        </is>
      </c>
      <c r="D720" s="453" t="inlineStr">
        <is>
          <t xml:space="preserve">по предоплате </t>
        </is>
      </c>
      <c r="E720" s="524" t="n">
        <v>300000</v>
      </c>
      <c r="F720" s="73" t="inlineStr">
        <is>
          <t xml:space="preserve">Оплачено </t>
        </is>
      </c>
    </row>
    <row r="721" ht="14.4" customHeight="1" s="1127">
      <c r="B721" s="68" t="n"/>
      <c r="C721" s="531" t="inlineStr">
        <is>
          <t>Инарин ТОО</t>
        </is>
      </c>
      <c r="D721" s="453" t="inlineStr">
        <is>
          <t>на стопе</t>
        </is>
      </c>
      <c r="E721" s="524" t="n">
        <v>100000</v>
      </c>
      <c r="F721" s="73" t="inlineStr">
        <is>
          <t xml:space="preserve">Оплачено </t>
        </is>
      </c>
    </row>
    <row r="722" ht="14.4" customHeight="1" s="1127">
      <c r="B722" s="68" t="n"/>
      <c r="C722" s="531" t="inlineStr">
        <is>
          <t>Евро Фуд КЗ</t>
        </is>
      </c>
      <c r="D722" s="453" t="inlineStr">
        <is>
          <t xml:space="preserve">по предоплате </t>
        </is>
      </c>
      <c r="E722" s="524" t="n">
        <v>93600</v>
      </c>
      <c r="F722" s="73" t="inlineStr">
        <is>
          <t xml:space="preserve">Оплачено </t>
        </is>
      </c>
    </row>
    <row r="723" ht="14.4" customHeight="1" s="1127">
      <c r="B723" s="68" t="n"/>
      <c r="C723" s="531" t="inlineStr">
        <is>
          <t>Sweet Trade ИП</t>
        </is>
      </c>
      <c r="D723" s="542" t="inlineStr">
        <is>
          <t xml:space="preserve">остаток, долг </t>
        </is>
      </c>
      <c r="E723" s="524" t="n">
        <v>26600</v>
      </c>
      <c r="F723" s="73" t="inlineStr">
        <is>
          <t xml:space="preserve">Оплачено </t>
        </is>
      </c>
    </row>
    <row r="724" ht="14.4" customHeight="1" s="1127">
      <c r="B724" s="68" t="n"/>
      <c r="C724" s="505" t="inlineStr">
        <is>
          <t>KazBeef Processing (КазБиф Процессинг) ТОО</t>
        </is>
      </c>
      <c r="D724" s="453" t="inlineStr">
        <is>
          <t>на основании ГП</t>
        </is>
      </c>
      <c r="E724" s="524" t="n">
        <v>1000000</v>
      </c>
      <c r="F724" s="73" t="inlineStr">
        <is>
          <t xml:space="preserve">Оплачено </t>
        </is>
      </c>
    </row>
    <row r="725" ht="14.4" customHeight="1" s="1127">
      <c r="B725" s="68" t="n"/>
      <c r="C725" s="452" t="inlineStr">
        <is>
          <t>Berry Company ТОО</t>
        </is>
      </c>
      <c r="D725" s="542" t="inlineStr">
        <is>
          <t>на стопе</t>
        </is>
      </c>
      <c r="E725" s="524" t="n">
        <v>500000</v>
      </c>
      <c r="F725" s="73" t="inlineStr">
        <is>
          <t xml:space="preserve">Оплачено </t>
        </is>
      </c>
    </row>
    <row r="726" ht="14.4" customHeight="1" s="1127">
      <c r="B726" s="68" t="n"/>
      <c r="C726" s="452" t="inlineStr">
        <is>
          <t>Medhelp ИП</t>
        </is>
      </c>
      <c r="D726" s="542" t="n"/>
      <c r="E726" s="524" t="n">
        <v>100000</v>
      </c>
      <c r="F726" s="73" t="inlineStr">
        <is>
          <t xml:space="preserve">Оплачено </t>
        </is>
      </c>
    </row>
    <row r="727" ht="14.4" customHeight="1" s="1127">
      <c r="B727" s="68" t="n"/>
      <c r="C727" s="531" t="inlineStr">
        <is>
          <t>Компания В</t>
        </is>
      </c>
      <c r="D727" s="542" t="inlineStr">
        <is>
          <t xml:space="preserve">по предоплате </t>
        </is>
      </c>
      <c r="E727" s="524" t="n">
        <v>1000000</v>
      </c>
      <c r="F727" s="73" t="inlineStr">
        <is>
          <t xml:space="preserve">Оплачено </t>
        </is>
      </c>
    </row>
    <row r="728" ht="14.4" customHeight="1" s="1127">
      <c r="B728" s="68" t="n"/>
      <c r="C728" s="531" t="inlineStr">
        <is>
          <t>Global Halal Food ТОО</t>
        </is>
      </c>
      <c r="D728" s="542" t="inlineStr">
        <is>
          <t>на стопе</t>
        </is>
      </c>
      <c r="E728" s="524" t="n">
        <v>667534</v>
      </c>
      <c r="F728" s="73" t="inlineStr">
        <is>
          <t xml:space="preserve">Оплачено </t>
        </is>
      </c>
    </row>
    <row r="729" ht="14.4" customHeight="1" s="1127">
      <c r="B729" s="68" t="n"/>
      <c r="C729" s="531" t="inlineStr">
        <is>
          <t>Орими СА ТОО</t>
        </is>
      </c>
      <c r="D729" s="453" t="inlineStr">
        <is>
          <t xml:space="preserve">по предоплате </t>
        </is>
      </c>
      <c r="E729" s="524" t="n">
        <v>110880</v>
      </c>
      <c r="F729" s="73" t="inlineStr">
        <is>
          <t xml:space="preserve">Оплачено </t>
        </is>
      </c>
    </row>
    <row r="730" ht="14.4" customHeight="1" s="1127">
      <c r="B730" s="68" t="n"/>
      <c r="C730" s="531" t="inlineStr">
        <is>
          <t>КазЕвроСпецСнаб</t>
        </is>
      </c>
      <c r="D730" s="453" t="inlineStr">
        <is>
          <t xml:space="preserve">по предоплате </t>
        </is>
      </c>
      <c r="E730" s="524" t="n">
        <v>60000</v>
      </c>
      <c r="F730" s="73" t="inlineStr">
        <is>
          <t xml:space="preserve">Оплачено </t>
        </is>
      </c>
    </row>
    <row r="731" ht="14.4" customHeight="1" s="1127">
      <c r="B731" s="68" t="n"/>
      <c r="C731" s="531" t="inlineStr">
        <is>
          <t>QAZAQ SAPA GROUP ТОО</t>
        </is>
      </c>
      <c r="D731" s="544" t="n"/>
      <c r="E731" s="524" t="n">
        <v>500000</v>
      </c>
      <c r="F731" s="73" t="inlineStr">
        <is>
          <t xml:space="preserve">Оплачено </t>
        </is>
      </c>
    </row>
    <row r="732" ht="14.4" customHeight="1" s="1127">
      <c r="B732" s="68" t="n"/>
      <c r="C732" s="531" t="inlineStr">
        <is>
          <t>Viki-Kazakhstan ТОО</t>
        </is>
      </c>
      <c r="D732" s="453" t="inlineStr">
        <is>
          <t>на стопе</t>
        </is>
      </c>
      <c r="E732" s="524" t="n">
        <v>1000000</v>
      </c>
      <c r="F732" s="73" t="inlineStr">
        <is>
          <t xml:space="preserve">Оплачено </t>
        </is>
      </c>
    </row>
    <row r="733" ht="14.4" customHeight="1" s="1127">
      <c r="B733" s="68" t="n"/>
      <c r="C733" s="505" t="inlineStr">
        <is>
          <t>Витамин+</t>
        </is>
      </c>
      <c r="D733" s="524" t="n"/>
      <c r="E733" s="524" t="n">
        <v>500000</v>
      </c>
      <c r="F733" s="73" t="inlineStr">
        <is>
          <t xml:space="preserve">Оплачено </t>
        </is>
      </c>
    </row>
    <row r="734" ht="14.4" customHeight="1" s="1127">
      <c r="B734" s="68" t="n"/>
      <c r="C734" s="452" t="inlineStr">
        <is>
          <t>Сергей логист</t>
        </is>
      </c>
      <c r="D734" s="542" t="n"/>
      <c r="E734" s="524" t="n">
        <v>1000000</v>
      </c>
      <c r="F734" s="73" t="inlineStr">
        <is>
          <t xml:space="preserve">Оплачено </t>
        </is>
      </c>
    </row>
    <row r="735" ht="14.4" customHeight="1" s="1127">
      <c r="B735" s="68" t="n"/>
      <c r="C735" s="452" t="n"/>
      <c r="D735" s="509" t="inlineStr">
        <is>
          <t>Итого:</t>
        </is>
      </c>
      <c r="E735" s="524">
        <f>SUM(E704:E734)</f>
        <v/>
      </c>
      <c r="F735" s="73" t="n"/>
    </row>
    <row r="736" ht="14.4" customHeight="1" s="1127">
      <c r="B736" s="528" t="n">
        <v>46168</v>
      </c>
      <c r="C736" s="531" t="inlineStr">
        <is>
          <t>ТОО Flame group</t>
        </is>
      </c>
      <c r="D736" s="542" t="n"/>
      <c r="E736" s="524" t="n">
        <v>958000</v>
      </c>
      <c r="F736" s="73" t="inlineStr">
        <is>
          <t xml:space="preserve">Оплачено </t>
        </is>
      </c>
    </row>
    <row r="737" ht="14.4" customHeight="1" s="1127">
      <c r="B737" s="68" t="n"/>
      <c r="C737" s="531" t="n"/>
      <c r="D737" s="509" t="inlineStr">
        <is>
          <t>Итого:</t>
        </is>
      </c>
      <c r="E737" s="524">
        <f>SUM(E736)</f>
        <v/>
      </c>
      <c r="F737" s="73" t="n"/>
    </row>
    <row r="738" ht="14.4" customHeight="1" s="1127">
      <c r="B738" s="528" t="n">
        <v>46168</v>
      </c>
      <c r="C738" s="531" t="inlineStr">
        <is>
          <t>ИРМАС ЛТД ТОО</t>
        </is>
      </c>
      <c r="D738" s="542" t="n"/>
      <c r="E738" s="524" t="n">
        <v>300000</v>
      </c>
      <c r="F738" s="73" t="inlineStr">
        <is>
          <t xml:space="preserve">Оплачено </t>
        </is>
      </c>
    </row>
    <row r="739" ht="14.4" customHeight="1" s="1127">
      <c r="B739" s="68" t="n"/>
      <c r="C739" s="452" t="inlineStr">
        <is>
          <t>Dina Sauda Almaty ТОО</t>
        </is>
      </c>
      <c r="D739" s="542" t="n"/>
      <c r="E739" s="524" t="n">
        <v>19200</v>
      </c>
      <c r="F739" s="73" t="inlineStr">
        <is>
          <t xml:space="preserve">Оплачено </t>
        </is>
      </c>
    </row>
    <row r="740" ht="14.4" customHeight="1" s="1127">
      <c r="B740" s="68" t="n"/>
      <c r="C740" s="505" t="inlineStr">
        <is>
          <t>Мир Кондитера ИП</t>
        </is>
      </c>
      <c r="D740" s="68" t="n"/>
      <c r="E740" s="524" t="n">
        <v>300000</v>
      </c>
      <c r="F740" s="73" t="inlineStr">
        <is>
          <t xml:space="preserve">Оплачено </t>
        </is>
      </c>
    </row>
    <row r="741" ht="14.4" customHeight="1" s="1127">
      <c r="B741" s="68" t="n"/>
      <c r="C741" s="505" t="inlineStr">
        <is>
          <t>IntellPack Емельянов ИП</t>
        </is>
      </c>
      <c r="D741" s="453" t="n"/>
      <c r="E741" s="524" t="n">
        <v>200000</v>
      </c>
      <c r="F741" s="73" t="inlineStr">
        <is>
          <t xml:space="preserve">Оплачено </t>
        </is>
      </c>
    </row>
    <row r="742" ht="14.4" customHeight="1" s="1127">
      <c r="B742" s="68" t="n"/>
      <c r="C742" s="531" t="inlineStr">
        <is>
          <t>SWEEZARD ТОО</t>
        </is>
      </c>
      <c r="D742" s="453" t="n"/>
      <c r="E742" s="524" t="n">
        <v>500000</v>
      </c>
      <c r="F742" s="73" t="inlineStr">
        <is>
          <t xml:space="preserve">Оплачено </t>
        </is>
      </c>
    </row>
    <row r="743" ht="14.4" customHeight="1" s="1127">
      <c r="B743" s="68" t="n"/>
      <c r="C743" s="531" t="inlineStr">
        <is>
          <t>Acvee market ТОО</t>
        </is>
      </c>
      <c r="D743" s="68" t="n"/>
      <c r="E743" s="524" t="n">
        <v>100000</v>
      </c>
      <c r="F743" s="73" t="inlineStr">
        <is>
          <t xml:space="preserve">Оплачено </t>
        </is>
      </c>
    </row>
    <row r="744" ht="14.4" customHeight="1" s="1127">
      <c r="B744" s="68" t="n"/>
      <c r="C744" s="531" t="inlineStr">
        <is>
          <t>ДЕЛЬТА-Х ТОО</t>
        </is>
      </c>
      <c r="D744" s="542" t="n"/>
      <c r="E744" s="524" t="n">
        <v>200000</v>
      </c>
      <c r="F744" s="73" t="inlineStr">
        <is>
          <t xml:space="preserve">Оплачено </t>
        </is>
      </c>
    </row>
    <row r="745" ht="14.4" customHeight="1" s="1127">
      <c r="B745" s="68" t="n"/>
      <c r="C745" s="505" t="inlineStr">
        <is>
          <t>Элита-Трейд ТОО</t>
        </is>
      </c>
      <c r="D745" s="542" t="n"/>
      <c r="E745" s="524" t="n">
        <v>500000</v>
      </c>
      <c r="F745" s="73" t="inlineStr">
        <is>
          <t xml:space="preserve">Оплачено </t>
        </is>
      </c>
    </row>
    <row r="746" ht="14.4" customHeight="1" s="1127">
      <c r="B746" s="68" t="n"/>
      <c r="C746" s="505" t="inlineStr">
        <is>
          <t>Handy Yummy ИП</t>
        </is>
      </c>
      <c r="D746" s="542" t="n"/>
      <c r="E746" s="524" t="n">
        <v>1500000</v>
      </c>
      <c r="F746" s="73" t="inlineStr">
        <is>
          <t xml:space="preserve">Оплачено </t>
        </is>
      </c>
    </row>
    <row r="747" ht="14.4" customHeight="1" s="1127">
      <c r="B747" s="68" t="n"/>
      <c r="C747" s="505" t="inlineStr">
        <is>
          <t>Казойл Продакшн А ТОО</t>
        </is>
      </c>
      <c r="D747" s="542" t="n"/>
      <c r="E747" s="524" t="n">
        <v>700000</v>
      </c>
      <c r="F747" s="73" t="inlineStr">
        <is>
          <t xml:space="preserve">Оплачено </t>
        </is>
      </c>
    </row>
    <row r="748" ht="14.4" customHeight="1" s="1127">
      <c r="B748" s="68" t="n"/>
      <c r="C748" s="452" t="inlineStr">
        <is>
          <t>КазАгроПромТрейд ТОО</t>
        </is>
      </c>
      <c r="D748" s="542" t="n"/>
      <c r="E748" s="524" t="n">
        <v>377000</v>
      </c>
      <c r="F748" s="73" t="inlineStr">
        <is>
          <t xml:space="preserve">Оплачено </t>
        </is>
      </c>
    </row>
    <row r="749" ht="14.4" customHeight="1" s="1127">
      <c r="B749" s="68" t="n"/>
      <c r="C749" s="531" t="inlineStr">
        <is>
          <t>Taisa ТОО</t>
        </is>
      </c>
      <c r="D749" s="542" t="n"/>
      <c r="E749" s="524" t="n">
        <v>98800</v>
      </c>
      <c r="F749" s="73" t="inlineStr">
        <is>
          <t xml:space="preserve">Оплачено </t>
        </is>
      </c>
    </row>
    <row r="750" ht="14.4" customHeight="1" s="1127">
      <c r="B750" s="68" t="n"/>
      <c r="C750" s="531" t="inlineStr">
        <is>
          <t>TOIMART TOO</t>
        </is>
      </c>
      <c r="D750" s="542" t="n"/>
      <c r="E750" s="524" t="n">
        <v>800000</v>
      </c>
      <c r="F750" s="73" t="inlineStr">
        <is>
          <t xml:space="preserve">Оплачено </t>
        </is>
      </c>
    </row>
    <row r="751" ht="14.4" customHeight="1" s="1127">
      <c r="B751" s="68" t="n"/>
      <c r="C751" s="452" t="inlineStr">
        <is>
          <t>StroyLux ТОО</t>
        </is>
      </c>
      <c r="D751" s="542" t="n"/>
      <c r="E751" s="524" t="n">
        <v>400000</v>
      </c>
      <c r="F751" s="73" t="inlineStr">
        <is>
          <t xml:space="preserve">Оплачено </t>
        </is>
      </c>
    </row>
    <row r="752" ht="14.4" customHeight="1" s="1127">
      <c r="B752" s="68" t="n"/>
      <c r="C752" s="452" t="inlineStr">
        <is>
          <t>Almaty Develop STM ТОО</t>
        </is>
      </c>
      <c r="D752" s="542" t="n"/>
      <c r="E752" s="524" t="n">
        <v>400000</v>
      </c>
      <c r="F752" s="73" t="inlineStr">
        <is>
          <t xml:space="preserve">Оплачено </t>
        </is>
      </c>
    </row>
    <row r="753" ht="14.4" customHeight="1" s="1127">
      <c r="B753" s="68" t="n"/>
      <c r="C753" s="531" t="inlineStr">
        <is>
          <t>Овощи Касым</t>
        </is>
      </c>
      <c r="D753" s="453" t="n"/>
      <c r="E753" s="524" t="n">
        <v>800000</v>
      </c>
      <c r="F753" s="73" t="inlineStr">
        <is>
          <t xml:space="preserve">Оплачено </t>
        </is>
      </c>
    </row>
    <row r="754" ht="14.4" customHeight="1" s="1127">
      <c r="B754" s="68" t="n"/>
      <c r="C754" s="505" t="inlineStr">
        <is>
          <t>Утемисов Б К ИП</t>
        </is>
      </c>
      <c r="D754" s="542" t="n"/>
      <c r="E754" s="524" t="n">
        <v>200000</v>
      </c>
      <c r="F754" s="73" t="inlineStr">
        <is>
          <t xml:space="preserve">Оплачено </t>
        </is>
      </c>
    </row>
    <row r="755" ht="14.4" customHeight="1" s="1127">
      <c r="B755" s="68" t="n"/>
      <c r="C755" s="531" t="inlineStr">
        <is>
          <t>CAMPANINI ТОО</t>
        </is>
      </c>
      <c r="D755" s="542" t="n"/>
      <c r="E755" s="524" t="n">
        <v>160000</v>
      </c>
      <c r="F755" s="73" t="inlineStr">
        <is>
          <t xml:space="preserve">Оплачено </t>
        </is>
      </c>
    </row>
    <row r="756" ht="14.4" customHeight="1" s="1127">
      <c r="B756" s="68" t="n"/>
      <c r="C756" s="531" t="inlineStr">
        <is>
          <t>RB Brands ТОО</t>
        </is>
      </c>
      <c r="D756" s="544" t="n"/>
      <c r="E756" s="524" t="n">
        <v>300000</v>
      </c>
      <c r="F756" s="73" t="inlineStr">
        <is>
          <t xml:space="preserve">Оплачено </t>
        </is>
      </c>
    </row>
    <row r="757" ht="14.4" customHeight="1" s="1127">
      <c r="B757" s="68" t="n"/>
      <c r="C757" s="531" t="inlineStr">
        <is>
          <t>Гоша Succes овощи Айкоркем ИП</t>
        </is>
      </c>
      <c r="D757" s="68" t="n"/>
      <c r="E757" s="524" t="n">
        <v>500000</v>
      </c>
      <c r="F757" s="73" t="inlineStr">
        <is>
          <t xml:space="preserve">Оплачено </t>
        </is>
      </c>
    </row>
    <row r="758" ht="14.4" customHeight="1" s="1127">
      <c r="B758" s="68" t="n"/>
      <c r="C758" s="531" t="n"/>
      <c r="D758" s="509" t="inlineStr">
        <is>
          <t>Итого:</t>
        </is>
      </c>
      <c r="E758" s="524">
        <f>SUM(E738:E757)</f>
        <v/>
      </c>
      <c r="F758" s="73" t="n"/>
    </row>
    <row r="759" ht="14.4" customHeight="1" s="1127">
      <c r="B759" s="528" t="n">
        <v>46169</v>
      </c>
      <c r="C759" s="531" t="inlineStr">
        <is>
          <t>Сергей логист</t>
        </is>
      </c>
      <c r="D759" s="453" t="n"/>
      <c r="E759" s="524" t="n">
        <v>1500000</v>
      </c>
      <c r="F759" s="73" t="inlineStr">
        <is>
          <t xml:space="preserve">Оплачено </t>
        </is>
      </c>
    </row>
    <row r="760" ht="14.4" customHeight="1" s="1127">
      <c r="B760" s="68" t="n"/>
      <c r="C760" s="531" t="n"/>
      <c r="D760" s="509" t="inlineStr">
        <is>
          <t>Итого:</t>
        </is>
      </c>
      <c r="E760" s="524">
        <f>SUM(E759)</f>
        <v/>
      </c>
      <c r="F760" s="73" t="n"/>
    </row>
    <row r="761" ht="14.4" customHeight="1" s="1127">
      <c r="B761" s="528" t="n">
        <v>46170</v>
      </c>
      <c r="C761" s="531" t="inlineStr">
        <is>
          <t>Витамин+</t>
        </is>
      </c>
      <c r="D761" s="453" t="n"/>
      <c r="E761" s="524" t="n">
        <v>1000000</v>
      </c>
      <c r="F761" s="73" t="inlineStr">
        <is>
          <t xml:space="preserve">Оплачено </t>
        </is>
      </c>
    </row>
    <row r="762" ht="14.4" customHeight="1" s="1127">
      <c r="B762" s="68" t="n"/>
      <c r="C762" s="452" t="inlineStr">
        <is>
          <t>ПРОТЭК</t>
        </is>
      </c>
      <c r="D762" s="453" t="inlineStr">
        <is>
          <t>на стопе</t>
        </is>
      </c>
      <c r="E762" s="524" t="n">
        <v>1000000</v>
      </c>
      <c r="F762" s="73" t="inlineStr">
        <is>
          <t xml:space="preserve">Оплачено </t>
        </is>
      </c>
    </row>
    <row r="763" ht="14.4" customHeight="1" s="1127">
      <c r="B763" s="68" t="n"/>
      <c r="C763" s="531" t="n"/>
      <c r="D763" s="509" t="inlineStr">
        <is>
          <t>Итого:</t>
        </is>
      </c>
      <c r="E763" s="524">
        <f>SUM(E761:E762)</f>
        <v/>
      </c>
      <c r="F763" s="73" t="n"/>
    </row>
    <row r="764" ht="14.4" customHeight="1" s="1127">
      <c r="B764" s="528" t="n">
        <v>46170</v>
      </c>
      <c r="C764" s="531" t="inlineStr">
        <is>
          <t>ТОО Flame group</t>
        </is>
      </c>
      <c r="D764" s="453" t="inlineStr">
        <is>
          <t xml:space="preserve">остаток по предоплате </t>
        </is>
      </c>
      <c r="E764" s="524" t="n">
        <v>95800</v>
      </c>
      <c r="F764" s="73" t="inlineStr">
        <is>
          <t xml:space="preserve">Оплачено </t>
        </is>
      </c>
    </row>
    <row r="765" ht="14.4" customHeight="1" s="1127">
      <c r="B765" s="68" t="n"/>
      <c r="C765" s="531" t="inlineStr">
        <is>
          <t>Компания Натур Продукт ТОО</t>
        </is>
      </c>
      <c r="D765" s="544" t="n"/>
      <c r="E765" s="524" t="n">
        <v>399040</v>
      </c>
      <c r="F765" s="73" t="inlineStr">
        <is>
          <t xml:space="preserve">Оплачено </t>
        </is>
      </c>
    </row>
    <row r="766" ht="14.4" customHeight="1" s="1127">
      <c r="B766" s="68" t="n"/>
      <c r="C766" s="531" t="inlineStr">
        <is>
          <t>Бест импорт ТОО</t>
        </is>
      </c>
      <c r="D766" s="542" t="inlineStr">
        <is>
          <t>по ГП</t>
        </is>
      </c>
      <c r="E766" s="524" t="n">
        <v>700000</v>
      </c>
      <c r="F766" s="73" t="inlineStr">
        <is>
          <t xml:space="preserve">Оплачено </t>
        </is>
      </c>
    </row>
    <row r="767" ht="14.4" customHeight="1" s="1127">
      <c r="B767" s="68" t="n"/>
      <c r="C767" s="531" t="inlineStr">
        <is>
          <t>ФудМаркет ТОО</t>
        </is>
      </c>
      <c r="D767" s="453" t="inlineStr">
        <is>
          <t xml:space="preserve">по предоплате </t>
        </is>
      </c>
      <c r="E767" s="524" t="n">
        <v>141600</v>
      </c>
      <c r="F767" s="73" t="inlineStr">
        <is>
          <t xml:space="preserve">Оплачено </t>
        </is>
      </c>
    </row>
    <row r="768" ht="14.4" customHeight="1" s="1127">
      <c r="B768" s="68" t="n"/>
      <c r="C768" s="452" t="inlineStr">
        <is>
          <t>Viki-Kazakhstan ТОО</t>
        </is>
      </c>
      <c r="D768" s="542" t="inlineStr">
        <is>
          <t>по ГП</t>
        </is>
      </c>
      <c r="E768" s="524" t="n">
        <v>542380</v>
      </c>
      <c r="F768" s="73" t="inlineStr">
        <is>
          <t xml:space="preserve">Оплачено </t>
        </is>
      </c>
    </row>
    <row r="769" ht="14.4" customHeight="1" s="1127">
      <c r="B769" s="68" t="n"/>
      <c r="C769" s="452" t="inlineStr">
        <is>
          <t>KazBeef Processing (КазБиф Процессинг) ТОО</t>
        </is>
      </c>
      <c r="D769" s="542" t="inlineStr">
        <is>
          <t>по ГП</t>
        </is>
      </c>
      <c r="E769" s="524" t="n">
        <v>1000000</v>
      </c>
      <c r="F769" s="73" t="inlineStr">
        <is>
          <t xml:space="preserve">Оплачено </t>
        </is>
      </c>
    </row>
    <row r="770" ht="14.4" customHeight="1" s="1127">
      <c r="B770" s="68" t="n"/>
      <c r="C770" s="531" t="inlineStr">
        <is>
          <t>Ирбис соусы,грибы</t>
        </is>
      </c>
      <c r="D770" s="453" t="inlineStr">
        <is>
          <t>на стопе</t>
        </is>
      </c>
      <c r="E770" s="524" t="n">
        <v>36815</v>
      </c>
      <c r="F770" s="73" t="inlineStr">
        <is>
          <t xml:space="preserve">Оплачено </t>
        </is>
      </c>
    </row>
    <row r="771" ht="14.4" customHeight="1" s="1127">
      <c r="B771" s="68" t="n"/>
      <c r="C771" s="531" t="inlineStr">
        <is>
          <t>Шымкентмай АО</t>
        </is>
      </c>
      <c r="D771" s="542" t="inlineStr">
        <is>
          <t>по предоплате</t>
        </is>
      </c>
      <c r="E771" s="524" t="n">
        <v>438000</v>
      </c>
      <c r="F771" s="73" t="inlineStr">
        <is>
          <t xml:space="preserve">Оплачено </t>
        </is>
      </c>
    </row>
    <row r="772" ht="14.4" customHeight="1" s="1127">
      <c r="B772" s="68" t="n"/>
      <c r="C772" s="505" t="inlineStr">
        <is>
          <t>Первомайские Деликатесы ТОО</t>
        </is>
      </c>
      <c r="D772" s="542" t="n"/>
      <c r="E772" s="524" t="n">
        <v>800000</v>
      </c>
      <c r="F772" s="73" t="inlineStr">
        <is>
          <t xml:space="preserve">Оплачено </t>
        </is>
      </c>
    </row>
    <row r="773" ht="14.4" customHeight="1" s="1127">
      <c r="B773" s="68" t="n"/>
      <c r="C773" s="531" t="inlineStr">
        <is>
          <t>Витамин+</t>
        </is>
      </c>
      <c r="D773" s="453" t="n"/>
      <c r="E773" s="524" t="n">
        <v>457140</v>
      </c>
      <c r="F773" s="73" t="inlineStr">
        <is>
          <t xml:space="preserve">Оплачено </t>
        </is>
      </c>
    </row>
    <row r="774" ht="14.4" customHeight="1" s="1127">
      <c r="B774" s="529" t="n"/>
      <c r="C774" s="452" t="inlineStr">
        <is>
          <t>Казоил Продакшн</t>
        </is>
      </c>
      <c r="D774" s="68" t="n"/>
      <c r="E774" s="524" t="n">
        <v>500000</v>
      </c>
      <c r="F774" s="73" t="inlineStr">
        <is>
          <t xml:space="preserve">Оплачено </t>
        </is>
      </c>
    </row>
    <row r="775" ht="14.4" customHeight="1" s="1127">
      <c r="B775" s="68" t="n"/>
      <c r="C775" s="531" t="inlineStr">
        <is>
          <t>Food Company ТОО</t>
        </is>
      </c>
      <c r="D775" s="542" t="inlineStr">
        <is>
          <t>по предоплате</t>
        </is>
      </c>
      <c r="E775" s="524" t="n">
        <v>123000</v>
      </c>
      <c r="F775" s="73" t="inlineStr">
        <is>
          <t xml:space="preserve">Оплачено </t>
        </is>
      </c>
    </row>
    <row r="776" ht="14.4" customHeight="1" s="1127">
      <c r="B776" s="68" t="n"/>
      <c r="C776" s="531" t="inlineStr">
        <is>
          <t>Лейпурин ТОО</t>
        </is>
      </c>
      <c r="D776" s="453" t="n"/>
      <c r="E776" s="524" t="n">
        <v>63550</v>
      </c>
      <c r="F776" s="73" t="inlineStr">
        <is>
          <t xml:space="preserve">Оплачено </t>
        </is>
      </c>
    </row>
    <row r="777" ht="14.4" customHeight="1" s="1127">
      <c r="B777" s="68" t="n"/>
      <c r="C777" s="531" t="inlineStr">
        <is>
          <t>Champello ТОО</t>
        </is>
      </c>
      <c r="D777" s="544" t="n"/>
      <c r="E777" s="524" t="n">
        <v>126800</v>
      </c>
      <c r="F777" s="73" t="inlineStr">
        <is>
          <t xml:space="preserve">Оплачено </t>
        </is>
      </c>
    </row>
    <row r="778" ht="14.4" customHeight="1" s="1127">
      <c r="B778" s="68" t="n"/>
      <c r="C778" s="531" t="inlineStr">
        <is>
          <t>QAZAQ SAPA GROUP ТОО</t>
        </is>
      </c>
      <c r="D778" s="542" t="n"/>
      <c r="E778" s="524" t="n">
        <v>500000</v>
      </c>
      <c r="F778" s="73" t="inlineStr">
        <is>
          <t xml:space="preserve">Оплачено </t>
        </is>
      </c>
    </row>
    <row r="779" ht="14.4" customHeight="1" s="1127">
      <c r="B779" s="68" t="n"/>
      <c r="C779" s="531" t="inlineStr">
        <is>
          <t>Альбатрос ВЭД ТОО</t>
        </is>
      </c>
      <c r="D779" s="544" t="n"/>
      <c r="E779" s="524" t="n">
        <v>165000</v>
      </c>
      <c r="F779" s="73" t="inlineStr">
        <is>
          <t xml:space="preserve">Оплачено </t>
        </is>
      </c>
    </row>
    <row r="780" ht="14.4" customHeight="1" s="1127">
      <c r="B780" s="68" t="n"/>
      <c r="C780" s="452" t="inlineStr">
        <is>
          <t>Global Halal Food ТОО</t>
        </is>
      </c>
      <c r="D780" s="68" t="n"/>
      <c r="E780" s="524" t="n">
        <v>400000</v>
      </c>
      <c r="F780" s="73" t="inlineStr">
        <is>
          <t xml:space="preserve">Оплачено </t>
        </is>
      </c>
    </row>
    <row r="781" ht="14.4" customHeight="1" s="1127">
      <c r="B781" s="68" t="n"/>
      <c r="C781" s="531" t="n"/>
      <c r="D781" s="509" t="inlineStr">
        <is>
          <t>Итого:</t>
        </is>
      </c>
      <c r="E781" s="524">
        <f>SUM(E764:E780)</f>
        <v/>
      </c>
      <c r="F781" s="73" t="n"/>
    </row>
    <row r="782" ht="14.4" customHeight="1" s="1127">
      <c r="B782" s="68" t="n"/>
      <c r="C782" s="531" t="n"/>
      <c r="D782" s="544" t="n"/>
      <c r="E782" s="524" t="n"/>
      <c r="F782" s="73" t="n"/>
    </row>
    <row r="783" ht="14.4" customHeight="1" s="1127">
      <c r="B783" s="528" t="n">
        <v>46171</v>
      </c>
      <c r="C783" s="531" t="inlineStr">
        <is>
          <t>Мясоперерабатывающий завод БИЖАН ТОО</t>
        </is>
      </c>
      <c r="D783" s="542" t="n"/>
      <c r="E783" s="524" t="n">
        <v>800000</v>
      </c>
      <c r="F783" s="73" t="inlineStr">
        <is>
          <t xml:space="preserve">Оплачено </t>
        </is>
      </c>
    </row>
    <row r="784" ht="14.4" customHeight="1" s="1127">
      <c r="B784" s="68" t="n"/>
      <c r="C784" s="531" t="n"/>
      <c r="D784" s="509" t="inlineStr">
        <is>
          <t>Итого:</t>
        </is>
      </c>
      <c r="E784" s="524">
        <f>SUM(E783)</f>
        <v/>
      </c>
      <c r="F784" s="73" t="n"/>
    </row>
    <row r="785" ht="14.4" customHeight="1" s="1127">
      <c r="B785" s="528" t="n">
        <v>46174</v>
      </c>
      <c r="C785" s="531" t="inlineStr">
        <is>
          <t>AmigoSAN ТОО</t>
        </is>
      </c>
      <c r="D785" s="544" t="n"/>
      <c r="E785" s="524" t="n">
        <v>155340</v>
      </c>
      <c r="F785" s="73" t="inlineStr">
        <is>
          <t xml:space="preserve">Оплачено </t>
        </is>
      </c>
    </row>
    <row r="786" ht="14.4" customHeight="1" s="1127">
      <c r="B786" s="68" t="n"/>
      <c r="C786" s="452" t="inlineStr">
        <is>
          <t>DFK FOOD ИП</t>
        </is>
      </c>
      <c r="D786" s="68" t="n"/>
      <c r="E786" s="524" t="n">
        <v>300000</v>
      </c>
      <c r="F786" s="73" t="inlineStr">
        <is>
          <t xml:space="preserve">Оплачено </t>
        </is>
      </c>
    </row>
    <row r="787" ht="14.4" customHeight="1" s="1127">
      <c r="B787" s="68" t="n"/>
      <c r="C787" s="531" t="inlineStr">
        <is>
          <t>Joyu ТОО</t>
        </is>
      </c>
      <c r="D787" s="542" t="n"/>
      <c r="E787" s="524" t="n">
        <v>150000</v>
      </c>
      <c r="F787" s="73" t="inlineStr">
        <is>
          <t xml:space="preserve">Оплачено </t>
        </is>
      </c>
    </row>
    <row r="788" ht="14.4" customHeight="1" s="1127">
      <c r="B788" s="68" t="n"/>
      <c r="C788" s="531" t="inlineStr">
        <is>
          <t>Витамин+</t>
        </is>
      </c>
      <c r="D788" s="453" t="n"/>
      <c r="E788" s="524" t="n">
        <v>500000</v>
      </c>
      <c r="F788" s="73" t="inlineStr">
        <is>
          <t xml:space="preserve">Оплачено </t>
        </is>
      </c>
    </row>
    <row r="789" ht="14.4" customHeight="1" s="1127">
      <c r="B789" s="68" t="n"/>
      <c r="C789" s="505" t="inlineStr">
        <is>
          <t>ТОРГОВЫЙ ДОМ АЛЕЛЬ</t>
        </is>
      </c>
      <c r="D789" s="453" t="n"/>
      <c r="E789" s="524" t="n">
        <v>500000</v>
      </c>
      <c r="F789" s="73" t="inlineStr">
        <is>
          <t xml:space="preserve">Оплачено </t>
        </is>
      </c>
    </row>
    <row r="790" ht="14.4" customHeight="1" s="1127">
      <c r="B790" s="68" t="n"/>
      <c r="C790" s="531" t="inlineStr">
        <is>
          <t>АРБУЗ ФУД СЕРВИС ТОО</t>
        </is>
      </c>
      <c r="D790" s="542" t="n"/>
      <c r="E790" s="524" t="n">
        <v>116820</v>
      </c>
      <c r="F790" s="73" t="inlineStr">
        <is>
          <t xml:space="preserve">Оплачено </t>
        </is>
      </c>
    </row>
    <row r="791" ht="14.4" customHeight="1" s="1127">
      <c r="B791" s="68" t="n"/>
      <c r="C791" s="452" t="inlineStr">
        <is>
          <t>ТОО Дон Плюс</t>
        </is>
      </c>
      <c r="D791" s="543" t="inlineStr">
        <is>
          <t>сливки для Каспи</t>
        </is>
      </c>
      <c r="E791" s="524" t="n">
        <v>43200</v>
      </c>
      <c r="F791" s="73" t="inlineStr">
        <is>
          <t xml:space="preserve">Оплачено </t>
        </is>
      </c>
    </row>
    <row r="792" ht="14.4" customHeight="1" s="1127">
      <c r="B792" s="68" t="n"/>
      <c r="C792" s="452" t="inlineStr">
        <is>
          <t>KazBeef Processing (КазБиф Процессинг) ТОО</t>
        </is>
      </c>
      <c r="D792" s="542" t="inlineStr">
        <is>
          <t>по ГП</t>
        </is>
      </c>
      <c r="E792" s="524" t="n">
        <v>1000000</v>
      </c>
      <c r="F792" s="73" t="inlineStr">
        <is>
          <t xml:space="preserve">Оплачено </t>
        </is>
      </c>
    </row>
    <row r="793" ht="14.4" customHeight="1" s="1127">
      <c r="B793" s="68" t="n"/>
      <c r="C793" s="531" t="inlineStr">
        <is>
          <t>Овощи Касым</t>
        </is>
      </c>
      <c r="D793" s="453" t="n"/>
      <c r="E793" s="524" t="n">
        <v>100000</v>
      </c>
      <c r="F793" s="73" t="inlineStr">
        <is>
          <t xml:space="preserve">Оплачено </t>
        </is>
      </c>
    </row>
    <row r="794" ht="14.4" customHeight="1" s="1127">
      <c r="B794" s="68" t="n"/>
      <c r="C794" s="531" t="inlineStr">
        <is>
          <t>Succes овощи Айкоркем ИП</t>
        </is>
      </c>
      <c r="D794" s="453" t="n"/>
      <c r="E794" s="524" t="n">
        <v>100000</v>
      </c>
      <c r="F794" s="73" t="inlineStr">
        <is>
          <t xml:space="preserve">Оплачено </t>
        </is>
      </c>
    </row>
    <row r="795" ht="14.4" customHeight="1" s="1127">
      <c r="B795" s="68" t="n"/>
      <c r="C795" s="531" t="n"/>
      <c r="D795" s="509" t="inlineStr">
        <is>
          <t>Итого:</t>
        </is>
      </c>
      <c r="E795" s="524">
        <f>SUM(E785:E794)</f>
        <v/>
      </c>
      <c r="F795" s="73" t="n"/>
    </row>
    <row r="796" ht="14.4" customHeight="1" s="1127">
      <c r="B796" s="528" t="n">
        <v>46174</v>
      </c>
      <c r="C796" s="452" t="inlineStr">
        <is>
          <t>Viki-Kazakhstan ТОО</t>
        </is>
      </c>
      <c r="D796" s="68" t="n"/>
      <c r="E796" s="524" t="n">
        <v>500000</v>
      </c>
      <c r="F796" s="73" t="inlineStr">
        <is>
          <t xml:space="preserve">Оплачено </t>
        </is>
      </c>
    </row>
    <row r="797" ht="14.4" customHeight="1" s="1127">
      <c r="B797" s="68" t="n"/>
      <c r="C797" s="452" t="inlineStr">
        <is>
          <t>Компания Фудмастер-Трэйд ТОО</t>
        </is>
      </c>
      <c r="D797" s="542" t="inlineStr">
        <is>
          <t>на стопе</t>
        </is>
      </c>
      <c r="E797" s="524" t="n">
        <v>82804</v>
      </c>
      <c r="F797" s="73" t="inlineStr">
        <is>
          <t xml:space="preserve">Оплачено </t>
        </is>
      </c>
    </row>
    <row r="798" ht="14.4" customHeight="1" s="1127">
      <c r="B798" s="68" t="n"/>
      <c r="C798" s="531" t="inlineStr">
        <is>
          <t>Шымкентмай АО</t>
        </is>
      </c>
      <c r="D798" s="542" t="inlineStr">
        <is>
          <t>по предоплате</t>
        </is>
      </c>
      <c r="E798" s="524" t="n">
        <v>438000</v>
      </c>
      <c r="F798" s="73" t="inlineStr">
        <is>
          <t xml:space="preserve">Оплачено </t>
        </is>
      </c>
    </row>
    <row r="799" ht="14.4" customHeight="1" s="1127">
      <c r="B799" s="68" t="n"/>
      <c r="C799" s="531" t="inlineStr">
        <is>
          <t>Ихсан Техногаз ТОО</t>
        </is>
      </c>
      <c r="D799" s="453" t="n"/>
      <c r="E799" s="524" t="n">
        <v>200000</v>
      </c>
      <c r="F799" s="73" t="inlineStr">
        <is>
          <t xml:space="preserve">Оплачено </t>
        </is>
      </c>
    </row>
    <row r="800" ht="14.4" customHeight="1" s="1127">
      <c r="B800" s="68" t="n"/>
      <c r="C800" s="452" t="inlineStr">
        <is>
          <t>Инарин ТОО</t>
        </is>
      </c>
      <c r="D800" s="68" t="n"/>
      <c r="E800" s="524" t="n">
        <v>300000</v>
      </c>
      <c r="F800" s="73" t="inlineStr">
        <is>
          <t xml:space="preserve">Оплачено </t>
        </is>
      </c>
    </row>
    <row r="801" ht="14.4" customHeight="1" s="1127">
      <c r="B801" s="68" t="n"/>
      <c r="C801" s="452" t="inlineStr">
        <is>
          <t>Almaty Develop STM ТОО</t>
        </is>
      </c>
      <c r="D801" s="543" t="n"/>
      <c r="E801" s="524" t="n">
        <v>500000</v>
      </c>
      <c r="F801" s="73" t="inlineStr">
        <is>
          <t xml:space="preserve">Оплачено </t>
        </is>
      </c>
    </row>
    <row r="802" ht="14.4" customHeight="1" s="1127">
      <c r="B802" s="68" t="n"/>
      <c r="C802" s="531" t="inlineStr">
        <is>
          <t>ПРОДУКТЫ ПИТАНИЯ KZ ТОО</t>
        </is>
      </c>
      <c r="D802" s="542" t="n"/>
      <c r="E802" s="524" t="n">
        <v>157704</v>
      </c>
      <c r="F802" s="73" t="inlineStr">
        <is>
          <t xml:space="preserve">Оплачено </t>
        </is>
      </c>
    </row>
    <row r="803" ht="14.4" customHeight="1" s="1127">
      <c r="B803" s="68" t="n"/>
      <c r="C803" s="452" t="inlineStr">
        <is>
          <t>Adolar Group ТОО</t>
        </is>
      </c>
      <c r="D803" s="542" t="n"/>
      <c r="E803" s="524" t="n">
        <v>1000000</v>
      </c>
      <c r="F803" s="73" t="inlineStr">
        <is>
          <t xml:space="preserve">Оплачено </t>
        </is>
      </c>
    </row>
    <row r="804" ht="14.4" customHeight="1" s="1127">
      <c r="B804" s="68" t="n"/>
      <c r="C804" s="505" t="inlineStr">
        <is>
          <t>Компания Натур Продукт ТОО</t>
        </is>
      </c>
      <c r="D804" s="453" t="n"/>
      <c r="E804" s="524" t="n">
        <v>700000</v>
      </c>
      <c r="F804" s="73" t="inlineStr">
        <is>
          <t xml:space="preserve">Оплачено </t>
        </is>
      </c>
    </row>
    <row r="805" ht="14.4" customHeight="1" s="1127">
      <c r="B805" s="68" t="n"/>
      <c r="C805" s="531" t="inlineStr">
        <is>
          <t>Рэд Тим Дистрибьюшн ТОО</t>
        </is>
      </c>
      <c r="D805" s="542" t="n"/>
      <c r="E805" s="524" t="n">
        <v>376236</v>
      </c>
      <c r="F805" s="73" t="inlineStr">
        <is>
          <t xml:space="preserve">Оплачено </t>
        </is>
      </c>
    </row>
    <row r="806" ht="14.4" customHeight="1" s="1127">
      <c r="B806" s="68" t="n"/>
      <c r="C806" s="531" t="inlineStr">
        <is>
          <t>Art Food ИП</t>
        </is>
      </c>
      <c r="D806" s="544" t="n"/>
      <c r="E806" s="524" t="n">
        <v>200000</v>
      </c>
      <c r="F806" s="73" t="inlineStr">
        <is>
          <t xml:space="preserve">Оплачено </t>
        </is>
      </c>
    </row>
    <row r="807" ht="14.4" customHeight="1" s="1127">
      <c r="B807" s="68" t="n"/>
      <c r="C807" s="452" t="inlineStr">
        <is>
          <t>ПРОТЭК</t>
        </is>
      </c>
      <c r="D807" s="542" t="n"/>
      <c r="E807" s="524" t="n">
        <v>1000000</v>
      </c>
      <c r="F807" s="73" t="inlineStr">
        <is>
          <t xml:space="preserve">Оплачено </t>
        </is>
      </c>
    </row>
    <row r="808" ht="14.4" customHeight="1" s="1127">
      <c r="B808" s="68" t="n"/>
      <c r="C808" s="531" t="inlineStr">
        <is>
          <t>Витамин+</t>
        </is>
      </c>
      <c r="D808" s="453" t="n"/>
      <c r="E808" s="524" t="n">
        <v>500000</v>
      </c>
      <c r="F808" s="73" t="inlineStr">
        <is>
          <t xml:space="preserve">Оплачено </t>
        </is>
      </c>
    </row>
    <row r="809" ht="14.4" customHeight="1" s="1127">
      <c r="B809" s="68" t="n"/>
      <c r="C809" s="452" t="inlineStr">
        <is>
          <t>Мясоперерабатывающий завод БИЖАН ТОО</t>
        </is>
      </c>
      <c r="D809" s="542" t="n"/>
      <c r="E809" s="524" t="n">
        <v>667994.21</v>
      </c>
      <c r="F809" s="73" t="inlineStr">
        <is>
          <t xml:space="preserve">Оплачено </t>
        </is>
      </c>
    </row>
    <row r="810" ht="14.4" customHeight="1" s="1127">
      <c r="B810" s="68" t="n"/>
      <c r="C810" s="452" t="n"/>
      <c r="D810" s="509" t="inlineStr">
        <is>
          <t>Итого:</t>
        </is>
      </c>
      <c r="E810" s="524">
        <f>SUM(E796:E809)</f>
        <v/>
      </c>
      <c r="F810" s="73" t="n"/>
    </row>
    <row r="811" ht="14.4" customHeight="1" s="1127">
      <c r="B811" s="528" t="n">
        <v>46175</v>
      </c>
      <c r="C811" s="531" t="inlineStr">
        <is>
          <t>Витамин+</t>
        </is>
      </c>
      <c r="D811" s="453" t="n"/>
      <c r="E811" s="524" t="n">
        <v>1000000</v>
      </c>
      <c r="F811" s="73" t="inlineStr">
        <is>
          <t xml:space="preserve">Оплачено </t>
        </is>
      </c>
    </row>
    <row r="812" ht="14.4" customHeight="1" s="1127">
      <c r="B812" s="68" t="n"/>
      <c r="C812" s="452" t="inlineStr">
        <is>
          <t>Элита-Трейд ТОО</t>
        </is>
      </c>
      <c r="D812" s="453" t="inlineStr">
        <is>
          <t>на стопе</t>
        </is>
      </c>
      <c r="E812" s="524" t="n">
        <v>1000000</v>
      </c>
      <c r="F812" s="73" t="inlineStr">
        <is>
          <t xml:space="preserve">Оплачено </t>
        </is>
      </c>
    </row>
    <row r="813" ht="14.4" customHeight="1" s="1127">
      <c r="B813" s="68" t="n"/>
      <c r="C813" s="531" t="n"/>
      <c r="D813" s="509" t="inlineStr">
        <is>
          <t>Итого:</t>
        </is>
      </c>
      <c r="E813" s="524">
        <f>SUM(E811:E812)</f>
        <v/>
      </c>
      <c r="F813" s="73" t="n"/>
    </row>
    <row r="814" ht="14.4" customHeight="1" s="1127">
      <c r="B814" s="528" t="n">
        <v>46175</v>
      </c>
      <c r="C814" s="531" t="inlineStr">
        <is>
          <t>BravoSauda ТОО</t>
        </is>
      </c>
      <c r="D814" s="542" t="n"/>
      <c r="E814" s="524" t="n">
        <v>271800</v>
      </c>
      <c r="F814" s="73" t="inlineStr">
        <is>
          <t xml:space="preserve">Оплачено </t>
        </is>
      </c>
    </row>
    <row r="815" ht="14.4" customHeight="1" s="1127">
      <c r="B815" s="68" t="n"/>
      <c r="C815" s="452" t="inlineStr">
        <is>
          <t>Эрико ТОО</t>
        </is>
      </c>
      <c r="D815" s="542" t="inlineStr">
        <is>
          <t>по предоплате</t>
        </is>
      </c>
      <c r="E815" s="524" t="n">
        <v>470320</v>
      </c>
      <c r="F815" s="73" t="inlineStr">
        <is>
          <t xml:space="preserve">Оплачено </t>
        </is>
      </c>
    </row>
    <row r="816" ht="14.4" customHeight="1" s="1127">
      <c r="B816" s="68" t="n"/>
      <c r="C816" s="452" t="inlineStr">
        <is>
          <t>SWEEZARD ТОО</t>
        </is>
      </c>
      <c r="D816" s="453" t="n"/>
      <c r="E816" s="524" t="n">
        <v>500000</v>
      </c>
      <c r="F816" s="73" t="inlineStr">
        <is>
          <t xml:space="preserve">Оплачено </t>
        </is>
      </c>
    </row>
    <row r="817" ht="14.4" customHeight="1" s="1127">
      <c r="B817" s="68" t="n"/>
      <c r="C817" s="452" t="inlineStr">
        <is>
          <t>КапиталПрофСнаб ТОО</t>
        </is>
      </c>
      <c r="D817" s="453" t="n"/>
      <c r="E817" s="524" t="n">
        <v>56000</v>
      </c>
      <c r="F817" s="73" t="inlineStr">
        <is>
          <t xml:space="preserve">Оплачено </t>
        </is>
      </c>
    </row>
    <row r="818" ht="14.4" customHeight="1" s="1127">
      <c r="B818" s="68" t="n"/>
      <c r="C818" s="452" t="inlineStr">
        <is>
          <t>QAZAQ SAPA GROUP ТОО</t>
        </is>
      </c>
      <c r="D818" s="453" t="n"/>
      <c r="E818" s="524" t="n">
        <v>500000</v>
      </c>
      <c r="F818" s="73" t="inlineStr">
        <is>
          <t xml:space="preserve">Оплачено </t>
        </is>
      </c>
    </row>
    <row r="819" ht="14.4" customHeight="1" s="1127">
      <c r="B819" s="68" t="n"/>
      <c r="C819" s="452" t="inlineStr">
        <is>
          <t>Инарин ТОО</t>
        </is>
      </c>
      <c r="D819" s="542" t="inlineStr">
        <is>
          <t xml:space="preserve">остаток </t>
        </is>
      </c>
      <c r="E819" s="524" t="n">
        <v>64470</v>
      </c>
      <c r="F819" s="73" t="inlineStr">
        <is>
          <t xml:space="preserve">Оплачено </t>
        </is>
      </c>
    </row>
    <row r="820" ht="14.4" customHeight="1" s="1127">
      <c r="B820" s="68" t="n"/>
      <c r="C820" s="452" t="inlineStr">
        <is>
          <t>Color express ТОО</t>
        </is>
      </c>
      <c r="D820" s="68" t="n"/>
      <c r="E820" s="524" t="n">
        <v>500000</v>
      </c>
      <c r="F820" s="73" t="inlineStr">
        <is>
          <t xml:space="preserve">Оплачено </t>
        </is>
      </c>
    </row>
    <row r="821" ht="14.4" customHeight="1" s="1127">
      <c r="B821" s="68" t="n"/>
      <c r="C821" s="531" t="inlineStr">
        <is>
          <t>Fresh Frozen ТОО</t>
        </is>
      </c>
      <c r="D821" s="544" t="n"/>
      <c r="E821" s="524" t="n">
        <v>500000</v>
      </c>
      <c r="F821" s="73" t="inlineStr">
        <is>
          <t xml:space="preserve">Оплачено </t>
        </is>
      </c>
    </row>
    <row r="822" ht="14.4" customHeight="1" s="1127">
      <c r="B822" s="68" t="n"/>
      <c r="C822" s="531" t="inlineStr">
        <is>
          <t>Frozen Fruit ТОО</t>
        </is>
      </c>
      <c r="D822" s="542" t="n"/>
      <c r="E822" s="524" t="n">
        <v>500000</v>
      </c>
      <c r="F822" s="73" t="inlineStr">
        <is>
          <t xml:space="preserve">Оплачено </t>
        </is>
      </c>
    </row>
    <row r="823" ht="14.4" customHeight="1" s="1127">
      <c r="B823" s="68" t="n"/>
      <c r="C823" s="452" t="inlineStr">
        <is>
          <t>Bestseller Food Company ТОО</t>
        </is>
      </c>
      <c r="D823" s="68" t="n"/>
      <c r="E823" s="524" t="n">
        <v>200000</v>
      </c>
      <c r="F823" s="73" t="inlineStr">
        <is>
          <t xml:space="preserve">Оплачено </t>
        </is>
      </c>
    </row>
    <row r="824" ht="14.4" customHeight="1" s="1127">
      <c r="B824" s="68" t="n"/>
      <c r="C824" s="452" t="inlineStr">
        <is>
          <t>Утемисов Б К ИП</t>
        </is>
      </c>
      <c r="D824" s="453" t="n"/>
      <c r="E824" s="524" t="n">
        <v>500000</v>
      </c>
      <c r="F824" s="73" t="inlineStr">
        <is>
          <t xml:space="preserve">Оплачено </t>
        </is>
      </c>
    </row>
    <row r="825" ht="14.4" customHeight="1" s="1127">
      <c r="B825" s="68" t="n"/>
      <c r="C825" s="452" t="inlineStr">
        <is>
          <t>Interrom Kazakhstan ТОО</t>
        </is>
      </c>
      <c r="D825" s="453" t="n"/>
      <c r="E825" s="524" t="n">
        <v>103000</v>
      </c>
      <c r="F825" s="73" t="inlineStr">
        <is>
          <t xml:space="preserve">Оплачено </t>
        </is>
      </c>
    </row>
    <row r="826" ht="14.4" customHeight="1" s="1127">
      <c r="B826" s="68" t="n"/>
      <c r="C826" s="452" t="inlineStr">
        <is>
          <t>Торговый дом Алель</t>
        </is>
      </c>
      <c r="D826" s="453" t="inlineStr">
        <is>
          <t>остаток долга</t>
        </is>
      </c>
      <c r="E826" s="524" t="n">
        <v>200000</v>
      </c>
      <c r="F826" s="73" t="inlineStr">
        <is>
          <t xml:space="preserve">Оплачено </t>
        </is>
      </c>
    </row>
    <row r="827" ht="14.4" customHeight="1" s="1127">
      <c r="B827" s="68" t="n"/>
      <c r="C827" s="452" t="inlineStr">
        <is>
          <t>Medhelp ИП</t>
        </is>
      </c>
      <c r="D827" s="68" t="n"/>
      <c r="E827" s="524" t="n">
        <v>300000</v>
      </c>
      <c r="F827" s="73" t="inlineStr">
        <is>
          <t xml:space="preserve">Оплачено </t>
        </is>
      </c>
    </row>
    <row r="828" ht="14.4" customHeight="1" s="1127">
      <c r="B828" s="68" t="n"/>
      <c r="C828" s="452" t="inlineStr">
        <is>
          <t>КазАгроПромТрейд ТОО</t>
        </is>
      </c>
      <c r="D828" s="68" t="n"/>
      <c r="E828" s="524" t="n">
        <v>500000</v>
      </c>
      <c r="F828" s="73" t="inlineStr">
        <is>
          <t xml:space="preserve">Оплачено </t>
        </is>
      </c>
    </row>
    <row r="829" ht="14.4" customHeight="1" s="1127">
      <c r="B829" s="68" t="n"/>
      <c r="C829" s="452" t="inlineStr">
        <is>
          <t>Аяла Плюс ТОО</t>
        </is>
      </c>
      <c r="D829" s="68" t="n"/>
      <c r="E829" s="524" t="n">
        <v>380460</v>
      </c>
      <c r="F829" s="73" t="inlineStr">
        <is>
          <t xml:space="preserve">Оплачено </t>
        </is>
      </c>
    </row>
    <row r="830" ht="14.4" customHeight="1" s="1127">
      <c r="B830" s="68" t="n"/>
      <c r="C830" s="452" t="inlineStr">
        <is>
          <t>Food Company ТОО</t>
        </is>
      </c>
      <c r="D830" s="542" t="inlineStr">
        <is>
          <t>по предоплате</t>
        </is>
      </c>
      <c r="E830" s="524" t="n">
        <v>125200</v>
      </c>
      <c r="F830" s="73" t="inlineStr">
        <is>
          <t xml:space="preserve">Оплачено </t>
        </is>
      </c>
    </row>
    <row r="831" ht="14.4" customHeight="1" s="1127">
      <c r="B831" s="68" t="n"/>
      <c r="C831" s="452" t="inlineStr">
        <is>
          <t>Исмагулов ИП</t>
        </is>
      </c>
      <c r="D831" s="453" t="inlineStr">
        <is>
          <t>на стопе</t>
        </is>
      </c>
      <c r="E831" s="524" t="n">
        <v>1664100</v>
      </c>
      <c r="F831" s="73" t="inlineStr">
        <is>
          <t xml:space="preserve">Оплачено </t>
        </is>
      </c>
    </row>
    <row r="832" ht="14.4" customHeight="1" s="1127">
      <c r="B832" s="68" t="n"/>
      <c r="C832" s="452" t="n"/>
      <c r="D832" s="509" t="inlineStr">
        <is>
          <t>Итого:</t>
        </is>
      </c>
      <c r="E832" s="524">
        <f>SUM(E814:E831)</f>
        <v/>
      </c>
      <c r="F832" s="73" t="n"/>
    </row>
    <row r="833" ht="14.4" customHeight="1" s="1127">
      <c r="B833" s="528" t="n">
        <v>46176</v>
      </c>
      <c r="C833" s="531" t="inlineStr">
        <is>
          <t>Евразиан Фудс Корпорэйшн АО</t>
        </is>
      </c>
      <c r="D833" s="542" t="inlineStr">
        <is>
          <t>на стопе</t>
        </is>
      </c>
      <c r="E833" s="524" t="n">
        <v>1500000</v>
      </c>
      <c r="F833" s="73" t="inlineStr">
        <is>
          <t xml:space="preserve">Оплачено </t>
        </is>
      </c>
    </row>
    <row r="834" ht="14.4" customHeight="1" s="1127">
      <c r="B834" s="68" t="n"/>
      <c r="C834" s="531" t="n"/>
      <c r="D834" s="509" t="inlineStr">
        <is>
          <t>Итого:</t>
        </is>
      </c>
      <c r="E834" s="524">
        <f>SUM(E833)</f>
        <v/>
      </c>
      <c r="F834" s="73" t="n"/>
    </row>
    <row r="835" ht="14.4" customHeight="1" s="1127">
      <c r="B835" s="528" t="n">
        <v>46176</v>
      </c>
      <c r="C835" s="531" t="inlineStr">
        <is>
          <t>Овощи Касым</t>
        </is>
      </c>
      <c r="D835" s="544" t="n"/>
      <c r="E835" s="524" t="n">
        <v>300000</v>
      </c>
      <c r="F835" s="73" t="inlineStr">
        <is>
          <t xml:space="preserve">Оплачено </t>
        </is>
      </c>
    </row>
    <row r="836" ht="14.4" customHeight="1" s="1127">
      <c r="B836" s="68" t="n"/>
      <c r="C836" s="452" t="n"/>
      <c r="D836" s="509" t="inlineStr">
        <is>
          <t>Итого:</t>
        </is>
      </c>
      <c r="E836" s="524">
        <f>SUM(E835)</f>
        <v/>
      </c>
      <c r="F836" s="73" t="n"/>
    </row>
    <row r="837" ht="14.4" customHeight="1" s="1127">
      <c r="B837" s="528" t="n">
        <v>46177</v>
      </c>
      <c r="C837" s="452" t="inlineStr">
        <is>
          <t xml:space="preserve">Сергей логист </t>
        </is>
      </c>
      <c r="D837" s="542" t="n"/>
      <c r="E837" s="524" t="n">
        <v>1000000</v>
      </c>
      <c r="F837" s="73" t="inlineStr">
        <is>
          <t xml:space="preserve">Оплачено </t>
        </is>
      </c>
    </row>
    <row r="838" ht="14.4" customHeight="1" s="1127">
      <c r="B838" s="68" t="n"/>
      <c r="C838" s="452" t="inlineStr">
        <is>
          <t>Фуд вендинг</t>
        </is>
      </c>
      <c r="D838" s="453" t="n"/>
      <c r="E838" s="524" t="n">
        <v>300000</v>
      </c>
      <c r="F838" s="73" t="inlineStr">
        <is>
          <t xml:space="preserve">Оплачено </t>
        </is>
      </c>
    </row>
    <row r="839" ht="14.4" customHeight="1" s="1127">
      <c r="B839" s="68" t="n"/>
      <c r="C839" s="452" t="inlineStr">
        <is>
          <t>RB Brands ТОО</t>
        </is>
      </c>
      <c r="D839" s="542" t="n"/>
      <c r="E839" s="524" t="n">
        <v>285120</v>
      </c>
      <c r="F839" s="73" t="inlineStr">
        <is>
          <t xml:space="preserve">Оплачено </t>
        </is>
      </c>
    </row>
    <row r="840" ht="14.4" customHeight="1" s="1127">
      <c r="B840" s="68" t="n"/>
      <c r="C840" s="531" t="inlineStr">
        <is>
          <t xml:space="preserve">Мир кондитера </t>
        </is>
      </c>
      <c r="D840" s="453" t="n"/>
      <c r="E840" s="524" t="n">
        <v>140230</v>
      </c>
      <c r="F840" s="73" t="inlineStr">
        <is>
          <t xml:space="preserve">Оплачено </t>
        </is>
      </c>
    </row>
    <row r="841" ht="14.4" customHeight="1" s="1127">
      <c r="B841" s="68" t="n"/>
      <c r="C841" s="531" t="inlineStr">
        <is>
          <t>Деметро ПК</t>
        </is>
      </c>
      <c r="D841" s="544" t="n"/>
      <c r="E841" s="524" t="n">
        <v>772619</v>
      </c>
      <c r="F841" s="73" t="inlineStr">
        <is>
          <t xml:space="preserve">Оплачено </t>
        </is>
      </c>
    </row>
    <row r="842" ht="14.4" customHeight="1" s="1127">
      <c r="B842" s="68" t="n"/>
      <c r="C842" s="531" t="inlineStr">
        <is>
          <t>Art Food ИП</t>
        </is>
      </c>
      <c r="D842" s="544" t="n"/>
      <c r="E842" s="524" t="n">
        <v>241200</v>
      </c>
      <c r="F842" s="73" t="inlineStr">
        <is>
          <t xml:space="preserve">Оплачено </t>
        </is>
      </c>
    </row>
    <row r="843" ht="14.4" customHeight="1" s="1127">
      <c r="B843" s="68" t="n"/>
      <c r="C843" s="452" t="inlineStr">
        <is>
          <t>Глобал Фуд ТОО</t>
        </is>
      </c>
      <c r="D843" s="542" t="n"/>
      <c r="E843" s="524" t="n">
        <v>500000</v>
      </c>
      <c r="F843" s="73" t="inlineStr">
        <is>
          <t xml:space="preserve">Оплачено </t>
        </is>
      </c>
    </row>
    <row r="844" ht="14.4" customHeight="1" s="1127">
      <c r="B844" s="68" t="n"/>
      <c r="C844" s="531" t="n"/>
      <c r="D844" s="509" t="inlineStr">
        <is>
          <t>Итого:</t>
        </is>
      </c>
      <c r="E844" s="524">
        <f>SUM(E837:E843)</f>
        <v/>
      </c>
      <c r="F844" s="73" t="n"/>
    </row>
    <row r="845" ht="14.4" customHeight="1" s="1127">
      <c r="B845" s="528" t="n">
        <v>46177</v>
      </c>
      <c r="C845" s="531" t="inlineStr">
        <is>
          <t>Almaty Develop STM ТОО</t>
        </is>
      </c>
      <c r="D845" s="453" t="n"/>
      <c r="E845" s="524" t="n">
        <v>300000</v>
      </c>
      <c r="F845" s="73" t="inlineStr">
        <is>
          <t xml:space="preserve">Оплачено </t>
        </is>
      </c>
    </row>
    <row r="846" ht="14.4" customHeight="1" s="1127">
      <c r="B846" s="68" t="n"/>
      <c r="C846" s="531" t="inlineStr">
        <is>
          <t>Adolar Group ТОО</t>
        </is>
      </c>
      <c r="D846" s="544" t="n"/>
      <c r="E846" s="524" t="n">
        <v>1000000</v>
      </c>
      <c r="F846" s="73" t="inlineStr">
        <is>
          <t xml:space="preserve">Оплачено </t>
        </is>
      </c>
    </row>
    <row r="847" ht="14.4" customHeight="1" s="1127">
      <c r="B847" s="68" t="n"/>
      <c r="C847" s="452" t="inlineStr">
        <is>
          <t>ПРОТЭК</t>
        </is>
      </c>
      <c r="D847" s="542" t="n"/>
      <c r="E847" s="524" t="n">
        <v>1000000</v>
      </c>
      <c r="F847" s="73" t="inlineStr">
        <is>
          <t xml:space="preserve">Оплачено </t>
        </is>
      </c>
    </row>
    <row r="848" ht="14.4" customHeight="1" s="1127">
      <c r="B848" s="68" t="n"/>
      <c r="C848" s="531" t="inlineStr">
        <is>
          <t>Иналка Фуд Сервис</t>
        </is>
      </c>
      <c r="D848" s="542" t="n"/>
      <c r="E848" s="524" t="n">
        <v>500000</v>
      </c>
      <c r="F848" s="73" t="inlineStr">
        <is>
          <t xml:space="preserve">Оплачено </t>
        </is>
      </c>
    </row>
    <row r="849" ht="14.4" customHeight="1" s="1127">
      <c r="B849" s="68" t="n"/>
      <c r="C849" s="452" t="inlineStr">
        <is>
          <t>Глобал Фуд ТОО</t>
        </is>
      </c>
      <c r="D849" s="542" t="n"/>
      <c r="E849" s="524" t="n">
        <v>600000</v>
      </c>
      <c r="F849" s="73" t="inlineStr">
        <is>
          <t xml:space="preserve">Оплачено </t>
        </is>
      </c>
    </row>
    <row r="850" ht="14.4" customHeight="1" s="1127">
      <c r="B850" s="68" t="n"/>
      <c r="C850" s="531" t="inlineStr">
        <is>
          <t>CityFood Trade ТОО</t>
        </is>
      </c>
      <c r="D850" s="453" t="inlineStr">
        <is>
          <t>по ГП</t>
        </is>
      </c>
      <c r="E850" s="524" t="n">
        <v>600000</v>
      </c>
      <c r="F850" s="73" t="inlineStr">
        <is>
          <t xml:space="preserve">Оплачено </t>
        </is>
      </c>
    </row>
    <row r="851" ht="14.4" customHeight="1" s="1127">
      <c r="B851" s="68" t="n"/>
      <c r="C851" s="531" t="inlineStr">
        <is>
          <t>Viki-Kazakhstan ТОО</t>
        </is>
      </c>
      <c r="D851" s="453" t="inlineStr">
        <is>
          <t>по ГП</t>
        </is>
      </c>
      <c r="E851" s="524" t="n">
        <v>1000000</v>
      </c>
      <c r="F851" s="73" t="inlineStr">
        <is>
          <t xml:space="preserve">Оплачено </t>
        </is>
      </c>
    </row>
    <row r="852" ht="14.4" customHeight="1" s="1127">
      <c r="B852" s="68" t="n"/>
      <c r="C852" s="531" t="inlineStr">
        <is>
          <t>ДЖАЗЫКБАЕВА СВЕТЛАНА ТАСХАИРОВНА ИП</t>
        </is>
      </c>
      <c r="D852" s="544" t="n"/>
      <c r="E852" s="524" t="n">
        <v>464000</v>
      </c>
      <c r="F852" s="73" t="inlineStr">
        <is>
          <t xml:space="preserve">Оплачено </t>
        </is>
      </c>
    </row>
    <row r="853" ht="14.4" customHeight="1" s="1127">
      <c r="B853" s="68" t="n"/>
      <c r="C853" s="531" t="inlineStr">
        <is>
          <t>Global Halal Food ТОО</t>
        </is>
      </c>
      <c r="D853" s="544" t="n"/>
      <c r="E853" s="524" t="n">
        <v>500000</v>
      </c>
      <c r="F853" s="73" t="inlineStr">
        <is>
          <t xml:space="preserve">Оплачено </t>
        </is>
      </c>
    </row>
    <row r="854" ht="14.4" customHeight="1" s="1127">
      <c r="B854" s="68" t="n"/>
      <c r="C854" s="452" t="n"/>
      <c r="D854" s="509" t="inlineStr">
        <is>
          <t>Итого:</t>
        </is>
      </c>
      <c r="E854" s="524">
        <f>SUM(E845:E853)</f>
        <v/>
      </c>
      <c r="F854" s="73" t="n"/>
    </row>
    <row r="855" ht="14.4" customHeight="1" s="1127">
      <c r="B855" s="528" t="n">
        <v>46178</v>
      </c>
      <c r="C855" s="531" t="inlineStr">
        <is>
          <t xml:space="preserve">Витамин + </t>
        </is>
      </c>
      <c r="D855" s="493" t="n"/>
      <c r="E855" s="524" t="n">
        <v>1006506</v>
      </c>
      <c r="F855" s="73" t="inlineStr">
        <is>
          <t xml:space="preserve">Оплачено </t>
        </is>
      </c>
      <c r="G855" s="456" t="inlineStr">
        <is>
          <t>продажи</t>
        </is>
      </c>
      <c r="H855" s="456" t="n">
        <v>270</v>
      </c>
      <c r="I855" s="456" t="inlineStr">
        <is>
          <t>июнь</t>
        </is>
      </c>
    </row>
    <row r="856" ht="14.4" customHeight="1" s="1127">
      <c r="B856" s="68" t="n"/>
      <c r="C856" s="531" t="inlineStr">
        <is>
          <t>Handy Yummy яйцо</t>
        </is>
      </c>
      <c r="D856" s="493" t="n"/>
      <c r="E856" s="524" t="n">
        <v>691200</v>
      </c>
      <c r="F856" s="73" t="inlineStr">
        <is>
          <t xml:space="preserve">Оплачено </t>
        </is>
      </c>
      <c r="G856" s="456" t="inlineStr">
        <is>
          <t>продажи</t>
        </is>
      </c>
      <c r="H856" s="456" t="n">
        <v>280</v>
      </c>
      <c r="I856" s="456" t="inlineStr">
        <is>
          <t>июль</t>
        </is>
      </c>
    </row>
    <row r="857" ht="14.4" customHeight="1" s="1127">
      <c r="B857" s="68" t="n"/>
      <c r="C857" s="531" t="inlineStr">
        <is>
          <t xml:space="preserve">Champello </t>
        </is>
      </c>
      <c r="D857" s="493" t="n"/>
      <c r="E857" s="524" t="n">
        <v>170000</v>
      </c>
      <c r="F857" s="73" t="inlineStr">
        <is>
          <t xml:space="preserve">Оплачено </t>
        </is>
      </c>
      <c r="G857" s="456" t="inlineStr">
        <is>
          <t>продажи</t>
        </is>
      </c>
      <c r="H857" s="456" t="n">
        <v>300</v>
      </c>
      <c r="I857" s="456" t="inlineStr">
        <is>
          <t>август</t>
        </is>
      </c>
    </row>
    <row r="858" ht="14.4" customHeight="1" s="1127">
      <c r="B858" s="528" t="n">
        <v>46178</v>
      </c>
      <c r="C858" s="531" t="inlineStr">
        <is>
          <t>Овощи Касым</t>
        </is>
      </c>
      <c r="D858" s="68" t="n"/>
      <c r="E858" s="524" t="n">
        <v>200000</v>
      </c>
      <c r="F858" s="73" t="inlineStr">
        <is>
          <t xml:space="preserve">Оплачено </t>
        </is>
      </c>
      <c r="H858" s="456" t="inlineStr">
        <is>
          <t>рентабельность 6%</t>
        </is>
      </c>
    </row>
    <row r="859" ht="14.4" customHeight="1" s="1127">
      <c r="B859" s="68" t="n"/>
      <c r="C859" s="531" t="inlineStr">
        <is>
          <t>Кокрекбай овощи (Габит) Barys group</t>
        </is>
      </c>
      <c r="D859" s="544" t="n"/>
      <c r="E859" s="524" t="n">
        <v>100000</v>
      </c>
      <c r="F859" s="73" t="inlineStr">
        <is>
          <t xml:space="preserve">Оплачено </t>
        </is>
      </c>
      <c r="H859" s="456" t="inlineStr">
        <is>
          <t xml:space="preserve">0,8% сокращение </t>
        </is>
      </c>
    </row>
    <row r="860" ht="14.4" customHeight="1" s="1127">
      <c r="B860" s="68" t="n"/>
      <c r="C860" s="452" t="inlineStr">
        <is>
          <t xml:space="preserve">Лейпурин </t>
        </is>
      </c>
      <c r="D860" s="68" t="n"/>
      <c r="E860" s="524" t="n">
        <v>24900</v>
      </c>
      <c r="F860" s="73" t="inlineStr">
        <is>
          <t xml:space="preserve">Оплачено </t>
        </is>
      </c>
      <c r="H860" s="456" t="inlineStr">
        <is>
          <t xml:space="preserve">онигири </t>
        </is>
      </c>
      <c r="I860" s="456" t="inlineStr">
        <is>
          <t>9 млн.</t>
        </is>
      </c>
    </row>
    <row r="861" ht="14.4" customHeight="1" s="1127">
      <c r="B861" s="68" t="n"/>
      <c r="C861" s="452" t="inlineStr">
        <is>
          <t>Глобал Фуд ТОО</t>
        </is>
      </c>
      <c r="D861" s="453" t="n"/>
      <c r="E861" s="524" t="n">
        <v>500000</v>
      </c>
      <c r="F861" s="73" t="inlineStr">
        <is>
          <t xml:space="preserve">Оплачено </t>
        </is>
      </c>
      <c r="H861" s="456" t="inlineStr">
        <is>
          <t xml:space="preserve">упаковка </t>
        </is>
      </c>
    </row>
    <row r="862" ht="14.4" customHeight="1" s="1127">
      <c r="B862" s="68" t="n"/>
      <c r="C862" s="452" t="inlineStr">
        <is>
          <t>БАХМАН ИП</t>
        </is>
      </c>
      <c r="D862" s="453" t="n"/>
      <c r="E862" s="524" t="n">
        <v>500000</v>
      </c>
      <c r="F862" s="73" t="inlineStr">
        <is>
          <t xml:space="preserve">Оплачено </t>
        </is>
      </c>
      <c r="H862" s="456" t="inlineStr">
        <is>
          <t xml:space="preserve">Саша обеспечивает 1 млн. </t>
        </is>
      </c>
    </row>
    <row r="863" ht="14.4" customHeight="1" s="1127">
      <c r="B863" s="68" t="n"/>
      <c r="C863" s="452" t="inlineStr">
        <is>
          <t>ИП QADAM</t>
        </is>
      </c>
      <c r="D863" s="453" t="n"/>
      <c r="E863" s="524" t="n">
        <v>742000</v>
      </c>
      <c r="F863" s="73" t="inlineStr">
        <is>
          <t xml:space="preserve">Оплачено </t>
        </is>
      </c>
      <c r="H863" s="456" t="inlineStr">
        <is>
          <t>200 000 000</t>
        </is>
      </c>
    </row>
    <row r="864" ht="14.4" customHeight="1" s="1127">
      <c r="B864" s="68" t="n"/>
      <c r="C864" s="452" t="n"/>
      <c r="D864" s="509" t="inlineStr">
        <is>
          <t>Итого:</t>
        </is>
      </c>
      <c r="E864" s="524">
        <f>SUM(E855:E863)</f>
        <v/>
      </c>
      <c r="F864" s="73" t="n"/>
      <c r="H864" s="456" t="inlineStr">
        <is>
          <t>до 2023</t>
        </is>
      </c>
    </row>
    <row r="865" ht="14.4" customHeight="1" s="1127">
      <c r="B865" s="528" t="n">
        <v>46181</v>
      </c>
      <c r="C865" s="452" t="inlineStr">
        <is>
          <t>Шымкентмай</t>
        </is>
      </c>
      <c r="D865" s="542" t="inlineStr">
        <is>
          <t>по предоплате</t>
        </is>
      </c>
      <c r="E865" s="524" t="n">
        <v>438000</v>
      </c>
      <c r="F865" s="73" t="inlineStr">
        <is>
          <t xml:space="preserve">Оплачено </t>
        </is>
      </c>
    </row>
    <row r="866" ht="14.4" customHeight="1" s="1127">
      <c r="B866" s="68" t="n"/>
      <c r="C866" s="452" t="inlineStr">
        <is>
          <t>ПРОТЭК-АЛМАТЫ ТОО</t>
        </is>
      </c>
      <c r="D866" s="453" t="inlineStr">
        <is>
          <t>на стопе</t>
        </is>
      </c>
      <c r="E866" s="524" t="n">
        <v>1424236</v>
      </c>
      <c r="F866" s="73" t="inlineStr">
        <is>
          <t xml:space="preserve">Оплачено </t>
        </is>
      </c>
    </row>
    <row r="867" ht="14.4" customHeight="1" s="1127">
      <c r="B867" s="457" t="n"/>
      <c r="C867" s="531" t="inlineStr">
        <is>
          <t>ТОО ППК Парус</t>
        </is>
      </c>
      <c r="D867" s="68" t="n"/>
      <c r="E867" s="524" t="n">
        <v>36769</v>
      </c>
      <c r="F867" s="73" t="inlineStr">
        <is>
          <t xml:space="preserve">Оплачено </t>
        </is>
      </c>
    </row>
    <row r="868" ht="14.4" customHeight="1" s="1127">
      <c r="B868" s="457" t="n"/>
      <c r="C868" s="531" t="inlineStr">
        <is>
          <t>Овощи Касым</t>
        </is>
      </c>
      <c r="D868" s="453" t="n"/>
      <c r="E868" s="524" t="n">
        <v>100000</v>
      </c>
      <c r="F868" s="73" t="inlineStr">
        <is>
          <t xml:space="preserve">Оплачено </t>
        </is>
      </c>
    </row>
    <row r="869" ht="14.4" customHeight="1" s="1127">
      <c r="B869" s="457" t="n"/>
      <c r="C869" s="452" t="inlineStr">
        <is>
          <t>Витамин</t>
        </is>
      </c>
      <c r="D869" s="545" t="n"/>
      <c r="E869" s="524" t="n">
        <v>1000000</v>
      </c>
      <c r="F869" s="73" t="inlineStr">
        <is>
          <t xml:space="preserve">Оплачено </t>
        </is>
      </c>
    </row>
    <row r="870" ht="14.4" customHeight="1" s="1127">
      <c r="B870" s="68" t="n"/>
      <c r="C870" s="452" t="inlineStr">
        <is>
          <t>Global Halal Food ТОО</t>
        </is>
      </c>
      <c r="D870" s="68" t="n"/>
      <c r="E870" s="524" t="n">
        <v>637988</v>
      </c>
      <c r="F870" s="73" t="inlineStr">
        <is>
          <t xml:space="preserve">Оплачено </t>
        </is>
      </c>
    </row>
    <row r="871" ht="14.4" customHeight="1" s="1127">
      <c r="B871" s="68" t="n"/>
      <c r="C871" s="531" t="n"/>
      <c r="D871" s="509" t="inlineStr">
        <is>
          <t>Итого:</t>
        </is>
      </c>
      <c r="E871" s="524">
        <f>SUM(E865:E870)</f>
        <v/>
      </c>
      <c r="F871" s="73" t="n"/>
    </row>
    <row r="872" ht="14.4" customHeight="1" s="1127">
      <c r="B872" s="528" t="n">
        <v>46181</v>
      </c>
      <c r="C872" s="452" t="inlineStr">
        <is>
          <t>ТОО "Office-Expert.kz"</t>
        </is>
      </c>
      <c r="D872" s="68" t="n"/>
      <c r="E872" s="524" t="n">
        <v>16060</v>
      </c>
      <c r="F872" s="73" t="inlineStr">
        <is>
          <t xml:space="preserve">Оплачено </t>
        </is>
      </c>
    </row>
    <row r="873" ht="14.4" customHeight="1" s="1127">
      <c r="B873" s="68" t="n"/>
      <c r="C873" s="531" t="inlineStr">
        <is>
          <t>Иналка Фуд Сервис ТОО</t>
        </is>
      </c>
      <c r="D873" s="68" t="n"/>
      <c r="E873" s="524" t="n">
        <v>1000000</v>
      </c>
      <c r="F873" s="73" t="inlineStr">
        <is>
          <t xml:space="preserve">Оплачено </t>
        </is>
      </c>
    </row>
    <row r="874" ht="14.4" customHeight="1" s="1127">
      <c r="B874" s="68" t="n"/>
      <c r="C874" s="531" t="inlineStr">
        <is>
          <t>Almaty Develop STM ТОО</t>
        </is>
      </c>
      <c r="D874" s="544" t="n"/>
      <c r="E874" s="524" t="n">
        <v>500000</v>
      </c>
      <c r="F874" s="73" t="inlineStr">
        <is>
          <t xml:space="preserve">Оплачено </t>
        </is>
      </c>
    </row>
    <row r="875" ht="14.4" customHeight="1" s="1127">
      <c r="B875" s="68" t="n"/>
      <c r="C875" s="452" t="inlineStr">
        <is>
          <t>QAZAQ SAPA GROUP ТОО</t>
        </is>
      </c>
      <c r="D875" s="68" t="n"/>
      <c r="E875" s="524" t="n">
        <v>1076001</v>
      </c>
      <c r="F875" s="73" t="inlineStr">
        <is>
          <t xml:space="preserve">Оплачено </t>
        </is>
      </c>
    </row>
    <row r="876" ht="14.4" customHeight="1" s="1127">
      <c r="B876" s="68" t="n"/>
      <c r="C876" s="452" t="inlineStr">
        <is>
          <t>KazBeef Processing (КазБиф Процессинг) ТОО</t>
        </is>
      </c>
      <c r="D876" s="453" t="inlineStr">
        <is>
          <t>по ГП</t>
        </is>
      </c>
      <c r="E876" s="524" t="n">
        <v>1838921</v>
      </c>
      <c r="F876" s="73" t="inlineStr">
        <is>
          <t xml:space="preserve">Оплачено </t>
        </is>
      </c>
    </row>
    <row r="877" ht="14.4" customHeight="1" s="1127">
      <c r="B877" s="68" t="n"/>
      <c r="C877" s="452" t="inlineStr">
        <is>
          <t>StroyLux ТОО</t>
        </is>
      </c>
      <c r="D877" s="68" t="n"/>
      <c r="E877" s="524" t="n">
        <v>500000</v>
      </c>
      <c r="F877" s="73" t="inlineStr">
        <is>
          <t xml:space="preserve">Оплачено </t>
        </is>
      </c>
    </row>
    <row r="878" ht="14.4" customHeight="1" s="1127">
      <c r="B878" s="68" t="n"/>
      <c r="C878" s="452" t="n"/>
      <c r="D878" s="509" t="inlineStr">
        <is>
          <t>Итого:</t>
        </is>
      </c>
      <c r="E878" s="524">
        <f>SUM(E872:E877)</f>
        <v/>
      </c>
      <c r="F878" s="73" t="n"/>
    </row>
    <row r="879" ht="14.4" customHeight="1" s="1127">
      <c r="B879" s="528" t="n">
        <v>46182</v>
      </c>
      <c r="C879" s="531" t="inlineStr">
        <is>
          <t>KazOptFood ТОО</t>
        </is>
      </c>
      <c r="D879" s="542" t="inlineStr">
        <is>
          <t>по предоплате</t>
        </is>
      </c>
      <c r="E879" s="524" t="n">
        <v>170400</v>
      </c>
      <c r="F879" s="73" t="inlineStr">
        <is>
          <t xml:space="preserve">Оплачено </t>
        </is>
      </c>
    </row>
    <row r="880" ht="14.4" customHeight="1" s="1127">
      <c r="B880" s="68" t="n"/>
      <c r="C880" s="531" t="inlineStr">
        <is>
          <t>ARDO plast ТОО</t>
        </is>
      </c>
      <c r="D880" s="542" t="inlineStr">
        <is>
          <t>по предоплате</t>
        </is>
      </c>
      <c r="E880" s="524" t="n">
        <v>127650</v>
      </c>
      <c r="F880" s="73" t="inlineStr">
        <is>
          <t xml:space="preserve">Оплачено </t>
        </is>
      </c>
    </row>
    <row r="881" ht="14.4" customHeight="1" s="1127">
      <c r="B881" s="68" t="n"/>
      <c r="C881" s="452" t="n"/>
      <c r="D881" s="509" t="inlineStr">
        <is>
          <t>Итого:</t>
        </is>
      </c>
      <c r="E881" s="524">
        <f>SUM(E879:E880)</f>
        <v/>
      </c>
      <c r="F881" s="73" t="n"/>
    </row>
    <row r="882" ht="14.4" customHeight="1" s="1127">
      <c r="B882" s="528" t="n">
        <v>46182</v>
      </c>
      <c r="C882" s="452" t="inlineStr">
        <is>
          <t>Ирбис 2016  ТОО</t>
        </is>
      </c>
      <c r="D882" s="542" t="inlineStr">
        <is>
          <t>по предоплате</t>
        </is>
      </c>
      <c r="E882" s="524" t="n">
        <v>78000</v>
      </c>
      <c r="F882" s="73" t="inlineStr">
        <is>
          <t xml:space="preserve">Оплачено </t>
        </is>
      </c>
    </row>
    <row r="883" ht="14.4" customHeight="1" s="1127">
      <c r="B883" s="68" t="n"/>
      <c r="C883" s="531" t="inlineStr">
        <is>
          <t>Лейпурин ТОО</t>
        </is>
      </c>
      <c r="D883" s="542" t="inlineStr">
        <is>
          <t>по предоплате</t>
        </is>
      </c>
      <c r="E883" s="524" t="n">
        <v>146100</v>
      </c>
      <c r="F883" s="73" t="inlineStr">
        <is>
          <t xml:space="preserve">Оплачено </t>
        </is>
      </c>
    </row>
    <row r="884" ht="14.4" customHeight="1" s="1127">
      <c r="B884" s="68" t="n"/>
      <c r="C884" s="452" t="inlineStr">
        <is>
          <t>Витамин+</t>
        </is>
      </c>
      <c r="D884" s="545" t="n"/>
      <c r="E884" s="524" t="n">
        <v>500000</v>
      </c>
      <c r="F884" s="73" t="inlineStr">
        <is>
          <t xml:space="preserve">Оплачено </t>
        </is>
      </c>
    </row>
    <row r="885" ht="14.4" customHeight="1" s="1127">
      <c r="B885" s="68" t="n"/>
      <c r="C885" s="452" t="inlineStr">
        <is>
          <t>Орими СА ТОО</t>
        </is>
      </c>
      <c r="D885" s="542" t="inlineStr">
        <is>
          <t>по предоплате</t>
        </is>
      </c>
      <c r="E885" s="524" t="n">
        <v>197120</v>
      </c>
      <c r="F885" s="73" t="inlineStr">
        <is>
          <t xml:space="preserve">Оплачено </t>
        </is>
      </c>
    </row>
    <row r="886" ht="14.4" customHeight="1" s="1127">
      <c r="B886" s="68" t="n"/>
      <c r="C886" s="452" t="inlineStr">
        <is>
          <t>Food Company ТОО</t>
        </is>
      </c>
      <c r="D886" s="542" t="inlineStr">
        <is>
          <t>по предоплате</t>
        </is>
      </c>
      <c r="E886" s="524" t="n">
        <v>125200</v>
      </c>
      <c r="F886" s="73" t="inlineStr">
        <is>
          <t xml:space="preserve">Оплачено </t>
        </is>
      </c>
    </row>
    <row r="887" ht="14.4" customHeight="1" s="1127">
      <c r="B887" s="68" t="n"/>
      <c r="C887" s="452" t="inlineStr">
        <is>
          <t>Исмагулов ИП</t>
        </is>
      </c>
      <c r="D887" s="453" t="inlineStr">
        <is>
          <t>на стопе</t>
        </is>
      </c>
      <c r="E887" s="524" t="n">
        <v>1126000</v>
      </c>
      <c r="F887" s="73" t="inlineStr">
        <is>
          <t xml:space="preserve">Оплачено </t>
        </is>
      </c>
    </row>
    <row r="888" ht="14.4" customHeight="1" s="1127">
      <c r="B888" s="68" t="n"/>
      <c r="C888" s="531" t="inlineStr">
        <is>
          <t>DFK food ИП</t>
        </is>
      </c>
      <c r="D888" s="453" t="inlineStr">
        <is>
          <t>на стопе</t>
        </is>
      </c>
      <c r="E888" s="524" t="n">
        <v>353400</v>
      </c>
      <c r="F888" s="73" t="inlineStr">
        <is>
          <t xml:space="preserve">Оплачено </t>
        </is>
      </c>
    </row>
    <row r="889" ht="14.4" customHeight="1" s="1127">
      <c r="B889" s="68" t="n"/>
      <c r="C889" s="452" t="inlineStr">
        <is>
          <t>Berry Company ТОО</t>
        </is>
      </c>
      <c r="D889" s="453" t="inlineStr">
        <is>
          <t>на стопе</t>
        </is>
      </c>
      <c r="E889" s="524" t="n">
        <v>1000000</v>
      </c>
      <c r="F889" s="73" t="inlineStr">
        <is>
          <t xml:space="preserve">Оплачено </t>
        </is>
      </c>
    </row>
    <row r="890" ht="14.4" customHeight="1" s="1127">
      <c r="B890" s="68" t="n"/>
      <c r="C890" s="505" t="inlineStr">
        <is>
          <t>Art Food ИП</t>
        </is>
      </c>
      <c r="D890" s="453" t="inlineStr">
        <is>
          <t>на стопе</t>
        </is>
      </c>
      <c r="E890" s="524" t="n">
        <v>509920</v>
      </c>
      <c r="F890" s="73" t="inlineStr">
        <is>
          <t xml:space="preserve">Оплачено </t>
        </is>
      </c>
    </row>
    <row r="891" ht="14.4" customHeight="1" s="1127">
      <c r="B891" s="68" t="n"/>
      <c r="C891" s="452" t="inlineStr">
        <is>
          <t>Казойл Продакшн А ТОО</t>
        </is>
      </c>
      <c r="D891" s="453" t="inlineStr">
        <is>
          <t>на стопе</t>
        </is>
      </c>
      <c r="E891" s="524" t="n">
        <v>1200000</v>
      </c>
      <c r="F891" s="73" t="inlineStr">
        <is>
          <t xml:space="preserve">Оплачено </t>
        </is>
      </c>
    </row>
    <row r="892" ht="14.4" customHeight="1" s="1127">
      <c r="B892" s="68" t="n"/>
      <c r="C892" s="452" t="inlineStr">
        <is>
          <t>Сергей логист</t>
        </is>
      </c>
      <c r="D892" s="68" t="n"/>
      <c r="E892" s="524" t="n">
        <v>1000000</v>
      </c>
      <c r="F892" s="73" t="inlineStr">
        <is>
          <t xml:space="preserve">Оплачено </t>
        </is>
      </c>
    </row>
    <row r="893" ht="14.4" customHeight="1" s="1127">
      <c r="B893" s="68" t="n"/>
      <c r="C893" s="452" t="n"/>
      <c r="D893" s="509" t="inlineStr">
        <is>
          <t>Итого:</t>
        </is>
      </c>
      <c r="E893" s="524">
        <f>SUM(E882:E892)</f>
        <v/>
      </c>
      <c r="F893" s="73" t="n"/>
    </row>
    <row r="894" ht="14.4" customHeight="1" s="1127">
      <c r="B894" s="528" t="n">
        <v>46183</v>
      </c>
      <c r="C894" s="452" t="inlineStr">
        <is>
          <t>Lirumax ТОО</t>
        </is>
      </c>
      <c r="D894" s="453" t="inlineStr">
        <is>
          <t>на стопе</t>
        </is>
      </c>
      <c r="E894" s="524" t="n">
        <v>291120</v>
      </c>
      <c r="F894" s="73" t="inlineStr">
        <is>
          <t xml:space="preserve">Оплачено </t>
        </is>
      </c>
    </row>
    <row r="895" ht="14.4" customHeight="1" s="1127">
      <c r="B895" s="68" t="n"/>
      <c r="C895" s="452" t="inlineStr">
        <is>
          <t>Viki-Kazakhstan ТОО</t>
        </is>
      </c>
      <c r="D895" s="546" t="inlineStr">
        <is>
          <t>на стопе, оплатить ровно эту сумму</t>
        </is>
      </c>
      <c r="E895" s="524" t="n">
        <v>1433916</v>
      </c>
      <c r="F895" s="73" t="inlineStr">
        <is>
          <t xml:space="preserve">Оплачено </t>
        </is>
      </c>
    </row>
    <row r="896" ht="14.4" customHeight="1" s="1127">
      <c r="B896" s="68" t="n"/>
      <c r="C896" s="452" t="n"/>
      <c r="D896" s="509" t="inlineStr">
        <is>
          <t>Итого:</t>
        </is>
      </c>
      <c r="E896" s="524">
        <f>SUM(E894:E895)</f>
        <v/>
      </c>
      <c r="F896" s="73" t="n"/>
    </row>
    <row r="897" ht="14.4" customHeight="1" s="1127">
      <c r="B897" s="528" t="n">
        <v>46184</v>
      </c>
      <c r="C897" s="452" t="inlineStr">
        <is>
          <t>Евразиан Фудс Корпорэйшн АО</t>
        </is>
      </c>
      <c r="D897" s="453" t="inlineStr">
        <is>
          <t>ДЗ, на стопе</t>
        </is>
      </c>
      <c r="E897" s="524" t="n">
        <v>500000</v>
      </c>
      <c r="F897" s="73" t="inlineStr">
        <is>
          <t xml:space="preserve">Оплачено </t>
        </is>
      </c>
    </row>
    <row r="898" ht="14.4" customHeight="1" s="1127">
      <c r="B898" s="68" t="n"/>
      <c r="C898" s="452" t="inlineStr">
        <is>
          <t>БАХМАН ИП</t>
        </is>
      </c>
      <c r="D898" s="68" t="n"/>
      <c r="E898" s="524" t="n">
        <v>2500000</v>
      </c>
      <c r="F898" s="73" t="inlineStr">
        <is>
          <t xml:space="preserve">Оплачено </t>
        </is>
      </c>
    </row>
    <row r="899" ht="14.4" customHeight="1" s="1127">
      <c r="B899" s="68" t="n"/>
      <c r="C899" s="452" t="n"/>
      <c r="D899" s="509" t="inlineStr">
        <is>
          <t>Итого:</t>
        </is>
      </c>
      <c r="E899" s="524">
        <f>SUM(E897:E898)</f>
        <v/>
      </c>
      <c r="F899" s="73" t="n"/>
    </row>
    <row r="900" ht="14.4" customHeight="1" s="1127">
      <c r="B900" s="528" t="n">
        <v>46184</v>
      </c>
      <c r="C900" s="531" t="inlineStr">
        <is>
          <t>ARDO plast ТОО</t>
        </is>
      </c>
      <c r="D900" s="542" t="inlineStr">
        <is>
          <t>остаток по предоплате</t>
        </is>
      </c>
      <c r="E900" s="524" t="n">
        <v>242350</v>
      </c>
      <c r="F900" s="73" t="inlineStr">
        <is>
          <t xml:space="preserve">Оплачено </t>
        </is>
      </c>
    </row>
    <row r="901" ht="14.4" customHeight="1" s="1127">
      <c r="B901" s="68" t="n"/>
      <c r="C901" s="452" t="inlineStr">
        <is>
          <t>Almaty Develop STM ТОО</t>
        </is>
      </c>
      <c r="D901" s="453" t="inlineStr">
        <is>
          <t>ДЗ</t>
        </is>
      </c>
      <c r="E901" s="524" t="n">
        <v>400000</v>
      </c>
      <c r="F901" s="73" t="inlineStr">
        <is>
          <t xml:space="preserve">Оплачено </t>
        </is>
      </c>
    </row>
    <row r="902" ht="14.4" customHeight="1" s="1127">
      <c r="B902" s="68" t="n"/>
      <c r="C902" s="452" t="inlineStr">
        <is>
          <t>TGR Company ТОО</t>
        </is>
      </c>
      <c r="D902" s="453" t="inlineStr">
        <is>
          <t>ДЗ</t>
        </is>
      </c>
      <c r="E902" s="524" t="n">
        <v>420000</v>
      </c>
      <c r="F902" s="73" t="inlineStr">
        <is>
          <t xml:space="preserve">Оплачено </t>
        </is>
      </c>
    </row>
    <row r="903" ht="14.4" customHeight="1" s="1127">
      <c r="B903" s="68" t="n"/>
      <c r="C903" s="452" t="inlineStr">
        <is>
          <t>Касым овощи</t>
        </is>
      </c>
      <c r="D903" s="545" t="n"/>
      <c r="E903" s="524" t="n">
        <v>200000</v>
      </c>
      <c r="F903" s="73" t="inlineStr">
        <is>
          <t xml:space="preserve">Оплачено </t>
        </is>
      </c>
    </row>
    <row r="904" ht="14.4" customHeight="1" s="1127">
      <c r="B904" s="68" t="n"/>
      <c r="C904" s="452" t="inlineStr">
        <is>
          <t>Первомайские Деликатесы ТОО</t>
        </is>
      </c>
      <c r="D904" s="68" t="n"/>
      <c r="E904" s="524" t="n">
        <v>300000</v>
      </c>
      <c r="F904" s="73" t="inlineStr">
        <is>
          <t xml:space="preserve">Оплачено </t>
        </is>
      </c>
    </row>
    <row r="905" ht="14.4" customHeight="1" s="1127">
      <c r="B905" s="68" t="n"/>
      <c r="C905" s="452" t="inlineStr">
        <is>
          <t>SWEEZARD ТОО</t>
        </is>
      </c>
      <c r="D905" s="453" t="n"/>
      <c r="E905" s="524" t="n">
        <v>1000000</v>
      </c>
      <c r="F905" s="73" t="inlineStr">
        <is>
          <t xml:space="preserve">Оплачено </t>
        </is>
      </c>
    </row>
    <row r="906" ht="14.4" customHeight="1" s="1127">
      <c r="B906" s="68" t="n"/>
      <c r="C906" s="452" t="inlineStr">
        <is>
          <t>VGL Company ТОО</t>
        </is>
      </c>
      <c r="D906" s="453" t="inlineStr">
        <is>
          <t>ДЗ</t>
        </is>
      </c>
      <c r="E906" s="524" t="n">
        <v>235923</v>
      </c>
      <c r="F906" s="73" t="inlineStr">
        <is>
          <t xml:space="preserve">Оплачено </t>
        </is>
      </c>
    </row>
    <row r="907" ht="14.4" customHeight="1" s="1127">
      <c r="B907" s="68" t="n"/>
      <c r="C907" s="452" t="inlineStr">
        <is>
          <t>ТОО Salmon Group логистика Астана</t>
        </is>
      </c>
      <c r="D907" s="545" t="n"/>
      <c r="E907" s="524" t="n">
        <v>450000</v>
      </c>
      <c r="F907" s="73" t="inlineStr">
        <is>
          <t xml:space="preserve">Оплачено </t>
        </is>
      </c>
    </row>
    <row r="908" ht="14.4" customHeight="1" s="1127">
      <c r="B908" s="68" t="n"/>
      <c r="C908" s="531" t="inlineStr">
        <is>
          <t>Succes овощи Айкоркем ИП</t>
        </is>
      </c>
      <c r="D908" s="453" t="inlineStr">
        <is>
          <t>ДЗ</t>
        </is>
      </c>
      <c r="E908" s="524" t="n">
        <v>200000</v>
      </c>
      <c r="F908" s="73" t="inlineStr">
        <is>
          <t xml:space="preserve">Оплачено </t>
        </is>
      </c>
    </row>
    <row r="909" ht="14.4" customHeight="1" s="1127">
      <c r="B909" s="68" t="n"/>
      <c r="C909" s="452" t="inlineStr">
        <is>
          <t>Компания В ТОО</t>
        </is>
      </c>
      <c r="D909" s="545" t="inlineStr">
        <is>
          <t>без оплаты не отгрузят товар</t>
        </is>
      </c>
      <c r="E909" s="524" t="n">
        <v>2120000</v>
      </c>
      <c r="F909" s="73" t="inlineStr">
        <is>
          <t xml:space="preserve">Оплачено </t>
        </is>
      </c>
    </row>
    <row r="910" ht="14.4" customHeight="1" s="1127">
      <c r="B910" s="68" t="n"/>
      <c r="C910" s="505" t="inlineStr">
        <is>
          <t>Витамин +</t>
        </is>
      </c>
      <c r="D910" s="453" t="n"/>
      <c r="E910" s="524" t="n">
        <v>1000000</v>
      </c>
      <c r="F910" s="73" t="inlineStr">
        <is>
          <t xml:space="preserve">Оплачено </t>
        </is>
      </c>
      <c r="H910" s="456" t="inlineStr">
        <is>
          <t xml:space="preserve">  </t>
        </is>
      </c>
    </row>
    <row r="911" ht="14.4" customHeight="1" s="1127">
      <c r="B911" s="68" t="n"/>
      <c r="C911" s="452" t="inlineStr">
        <is>
          <t>Color express ТОО</t>
        </is>
      </c>
      <c r="D911" s="542" t="n"/>
      <c r="E911" s="524" t="n">
        <v>276040</v>
      </c>
      <c r="F911" s="73" t="inlineStr">
        <is>
          <t xml:space="preserve">Оплачено </t>
        </is>
      </c>
    </row>
    <row r="912" ht="14.4" customHeight="1" s="1127">
      <c r="B912" s="68" t="n"/>
      <c r="C912" s="531" t="inlineStr">
        <is>
          <t>Kastorg ТОО</t>
        </is>
      </c>
      <c r="D912" s="544" t="n"/>
      <c r="E912" s="524" t="n">
        <v>123580</v>
      </c>
      <c r="F912" s="73" t="inlineStr">
        <is>
          <t xml:space="preserve">Оплачено </t>
        </is>
      </c>
    </row>
    <row r="913" ht="14.4" customHeight="1" s="1127">
      <c r="B913" s="68" t="n"/>
      <c r="C913" s="505" t="inlineStr">
        <is>
          <t>Ayala Trade TOO</t>
        </is>
      </c>
      <c r="D913" s="453" t="n"/>
      <c r="E913" s="524" t="n">
        <v>438940</v>
      </c>
      <c r="F913" s="73" t="inlineStr">
        <is>
          <t xml:space="preserve">Оплачено </t>
        </is>
      </c>
    </row>
    <row r="914" ht="14.4" customHeight="1" s="1127">
      <c r="B914" s="68" t="n"/>
      <c r="C914" s="452" t="inlineStr">
        <is>
          <t>Глобал Фуд ТОО</t>
        </is>
      </c>
      <c r="D914" s="509" t="n"/>
      <c r="E914" s="524" t="n">
        <v>700000</v>
      </c>
      <c r="F914" s="73" t="inlineStr">
        <is>
          <t xml:space="preserve">Оплачено </t>
        </is>
      </c>
    </row>
    <row r="915" ht="14.4" customHeight="1" s="1127">
      <c r="B915" s="68" t="n"/>
      <c r="C915" s="452" t="n"/>
      <c r="D915" s="509" t="inlineStr">
        <is>
          <t>Итого:</t>
        </is>
      </c>
      <c r="E915" s="524">
        <f>SUM(E900:E914)</f>
        <v/>
      </c>
      <c r="F915" s="73" t="n"/>
    </row>
    <row r="916" ht="14.4" customHeight="1" s="1127">
      <c r="B916" s="528" t="n">
        <v>46185</v>
      </c>
      <c r="C916" s="531" t="inlineStr">
        <is>
          <t>Handy Yummy ИП</t>
        </is>
      </c>
      <c r="D916" s="453" t="inlineStr">
        <is>
          <t>по ГП</t>
        </is>
      </c>
      <c r="E916" s="524" t="n">
        <v>800000</v>
      </c>
      <c r="F916" s="73" t="inlineStr">
        <is>
          <t xml:space="preserve">Оплачено </t>
        </is>
      </c>
    </row>
    <row r="917" ht="14.4" customHeight="1" s="1127">
      <c r="B917" s="68" t="n"/>
      <c r="C917" s="505" t="inlineStr">
        <is>
          <t>КазАгроПромТрейд ТОО</t>
        </is>
      </c>
      <c r="D917" s="453" t="n"/>
      <c r="E917" s="524" t="n">
        <v>500000</v>
      </c>
      <c r="F917" s="73" t="inlineStr">
        <is>
          <t xml:space="preserve">Оплачено </t>
        </is>
      </c>
    </row>
    <row r="918" ht="14.4" customHeight="1" s="1127">
      <c r="B918" s="68" t="n"/>
      <c r="C918" s="452" t="inlineStr">
        <is>
          <t>Касым овощи</t>
        </is>
      </c>
      <c r="D918" s="545" t="n"/>
      <c r="E918" s="524" t="n">
        <v>200000</v>
      </c>
      <c r="F918" s="73" t="inlineStr">
        <is>
          <t xml:space="preserve">Оплачено </t>
        </is>
      </c>
    </row>
    <row r="919" ht="14.4" customHeight="1" s="1127">
      <c r="B919" s="68" t="n"/>
      <c r="C919" s="452" t="n"/>
      <c r="D919" s="509" t="inlineStr">
        <is>
          <t>Итого:</t>
        </is>
      </c>
      <c r="E919" s="524">
        <f>SUM(E916:E918)</f>
        <v/>
      </c>
      <c r="F919" s="73" t="n"/>
    </row>
    <row r="920" ht="14.4" customHeight="1" s="1127">
      <c r="B920" s="528" t="n">
        <v>46185</v>
      </c>
      <c r="C920" s="505" t="inlineStr">
        <is>
          <t>Витамин +</t>
        </is>
      </c>
      <c r="D920" s="542" t="n"/>
      <c r="E920" s="524" t="n">
        <v>500000</v>
      </c>
      <c r="F920" s="73" t="inlineStr">
        <is>
          <t xml:space="preserve">Оплачено </t>
        </is>
      </c>
    </row>
    <row r="921" ht="14.4" customHeight="1" s="1127">
      <c r="B921" s="68" t="n"/>
      <c r="C921" s="452" t="n"/>
      <c r="D921" s="509" t="inlineStr">
        <is>
          <t>Итого:</t>
        </is>
      </c>
      <c r="E921" s="524">
        <f>SUM(E920)</f>
        <v/>
      </c>
      <c r="F921" s="73" t="n"/>
    </row>
    <row r="922" ht="14.4" customHeight="1" s="1127">
      <c r="B922" s="528" t="n">
        <v>46188</v>
      </c>
      <c r="C922" s="452" t="inlineStr">
        <is>
          <t>Adolar</t>
        </is>
      </c>
      <c r="D922" s="453" t="n"/>
      <c r="E922" s="524" t="n">
        <v>2000000</v>
      </c>
      <c r="F922" s="73" t="inlineStr">
        <is>
          <t xml:space="preserve">Оплачено </t>
        </is>
      </c>
    </row>
    <row r="923" ht="14.4" customHeight="1" s="1127">
      <c r="B923" s="68" t="n"/>
      <c r="C923" s="452" t="inlineStr">
        <is>
          <t>Витамин+</t>
        </is>
      </c>
      <c r="D923" s="453" t="n"/>
      <c r="E923" s="524" t="n">
        <v>1000000</v>
      </c>
      <c r="F923" s="73" t="inlineStr">
        <is>
          <t xml:space="preserve">Оплачено </t>
        </is>
      </c>
    </row>
    <row r="924" ht="14.4" customHeight="1" s="1127">
      <c r="B924" s="68" t="n"/>
      <c r="C924" s="452" t="n"/>
      <c r="D924" s="509" t="inlineStr">
        <is>
          <t>Итого:</t>
        </is>
      </c>
      <c r="E924" s="524">
        <f>SUM(E922:E923)</f>
        <v/>
      </c>
      <c r="F924" s="73" t="n"/>
    </row>
    <row r="925" ht="14.4" customHeight="1" s="1127">
      <c r="B925" s="528" t="n">
        <v>46188</v>
      </c>
      <c r="C925" s="531" t="inlineStr">
        <is>
          <t xml:space="preserve"> ТОО "Lindström" (Линдстрем)</t>
        </is>
      </c>
      <c r="D925" s="542" t="n"/>
      <c r="E925" s="757" t="n">
        <v>601570.2</v>
      </c>
      <c r="F925" s="73" t="inlineStr">
        <is>
          <t xml:space="preserve">Оплачено </t>
        </is>
      </c>
    </row>
    <row r="926" ht="14.4" customHeight="1" s="1127">
      <c r="B926" s="68" t="n"/>
      <c r="C926" s="552" t="inlineStr">
        <is>
          <t>Казтехнолоджи Пак ТОО</t>
        </is>
      </c>
      <c r="D926" s="545" t="n"/>
      <c r="E926" s="524" t="n">
        <v>1558000</v>
      </c>
      <c r="F926" s="73" t="inlineStr">
        <is>
          <t xml:space="preserve">Оплачено </t>
        </is>
      </c>
    </row>
    <row r="927" ht="14.4" customHeight="1" s="1127">
      <c r="B927" s="68" t="n"/>
      <c r="C927" s="552" t="inlineStr">
        <is>
          <t>Шымкентмай</t>
        </is>
      </c>
      <c r="D927" s="542" t="inlineStr">
        <is>
          <t>по предоплате</t>
        </is>
      </c>
      <c r="E927" s="524" t="n">
        <v>547500</v>
      </c>
      <c r="F927" s="73" t="inlineStr">
        <is>
          <t xml:space="preserve">Оплачено </t>
        </is>
      </c>
    </row>
    <row r="928" ht="14.4" customHeight="1" s="1127">
      <c r="B928" s="68" t="n"/>
      <c r="C928" s="531" t="inlineStr">
        <is>
          <t>ИП Qadam нори</t>
        </is>
      </c>
      <c r="D928" s="544" t="n"/>
      <c r="E928" s="524" t="n">
        <v>742000</v>
      </c>
      <c r="F928" s="73" t="inlineStr">
        <is>
          <t xml:space="preserve">Оплачено </t>
        </is>
      </c>
    </row>
    <row r="929" ht="14.4" customHeight="1" s="1127">
      <c r="B929" s="68" t="n"/>
      <c r="C929" s="531" t="inlineStr">
        <is>
          <t>Касым овощи</t>
        </is>
      </c>
      <c r="D929" s="542" t="n"/>
      <c r="E929" s="524" t="n">
        <v>211024</v>
      </c>
      <c r="F929" s="73" t="inlineStr">
        <is>
          <t xml:space="preserve">Оплачено </t>
        </is>
      </c>
    </row>
    <row r="930" ht="14.4" customHeight="1" s="1127">
      <c r="B930" s="68" t="n"/>
      <c r="C930" s="531" t="inlineStr">
        <is>
          <t>Succes овощи Айкоркем ИП</t>
        </is>
      </c>
      <c r="D930" s="453" t="n"/>
      <c r="E930" s="524" t="n">
        <v>200000</v>
      </c>
      <c r="F930" s="73" t="inlineStr">
        <is>
          <t xml:space="preserve">Оплачено </t>
        </is>
      </c>
    </row>
    <row r="931" ht="14.4" customHeight="1" s="1127">
      <c r="B931" s="68" t="n"/>
      <c r="C931" s="552" t="inlineStr">
        <is>
          <t>ИП Бахман</t>
        </is>
      </c>
      <c r="D931" s="545" t="n"/>
      <c r="E931" s="548" t="n">
        <v>1500000</v>
      </c>
      <c r="F931" s="73" t="inlineStr">
        <is>
          <t xml:space="preserve">Оплачено </t>
        </is>
      </c>
    </row>
    <row r="932" ht="14.4" customHeight="1" s="1127">
      <c r="B932" s="68" t="n"/>
      <c r="C932" s="552" t="inlineStr">
        <is>
          <t>Ихсан Техногаз ТОО</t>
        </is>
      </c>
      <c r="D932" s="542" t="inlineStr">
        <is>
          <t>по предоплате</t>
        </is>
      </c>
      <c r="E932" s="524" t="n">
        <v>504000</v>
      </c>
      <c r="F932" s="73" t="inlineStr">
        <is>
          <t xml:space="preserve">Оплачено </t>
        </is>
      </c>
    </row>
    <row r="933" ht="14.4" customHeight="1" s="1127">
      <c r="B933" s="68" t="n"/>
      <c r="C933" s="531" t="inlineStr">
        <is>
          <t>Ирбис 2016  ТОО</t>
        </is>
      </c>
      <c r="D933" s="542" t="inlineStr">
        <is>
          <t>по предоплате</t>
        </is>
      </c>
      <c r="E933" s="524" t="n">
        <v>54408</v>
      </c>
      <c r="F933" s="73" t="inlineStr">
        <is>
          <t xml:space="preserve">Оплачено </t>
        </is>
      </c>
    </row>
    <row r="934" ht="14.4" customHeight="1" s="1127">
      <c r="B934" s="68" t="n"/>
      <c r="C934" s="552" t="inlineStr">
        <is>
          <t>Color express ТОО</t>
        </is>
      </c>
      <c r="D934" s="545" t="n"/>
      <c r="E934" s="524" t="n">
        <v>427720</v>
      </c>
      <c r="F934" s="73" t="inlineStr">
        <is>
          <t xml:space="preserve">Оплачено </t>
        </is>
      </c>
    </row>
    <row r="935" ht="14.4" customHeight="1" s="1127">
      <c r="B935" s="68" t="n"/>
      <c r="C935" s="452" t="n"/>
      <c r="D935" s="509" t="inlineStr">
        <is>
          <t>Итого:</t>
        </is>
      </c>
      <c r="E935" s="757">
        <f>SUM(E925:E934)</f>
        <v/>
      </c>
      <c r="F935" s="73" t="n"/>
    </row>
    <row r="936" ht="14.4" customHeight="1" s="1127">
      <c r="B936" s="528" t="n">
        <v>46189</v>
      </c>
      <c r="C936" s="552" t="inlineStr">
        <is>
          <t>Витамин+</t>
        </is>
      </c>
      <c r="D936" s="453" t="n"/>
      <c r="E936" s="524" t="n">
        <v>500000</v>
      </c>
      <c r="F936" s="73" t="inlineStr">
        <is>
          <t xml:space="preserve">Оплачено </t>
        </is>
      </c>
    </row>
    <row r="937" ht="14.4" customHeight="1" s="1127">
      <c r="B937" s="68" t="n"/>
      <c r="C937" s="552" t="inlineStr">
        <is>
          <t>ИП DFK Food</t>
        </is>
      </c>
      <c r="D937" s="542" t="inlineStr">
        <is>
          <t>по предоплате</t>
        </is>
      </c>
      <c r="E937" s="524" t="n">
        <v>293850</v>
      </c>
      <c r="F937" s="73" t="inlineStr">
        <is>
          <t xml:space="preserve">Оплачено </t>
        </is>
      </c>
    </row>
    <row r="938" ht="14.4" customHeight="1" s="1127">
      <c r="B938" s="68" t="n"/>
      <c r="C938" s="552" t="inlineStr">
        <is>
          <t>ЭКОХИММАШ – АЗИЯ ТОО</t>
        </is>
      </c>
      <c r="D938" s="453" t="inlineStr">
        <is>
          <t>ДЗ</t>
        </is>
      </c>
      <c r="E938" s="524" t="n">
        <v>298341</v>
      </c>
      <c r="F938" s="73" t="inlineStr">
        <is>
          <t xml:space="preserve">Оплачено </t>
        </is>
      </c>
    </row>
    <row r="939" ht="14.4" customHeight="1" s="1127">
      <c r="B939" s="68" t="n"/>
      <c r="C939" s="552" t="inlineStr">
        <is>
          <t>Компания Фудмастер-Трэйд ТОО</t>
        </is>
      </c>
      <c r="D939" s="453" t="inlineStr">
        <is>
          <t>на стопе</t>
        </is>
      </c>
      <c r="E939" s="524" t="n">
        <v>86778</v>
      </c>
      <c r="F939" s="73" t="inlineStr">
        <is>
          <t xml:space="preserve">Оплачено </t>
        </is>
      </c>
    </row>
    <row r="940" ht="14.4" customHeight="1" s="1127">
      <c r="B940" s="68" t="n"/>
      <c r="C940" s="531" t="inlineStr">
        <is>
          <t>Евразиан Фудс Корпорэйшн АО</t>
        </is>
      </c>
      <c r="D940" s="453" t="inlineStr">
        <is>
          <t>ДЗ</t>
        </is>
      </c>
      <c r="E940" s="524" t="n">
        <v>400000</v>
      </c>
      <c r="F940" s="73" t="inlineStr">
        <is>
          <t xml:space="preserve">Оплачено </t>
        </is>
      </c>
    </row>
    <row r="941" ht="14.4" customHeight="1" s="1127">
      <c r="B941" s="68" t="n"/>
      <c r="C941" s="531" t="inlineStr">
        <is>
          <t>Art Food ИП</t>
        </is>
      </c>
      <c r="D941" s="453" t="inlineStr">
        <is>
          <t>ДЗ</t>
        </is>
      </c>
      <c r="E941" s="524" t="n">
        <v>228388</v>
      </c>
      <c r="F941" s="73" t="inlineStr">
        <is>
          <t xml:space="preserve">Оплачено </t>
        </is>
      </c>
    </row>
    <row r="942" ht="14.4" customHeight="1" s="1127">
      <c r="B942" s="68" t="n"/>
      <c r="C942" s="552" t="inlineStr">
        <is>
          <t>Исмагулов ИП</t>
        </is>
      </c>
      <c r="D942" s="453" t="inlineStr">
        <is>
          <t>ДЗ</t>
        </is>
      </c>
      <c r="E942" s="524" t="n">
        <v>500000</v>
      </c>
      <c r="F942" s="73" t="inlineStr">
        <is>
          <t xml:space="preserve">Оплачено </t>
        </is>
      </c>
    </row>
    <row r="943" ht="14.4" customHeight="1" s="1127">
      <c r="B943" s="68" t="n"/>
      <c r="C943" s="552" t="inlineStr">
        <is>
          <t>Иналка Фуд Сервис ТОО</t>
        </is>
      </c>
      <c r="D943" s="453" t="inlineStr">
        <is>
          <t>ДЗ</t>
        </is>
      </c>
      <c r="E943" s="524" t="n">
        <v>320000</v>
      </c>
      <c r="F943" s="73" t="inlineStr">
        <is>
          <t xml:space="preserve">Оплачено </t>
        </is>
      </c>
    </row>
    <row r="944" ht="14.4" customHeight="1" s="1127">
      <c r="B944" s="68" t="n"/>
      <c r="C944" s="552" t="inlineStr">
        <is>
          <t>Инарин ТОО</t>
        </is>
      </c>
      <c r="D944" s="453" t="n"/>
      <c r="E944" s="524" t="n">
        <v>106020</v>
      </c>
      <c r="F944" s="73" t="inlineStr">
        <is>
          <t xml:space="preserve">Оплачено </t>
        </is>
      </c>
    </row>
    <row r="945" ht="14.4" customHeight="1" s="1127">
      <c r="B945" s="68" t="n"/>
      <c r="C945" s="531" t="inlineStr">
        <is>
          <t>Фудтехника ТОО</t>
        </is>
      </c>
      <c r="D945" s="542" t="inlineStr">
        <is>
          <t>по предоплате</t>
        </is>
      </c>
      <c r="E945" s="524" t="n">
        <v>300000</v>
      </c>
      <c r="F945" s="73" t="inlineStr">
        <is>
          <t xml:space="preserve">Оплачено </t>
        </is>
      </c>
    </row>
    <row r="946" ht="14.4" customHeight="1" s="1127">
      <c r="B946" s="68" t="n"/>
      <c r="C946" s="531" t="inlineStr">
        <is>
          <t>Food Company ТОО</t>
        </is>
      </c>
      <c r="D946" s="542" t="inlineStr">
        <is>
          <t>по предоплате</t>
        </is>
      </c>
      <c r="E946" s="524" t="n">
        <v>232800</v>
      </c>
      <c r="F946" s="73" t="inlineStr">
        <is>
          <t xml:space="preserve">Оплачено </t>
        </is>
      </c>
    </row>
    <row r="947" ht="14.4" customHeight="1" s="1127">
      <c r="B947" s="68" t="n"/>
      <c r="C947" s="552" t="inlineStr">
        <is>
          <t>CityFood Trade ТОО</t>
        </is>
      </c>
      <c r="D947" s="453" t="inlineStr">
        <is>
          <t>ДЗ</t>
        </is>
      </c>
      <c r="E947" s="524" t="n">
        <v>500000</v>
      </c>
      <c r="F947" s="73" t="inlineStr">
        <is>
          <t xml:space="preserve">Оплачено </t>
        </is>
      </c>
    </row>
    <row r="948" ht="14.4" customHeight="1" s="1127">
      <c r="B948" s="68" t="n"/>
      <c r="C948" s="552" t="inlineStr">
        <is>
          <t>Viki-Kazakhstan ТОО</t>
        </is>
      </c>
      <c r="D948" s="453" t="n"/>
      <c r="E948" s="524" t="n">
        <v>300000</v>
      </c>
      <c r="F948" s="73" t="inlineStr">
        <is>
          <t xml:space="preserve">Оплачено </t>
        </is>
      </c>
    </row>
    <row r="949" ht="14.4" customHeight="1" s="1127">
      <c r="B949" s="49" t="n"/>
      <c r="C949" s="531" t="inlineStr">
        <is>
          <t xml:space="preserve">Фуд Маркет </t>
        </is>
      </c>
      <c r="D949" s="542" t="inlineStr">
        <is>
          <t>по предоплате</t>
        </is>
      </c>
      <c r="E949" s="524" t="n">
        <v>187200</v>
      </c>
      <c r="F949" s="73" t="inlineStr">
        <is>
          <t xml:space="preserve">Оплачено </t>
        </is>
      </c>
    </row>
    <row r="950" ht="14.4" customHeight="1" s="1127">
      <c r="B950" s="49" t="n"/>
      <c r="C950" s="552" t="inlineStr">
        <is>
          <t>Сергей логист</t>
        </is>
      </c>
      <c r="D950" s="68" t="n"/>
      <c r="E950" s="524" t="n">
        <v>500000</v>
      </c>
      <c r="F950" s="73" t="inlineStr">
        <is>
          <t xml:space="preserve">Оплачено </t>
        </is>
      </c>
    </row>
    <row r="951" ht="14.4" customHeight="1" s="1127">
      <c r="B951" s="68" t="n"/>
      <c r="C951" s="552" t="n"/>
      <c r="D951" s="509" t="inlineStr">
        <is>
          <t>Итого:</t>
        </is>
      </c>
      <c r="E951" s="524">
        <f>SUM(E936:E950)</f>
        <v/>
      </c>
      <c r="F951" s="73" t="n"/>
    </row>
    <row r="952" ht="14.4" customHeight="1" s="1127">
      <c r="B952" s="528" t="n">
        <v>46191</v>
      </c>
      <c r="C952" s="531" t="inlineStr">
        <is>
          <t>Flame group ТОО</t>
        </is>
      </c>
      <c r="D952" s="549" t="n"/>
      <c r="E952" s="524" t="n">
        <v>1500000</v>
      </c>
      <c r="F952" s="73" t="inlineStr">
        <is>
          <t xml:space="preserve">Оплачено </t>
        </is>
      </c>
    </row>
    <row r="953" ht="14.4" customHeight="1" s="1127">
      <c r="B953" s="68" t="n"/>
      <c r="C953" s="552" t="inlineStr">
        <is>
          <t>ДЭР ТОО</t>
        </is>
      </c>
      <c r="D953" s="550" t="inlineStr">
        <is>
          <t>ДЗ, на стопе</t>
        </is>
      </c>
      <c r="E953" s="524" t="n">
        <v>300000</v>
      </c>
      <c r="F953" s="73" t="inlineStr">
        <is>
          <t xml:space="preserve">Оплачено </t>
        </is>
      </c>
    </row>
    <row r="954" ht="14.4" customHeight="1" s="1127">
      <c r="B954" s="68" t="n"/>
      <c r="C954" s="552" t="inlineStr">
        <is>
          <t>Элита-Трейд ТОО</t>
        </is>
      </c>
      <c r="D954" s="550" t="inlineStr">
        <is>
          <t>ДЗ, на стопе</t>
        </is>
      </c>
      <c r="E954" s="524" t="n">
        <v>300000</v>
      </c>
      <c r="F954" s="73" t="inlineStr">
        <is>
          <t xml:space="preserve">Оплачено </t>
        </is>
      </c>
    </row>
    <row r="955" ht="14.4" customHeight="1" s="1127">
      <c r="B955" s="68" t="n"/>
      <c r="C955" s="552" t="n"/>
      <c r="D955" s="509" t="inlineStr">
        <is>
          <t>Итого:</t>
        </is>
      </c>
      <c r="E955" s="524">
        <f>SUM(E952:E954)</f>
        <v/>
      </c>
      <c r="F955" s="73" t="n"/>
    </row>
    <row r="956" ht="14.4" customHeight="1" s="1127">
      <c r="B956" s="528" t="n">
        <v>46191</v>
      </c>
      <c r="C956" s="531" t="inlineStr">
        <is>
          <t>Сергей логист</t>
        </is>
      </c>
      <c r="D956" s="453" t="n"/>
      <c r="E956" s="524" t="n">
        <v>1500000</v>
      </c>
      <c r="F956" s="73" t="inlineStr">
        <is>
          <t xml:space="preserve">Оплачено </t>
        </is>
      </c>
    </row>
    <row r="957" ht="14.4" customHeight="1" s="1127">
      <c r="B957" s="68" t="n"/>
      <c r="C957" s="552" t="inlineStr">
        <is>
          <t>Витамин+</t>
        </is>
      </c>
      <c r="D957" s="509" t="n"/>
      <c r="E957" s="524" t="n">
        <v>1000000</v>
      </c>
      <c r="F957" s="73" t="inlineStr">
        <is>
          <t xml:space="preserve">Оплачено </t>
        </is>
      </c>
    </row>
    <row r="958" ht="14.4" customHeight="1" s="1127">
      <c r="B958" s="68" t="n"/>
      <c r="C958" s="552" t="inlineStr">
        <is>
          <t>Ихсан Техногаз ТОО</t>
        </is>
      </c>
      <c r="D958" s="542" t="inlineStr">
        <is>
          <t>по предоплате, на стопе</t>
        </is>
      </c>
      <c r="E958" s="524" t="n">
        <v>528000</v>
      </c>
      <c r="F958" s="73" t="inlineStr">
        <is>
          <t xml:space="preserve">Оплачено </t>
        </is>
      </c>
    </row>
    <row r="959" ht="14.4" customHeight="1" s="1127">
      <c r="B959" s="68" t="n"/>
      <c r="C959" s="552" t="inlineStr">
        <is>
          <t>IntellPack Емельянов ИП</t>
        </is>
      </c>
      <c r="D959" s="550" t="inlineStr">
        <is>
          <t>ДЗ</t>
        </is>
      </c>
      <c r="E959" s="524" t="n">
        <v>575334</v>
      </c>
      <c r="F959" s="73" t="inlineStr">
        <is>
          <t xml:space="preserve">Оплачено </t>
        </is>
      </c>
    </row>
    <row r="960" ht="14.4" customHeight="1" s="1127">
      <c r="B960" s="49" t="n"/>
      <c r="C960" s="531" t="inlineStr">
        <is>
          <t>ПРОТЭК</t>
        </is>
      </c>
      <c r="D960" s="550" t="inlineStr">
        <is>
          <t>ДЗ</t>
        </is>
      </c>
      <c r="E960" s="524" t="n">
        <v>500000</v>
      </c>
      <c r="F960" s="73" t="inlineStr">
        <is>
          <t xml:space="preserve">Оплачено </t>
        </is>
      </c>
      <c r="H960" s="456" t="inlineStr">
        <is>
          <t xml:space="preserve"> </t>
        </is>
      </c>
    </row>
    <row r="961" ht="14.4" customHeight="1" s="1127">
      <c r="B961" s="49" t="n"/>
      <c r="C961" s="531" t="inlineStr">
        <is>
          <t>CityFood Trade ТОО</t>
        </is>
      </c>
      <c r="D961" s="550" t="inlineStr">
        <is>
          <t>ДЗ</t>
        </is>
      </c>
      <c r="E961" s="524" t="n">
        <v>500000</v>
      </c>
      <c r="F961" s="73" t="inlineStr">
        <is>
          <t xml:space="preserve">Оплачено </t>
        </is>
      </c>
    </row>
    <row r="962" ht="14.4" customHeight="1" s="1127">
      <c r="B962" s="49" t="n"/>
      <c r="C962" s="531" t="inlineStr">
        <is>
          <t>Касым овощи</t>
        </is>
      </c>
      <c r="D962" s="550" t="inlineStr">
        <is>
          <t>ДЗ</t>
        </is>
      </c>
      <c r="E962" s="524" t="n">
        <v>308950</v>
      </c>
      <c r="F962" s="73" t="inlineStr">
        <is>
          <t xml:space="preserve">Оплачено </t>
        </is>
      </c>
    </row>
    <row r="963" ht="14.4" customHeight="1" s="1127">
      <c r="B963" s="49" t="n"/>
      <c r="C963" s="531" t="inlineStr">
        <is>
          <t>Succes овощи Айкоркем ИП</t>
        </is>
      </c>
      <c r="D963" s="550" t="inlineStr">
        <is>
          <t>ДЗ</t>
        </is>
      </c>
      <c r="E963" s="524" t="n">
        <v>300000</v>
      </c>
      <c r="F963" s="73" t="inlineStr">
        <is>
          <t xml:space="preserve">Оплачено </t>
        </is>
      </c>
    </row>
    <row r="964" ht="14.4" customHeight="1" s="1127">
      <c r="B964" s="68" t="n"/>
      <c r="C964" s="452" t="inlineStr">
        <is>
          <t>QAZAQ SAPA GROUP ТОО</t>
        </is>
      </c>
      <c r="D964" s="550" t="inlineStr">
        <is>
          <t>ДЗ</t>
        </is>
      </c>
      <c r="E964" s="524" t="n">
        <v>504900</v>
      </c>
      <c r="F964" s="73" t="inlineStr">
        <is>
          <t xml:space="preserve">Оплачено </t>
        </is>
      </c>
    </row>
    <row r="965" ht="14.4" customHeight="1" s="1127">
      <c r="B965" s="68" t="n"/>
      <c r="C965" s="552" t="inlineStr">
        <is>
          <t>CIS market ТОО</t>
        </is>
      </c>
      <c r="D965" s="550" t="inlineStr">
        <is>
          <t>ДЗ</t>
        </is>
      </c>
      <c r="E965" s="524" t="n">
        <v>508750</v>
      </c>
      <c r="F965" s="73" t="inlineStr">
        <is>
          <t xml:space="preserve">Оплачено </t>
        </is>
      </c>
      <c r="H965" s="456" t="inlineStr">
        <is>
          <t xml:space="preserve">   </t>
        </is>
      </c>
    </row>
    <row r="966" ht="14.4" customHeight="1" s="1127">
      <c r="B966" s="49" t="n"/>
      <c r="C966" s="552" t="inlineStr">
        <is>
          <t>Шымкентмай</t>
        </is>
      </c>
      <c r="D966" s="550" t="inlineStr">
        <is>
          <t>по предоплате</t>
        </is>
      </c>
      <c r="E966" s="524" t="n">
        <v>438000</v>
      </c>
      <c r="F966" s="73" t="inlineStr">
        <is>
          <t xml:space="preserve">Оплачено </t>
        </is>
      </c>
    </row>
    <row r="967" ht="14.4" customHeight="1" s="1127">
      <c r="B967" s="49" t="n"/>
      <c r="C967" s="531" t="inlineStr">
        <is>
          <t>Flame group ТОО</t>
        </is>
      </c>
      <c r="D967" s="550" t="n"/>
      <c r="E967" s="524" t="n">
        <v>1000000</v>
      </c>
      <c r="F967" s="73" t="inlineStr">
        <is>
          <t xml:space="preserve">Оплачено </t>
        </is>
      </c>
    </row>
    <row r="968" ht="14.4" customHeight="1" s="1127">
      <c r="B968" s="49" t="n"/>
      <c r="C968" s="531" t="n"/>
      <c r="D968" s="509" t="inlineStr">
        <is>
          <t>Итого:</t>
        </is>
      </c>
      <c r="E968" s="524">
        <f>SUM(E956:E967)</f>
        <v/>
      </c>
      <c r="F968" s="73" t="n"/>
      <c r="H968" s="456" t="inlineStr">
        <is>
          <t xml:space="preserve">  </t>
        </is>
      </c>
    </row>
    <row r="969" ht="14.4" customHeight="1" s="1127">
      <c r="B969" s="528" t="n">
        <v>46192</v>
      </c>
      <c r="C969" s="531" t="inlineStr">
        <is>
          <t>ИП meat to eat</t>
        </is>
      </c>
      <c r="D969" s="550" t="inlineStr">
        <is>
          <t>ХАЛАЛ</t>
        </is>
      </c>
      <c r="E969" s="757" t="n">
        <v>27532.4</v>
      </c>
      <c r="F969" s="73" t="inlineStr">
        <is>
          <t xml:space="preserve">Оплачено </t>
        </is>
      </c>
    </row>
    <row r="970" ht="14.4" customHeight="1" s="1127">
      <c r="B970" s="49" t="n"/>
      <c r="C970" s="531" t="n"/>
      <c r="D970" s="509" t="inlineStr">
        <is>
          <t>Итого:</t>
        </is>
      </c>
      <c r="E970" s="757">
        <f>SUM(E969)</f>
        <v/>
      </c>
      <c r="F970" s="73" t="n"/>
    </row>
    <row r="971" ht="14.4" customHeight="1" s="1127">
      <c r="B971" s="528" t="n">
        <v>46192</v>
      </c>
      <c r="C971" s="552" t="inlineStr">
        <is>
          <t>Бахман ИП</t>
        </is>
      </c>
      <c r="D971" s="550" t="inlineStr">
        <is>
          <t>ДЗ</t>
        </is>
      </c>
      <c r="E971" s="524" t="n">
        <v>1000000</v>
      </c>
      <c r="F971" s="73" t="inlineStr">
        <is>
          <t xml:space="preserve">Оплачено </t>
        </is>
      </c>
    </row>
    <row r="972" ht="14.4" customHeight="1" s="1127">
      <c r="B972" s="49" t="n"/>
      <c r="C972" s="452" t="inlineStr">
        <is>
          <t>ТОО Dizzy</t>
        </is>
      </c>
      <c r="D972" s="542" t="n"/>
      <c r="E972" s="524" t="n">
        <v>32040</v>
      </c>
      <c r="F972" s="73" t="inlineStr">
        <is>
          <t xml:space="preserve">Оплачено </t>
        </is>
      </c>
    </row>
    <row r="973" ht="14.4" customHeight="1" s="1127">
      <c r="B973" s="49" t="n"/>
      <c r="C973" s="531" t="inlineStr">
        <is>
          <t>ПРОТЭК</t>
        </is>
      </c>
      <c r="D973" s="550" t="inlineStr">
        <is>
          <t>ДЗ</t>
        </is>
      </c>
      <c r="E973" s="524" t="n">
        <v>500000</v>
      </c>
      <c r="F973" s="73" t="inlineStr">
        <is>
          <t xml:space="preserve">Оплачено </t>
        </is>
      </c>
    </row>
    <row r="974" ht="14.4" customHeight="1" s="1127">
      <c r="B974" s="49" t="n"/>
      <c r="C974" s="552" t="inlineStr">
        <is>
          <t>Мир Кондитера ИП</t>
        </is>
      </c>
      <c r="D974" s="550" t="inlineStr">
        <is>
          <t>ДЗ</t>
        </is>
      </c>
      <c r="E974" s="524" t="n">
        <v>302250</v>
      </c>
      <c r="F974" s="73" t="inlineStr">
        <is>
          <t xml:space="preserve">Оплачено </t>
        </is>
      </c>
    </row>
    <row r="975" ht="14.4" customHeight="1" s="1127">
      <c r="B975" s="49" t="n"/>
      <c r="C975" s="531" t="inlineStr">
        <is>
          <t>RB Brands ТОО</t>
        </is>
      </c>
      <c r="D975" s="550" t="inlineStr">
        <is>
          <t>ДЗ</t>
        </is>
      </c>
      <c r="E975" s="524" t="n">
        <v>285120</v>
      </c>
      <c r="F975" s="73" t="inlineStr">
        <is>
          <t xml:space="preserve">Оплачено </t>
        </is>
      </c>
    </row>
    <row r="976" ht="14.4" customHeight="1" s="1127">
      <c r="B976" s="49" t="n"/>
      <c r="C976" s="552" t="inlineStr">
        <is>
          <t>Ирмас ЛТД ТОО</t>
        </is>
      </c>
      <c r="D976" s="550" t="inlineStr">
        <is>
          <t>ДЗ</t>
        </is>
      </c>
      <c r="E976" s="524" t="n">
        <v>400000</v>
      </c>
      <c r="F976" s="73" t="inlineStr">
        <is>
          <t xml:space="preserve">Оплачено </t>
        </is>
      </c>
    </row>
    <row r="977" ht="14.4" customHeight="1" s="1127">
      <c r="B977" s="49" t="n"/>
      <c r="C977" s="452" t="inlineStr">
        <is>
          <t>Fresh Frozen ТОО</t>
        </is>
      </c>
      <c r="D977" s="453" t="inlineStr">
        <is>
          <t>ДЗ</t>
        </is>
      </c>
      <c r="E977" s="524" t="n">
        <v>400000</v>
      </c>
      <c r="F977" s="73" t="inlineStr">
        <is>
          <t xml:space="preserve">Оплачено </t>
        </is>
      </c>
    </row>
    <row r="978" ht="14.4" customHeight="1" s="1127">
      <c r="B978" s="49" t="n"/>
      <c r="C978" s="452" t="inlineStr">
        <is>
          <t>Frozen Fruit ТОО</t>
        </is>
      </c>
      <c r="D978" s="453" t="inlineStr">
        <is>
          <t>ДЗ</t>
        </is>
      </c>
      <c r="E978" s="524" t="n">
        <v>400000</v>
      </c>
      <c r="F978" s="73" t="inlineStr">
        <is>
          <t xml:space="preserve">Оплачено </t>
        </is>
      </c>
      <c r="H978" s="456" t="inlineStr">
        <is>
          <t xml:space="preserve"> </t>
        </is>
      </c>
    </row>
    <row r="979" ht="14.4" customHeight="1" s="1127">
      <c r="B979" s="49" t="n"/>
      <c r="C979" s="452" t="inlineStr">
        <is>
          <t>AINABEK ИП</t>
        </is>
      </c>
      <c r="D979" s="453" t="inlineStr">
        <is>
          <t>ДЗ</t>
        </is>
      </c>
      <c r="E979" s="524" t="n">
        <v>229448</v>
      </c>
      <c r="F979" s="73" t="inlineStr">
        <is>
          <t xml:space="preserve">Оплачено </t>
        </is>
      </c>
    </row>
    <row r="980" ht="14.4" customHeight="1" s="1127">
      <c r="B980" s="68" t="n"/>
      <c r="C980" s="531" t="inlineStr">
        <is>
          <t>ЭЛИГИТА-АЗИЯ ТОО</t>
        </is>
      </c>
      <c r="D980" s="453" t="inlineStr">
        <is>
          <t>ДЗ</t>
        </is>
      </c>
      <c r="E980" s="524" t="n">
        <v>500000</v>
      </c>
      <c r="F980" s="73" t="inlineStr">
        <is>
          <t xml:space="preserve">Оплачено </t>
        </is>
      </c>
    </row>
    <row r="981" ht="14.4" customHeight="1" s="1127">
      <c r="B981" s="68" t="n"/>
      <c r="C981" s="531" t="inlineStr">
        <is>
          <t>Глобал Фуд</t>
        </is>
      </c>
      <c r="D981" s="550" t="inlineStr">
        <is>
          <t>ДЗ</t>
        </is>
      </c>
      <c r="E981" s="548" t="n">
        <v>500000</v>
      </c>
      <c r="F981" s="73" t="inlineStr">
        <is>
          <t xml:space="preserve">Оплачено </t>
        </is>
      </c>
    </row>
    <row r="982" ht="14.4" customHeight="1" s="1127">
      <c r="B982" s="68" t="n"/>
      <c r="C982" s="531" t="inlineStr">
        <is>
          <t>Витамин+</t>
        </is>
      </c>
      <c r="D982" s="550" t="inlineStr">
        <is>
          <t>ДЗ</t>
        </is>
      </c>
      <c r="E982" s="548" t="n">
        <v>500000</v>
      </c>
      <c r="F982" s="73" t="inlineStr">
        <is>
          <t xml:space="preserve">Оплачено </t>
        </is>
      </c>
    </row>
    <row r="983" ht="14.4" customHeight="1" s="1127">
      <c r="B983" s="68" t="n"/>
      <c r="C983" s="531" t="inlineStr">
        <is>
          <t>ТОО Royal meat qazaqstan</t>
        </is>
      </c>
      <c r="D983" s="550" t="inlineStr">
        <is>
          <t>ХАЛАЛ, остаток суммы</t>
        </is>
      </c>
      <c r="E983" s="551" t="n">
        <v>7230.4</v>
      </c>
      <c r="F983" s="73" t="inlineStr">
        <is>
          <t xml:space="preserve">Оплачено </t>
        </is>
      </c>
    </row>
    <row r="984" ht="14.4" customHeight="1" s="1127">
      <c r="B984" s="49" t="n"/>
      <c r="C984" s="531" t="inlineStr">
        <is>
          <t>Alfa Distributors ИП</t>
        </is>
      </c>
      <c r="D984" s="550" t="inlineStr">
        <is>
          <t>наличными</t>
        </is>
      </c>
      <c r="E984" s="548" t="n">
        <v>302640</v>
      </c>
      <c r="F984" s="73" t="inlineStr">
        <is>
          <t xml:space="preserve">Оплачено </t>
        </is>
      </c>
    </row>
    <row r="985" ht="14.4" customHeight="1" s="1127">
      <c r="B985" s="68" t="n"/>
      <c r="C985" s="531" t="n"/>
      <c r="D985" s="509" t="inlineStr">
        <is>
          <t>Итого:</t>
        </is>
      </c>
      <c r="E985" s="757">
        <f>SUM(E971:E984)</f>
        <v/>
      </c>
      <c r="F985" s="73" t="n"/>
    </row>
    <row r="986" ht="14.4" customHeight="1" s="1127">
      <c r="B986" s="528" t="n">
        <v>46195</v>
      </c>
      <c r="C986" s="552" t="inlineStr">
        <is>
          <t>Стас рынок</t>
        </is>
      </c>
      <c r="D986" s="553" t="inlineStr">
        <is>
          <t>наличными</t>
        </is>
      </c>
      <c r="E986" s="548" t="n">
        <v>500000</v>
      </c>
      <c r="F986" s="73" t="inlineStr">
        <is>
          <t xml:space="preserve">Оплачено </t>
        </is>
      </c>
    </row>
    <row r="987" ht="14.4" customHeight="1" s="1127">
      <c r="B987" s="68" t="n"/>
      <c r="C987" s="531" t="inlineStr">
        <is>
          <t>KazBeef Processing (КазБиф Процессинг) ТОО</t>
        </is>
      </c>
      <c r="D987" s="453" t="n"/>
      <c r="E987" s="548" t="n">
        <v>1000000</v>
      </c>
      <c r="F987" s="73" t="inlineStr">
        <is>
          <t xml:space="preserve">Оплачено </t>
        </is>
      </c>
    </row>
    <row r="988" ht="14.4" customHeight="1" s="1127">
      <c r="B988" s="68" t="n"/>
      <c r="C988" s="452" t="inlineStr">
        <is>
          <t>CityFood Trade ТОО</t>
        </is>
      </c>
      <c r="D988" s="554" t="inlineStr">
        <is>
          <t>ДЗ, около 10 млн</t>
        </is>
      </c>
      <c r="E988" s="524" t="n">
        <v>1500000</v>
      </c>
      <c r="F988" s="73" t="inlineStr">
        <is>
          <t xml:space="preserve">Оплачено </t>
        </is>
      </c>
    </row>
    <row r="989" ht="14.4" customHeight="1" s="1127">
      <c r="B989" s="68" t="n"/>
      <c r="C989" s="552" t="inlineStr">
        <is>
          <t>ДЭР ТОО</t>
        </is>
      </c>
      <c r="D989" s="453" t="inlineStr">
        <is>
          <t>ДЗ</t>
        </is>
      </c>
      <c r="E989" s="548" t="n">
        <v>500000</v>
      </c>
      <c r="F989" s="73" t="inlineStr">
        <is>
          <t xml:space="preserve">Оплачено </t>
        </is>
      </c>
    </row>
    <row r="990" ht="14.4" customHeight="1" s="1127">
      <c r="B990" s="68" t="n"/>
      <c r="C990" s="552" t="n"/>
      <c r="D990" s="509" t="inlineStr">
        <is>
          <t>Итого:</t>
        </is>
      </c>
      <c r="E990" s="548">
        <f>SUM(E986:E989)</f>
        <v/>
      </c>
      <c r="F990" s="73" t="n"/>
    </row>
    <row r="991" ht="14.4" customHeight="1" s="1127">
      <c r="B991" s="528" t="n">
        <v>46195</v>
      </c>
      <c r="C991" s="452" t="inlineStr">
        <is>
          <t>ТОО Decor-s конд принадлежности</t>
        </is>
      </c>
      <c r="D991" s="68" t="n"/>
      <c r="E991" s="524" t="n">
        <v>16460</v>
      </c>
      <c r="F991" s="73" t="inlineStr">
        <is>
          <t xml:space="preserve">Оплачено </t>
        </is>
      </c>
    </row>
    <row r="992" ht="14.4" customHeight="1" s="1127">
      <c r="B992" s="68" t="n"/>
      <c r="C992" s="452" t="inlineStr">
        <is>
          <t>SWEEZARD ТОО</t>
        </is>
      </c>
      <c r="D992" s="550" t="inlineStr">
        <is>
          <t>ДЗ</t>
        </is>
      </c>
      <c r="E992" s="524" t="n">
        <v>700000</v>
      </c>
      <c r="F992" s="73" t="inlineStr">
        <is>
          <t xml:space="preserve">Оплачено </t>
        </is>
      </c>
    </row>
    <row r="993" ht="14.4" customHeight="1" s="1127">
      <c r="B993" s="68" t="n"/>
      <c r="C993" s="452" t="inlineStr">
        <is>
          <t>Первомайские Деликатесы ТОО</t>
        </is>
      </c>
      <c r="D993" s="550" t="inlineStr">
        <is>
          <t>ДЗ</t>
        </is>
      </c>
      <c r="E993" s="524" t="n">
        <v>500000</v>
      </c>
      <c r="F993" s="73" t="inlineStr">
        <is>
          <t xml:space="preserve">Оплачено </t>
        </is>
      </c>
    </row>
    <row r="994" ht="14.4" customHeight="1" s="1127">
      <c r="B994" s="68" t="n"/>
      <c r="C994" s="452" t="inlineStr">
        <is>
          <t>Мясоперерабатывающий завод БИЖАН ТОО</t>
        </is>
      </c>
      <c r="D994" s="453" t="inlineStr">
        <is>
          <t>ДЗ</t>
        </is>
      </c>
      <c r="E994" s="524" t="n">
        <v>500000</v>
      </c>
      <c r="F994" s="73" t="inlineStr">
        <is>
          <t xml:space="preserve">Оплачено </t>
        </is>
      </c>
    </row>
    <row r="995" ht="14.4" customHeight="1" s="1127">
      <c r="B995" s="68" t="n"/>
      <c r="C995" s="531" t="inlineStr">
        <is>
          <t>Нарлен ет ТОО мясо</t>
        </is>
      </c>
      <c r="D995" s="453" t="n"/>
      <c r="E995" s="548" t="n">
        <v>84900</v>
      </c>
      <c r="F995" s="73" t="inlineStr">
        <is>
          <t xml:space="preserve">Оплачено </t>
        </is>
      </c>
    </row>
    <row r="996" ht="14.4" customHeight="1" s="1127">
      <c r="B996" s="68" t="n"/>
      <c r="C996" s="531" t="inlineStr">
        <is>
          <t>Элита Трейд</t>
        </is>
      </c>
      <c r="D996" s="453" t="inlineStr">
        <is>
          <t>на стопе</t>
        </is>
      </c>
      <c r="E996" s="524" t="n">
        <v>1000000</v>
      </c>
      <c r="F996" s="73" t="inlineStr">
        <is>
          <t xml:space="preserve">Оплачено </t>
        </is>
      </c>
    </row>
    <row r="997" ht="14.4" customHeight="1" s="1127">
      <c r="B997" s="68" t="n"/>
      <c r="C997" s="531" t="inlineStr">
        <is>
          <t>Бахман ИП</t>
        </is>
      </c>
      <c r="D997" s="453" t="n"/>
      <c r="E997" s="548" t="n">
        <v>500000</v>
      </c>
      <c r="F997" s="73" t="inlineStr">
        <is>
          <t xml:space="preserve">Оплачено </t>
        </is>
      </c>
    </row>
    <row r="998" ht="14.4" customHeight="1" s="1127">
      <c r="B998" s="68" t="n"/>
      <c r="C998" s="531" t="inlineStr">
        <is>
          <t>Витамин+</t>
        </is>
      </c>
      <c r="D998" s="453" t="n"/>
      <c r="E998" s="524" t="n">
        <v>1500000</v>
      </c>
      <c r="F998" s="73" t="inlineStr">
        <is>
          <t xml:space="preserve">Оплачено </t>
        </is>
      </c>
    </row>
    <row r="999" ht="14.4" customHeight="1" s="1127">
      <c r="B999" s="68" t="n"/>
      <c r="C999" s="452" t="inlineStr">
        <is>
          <t>Сергей Логист</t>
        </is>
      </c>
      <c r="D999" s="68" t="n"/>
      <c r="E999" s="524" t="n">
        <v>500000</v>
      </c>
      <c r="F999" s="73" t="inlineStr">
        <is>
          <t xml:space="preserve">Оплачено </t>
        </is>
      </c>
    </row>
    <row r="1000" ht="14.4" customHeight="1" s="1127">
      <c r="B1000" s="68" t="n"/>
      <c r="C1000" s="552" t="inlineStr">
        <is>
          <t>Adolar</t>
        </is>
      </c>
      <c r="D1000" s="453" t="n"/>
      <c r="E1000" s="548" t="n">
        <v>500000</v>
      </c>
      <c r="F1000" s="73" t="inlineStr">
        <is>
          <t xml:space="preserve">Оплачено </t>
        </is>
      </c>
    </row>
    <row r="1001" ht="14.4" customHeight="1" s="1127">
      <c r="B1001" s="68" t="n"/>
      <c r="C1001" s="531" t="inlineStr">
        <is>
          <t>Глобал Фуд ТОО</t>
        </is>
      </c>
      <c r="D1001" s="554" t="n"/>
      <c r="E1001" s="524" t="n">
        <v>500000</v>
      </c>
      <c r="F1001" s="73" t="inlineStr">
        <is>
          <t xml:space="preserve">Оплачено </t>
        </is>
      </c>
    </row>
    <row r="1002" ht="14.4" customHeight="1" s="1127">
      <c r="B1002" s="68" t="n"/>
      <c r="C1002" s="452" t="n"/>
      <c r="D1002" s="509" t="inlineStr">
        <is>
          <t>Итого:</t>
        </is>
      </c>
      <c r="E1002" s="524">
        <f>SUM(E991:E1001)</f>
        <v/>
      </c>
      <c r="F1002" s="73" t="n"/>
    </row>
    <row r="1003" ht="14.4" customHeight="1" s="1127">
      <c r="B1003" s="528" t="n">
        <v>46196</v>
      </c>
      <c r="C1003" s="531" t="inlineStr">
        <is>
          <t>Компания Фудмастер-Трэйд ТОО</t>
        </is>
      </c>
      <c r="D1003" s="550" t="inlineStr">
        <is>
          <t>на стопе</t>
        </is>
      </c>
      <c r="E1003" s="524" t="n">
        <v>78930</v>
      </c>
      <c r="F1003" s="73" t="inlineStr">
        <is>
          <t xml:space="preserve">Оплачено </t>
        </is>
      </c>
    </row>
    <row r="1004" ht="14.4" customHeight="1" s="1127">
      <c r="B1004" s="68" t="n"/>
      <c r="C1004" s="452" t="inlineStr">
        <is>
          <t>Ayala Trade TOO</t>
        </is>
      </c>
      <c r="D1004" s="550" t="n"/>
      <c r="E1004" s="524" t="n">
        <v>200000</v>
      </c>
      <c r="F1004" s="73" t="inlineStr">
        <is>
          <t xml:space="preserve">Оплачено </t>
        </is>
      </c>
    </row>
    <row r="1005" ht="14.4" customHeight="1" s="1127">
      <c r="B1005" s="68" t="n"/>
      <c r="C1005" s="531" t="inlineStr">
        <is>
          <t>Фудтехника ТОО</t>
        </is>
      </c>
      <c r="D1005" s="550" t="inlineStr">
        <is>
          <t>на стопе</t>
        </is>
      </c>
      <c r="E1005" s="524" t="n">
        <v>500000</v>
      </c>
      <c r="F1005" s="73" t="inlineStr">
        <is>
          <t xml:space="preserve">Оплачено </t>
        </is>
      </c>
    </row>
    <row r="1006" ht="14.4" customHeight="1" s="1127">
      <c r="B1006" s="68" t="n"/>
      <c r="C1006" s="531" t="inlineStr">
        <is>
          <t>Исмагулов ИП</t>
        </is>
      </c>
      <c r="D1006" s="550" t="inlineStr">
        <is>
          <t>на стопе</t>
        </is>
      </c>
      <c r="E1006" s="548" t="n">
        <v>500000</v>
      </c>
      <c r="F1006" s="73" t="inlineStr">
        <is>
          <t xml:space="preserve">Оплачено </t>
        </is>
      </c>
    </row>
    <row r="1007" ht="14.4" customHeight="1" s="1127">
      <c r="B1007" s="68" t="n"/>
      <c r="C1007" s="531" t="inlineStr">
        <is>
          <t>Казойл Продакшн А ТОО</t>
        </is>
      </c>
      <c r="D1007" s="550" t="inlineStr">
        <is>
          <t>на стопе</t>
        </is>
      </c>
      <c r="E1007" s="548" t="n">
        <v>500000</v>
      </c>
      <c r="F1007" s="73" t="inlineStr">
        <is>
          <t xml:space="preserve">Оплачено </t>
        </is>
      </c>
    </row>
    <row r="1008" ht="14.4" customHeight="1" s="1127">
      <c r="B1008" s="68" t="n"/>
      <c r="C1008" s="452" t="inlineStr">
        <is>
          <t>Berry Company ТОО</t>
        </is>
      </c>
      <c r="D1008" s="550" t="inlineStr">
        <is>
          <t>на стопе</t>
        </is>
      </c>
      <c r="E1008" s="524" t="n">
        <v>500000</v>
      </c>
      <c r="F1008" s="73" t="inlineStr">
        <is>
          <t xml:space="preserve">Оплачено </t>
        </is>
      </c>
    </row>
    <row r="1009" ht="14.4" customHeight="1" s="1127">
      <c r="B1009" s="68" t="n"/>
      <c r="C1009" s="452" t="inlineStr">
        <is>
          <t>Food Company ТОО</t>
        </is>
      </c>
      <c r="D1009" s="453" t="inlineStr">
        <is>
          <t xml:space="preserve">по предоплате </t>
        </is>
      </c>
      <c r="E1009" s="524" t="n">
        <v>125200</v>
      </c>
      <c r="F1009" s="73" t="inlineStr">
        <is>
          <t xml:space="preserve">Оплачено </t>
        </is>
      </c>
    </row>
    <row r="1010" ht="14.4" customHeight="1" s="1127">
      <c r="B1010" s="68" t="n"/>
      <c r="C1010" s="531" t="inlineStr">
        <is>
          <t>Flame group ТОО</t>
        </is>
      </c>
      <c r="D1010" s="453" t="n"/>
      <c r="E1010" s="524" t="n">
        <v>2176360</v>
      </c>
      <c r="F1010" s="73" t="inlineStr">
        <is>
          <t xml:space="preserve">Оплачено </t>
        </is>
      </c>
    </row>
    <row r="1011" ht="14.4" customHeight="1" s="1127">
      <c r="B1011" s="541" t="n"/>
      <c r="C1011" s="552" t="n"/>
      <c r="D1011" s="509" t="inlineStr">
        <is>
          <t>Итого:</t>
        </is>
      </c>
      <c r="E1011" s="524">
        <f>SUM(E1003:E1010)</f>
        <v/>
      </c>
      <c r="F1011" s="73" t="n"/>
    </row>
    <row r="1012" ht="14.4" customHeight="1" s="1127">
      <c r="B1012" s="528" t="n">
        <v>46196</v>
      </c>
      <c r="C1012" s="452" t="inlineStr">
        <is>
          <t>Шымкентмай</t>
        </is>
      </c>
      <c r="D1012" s="453" t="inlineStr">
        <is>
          <t xml:space="preserve">по предоплате </t>
        </is>
      </c>
      <c r="E1012" s="524" t="n">
        <v>438000</v>
      </c>
      <c r="F1012" s="73" t="inlineStr">
        <is>
          <t xml:space="preserve">Оплачено </t>
        </is>
      </c>
    </row>
    <row r="1013" ht="14.4" customHeight="1" s="1127">
      <c r="B1013" s="68" t="n"/>
      <c r="C1013" s="531" t="inlineStr">
        <is>
          <t>Элита Трейд</t>
        </is>
      </c>
      <c r="D1013" s="453" t="inlineStr">
        <is>
          <t>на стопе</t>
        </is>
      </c>
      <c r="E1013" s="524" t="n">
        <v>500000</v>
      </c>
      <c r="F1013" s="73" t="inlineStr">
        <is>
          <t xml:space="preserve">Оплачено </t>
        </is>
      </c>
    </row>
    <row r="1014" ht="14.4" customHeight="1" s="1127">
      <c r="B1014" s="541" t="n"/>
      <c r="C1014" s="531" t="inlineStr">
        <is>
          <t>ПРОТЭК</t>
        </is>
      </c>
      <c r="D1014" s="453" t="inlineStr">
        <is>
          <t>ДЗ</t>
        </is>
      </c>
      <c r="E1014" s="524" t="n">
        <v>500000</v>
      </c>
      <c r="F1014" s="73" t="inlineStr">
        <is>
          <t xml:space="preserve">Оплачено </t>
        </is>
      </c>
    </row>
    <row r="1015" ht="14.4" customHeight="1" s="1127">
      <c r="B1015" s="68" t="n"/>
      <c r="C1015" s="452" t="inlineStr">
        <is>
          <t>Витамин+</t>
        </is>
      </c>
      <c r="D1015" s="554" t="n"/>
      <c r="E1015" s="524" t="n">
        <v>500000</v>
      </c>
      <c r="F1015" s="73" t="inlineStr">
        <is>
          <t xml:space="preserve">Оплачено </t>
        </is>
      </c>
    </row>
    <row r="1016" ht="14.4" customHeight="1" s="1127">
      <c r="B1016" s="68" t="n"/>
      <c r="C1016" s="452" t="inlineStr">
        <is>
          <t>Снек Групп ТОО</t>
        </is>
      </c>
      <c r="D1016" s="550" t="n"/>
      <c r="E1016" s="524" t="n">
        <v>21120</v>
      </c>
      <c r="F1016" s="73" t="inlineStr">
        <is>
          <t xml:space="preserve">Оплачено </t>
        </is>
      </c>
    </row>
    <row r="1017" ht="14.4" customHeight="1" s="1127">
      <c r="B1017" s="68" t="n"/>
      <c r="C1017" s="531" t="inlineStr">
        <is>
          <t>Medhelp ИП</t>
        </is>
      </c>
      <c r="D1017" s="453" t="inlineStr">
        <is>
          <t>ДЗ</t>
        </is>
      </c>
      <c r="E1017" s="524" t="n">
        <v>31120</v>
      </c>
      <c r="F1017" s="73" t="inlineStr">
        <is>
          <t xml:space="preserve">Оплачено </t>
        </is>
      </c>
    </row>
    <row r="1018" ht="14.4" customHeight="1" s="1127">
      <c r="B1018" s="68" t="n"/>
      <c r="C1018" s="531" t="inlineStr">
        <is>
          <t>Стас рынок</t>
        </is>
      </c>
      <c r="D1018" s="543" t="inlineStr">
        <is>
          <t>наличными</t>
        </is>
      </c>
      <c r="E1018" s="524" t="n">
        <v>500000</v>
      </c>
      <c r="F1018" s="73" t="inlineStr">
        <is>
          <t xml:space="preserve">Оплачено </t>
        </is>
      </c>
    </row>
    <row r="1019" ht="14.4" customHeight="1" s="1127">
      <c r="B1019" s="68" t="n"/>
      <c r="C1019" s="452" t="n"/>
      <c r="D1019" s="509" t="inlineStr">
        <is>
          <t>Итого:</t>
        </is>
      </c>
      <c r="E1019" s="524">
        <f>SUM(E1012:E1018)</f>
        <v/>
      </c>
      <c r="F1019" s="73" t="n"/>
    </row>
    <row r="1020" ht="14.4" customHeight="1" s="1127">
      <c r="B1020" s="528" t="n">
        <v>46197</v>
      </c>
      <c r="C1020" s="531" t="inlineStr">
        <is>
          <t>Handy Yummy ИП</t>
        </is>
      </c>
      <c r="D1020" s="550" t="inlineStr">
        <is>
          <t>ДЗ 11 млн</t>
        </is>
      </c>
      <c r="E1020" s="524" t="n">
        <v>1500000</v>
      </c>
      <c r="F1020" s="73" t="inlineStr">
        <is>
          <t xml:space="preserve">Оплачено </t>
        </is>
      </c>
    </row>
    <row r="1021" ht="14.4" customHeight="1" s="1127">
      <c r="B1021" s="68" t="n"/>
      <c r="C1021" s="531" t="inlineStr">
        <is>
          <t>Витамин+</t>
        </is>
      </c>
      <c r="D1021" s="453" t="n"/>
      <c r="E1021" s="524" t="n">
        <v>500000</v>
      </c>
      <c r="F1021" s="73" t="inlineStr">
        <is>
          <t xml:space="preserve">Оплачено </t>
        </is>
      </c>
    </row>
    <row r="1022" ht="14.4" customHeight="1" s="1127">
      <c r="B1022" s="68" t="n"/>
      <c r="C1022" s="452" t="inlineStr">
        <is>
          <t>Вичунай</t>
        </is>
      </c>
      <c r="D1022" s="550" t="inlineStr">
        <is>
          <t>ДЗ около 2 млн</t>
        </is>
      </c>
      <c r="E1022" s="524" t="n">
        <v>1000000</v>
      </c>
      <c r="F1022" s="73" t="inlineStr">
        <is>
          <t xml:space="preserve">Оплачено </t>
        </is>
      </c>
      <c r="H1022" s="456" t="inlineStr">
        <is>
          <t xml:space="preserve"> </t>
        </is>
      </c>
    </row>
    <row r="1023" ht="14.4" customHeight="1" s="1127">
      <c r="B1023" s="68" t="n"/>
      <c r="C1023" s="452" t="inlineStr">
        <is>
          <t>Кокрекбай овощи (Габит) Barys group</t>
        </is>
      </c>
      <c r="D1023" s="550" t="inlineStr">
        <is>
          <t>ДЗ, 4 млн</t>
        </is>
      </c>
      <c r="E1023" s="524" t="n">
        <v>500000</v>
      </c>
      <c r="F1023" s="73" t="inlineStr">
        <is>
          <t xml:space="preserve">Оплачено </t>
        </is>
      </c>
    </row>
    <row r="1024" ht="14.4" customHeight="1" s="1127">
      <c r="B1024" s="541" t="n"/>
      <c r="C1024" s="531" t="inlineStr">
        <is>
          <t>Succes овощи Айкоркем ИП</t>
        </is>
      </c>
      <c r="D1024" s="550" t="inlineStr">
        <is>
          <t>ДЗ, 2,5 млн</t>
        </is>
      </c>
      <c r="E1024" s="524" t="n">
        <v>300000</v>
      </c>
      <c r="F1024" s="73" t="inlineStr">
        <is>
          <t xml:space="preserve">Оплачено </t>
        </is>
      </c>
    </row>
    <row r="1025" ht="14.4" customHeight="1" s="1127">
      <c r="B1025" s="68" t="n"/>
      <c r="C1025" s="531" t="inlineStr">
        <is>
          <t>Муханов ИП</t>
        </is>
      </c>
      <c r="D1025" s="453" t="inlineStr">
        <is>
          <t>ДЗ</t>
        </is>
      </c>
      <c r="E1025" s="524" t="n">
        <v>92500</v>
      </c>
      <c r="F1025" s="73" t="inlineStr">
        <is>
          <t xml:space="preserve">Оплачено </t>
        </is>
      </c>
    </row>
    <row r="1026" ht="14.4" customHeight="1" s="1127">
      <c r="B1026" s="68" t="n"/>
      <c r="C1026" s="531" t="inlineStr">
        <is>
          <t>Best Meat ТОО</t>
        </is>
      </c>
      <c r="D1026" s="453" t="inlineStr">
        <is>
          <t>ДЗ, досудебка</t>
        </is>
      </c>
      <c r="E1026" s="548" t="n">
        <v>1008384</v>
      </c>
      <c r="F1026" s="73" t="inlineStr">
        <is>
          <t xml:space="preserve">Оплачено </t>
        </is>
      </c>
    </row>
    <row r="1027" ht="14.4" customHeight="1" s="1127">
      <c r="B1027" s="68" t="n"/>
      <c r="C1027" s="452" t="n"/>
      <c r="D1027" s="509" t="inlineStr">
        <is>
          <t>Итого:</t>
        </is>
      </c>
      <c r="E1027" s="524">
        <f>SUM(E1020:E1026)</f>
        <v/>
      </c>
      <c r="F1027" s="73" t="n"/>
    </row>
    <row r="1028" ht="14.4" customHeight="1" s="1127">
      <c r="B1028" s="528" t="n">
        <v>46198</v>
      </c>
      <c r="C1028" s="531" t="inlineStr">
        <is>
          <t>Стас рынок</t>
        </is>
      </c>
      <c r="D1028" s="543" t="inlineStr">
        <is>
          <t>наличными</t>
        </is>
      </c>
      <c r="E1028" s="524" t="n">
        <v>600000</v>
      </c>
      <c r="F1028" s="73" t="inlineStr">
        <is>
          <t xml:space="preserve">Оплачено </t>
        </is>
      </c>
    </row>
    <row r="1029" ht="14.4" customHeight="1" s="1127">
      <c r="B1029" s="68" t="n"/>
      <c r="C1029" s="531" t="inlineStr">
        <is>
          <t>Bestseller Food Company ТОО</t>
        </is>
      </c>
      <c r="D1029" s="453" t="inlineStr">
        <is>
          <t>ДЗ</t>
        </is>
      </c>
      <c r="E1029" s="548" t="n">
        <v>134397</v>
      </c>
      <c r="F1029" s="73" t="inlineStr">
        <is>
          <t xml:space="preserve">Оплачено </t>
        </is>
      </c>
    </row>
    <row r="1030" ht="14.4" customHeight="1" s="1127">
      <c r="B1030" s="68" t="n"/>
      <c r="C1030" s="531" t="inlineStr">
        <is>
          <t>Витамин+</t>
        </is>
      </c>
      <c r="D1030" s="453" t="inlineStr">
        <is>
          <t>ДЗ</t>
        </is>
      </c>
      <c r="E1030" s="548" t="n">
        <v>1000000</v>
      </c>
      <c r="F1030" s="73" t="inlineStr">
        <is>
          <t xml:space="preserve">Оплачено </t>
        </is>
      </c>
      <c r="H1030" s="456">
        <f>H1031</f>
        <v/>
      </c>
    </row>
    <row r="1031" ht="14.4" customHeight="1" s="1127">
      <c r="B1031" s="68" t="n"/>
      <c r="C1031" s="452" t="inlineStr">
        <is>
          <t>Кокрекбай овощи (Габит) Barys group</t>
        </is>
      </c>
      <c r="D1031" s="550" t="inlineStr">
        <is>
          <t>ДЗ, 4 млн</t>
        </is>
      </c>
      <c r="E1031" s="524" t="n">
        <v>700000</v>
      </c>
      <c r="F1031" s="73" t="inlineStr">
        <is>
          <t xml:space="preserve">Оплачено </t>
        </is>
      </c>
    </row>
    <row r="1032" ht="14.4" customHeight="1" s="1127">
      <c r="B1032" s="68" t="n"/>
      <c r="C1032" s="531" t="inlineStr">
        <is>
          <t>Succes овощи Айкоркем ИП</t>
        </is>
      </c>
      <c r="D1032" s="550" t="inlineStr">
        <is>
          <t>ДЗ, 2,5 млн</t>
        </is>
      </c>
      <c r="E1032" s="524" t="n">
        <v>300000</v>
      </c>
      <c r="F1032" s="73" t="inlineStr">
        <is>
          <t xml:space="preserve">Оплачено </t>
        </is>
      </c>
    </row>
    <row r="1033" ht="14.4" customHeight="1" s="1127">
      <c r="B1033" s="68" t="n"/>
      <c r="C1033" s="452" t="inlineStr">
        <is>
          <t>Pack Plus</t>
        </is>
      </c>
      <c r="D1033" s="453" t="inlineStr">
        <is>
          <t xml:space="preserve">по предоплате </t>
        </is>
      </c>
      <c r="E1033" s="524" t="n">
        <v>10800</v>
      </c>
      <c r="F1033" s="73" t="inlineStr">
        <is>
          <t xml:space="preserve">Оплачено </t>
        </is>
      </c>
    </row>
    <row r="1034" ht="14.4" customHeight="1" s="1127">
      <c r="B1034" s="68" t="n"/>
      <c r="C1034" s="452" t="inlineStr">
        <is>
          <t>Mercurius (чл)</t>
        </is>
      </c>
      <c r="D1034" s="543" t="inlineStr">
        <is>
          <t>наличными</t>
        </is>
      </c>
      <c r="E1034" s="524" t="n">
        <v>12600</v>
      </c>
      <c r="F1034" s="73" t="inlineStr">
        <is>
          <t xml:space="preserve">Оплачено </t>
        </is>
      </c>
    </row>
    <row r="1035" ht="14.4" customHeight="1" s="1127">
      <c r="B1035" s="68" t="n"/>
      <c r="C1035" s="531" t="n"/>
      <c r="D1035" s="509" t="inlineStr">
        <is>
          <t>Итого:</t>
        </is>
      </c>
      <c r="E1035" s="524">
        <f>SUM(E1028:E1034)</f>
        <v/>
      </c>
      <c r="F1035" s="73" t="n"/>
    </row>
    <row r="1036" ht="14.4" customHeight="1" s="1127">
      <c r="B1036" s="528" t="n">
        <v>46198</v>
      </c>
      <c r="C1036" s="452" t="inlineStr">
        <is>
          <t>Almaty Develop STM ТОО</t>
        </is>
      </c>
      <c r="D1036" s="550" t="inlineStr">
        <is>
          <t>ДЗ, около 2, млн</t>
        </is>
      </c>
      <c r="E1036" s="524" t="n">
        <v>500000</v>
      </c>
      <c r="F1036" s="73" t="inlineStr">
        <is>
          <t xml:space="preserve">Оплачено </t>
        </is>
      </c>
    </row>
    <row r="1037" ht="14.4" customHeight="1" s="1127">
      <c r="B1037" s="68" t="n"/>
      <c r="C1037" s="531" t="inlineStr">
        <is>
          <t>Adalpack ТОО</t>
        </is>
      </c>
      <c r="D1037" s="453" t="inlineStr">
        <is>
          <t xml:space="preserve">по предоплате </t>
        </is>
      </c>
      <c r="E1037" s="524" t="n">
        <v>97000</v>
      </c>
      <c r="F1037" s="73" t="inlineStr">
        <is>
          <t xml:space="preserve">Оплачено </t>
        </is>
      </c>
    </row>
    <row r="1038" ht="14.4" customHeight="1" s="1127">
      <c r="B1038" s="68" t="n"/>
      <c r="C1038" s="531" t="inlineStr">
        <is>
          <t>ARDO plast ТОО</t>
        </is>
      </c>
      <c r="D1038" s="453" t="inlineStr">
        <is>
          <t xml:space="preserve">по предоплате </t>
        </is>
      </c>
      <c r="E1038" s="524" t="n">
        <v>370000</v>
      </c>
      <c r="F1038" s="73" t="inlineStr">
        <is>
          <t xml:space="preserve">Оплачено </t>
        </is>
      </c>
    </row>
    <row r="1039" ht="14.4" customHeight="1" s="1127">
      <c r="B1039" s="68" t="n"/>
      <c r="C1039" s="452" t="inlineStr">
        <is>
          <t>Арбуз Фуд Сервис ТОО</t>
        </is>
      </c>
      <c r="D1039" s="550" t="inlineStr">
        <is>
          <t>ДЗ</t>
        </is>
      </c>
      <c r="E1039" s="524" t="n">
        <v>500000</v>
      </c>
      <c r="F1039" s="73" t="inlineStr">
        <is>
          <t>Не срочно</t>
        </is>
      </c>
    </row>
    <row r="1040" ht="14.4" customHeight="1" s="1127">
      <c r="B1040" s="68" t="n"/>
      <c r="C1040" s="452" t="inlineStr">
        <is>
          <t>Эрико ТОО</t>
        </is>
      </c>
      <c r="D1040" s="453" t="inlineStr">
        <is>
          <t xml:space="preserve">по предоплате </t>
        </is>
      </c>
      <c r="E1040" s="524" t="n">
        <v>563880</v>
      </c>
      <c r="F1040" s="73" t="inlineStr">
        <is>
          <t xml:space="preserve">Оплачено </t>
        </is>
      </c>
    </row>
    <row r="1041" ht="14.4" customHeight="1" s="1127">
      <c r="B1041" s="68" t="n"/>
      <c r="C1041" s="531" t="inlineStr">
        <is>
          <t>ИП Qadam нори</t>
        </is>
      </c>
      <c r="D1041" s="550" t="inlineStr">
        <is>
          <t>ДЗ</t>
        </is>
      </c>
      <c r="E1041" s="524" t="n">
        <v>742000</v>
      </c>
      <c r="F1041" s="73" t="inlineStr">
        <is>
          <t xml:space="preserve">Оплачено </t>
        </is>
      </c>
    </row>
    <row r="1042" ht="14.4" customHeight="1" s="1127">
      <c r="B1042" s="68" t="n"/>
      <c r="C1042" s="531" t="inlineStr">
        <is>
          <t>StroyLux ТОО</t>
        </is>
      </c>
      <c r="D1042" s="453" t="inlineStr">
        <is>
          <t>ДЗ</t>
        </is>
      </c>
      <c r="E1042" s="548" t="n">
        <v>534900</v>
      </c>
      <c r="F1042" s="73" t="inlineStr">
        <is>
          <t xml:space="preserve">Оплачено </t>
        </is>
      </c>
    </row>
    <row r="1043" ht="14.4" customHeight="1" s="1127">
      <c r="B1043" s="68" t="n"/>
      <c r="C1043" s="531" t="inlineStr">
        <is>
          <t>ЭКОХИММАШ – АЗИЯ ТОО</t>
        </is>
      </c>
      <c r="D1043" s="550" t="inlineStr">
        <is>
          <t>ДЗ</t>
        </is>
      </c>
      <c r="E1043" s="524" t="n">
        <v>687025</v>
      </c>
      <c r="F1043" s="73" t="inlineStr">
        <is>
          <t xml:space="preserve">Оплачено </t>
        </is>
      </c>
    </row>
    <row r="1044" ht="14.4" customHeight="1" s="1127">
      <c r="B1044" s="68" t="n"/>
      <c r="C1044" s="531" t="inlineStr">
        <is>
          <t>QAZAQ SAPA GROUP ТОО</t>
        </is>
      </c>
      <c r="D1044" s="550" t="inlineStr">
        <is>
          <t>ДЗ</t>
        </is>
      </c>
      <c r="E1044" s="548" t="n">
        <v>519004</v>
      </c>
      <c r="F1044" s="73" t="inlineStr">
        <is>
          <t xml:space="preserve">Оплачено </t>
        </is>
      </c>
    </row>
    <row r="1045" ht="14.4" customHeight="1" s="1127">
      <c r="B1045" s="68" t="n"/>
      <c r="C1045" s="452" t="inlineStr">
        <is>
          <t>Rikkaus ИП</t>
        </is>
      </c>
      <c r="D1045" s="550" t="inlineStr">
        <is>
          <t>ДЗ</t>
        </is>
      </c>
      <c r="E1045" s="524" t="n">
        <v>600000</v>
      </c>
      <c r="F1045" s="73" t="inlineStr">
        <is>
          <t xml:space="preserve">Оплачено </t>
        </is>
      </c>
    </row>
    <row r="1046" ht="14.4" customHeight="1" s="1127">
      <c r="B1046" s="68" t="n"/>
      <c r="C1046" s="531" t="inlineStr">
        <is>
          <t>ПРОТЭК</t>
        </is>
      </c>
      <c r="D1046" s="550" t="inlineStr">
        <is>
          <t>ДЗ</t>
        </is>
      </c>
      <c r="E1046" s="524" t="n">
        <v>500000</v>
      </c>
      <c r="F1046" s="73" t="inlineStr">
        <is>
          <t xml:space="preserve">Оплачено </t>
        </is>
      </c>
    </row>
    <row r="1047" ht="14.4" customHeight="1" s="1127">
      <c r="B1047" s="68" t="n"/>
      <c r="C1047" s="452" t="inlineStr">
        <is>
          <t>Лейпурин ТОО</t>
        </is>
      </c>
      <c r="D1047" s="550" t="inlineStr">
        <is>
          <t>ДЗ</t>
        </is>
      </c>
      <c r="E1047" s="524" t="n">
        <v>45000</v>
      </c>
      <c r="F1047" s="73" t="inlineStr">
        <is>
          <t xml:space="preserve">Оплачено </t>
        </is>
      </c>
    </row>
    <row r="1048" ht="14.4" customHeight="1" s="1127">
      <c r="B1048" s="68" t="n"/>
      <c r="C1048" s="531" t="inlineStr">
        <is>
          <t>Art Food ИП</t>
        </is>
      </c>
      <c r="D1048" s="453" t="inlineStr">
        <is>
          <t>на стопе</t>
        </is>
      </c>
      <c r="E1048" s="548" t="n">
        <v>282838</v>
      </c>
      <c r="F1048" s="73" t="inlineStr">
        <is>
          <t xml:space="preserve">Оплачено </t>
        </is>
      </c>
    </row>
    <row r="1049" ht="14.4" customHeight="1" s="1127">
      <c r="B1049" s="68" t="n"/>
      <c r="C1049" s="452" t="inlineStr">
        <is>
          <t>Альбатрос ВЭД ТОО</t>
        </is>
      </c>
      <c r="D1049" s="453" t="inlineStr">
        <is>
          <t>на стопе</t>
        </is>
      </c>
      <c r="E1049" s="524" t="n">
        <v>165000</v>
      </c>
      <c r="F1049" s="73" t="inlineStr">
        <is>
          <t xml:space="preserve">Оплачено </t>
        </is>
      </c>
    </row>
    <row r="1050" ht="14.4" customHeight="1" s="1127">
      <c r="B1050" s="68" t="n"/>
      <c r="C1050" s="531" t="inlineStr">
        <is>
          <t>Global Halal Food ТОО</t>
        </is>
      </c>
      <c r="D1050" s="453" t="inlineStr">
        <is>
          <t>на стопе</t>
        </is>
      </c>
      <c r="E1050" s="524" t="n">
        <v>700000</v>
      </c>
      <c r="F1050" s="73" t="inlineStr">
        <is>
          <t xml:space="preserve">Оплачено </t>
        </is>
      </c>
    </row>
    <row r="1051" ht="14.4" customHeight="1" s="1127">
      <c r="B1051" s="68" t="n"/>
      <c r="C1051" s="531" t="inlineStr">
        <is>
          <t>Исмагулов ИП</t>
        </is>
      </c>
      <c r="D1051" s="453" t="inlineStr">
        <is>
          <t>на стопе</t>
        </is>
      </c>
      <c r="E1051" s="548" t="n">
        <v>500000</v>
      </c>
      <c r="F1051" s="73" t="inlineStr">
        <is>
          <t xml:space="preserve">Оплачено </t>
        </is>
      </c>
    </row>
    <row r="1052" ht="14.4" customHeight="1" s="1127">
      <c r="B1052" s="68" t="n"/>
      <c r="C1052" s="452" t="inlineStr">
        <is>
          <t>Adolar</t>
        </is>
      </c>
      <c r="D1052" s="550" t="n"/>
      <c r="E1052" s="524" t="n">
        <v>512336</v>
      </c>
      <c r="F1052" s="73" t="inlineStr">
        <is>
          <t xml:space="preserve">Оплачено </t>
        </is>
      </c>
    </row>
    <row r="1053" ht="14.4" customHeight="1" s="1127">
      <c r="B1053" s="68" t="n"/>
      <c r="C1053" s="552" t="inlineStr">
        <is>
          <t>TOIMART TOO</t>
        </is>
      </c>
      <c r="D1053" s="453" t="n"/>
      <c r="E1053" s="548" t="n">
        <v>321897</v>
      </c>
      <c r="F1053" s="73" t="inlineStr">
        <is>
          <t xml:space="preserve">Оплачено </t>
        </is>
      </c>
    </row>
    <row r="1054" ht="14.4" customHeight="1" s="1127">
      <c r="B1054" s="68" t="n"/>
      <c r="C1054" s="531" t="n"/>
      <c r="D1054" s="509" t="inlineStr">
        <is>
          <t>Итого:</t>
        </is>
      </c>
      <c r="E1054" s="524">
        <f>SUM(E1036:E1053)</f>
        <v/>
      </c>
      <c r="F1054" s="73" t="inlineStr">
        <is>
          <t xml:space="preserve">Оплачено </t>
        </is>
      </c>
    </row>
    <row r="1055" ht="14.4" customHeight="1" s="1127">
      <c r="B1055" s="528" t="n">
        <v>46199</v>
      </c>
      <c r="C1055" s="531" t="inlineStr">
        <is>
          <t xml:space="preserve">Витамин + </t>
        </is>
      </c>
      <c r="D1055" s="550" t="n"/>
      <c r="E1055" s="524" t="n">
        <v>508568</v>
      </c>
      <c r="F1055" s="73" t="inlineStr">
        <is>
          <t xml:space="preserve">Оплачено </t>
        </is>
      </c>
    </row>
    <row r="1056" ht="14.4" customHeight="1" s="1127">
      <c r="B1056" s="49" t="n"/>
      <c r="C1056" s="531" t="inlineStr">
        <is>
          <t>Salmon Group Kazakhstan</t>
        </is>
      </c>
      <c r="D1056" s="550" t="inlineStr">
        <is>
          <t>ДЗ</t>
        </is>
      </c>
      <c r="E1056" s="548" t="n">
        <v>900000</v>
      </c>
      <c r="F1056" s="73" t="inlineStr">
        <is>
          <t xml:space="preserve">Оплачено </t>
        </is>
      </c>
    </row>
    <row r="1057" ht="14.4" customHeight="1" s="1127">
      <c r="B1057" s="49" t="n"/>
      <c r="C1057" s="552" t="inlineStr">
        <is>
          <t>MEGAFLEX</t>
        </is>
      </c>
      <c r="D1057" s="453" t="inlineStr">
        <is>
          <t xml:space="preserve">по предоплате </t>
        </is>
      </c>
      <c r="E1057" s="548" t="n">
        <v>300000</v>
      </c>
      <c r="F1057" s="73" t="inlineStr">
        <is>
          <t xml:space="preserve">Оплачено </t>
        </is>
      </c>
    </row>
    <row r="1058" ht="14.4" customHeight="1" s="1127">
      <c r="B1058" s="49" t="n"/>
      <c r="C1058" s="452" t="inlineStr">
        <is>
          <t>ФУД ВЕНДИНГ</t>
        </is>
      </c>
      <c r="D1058" s="550" t="inlineStr">
        <is>
          <t>ДЗ</t>
        </is>
      </c>
      <c r="E1058" s="524" t="n">
        <v>350000</v>
      </c>
      <c r="F1058" s="73" t="inlineStr">
        <is>
          <t xml:space="preserve">Оплачено </t>
        </is>
      </c>
    </row>
    <row r="1059" ht="14.4" customHeight="1" s="1127">
      <c r="B1059" s="555" t="n"/>
      <c r="C1059" s="452" t="inlineStr">
        <is>
          <t>ИП Демьянов</t>
        </is>
      </c>
      <c r="D1059" s="453" t="n"/>
      <c r="E1059" s="524" t="n">
        <v>1000000</v>
      </c>
      <c r="F1059" s="73" t="inlineStr">
        <is>
          <t xml:space="preserve">Оплачено </t>
        </is>
      </c>
    </row>
    <row r="1060" ht="14.4" customHeight="1" s="1127">
      <c r="B1060" s="49" t="n"/>
      <c r="C1060" s="552" t="n"/>
      <c r="D1060" s="509" t="inlineStr">
        <is>
          <t>Итого:</t>
        </is>
      </c>
      <c r="E1060" s="548">
        <f>SUM(E1055:E1059)</f>
        <v/>
      </c>
      <c r="F1060" s="73" t="n"/>
    </row>
    <row r="1061" ht="14.4" customHeight="1" s="1127">
      <c r="B1061" s="528" t="n">
        <v>46202</v>
      </c>
      <c r="C1061" s="531" t="n"/>
      <c r="D1061" s="550" t="n"/>
      <c r="E1061" s="524" t="n"/>
      <c r="F1061" s="73" t="n"/>
    </row>
    <row r="1062" ht="14.4" customHeight="1" s="1127">
      <c r="B1062" s="49" t="n"/>
      <c r="C1062" s="531" t="n"/>
      <c r="D1062" s="550" t="n"/>
      <c r="E1062" s="524" t="n"/>
      <c r="F1062" s="73" t="n"/>
    </row>
    <row r="1063" ht="14.4" customHeight="1" s="1127">
      <c r="B1063" s="529" t="n"/>
      <c r="C1063" s="452" t="n"/>
      <c r="D1063" s="550" t="n"/>
      <c r="E1063" s="524" t="n"/>
      <c r="F1063" s="73" t="n"/>
    </row>
    <row r="1064" ht="14.4" customHeight="1" s="1127">
      <c r="B1064" s="49" t="n"/>
      <c r="C1064" s="531" t="n"/>
      <c r="D1064" s="453" t="n"/>
      <c r="E1064" s="548" t="n"/>
      <c r="F1064" s="73" t="n"/>
    </row>
    <row r="1065" ht="14.4" customHeight="1" s="1127">
      <c r="B1065" s="68" t="n"/>
      <c r="C1065" s="452" t="n"/>
      <c r="D1065" s="453" t="n"/>
      <c r="E1065" s="524" t="n"/>
      <c r="F1065" s="73" t="n"/>
    </row>
    <row r="1066" ht="14.4" customHeight="1" s="1127">
      <c r="B1066" s="68" t="n"/>
      <c r="C1066" s="452" t="n"/>
      <c r="D1066" s="453" t="n"/>
      <c r="E1066" s="524" t="n"/>
      <c r="F1066" s="73" t="n"/>
    </row>
    <row r="1067" ht="14.4" customHeight="1" s="1127">
      <c r="B1067" s="49" t="n"/>
      <c r="C1067" s="531" t="n"/>
      <c r="D1067" s="550" t="n"/>
      <c r="E1067" s="524" t="n"/>
      <c r="F1067" s="73" t="n"/>
    </row>
    <row r="1068" ht="14.4" customHeight="1" s="1127">
      <c r="B1068" s="68" t="inlineStr">
        <is>
          <t>блендер погружной</t>
        </is>
      </c>
      <c r="C1068" s="531" t="n"/>
      <c r="D1068" s="453" t="n"/>
      <c r="E1068" s="548" t="n"/>
      <c r="F1068" s="73" t="n"/>
    </row>
    <row r="1069" ht="14.4" customHeight="1" s="1127">
      <c r="B1069" s="577" t="n"/>
      <c r="C1069" s="452" t="n"/>
      <c r="D1069" s="554" t="n"/>
      <c r="E1069" s="524" t="n"/>
      <c r="F1069" s="73" t="n"/>
    </row>
    <row r="1070" ht="14.4" customHeight="1" s="1127">
      <c r="B1070" s="68" t="n"/>
      <c r="C1070" s="531" t="n"/>
      <c r="D1070" s="554" t="n"/>
      <c r="E1070" s="524" t="n"/>
      <c r="F1070" s="73" t="n"/>
    </row>
    <row r="1071" ht="14.4" customHeight="1" s="1127">
      <c r="B1071" s="68" t="n"/>
      <c r="C1071" s="452" t="n"/>
      <c r="D1071" s="453" t="n"/>
      <c r="E1071" s="524" t="n"/>
      <c r="F1071" s="73" t="n"/>
    </row>
    <row r="1072" ht="14.4" customHeight="1" s="1127">
      <c r="B1072" s="68" t="n"/>
      <c r="C1072" s="531" t="n"/>
      <c r="D1072" s="550" t="n"/>
      <c r="E1072" s="524" t="n"/>
      <c r="F1072" s="73" t="n"/>
    </row>
    <row r="1073" ht="14.4" customHeight="1" s="1127">
      <c r="B1073" s="68" t="n"/>
      <c r="C1073" s="531" t="n"/>
      <c r="D1073" s="543" t="n"/>
      <c r="E1073" s="524" t="n"/>
      <c r="F1073" s="73" t="n"/>
    </row>
    <row r="1074" ht="14.4" customHeight="1" s="1127">
      <c r="B1074" s="68" t="n">
        <v>1</v>
      </c>
      <c r="C1074" s="531" t="inlineStr">
        <is>
          <t>Color express ТОО</t>
        </is>
      </c>
      <c r="D1074" s="550" t="inlineStr">
        <is>
          <t>ДЗ</t>
        </is>
      </c>
      <c r="E1074" s="524" t="n">
        <v>500000</v>
      </c>
      <c r="F1074" s="73" t="inlineStr">
        <is>
          <t>Срочно</t>
        </is>
      </c>
    </row>
    <row r="1075" ht="14.4" customHeight="1" s="1127">
      <c r="B1075" s="68" t="n"/>
      <c r="C1075" s="531" t="inlineStr">
        <is>
          <t>ПРОТЭК</t>
        </is>
      </c>
      <c r="D1075" s="550" t="inlineStr">
        <is>
          <t>ДЗ</t>
        </is>
      </c>
      <c r="E1075" s="524" t="n">
        <v>500000</v>
      </c>
      <c r="F1075" s="73" t="inlineStr">
        <is>
          <t>Срочно</t>
        </is>
      </c>
    </row>
    <row r="1076" ht="14.4" customHeight="1" s="1127">
      <c r="B1076" s="68" t="n"/>
      <c r="C1076" s="452" t="inlineStr">
        <is>
          <t>Евразиан Фудс Корпорэйшн АО</t>
        </is>
      </c>
      <c r="D1076" s="550" t="inlineStr">
        <is>
          <t>ДЗ 7 млн</t>
        </is>
      </c>
      <c r="E1076" s="524" t="n">
        <v>1500000</v>
      </c>
      <c r="F1076" s="73" t="inlineStr">
        <is>
          <t>Срочно</t>
        </is>
      </c>
    </row>
    <row r="1077" ht="14.4" customHeight="1" s="1127">
      <c r="B1077" s="68" t="n"/>
      <c r="C1077" s="531" t="inlineStr">
        <is>
          <t>KazBeef Processing (КазБиф Процессинг) ТОО</t>
        </is>
      </c>
      <c r="D1077" s="453" t="inlineStr">
        <is>
          <t>ДЗ</t>
        </is>
      </c>
      <c r="E1077" s="548" t="n">
        <v>1350000</v>
      </c>
      <c r="F1077" s="73" t="inlineStr">
        <is>
          <t>Срочно</t>
        </is>
      </c>
    </row>
    <row r="1078" ht="14.4" customHeight="1" s="1127">
      <c r="B1078" s="68" t="n"/>
      <c r="C1078" s="452" t="inlineStr">
        <is>
          <t>Rikkaus ИП</t>
        </is>
      </c>
      <c r="D1078" s="453" t="n"/>
      <c r="E1078" s="524" t="n">
        <v>616100</v>
      </c>
      <c r="F1078" s="73" t="inlineStr">
        <is>
          <t>Срочно</t>
        </is>
      </c>
    </row>
    <row r="1079" ht="14.4" customHeight="1" s="1127">
      <c r="B1079" s="68" t="n"/>
      <c r="C1079" s="452" t="inlineStr">
        <is>
          <t>Утемисов Б К ИП</t>
        </is>
      </c>
      <c r="D1079" s="453" t="inlineStr">
        <is>
          <t>ДЗ с января</t>
        </is>
      </c>
      <c r="E1079" s="524" t="n">
        <v>543800</v>
      </c>
      <c r="F1079" s="73" t="inlineStr">
        <is>
          <t>Срочно</t>
        </is>
      </c>
    </row>
    <row r="1080" ht="14.4" customHeight="1" s="1127">
      <c r="B1080" s="68" t="n"/>
      <c r="C1080" s="531" t="inlineStr">
        <is>
          <t>Дельта-Х ТОО</t>
        </is>
      </c>
      <c r="D1080" s="550" t="inlineStr">
        <is>
          <t>ДЗ</t>
        </is>
      </c>
      <c r="E1080" s="524" t="n">
        <v>329620</v>
      </c>
      <c r="F1080" s="73" t="inlineStr">
        <is>
          <t>Срочно</t>
        </is>
      </c>
    </row>
    <row r="1081" ht="14.4" customHeight="1" s="1127">
      <c r="B1081" s="68" t="n"/>
      <c r="C1081" s="531" t="inlineStr">
        <is>
          <t>Horeca supplies ТОО</t>
        </is>
      </c>
      <c r="D1081" s="453" t="inlineStr">
        <is>
          <t xml:space="preserve">по предоплате </t>
        </is>
      </c>
      <c r="E1081" s="548" t="n">
        <v>484000</v>
      </c>
      <c r="F1081" s="73" t="inlineStr">
        <is>
          <t>Срочно</t>
        </is>
      </c>
    </row>
    <row r="1082" ht="14.4" customHeight="1" s="1127">
      <c r="B1082" s="68" t="n"/>
      <c r="C1082" s="452" t="inlineStr">
        <is>
          <t>CityFood Trade ТОО</t>
        </is>
      </c>
      <c r="D1082" s="554" t="inlineStr">
        <is>
          <t>ДЗ, около 10 млн</t>
        </is>
      </c>
      <c r="E1082" s="524" t="n">
        <v>500000</v>
      </c>
      <c r="F1082" s="73" t="inlineStr">
        <is>
          <t>Срочно</t>
        </is>
      </c>
    </row>
    <row r="1083" ht="14.4" customHeight="1" s="1127">
      <c r="B1083" s="68" t="n"/>
      <c r="C1083" s="531" t="inlineStr">
        <is>
          <t>Глобал Фуд ТОО</t>
        </is>
      </c>
      <c r="D1083" s="554" t="inlineStr">
        <is>
          <t>ДЗ, около 12 млн</t>
        </is>
      </c>
      <c r="E1083" s="524" t="n">
        <v>500000</v>
      </c>
      <c r="F1083" s="73" t="inlineStr">
        <is>
          <t>Срочно</t>
        </is>
      </c>
    </row>
    <row r="1084" ht="14.4" customHeight="1" s="1127">
      <c r="B1084" s="68" t="n"/>
      <c r="C1084" s="452" t="inlineStr">
        <is>
          <t>Ayala Trade TOO</t>
        </is>
      </c>
      <c r="D1084" s="453" t="n"/>
      <c r="E1084" s="524" t="n">
        <v>386500</v>
      </c>
      <c r="F1084" s="73" t="inlineStr">
        <is>
          <t>Срочно</t>
        </is>
      </c>
    </row>
    <row r="1085" ht="14.4" customHeight="1" s="1127">
      <c r="B1085" s="68" t="n"/>
      <c r="C1085" s="531" t="inlineStr">
        <is>
          <t>QAZAQ SAPA GROUP ТОО</t>
        </is>
      </c>
      <c r="D1085" s="550" t="n"/>
      <c r="E1085" s="524" t="n">
        <v>1000000</v>
      </c>
      <c r="F1085" s="73" t="inlineStr">
        <is>
          <t>Срочно</t>
        </is>
      </c>
    </row>
    <row r="1086" ht="14.4" customHeight="1" s="1127">
      <c r="B1086" s="68" t="n"/>
      <c r="C1086" s="531" t="inlineStr">
        <is>
          <t>Стас рынок</t>
        </is>
      </c>
      <c r="D1086" s="543" t="inlineStr">
        <is>
          <t>наличными</t>
        </is>
      </c>
      <c r="E1086" s="524" t="n">
        <v>600000</v>
      </c>
      <c r="F1086" s="73" t="inlineStr">
        <is>
          <t>Срочно</t>
        </is>
      </c>
    </row>
    <row r="1087" ht="14.4" customHeight="1" s="1127">
      <c r="B1087" s="528" t="n">
        <v>46202</v>
      </c>
      <c r="C1087" s="531" t="inlineStr">
        <is>
          <t>Компания Натур Продукт ТОО</t>
        </is>
      </c>
      <c r="D1087" s="550" t="inlineStr">
        <is>
          <t>ДЗ</t>
        </is>
      </c>
      <c r="E1087" s="524" t="n">
        <v>1000000</v>
      </c>
      <c r="F1087" s="73" t="inlineStr">
        <is>
          <t>Срочно</t>
        </is>
      </c>
    </row>
    <row r="1088" ht="14.4" customHeight="1" s="1127">
      <c r="B1088" s="68" t="n"/>
      <c r="C1088" s="531" t="inlineStr">
        <is>
          <t>Acvee market ТОО</t>
        </is>
      </c>
      <c r="D1088" s="550" t="inlineStr">
        <is>
          <t>ДЗ</t>
        </is>
      </c>
      <c r="E1088" s="524" t="n">
        <v>544886</v>
      </c>
      <c r="F1088" s="73" t="inlineStr">
        <is>
          <t>Срочно</t>
        </is>
      </c>
    </row>
    <row r="1089" ht="14.4" customHeight="1" s="1127">
      <c r="B1089" s="68" t="n"/>
      <c r="C1089" s="452" t="n"/>
      <c r="D1089" s="453" t="n"/>
      <c r="E1089" s="524" t="n"/>
      <c r="F1089" s="73" t="n"/>
    </row>
    <row r="1090" ht="14.4" customHeight="1" s="1127">
      <c r="B1090" s="68" t="n"/>
      <c r="C1090" s="531" t="n"/>
      <c r="D1090" s="550" t="n"/>
      <c r="E1090" s="524" t="n"/>
      <c r="F1090" s="73" t="n"/>
    </row>
    <row r="1091" ht="14.4" customHeight="1" s="1127">
      <c r="B1091" s="68" t="inlineStr">
        <is>
          <t>блендер погружной</t>
        </is>
      </c>
      <c r="C1091" s="531" t="inlineStr">
        <is>
          <t>Horeca supplies ТОО</t>
        </is>
      </c>
      <c r="D1091" s="453" t="inlineStr">
        <is>
          <t xml:space="preserve">по предоплате </t>
        </is>
      </c>
      <c r="E1091" s="548" t="n">
        <v>484000</v>
      </c>
      <c r="F1091" s="73" t="n"/>
    </row>
    <row r="1092" ht="14.4" customHeight="1" s="1127">
      <c r="B1092" s="68" t="n"/>
      <c r="C1092" s="452" t="n"/>
      <c r="D1092" s="453" t="n"/>
      <c r="E1092" s="524" t="n"/>
      <c r="F1092" s="73" t="n"/>
    </row>
    <row r="1093" ht="14.4" customHeight="1" s="1127">
      <c r="B1093" s="68" t="n"/>
      <c r="C1093" s="552" t="inlineStr">
        <is>
          <t>Казтехнолоджи Пак ТОО</t>
        </is>
      </c>
      <c r="D1093" s="453" t="inlineStr">
        <is>
          <t>остаток</t>
        </is>
      </c>
      <c r="E1093" s="548" t="n">
        <v>2510400</v>
      </c>
      <c r="F1093" s="73" t="inlineStr">
        <is>
          <t>Приоритет к оплате</t>
        </is>
      </c>
    </row>
    <row r="1094" ht="14.4" customHeight="1" s="1127">
      <c r="B1094" s="68" t="n"/>
      <c r="C1094" s="452" t="inlineStr">
        <is>
          <t>КазПолимерИнвест ТОО</t>
        </is>
      </c>
      <c r="D1094" s="453" t="inlineStr">
        <is>
          <t>ДЗ</t>
        </is>
      </c>
      <c r="E1094" s="524" t="n">
        <v>859600</v>
      </c>
      <c r="F1094" s="73" t="n"/>
    </row>
    <row r="1095" ht="14.4" customHeight="1" s="1127">
      <c r="B1095" s="68" t="n"/>
      <c r="C1095" s="552" t="inlineStr">
        <is>
          <t>ДЭР ТОО</t>
        </is>
      </c>
      <c r="D1095" s="453" t="inlineStr">
        <is>
          <t>ДЗ</t>
        </is>
      </c>
      <c r="E1095" s="548" t="n">
        <v>500000</v>
      </c>
      <c r="F1095" s="73" t="inlineStr">
        <is>
          <t>Срочно</t>
        </is>
      </c>
    </row>
    <row r="1096" ht="14.4" customHeight="1" s="1127">
      <c r="B1096" s="68" t="n"/>
      <c r="C1096" s="452" t="inlineStr">
        <is>
          <t>CityFood Trade ТОО</t>
        </is>
      </c>
      <c r="D1096" s="554" t="inlineStr">
        <is>
          <t>ДЗ, около 10 млн</t>
        </is>
      </c>
      <c r="E1096" s="524" t="n">
        <v>2000000</v>
      </c>
      <c r="F1096" s="73" t="inlineStr">
        <is>
          <t>Срочно</t>
        </is>
      </c>
    </row>
    <row r="1097" ht="14.4" customHeight="1" s="1127">
      <c r="B1097" s="68" t="n"/>
      <c r="C1097" s="531" t="inlineStr">
        <is>
          <t>Глобал Фуд ТОО</t>
        </is>
      </c>
      <c r="D1097" s="554" t="inlineStr">
        <is>
          <t>ДЗ, около 12 млн</t>
        </is>
      </c>
      <c r="E1097" s="524" t="n">
        <v>2000000</v>
      </c>
      <c r="F1097" s="73" t="inlineStr">
        <is>
          <t>Срочно</t>
        </is>
      </c>
    </row>
    <row r="1098" ht="14.4" customHeight="1" s="1127">
      <c r="B1098" s="68" t="n"/>
      <c r="C1098" s="531" t="n"/>
      <c r="D1098" s="550" t="n"/>
      <c r="E1098" s="524" t="n"/>
      <c r="F1098" s="73" t="n"/>
    </row>
    <row r="1099" ht="14.4" customHeight="1" s="1127">
      <c r="B1099" s="68" t="n"/>
      <c r="C1099" s="531" t="inlineStr">
        <is>
          <t>QAZAQ SAPA GROUP ТОО</t>
        </is>
      </c>
      <c r="D1099" s="550" t="n"/>
      <c r="E1099" s="524" t="n">
        <v>1000000</v>
      </c>
      <c r="F1099" s="73" t="inlineStr">
        <is>
          <t>Срочно</t>
        </is>
      </c>
    </row>
    <row r="1100" ht="14.4" customHeight="1" s="1127">
      <c r="B1100" s="68" t="inlineStr">
        <is>
          <t>услуги санитарные</t>
        </is>
      </c>
      <c r="C1100" s="452" t="inlineStr">
        <is>
          <t>Joyu ТОО</t>
        </is>
      </c>
      <c r="D1100" s="453" t="n"/>
      <c r="E1100" s="524" t="n">
        <v>150000</v>
      </c>
      <c r="F1100" s="73" t="inlineStr">
        <is>
          <t>Срочно</t>
        </is>
      </c>
    </row>
    <row r="1101" ht="14.4" customHeight="1" s="1127">
      <c r="B1101" s="68" t="n"/>
      <c r="C1101" s="531" t="inlineStr">
        <is>
          <t>Fresh Frozen ТОО</t>
        </is>
      </c>
      <c r="D1101" s="453" t="inlineStr">
        <is>
          <t>ДЗ 4 млн</t>
        </is>
      </c>
      <c r="E1101" s="524" t="n">
        <v>694700</v>
      </c>
      <c r="F1101" s="73" t="n"/>
    </row>
    <row r="1102" ht="14.4" customHeight="1" s="1127">
      <c r="B1102" s="68" t="n"/>
      <c r="C1102" s="531" t="inlineStr">
        <is>
          <t>Frozen Fruit ТОО</t>
        </is>
      </c>
      <c r="D1102" s="453" t="inlineStr">
        <is>
          <t>ДЗ 4 млн</t>
        </is>
      </c>
      <c r="E1102" s="548" t="n">
        <v>686090</v>
      </c>
      <c r="F1102" s="73" t="n"/>
    </row>
    <row r="1103" ht="14.4" customHeight="1" s="1127">
      <c r="B1103" s="68" t="n"/>
      <c r="C1103" s="452" t="n"/>
      <c r="D1103" s="550" t="n"/>
      <c r="E1103" s="524" t="n"/>
      <c r="F1103" s="73" t="n"/>
    </row>
    <row r="1104" ht="14.4" customHeight="1" s="1127">
      <c r="B1104" s="68" t="n"/>
      <c r="C1104" s="531" t="n"/>
      <c r="D1104" s="453" t="n"/>
      <c r="E1104" s="548" t="n"/>
      <c r="F1104" s="73" t="n"/>
    </row>
    <row r="1105" ht="14.4" customHeight="1" s="1127">
      <c r="B1105" s="68" t="n"/>
      <c r="C1105" s="452" t="n"/>
      <c r="D1105" s="554" t="n"/>
      <c r="E1105" s="524" t="n"/>
      <c r="F1105" s="73" t="n"/>
    </row>
    <row r="1106" ht="14.4" customHeight="1" s="1127">
      <c r="B1106" s="68" t="n"/>
      <c r="C1106" s="531" t="n"/>
      <c r="D1106" s="554" t="n"/>
      <c r="E1106" s="524" t="n"/>
      <c r="F1106" s="73" t="n"/>
    </row>
    <row r="1107" ht="14.4" customHeight="1" s="1127">
      <c r="B1107" s="536" t="n">
        <v>46204</v>
      </c>
      <c r="C1107" s="531" t="inlineStr">
        <is>
          <t>Стас рынок</t>
        </is>
      </c>
      <c r="D1107" s="543" t="inlineStr">
        <is>
          <t>наличными</t>
        </is>
      </c>
      <c r="E1107" s="524" t="n">
        <v>500000</v>
      </c>
      <c r="F1107" s="73" t="n"/>
    </row>
    <row r="1108" ht="14.4" customHeight="1" s="1127">
      <c r="B1108" s="68" t="n"/>
      <c r="C1108" s="452" t="n"/>
      <c r="D1108" s="554" t="n"/>
      <c r="E1108" s="524" t="n"/>
      <c r="F1108" s="73" t="n"/>
    </row>
    <row r="1109" ht="14.4" customHeight="1" s="1127">
      <c r="B1109" s="68" t="n"/>
      <c r="C1109" s="531" t="n"/>
      <c r="D1109" s="554" t="n"/>
      <c r="E1109" s="524" t="n"/>
      <c r="F1109" s="73" t="n"/>
    </row>
    <row r="1110" ht="14.4" customHeight="1" s="1127">
      <c r="B1110" s="68" t="n"/>
      <c r="C1110" s="452" t="n"/>
      <c r="D1110" s="542" t="n"/>
      <c r="E1110" s="524" t="n"/>
      <c r="F1110" s="73" t="n"/>
    </row>
    <row r="1111" ht="14.4" customHeight="1" s="1127">
      <c r="B1111" s="68" t="n"/>
      <c r="C1111" s="531" t="n"/>
      <c r="D1111" s="453" t="n"/>
      <c r="E1111" s="524" t="n"/>
      <c r="F1111" s="73" t="n"/>
    </row>
    <row r="1112" ht="14.4" customHeight="1" s="1127">
      <c r="B1112" s="68" t="n"/>
      <c r="C1112" s="531" t="n"/>
      <c r="D1112" s="544" t="n"/>
      <c r="E1112" s="524" t="n"/>
      <c r="F1112" s="73" t="n"/>
    </row>
    <row r="1113" ht="14.4" customHeight="1" s="1127">
      <c r="B1113" s="68" t="n"/>
      <c r="C1113" s="452" t="n"/>
      <c r="D1113" s="68" t="n"/>
      <c r="E1113" s="524" t="n"/>
      <c r="F1113" s="73" t="n"/>
    </row>
    <row r="1114" ht="14.4" customHeight="1" s="1127">
      <c r="B1114" s="68" t="n"/>
      <c r="C1114" s="531" t="n"/>
      <c r="D1114" s="542" t="n"/>
      <c r="E1114" s="524" t="n"/>
      <c r="F1114" s="73" t="n"/>
    </row>
    <row r="1115" ht="14.4" customHeight="1" s="1127">
      <c r="B1115" s="68" t="n"/>
      <c r="C1115" s="452" t="n"/>
      <c r="D1115" s="542" t="n"/>
      <c r="E1115" s="524" t="n"/>
      <c r="F1115" s="73" t="n"/>
    </row>
    <row r="1116" ht="14.4" customHeight="1" s="1127">
      <c r="B1116" s="68" t="n"/>
      <c r="C1116" s="505" t="n"/>
      <c r="D1116" s="453" t="n"/>
      <c r="E1116" s="524" t="n"/>
      <c r="F1116" s="73" t="n"/>
    </row>
    <row r="1117" ht="14.4" customHeight="1" s="1127">
      <c r="B1117" s="68" t="n"/>
      <c r="C1117" s="531" t="n"/>
      <c r="D1117" s="542" t="n"/>
      <c r="E1117" s="524" t="n"/>
      <c r="F1117" s="73" t="n"/>
    </row>
    <row r="1118" ht="14.4" customHeight="1" s="1127">
      <c r="B1118" s="68" t="n"/>
      <c r="C1118" s="531" t="n"/>
      <c r="D1118" s="544" t="n"/>
      <c r="E1118" s="524" t="n"/>
      <c r="F1118" s="73" t="n"/>
    </row>
    <row r="1119" ht="14.4" customHeight="1" s="1127">
      <c r="B1119" s="68" t="n"/>
      <c r="C1119" s="531" t="n"/>
      <c r="D1119" s="542" t="n"/>
      <c r="E1119" s="524" t="n"/>
      <c r="F1119" s="73" t="n"/>
    </row>
    <row r="1120" ht="14.4" customHeight="1" s="1127">
      <c r="B1120" s="68" t="n"/>
      <c r="C1120" s="531" t="n"/>
      <c r="D1120" s="544" t="n"/>
      <c r="E1120" s="524" t="n"/>
      <c r="F1120" s="73" t="n"/>
    </row>
    <row r="1121" ht="14.4" customHeight="1" s="1127">
      <c r="B1121" s="68" t="n"/>
      <c r="C1121" s="452" t="n"/>
      <c r="D1121" s="68" t="n"/>
      <c r="E1121" s="524" t="n"/>
      <c r="F1121" s="73" t="n"/>
    </row>
    <row r="1122" ht="13.8" customHeight="1" s="1127">
      <c r="B1122" s="68" t="n"/>
      <c r="C1122" s="68" t="n"/>
      <c r="D1122" s="68" t="n"/>
      <c r="E1122" s="520" t="n"/>
      <c r="F1122" s="73" t="n"/>
    </row>
    <row r="1123" ht="13.8" customHeight="1" s="1127">
      <c r="B1123" s="68" t="n"/>
      <c r="C1123" s="68" t="n"/>
      <c r="D1123" s="68" t="n"/>
      <c r="E1123" s="520" t="n"/>
      <c r="F1123" s="73" t="n"/>
    </row>
    <row r="1124" ht="13.8" customHeight="1" s="1127">
      <c r="B1124" s="68" t="n"/>
      <c r="C1124" s="68" t="n"/>
      <c r="D1124" s="68" t="n"/>
      <c r="E1124" s="520" t="n"/>
      <c r="F1124" s="73" t="n"/>
    </row>
    <row r="1125" ht="13.8" customHeight="1" s="1127">
      <c r="B1125" s="68" t="n"/>
      <c r="C1125" s="68" t="n"/>
      <c r="D1125" s="68" t="n"/>
      <c r="E1125" s="520" t="n"/>
      <c r="F1125" s="73" t="n"/>
    </row>
    <row r="1126" ht="13.8" customHeight="1" s="1127">
      <c r="B1126" s="68" t="n"/>
      <c r="C1126" s="68" t="n"/>
      <c r="D1126" s="68" t="n"/>
      <c r="E1126" s="520" t="n"/>
      <c r="F1126" s="73" t="n"/>
    </row>
    <row r="1127" ht="13.8" customHeight="1" s="1127">
      <c r="B1127" s="68" t="n"/>
      <c r="C1127" s="68" t="n"/>
      <c r="D1127" s="68" t="n"/>
      <c r="E1127" s="520" t="n"/>
      <c r="F1127" s="73" t="n"/>
    </row>
    <row r="1128" ht="13.8" customHeight="1" s="1127">
      <c r="B1128" s="68" t="n"/>
      <c r="C1128" s="68" t="n"/>
      <c r="D1128" s="68" t="n"/>
      <c r="E1128" s="520" t="n"/>
      <c r="F1128" s="73" t="n"/>
    </row>
    <row r="1129" ht="13.8" customHeight="1" s="1127">
      <c r="B1129" s="68" t="n"/>
      <c r="C1129" s="68" t="n"/>
      <c r="D1129" s="68" t="n"/>
      <c r="E1129" s="520" t="n"/>
      <c r="F1129" s="73" t="n"/>
    </row>
    <row r="1130" ht="13.8" customHeight="1" s="1127">
      <c r="B1130" s="68" t="n"/>
      <c r="C1130" s="68" t="n"/>
      <c r="D1130" s="68" t="n"/>
      <c r="E1130" s="520" t="n"/>
      <c r="F1130" s="73" t="n"/>
    </row>
    <row r="1131" ht="13.8" customHeight="1" s="1127">
      <c r="B1131" s="68" t="n"/>
      <c r="C1131" s="68" t="n"/>
      <c r="D1131" s="68" t="n"/>
      <c r="E1131" s="520" t="n"/>
      <c r="F1131" s="73" t="n"/>
    </row>
    <row r="1132" ht="13.8" customHeight="1" s="1127">
      <c r="B1132" s="68" t="n"/>
      <c r="C1132" s="68" t="n"/>
      <c r="D1132" s="68" t="n"/>
      <c r="E1132" s="520" t="n"/>
      <c r="F1132" s="73" t="n"/>
    </row>
    <row r="1133" ht="13.8" customHeight="1" s="1127">
      <c r="B1133" s="68" t="n"/>
      <c r="C1133" s="68" t="n"/>
      <c r="D1133" s="68" t="n"/>
      <c r="E1133" s="520" t="n"/>
      <c r="F1133" s="73" t="n"/>
    </row>
    <row r="1134" ht="13.8" customHeight="1" s="1127">
      <c r="B1134" s="68" t="n"/>
      <c r="C1134" s="68" t="n"/>
      <c r="D1134" s="68" t="n"/>
      <c r="E1134" s="520" t="n"/>
      <c r="F1134" s="73" t="n"/>
    </row>
    <row r="1135" ht="13.8" customHeight="1" s="1127">
      <c r="B1135" s="68" t="n"/>
      <c r="C1135" s="68" t="n"/>
      <c r="D1135" s="68" t="n"/>
      <c r="E1135" s="520" t="n"/>
      <c r="F1135" s="73" t="n"/>
    </row>
    <row r="1136" ht="13.8" customHeight="1" s="1127">
      <c r="B1136" s="68" t="n"/>
      <c r="C1136" s="68" t="n"/>
      <c r="D1136" s="68" t="n"/>
      <c r="E1136" s="520" t="n"/>
      <c r="F1136" s="73" t="n"/>
    </row>
    <row r="1137" ht="13.8" customHeight="1" s="1127">
      <c r="B1137" s="68" t="n"/>
      <c r="C1137" s="68" t="n"/>
      <c r="D1137" s="68" t="n"/>
      <c r="E1137" s="520" t="n"/>
      <c r="F1137" s="73" t="n"/>
    </row>
    <row r="1138" ht="13.8" customHeight="1" s="1127">
      <c r="B1138" s="68" t="n"/>
      <c r="C1138" s="68" t="n"/>
      <c r="D1138" s="68" t="n"/>
      <c r="E1138" s="520" t="n"/>
      <c r="F1138" s="73" t="n"/>
    </row>
    <row r="1139" ht="13.8" customHeight="1" s="1127">
      <c r="B1139" s="68" t="n"/>
      <c r="C1139" s="68" t="n"/>
      <c r="D1139" s="68" t="n"/>
      <c r="E1139" s="520" t="n"/>
      <c r="F1139" s="73" t="n"/>
    </row>
    <row r="1140" ht="13.8" customHeight="1" s="1127">
      <c r="B1140" s="68" t="n"/>
      <c r="C1140" s="68" t="n"/>
      <c r="D1140" s="68" t="n"/>
      <c r="E1140" s="520" t="n"/>
      <c r="F1140" s="73" t="n"/>
    </row>
    <row r="1141" ht="13.8" customHeight="1" s="1127">
      <c r="B1141" s="68" t="n"/>
      <c r="C1141" s="68" t="n"/>
      <c r="D1141" s="68" t="n"/>
      <c r="E1141" s="520" t="n"/>
      <c r="F1141" s="73" t="n"/>
    </row>
    <row r="1142" ht="13.2" customHeight="1" s="1127">
      <c r="E1142" s="219" t="n"/>
    </row>
    <row r="1143" ht="13.2" customHeight="1" s="1127">
      <c r="E1143" s="219" t="n"/>
    </row>
    <row r="1144" ht="13.2" customHeight="1" s="1127">
      <c r="E1144" s="219" t="n"/>
    </row>
    <row r="1145" ht="13.2" customHeight="1" s="1127">
      <c r="E1145" s="219" t="n"/>
    </row>
    <row r="1146" ht="13.2" customHeight="1" s="1127">
      <c r="E1146" s="219" t="n"/>
    </row>
    <row r="1147" ht="13.2" customHeight="1" s="1127">
      <c r="E1147" s="219" t="n"/>
    </row>
    <row r="1148" ht="13.2" customHeight="1" s="1127">
      <c r="E1148" s="219" t="n"/>
    </row>
    <row r="1149" ht="13.2" customHeight="1" s="1127">
      <c r="E1149" s="219" t="n"/>
    </row>
    <row r="1150" ht="13.2" customHeight="1" s="1127">
      <c r="E1150" s="219" t="n"/>
    </row>
    <row r="1151" ht="13.2" customHeight="1" s="1127">
      <c r="E1151" s="219" t="n"/>
    </row>
    <row r="1152" ht="13.2" customHeight="1" s="1127">
      <c r="E1152" s="219" t="n"/>
    </row>
    <row r="1153" ht="13.2" customHeight="1" s="1127">
      <c r="E1153" s="219" t="n"/>
    </row>
    <row r="1154" ht="13.2" customHeight="1" s="1127">
      <c r="E1154" s="219" t="n"/>
    </row>
    <row r="1155" ht="13.2" customHeight="1" s="1127">
      <c r="E1155" s="219" t="n"/>
    </row>
    <row r="1156" ht="13.2" customHeight="1" s="1127">
      <c r="E1156" s="219" t="n"/>
    </row>
    <row r="1157" ht="13.2" customHeight="1" s="1127">
      <c r="E1157" s="219" t="n"/>
    </row>
    <row r="1158" ht="13.2" customHeight="1" s="1127">
      <c r="E1158" s="219" t="n"/>
    </row>
    <row r="1159" ht="13.2" customHeight="1" s="1127">
      <c r="E1159" s="219" t="n"/>
    </row>
    <row r="1160" ht="13.2" customHeight="1" s="1127">
      <c r="E1160" s="219" t="n"/>
    </row>
    <row r="1161" ht="13.2" customHeight="1" s="1127">
      <c r="E1161" s="219" t="n"/>
    </row>
    <row r="1162" ht="13.2" customHeight="1" s="1127">
      <c r="E1162" s="219" t="n"/>
    </row>
    <row r="1163" ht="13.2" customHeight="1" s="1127">
      <c r="E1163" s="219" t="n"/>
    </row>
    <row r="1164" ht="13.2" customHeight="1" s="1127">
      <c r="E1164" s="219" t="n"/>
    </row>
    <row r="1165" ht="13.2" customHeight="1" s="1127">
      <c r="E1165" s="219" t="n"/>
    </row>
    <row r="1166" ht="13.2" customHeight="1" s="1127">
      <c r="E1166" s="219" t="n"/>
    </row>
    <row r="1167" ht="13.2" customHeight="1" s="1127">
      <c r="E1167" s="219" t="n"/>
    </row>
    <row r="1168" ht="13.2" customHeight="1" s="1127">
      <c r="E1168" s="219" t="n"/>
    </row>
    <row r="1169" ht="13.2" customHeight="1" s="1127">
      <c r="E1169" s="219" t="n"/>
    </row>
    <row r="1170" ht="13.2" customHeight="1" s="1127">
      <c r="E1170" s="219" t="n"/>
    </row>
    <row r="1171" ht="13.2" customHeight="1" s="1127">
      <c r="E1171" s="219" t="n"/>
    </row>
    <row r="1172" ht="13.2" customHeight="1" s="1127">
      <c r="E1172" s="219" t="n"/>
    </row>
    <row r="1173" ht="13.2" customHeight="1" s="1127">
      <c r="E1173" s="219" t="n"/>
    </row>
    <row r="1174" ht="13.2" customHeight="1" s="1127">
      <c r="E1174" s="219" t="n"/>
    </row>
    <row r="1175" ht="13.2" customHeight="1" s="1127">
      <c r="E1175" s="219" t="n"/>
    </row>
    <row r="1176" ht="13.2" customHeight="1" s="1127">
      <c r="E1176" s="219" t="n"/>
    </row>
    <row r="1177" ht="13.2" customHeight="1" s="1127">
      <c r="E1177" s="219" t="n"/>
    </row>
    <row r="1178" ht="13.2" customHeight="1" s="1127">
      <c r="E1178" s="219" t="n"/>
    </row>
    <row r="1179" ht="13.2" customHeight="1" s="1127">
      <c r="E1179" s="219" t="n"/>
    </row>
    <row r="1180" ht="13.2" customHeight="1" s="1127">
      <c r="E1180" s="219" t="n"/>
    </row>
    <row r="1181" ht="13.2" customHeight="1" s="1127">
      <c r="E1181" s="219" t="n"/>
    </row>
    <row r="1182" ht="13.2" customHeight="1" s="1127">
      <c r="E1182" s="219" t="n"/>
    </row>
    <row r="1183" ht="13.2" customHeight="1" s="1127">
      <c r="E1183" s="219" t="n"/>
    </row>
    <row r="1184" ht="13.2" customHeight="1" s="1127">
      <c r="E1184" s="219" t="n"/>
    </row>
    <row r="1185" ht="13.2" customHeight="1" s="1127">
      <c r="E1185" s="219" t="n"/>
    </row>
    <row r="1186" ht="13.2" customHeight="1" s="1127">
      <c r="E1186" s="219" t="n"/>
    </row>
    <row r="1187" ht="13.2" customHeight="1" s="1127">
      <c r="E1187" s="219" t="n"/>
    </row>
    <row r="1188" ht="13.2" customHeight="1" s="1127">
      <c r="E1188" s="219" t="n"/>
    </row>
    <row r="1189" ht="13.2" customHeight="1" s="1127">
      <c r="E1189" s="219" t="n"/>
    </row>
    <row r="1190" ht="13.2" customHeight="1" s="1127">
      <c r="E1190" s="219" t="n"/>
    </row>
    <row r="1191" ht="13.2" customHeight="1" s="1127">
      <c r="E1191" s="219" t="n"/>
    </row>
    <row r="1192" ht="13.2" customHeight="1" s="1127">
      <c r="E1192" s="219" t="n"/>
    </row>
    <row r="1193" ht="13.2" customHeight="1" s="1127">
      <c r="E1193" s="219" t="n"/>
    </row>
    <row r="1194" ht="13.2" customHeight="1" s="1127">
      <c r="E1194" s="219" t="n"/>
    </row>
    <row r="1195" ht="13.2" customHeight="1" s="1127">
      <c r="E1195" s="219" t="n"/>
    </row>
    <row r="1196" ht="13.2" customHeight="1" s="1127">
      <c r="E1196" s="219" t="n"/>
    </row>
    <row r="1197" ht="13.2" customHeight="1" s="1127">
      <c r="E1197" s="219" t="n"/>
    </row>
    <row r="1198" ht="13.2" customHeight="1" s="1127">
      <c r="E1198" s="219" t="n"/>
    </row>
    <row r="1199" ht="13.2" customHeight="1" s="1127">
      <c r="E1199" s="219" t="n"/>
    </row>
    <row r="1200" ht="13.2" customHeight="1" s="1127">
      <c r="E1200" s="219" t="n"/>
    </row>
    <row r="1201" ht="13.2" customHeight="1" s="1127">
      <c r="E1201" s="219" t="n"/>
    </row>
    <row r="1202" ht="13.2" customHeight="1" s="1127">
      <c r="E1202" s="219" t="n"/>
    </row>
    <row r="1203" ht="13.2" customHeight="1" s="1127">
      <c r="E1203" s="219" t="n"/>
    </row>
    <row r="1204" ht="13.2" customHeight="1" s="1127">
      <c r="E1204" s="219" t="n"/>
    </row>
    <row r="1205" ht="13.2" customHeight="1" s="1127">
      <c r="E1205" s="219" t="n"/>
    </row>
    <row r="1206" ht="13.2" customHeight="1" s="1127">
      <c r="E1206" s="219" t="n"/>
    </row>
    <row r="1207" ht="13.2" customHeight="1" s="1127">
      <c r="E1207" s="219" t="n"/>
    </row>
    <row r="1208" ht="13.2" customHeight="1" s="1127">
      <c r="E1208" s="219" t="n"/>
    </row>
    <row r="1209" ht="13.2" customHeight="1" s="1127">
      <c r="E1209" s="219" t="n"/>
    </row>
    <row r="1210" ht="13.2" customHeight="1" s="1127">
      <c r="E1210" s="219" t="n"/>
    </row>
    <row r="1211" ht="13.2" customHeight="1" s="1127">
      <c r="E1211" s="219" t="n"/>
    </row>
    <row r="1212" ht="13.2" customHeight="1" s="1127">
      <c r="E1212" s="219" t="n"/>
    </row>
    <row r="1213" ht="13.2" customHeight="1" s="1127">
      <c r="E1213" s="219" t="n"/>
    </row>
    <row r="1214" ht="13.2" customHeight="1" s="1127">
      <c r="E1214" s="219" t="n"/>
    </row>
    <row r="1215" ht="13.2" customHeight="1" s="1127">
      <c r="E1215" s="219" t="n"/>
    </row>
    <row r="1216" ht="13.2" customHeight="1" s="1127">
      <c r="E1216" s="219" t="n"/>
    </row>
    <row r="1217" ht="13.2" customHeight="1" s="1127">
      <c r="E1217" s="219" t="n"/>
    </row>
    <row r="1218" ht="13.2" customHeight="1" s="1127">
      <c r="E1218" s="219" t="n"/>
    </row>
    <row r="1219" ht="13.2" customHeight="1" s="1127">
      <c r="E1219" s="219" t="n"/>
    </row>
    <row r="1220" ht="13.2" customHeight="1" s="1127">
      <c r="E1220" s="219" t="n"/>
    </row>
    <row r="1221" ht="13.2" customHeight="1" s="1127">
      <c r="E1221" s="219" t="n"/>
    </row>
    <row r="1222" ht="13.2" customHeight="1" s="1127">
      <c r="E1222" s="219" t="n"/>
    </row>
    <row r="1223" ht="13.2" customHeight="1" s="1127">
      <c r="E1223" s="219" t="n"/>
    </row>
    <row r="1224" ht="13.2" customHeight="1" s="1127">
      <c r="E1224" s="219" t="n"/>
    </row>
    <row r="1225" ht="13.2" customHeight="1" s="1127">
      <c r="E1225" s="219" t="n"/>
    </row>
    <row r="1226" ht="13.2" customHeight="1" s="1127">
      <c r="E1226" s="219" t="n"/>
    </row>
    <row r="1227" ht="13.2" customHeight="1" s="1127">
      <c r="E1227" s="219" t="n"/>
    </row>
    <row r="1228" ht="13.2" customHeight="1" s="1127">
      <c r="E1228" s="219" t="n"/>
    </row>
    <row r="1229" ht="13.2" customHeight="1" s="1127">
      <c r="E1229" s="219" t="n"/>
    </row>
    <row r="1230" ht="13.2" customHeight="1" s="1127">
      <c r="E1230" s="219" t="n"/>
    </row>
    <row r="1231" ht="13.2" customHeight="1" s="1127">
      <c r="E1231" s="219" t="n"/>
    </row>
    <row r="1232" ht="13.2" customHeight="1" s="1127">
      <c r="E1232" s="219" t="n"/>
    </row>
    <row r="1233" ht="13.2" customHeight="1" s="1127">
      <c r="E1233" s="219" t="n"/>
    </row>
    <row r="1234" ht="13.2" customHeight="1" s="1127">
      <c r="E1234" s="219" t="n"/>
    </row>
    <row r="1235" ht="13.2" customHeight="1" s="1127">
      <c r="E1235" s="219" t="n"/>
    </row>
    <row r="1236" ht="13.2" customHeight="1" s="1127">
      <c r="E1236" s="219" t="n"/>
    </row>
    <row r="1237" ht="13.2" customHeight="1" s="1127">
      <c r="E1237" s="219" t="n"/>
    </row>
    <row r="1238" ht="13.2" customHeight="1" s="1127">
      <c r="E1238" s="219" t="n"/>
    </row>
    <row r="1239" ht="13.2" customHeight="1" s="1127">
      <c r="E1239" s="219" t="n"/>
    </row>
    <row r="1240" ht="13.2" customHeight="1" s="1127">
      <c r="E1240" s="219" t="n"/>
    </row>
    <row r="1241" ht="13.2" customHeight="1" s="1127">
      <c r="E1241" s="219" t="n"/>
    </row>
    <row r="1242" ht="13.2" customHeight="1" s="1127">
      <c r="E1242" s="219" t="n"/>
    </row>
    <row r="1243" ht="13.2" customHeight="1" s="1127">
      <c r="E1243" s="219" t="n"/>
    </row>
    <row r="1244" ht="13.2" customHeight="1" s="1127">
      <c r="E1244" s="219" t="n"/>
    </row>
    <row r="1245" ht="13.2" customHeight="1" s="1127">
      <c r="E1245" s="219" t="n"/>
    </row>
    <row r="1246" ht="13.2" customHeight="1" s="1127">
      <c r="E1246" s="219" t="n"/>
    </row>
    <row r="1247" ht="13.2" customHeight="1" s="1127">
      <c r="E1247" s="219" t="n"/>
    </row>
    <row r="1248" ht="13.2" customHeight="1" s="1127">
      <c r="E1248" s="219" t="n"/>
    </row>
    <row r="1249" ht="13.2" customHeight="1" s="1127">
      <c r="E1249" s="219" t="n"/>
    </row>
    <row r="1250" ht="13.2" customHeight="1" s="1127">
      <c r="E1250" s="219" t="n"/>
    </row>
    <row r="1251" ht="13.2" customHeight="1" s="1127">
      <c r="E1251" s="219" t="n"/>
    </row>
    <row r="1252" ht="13.2" customHeight="1" s="1127">
      <c r="E1252" s="219" t="n"/>
    </row>
    <row r="1253" ht="13.2" customHeight="1" s="1127">
      <c r="E1253" s="219" t="n"/>
    </row>
    <row r="1254" ht="13.2" customHeight="1" s="1127">
      <c r="E1254" s="219" t="n"/>
    </row>
    <row r="1255" ht="13.2" customHeight="1" s="1127">
      <c r="E1255" s="219" t="n"/>
    </row>
    <row r="1256" ht="13.2" customHeight="1" s="1127">
      <c r="E1256" s="219" t="n"/>
    </row>
    <row r="1257" ht="13.2" customHeight="1" s="1127">
      <c r="E1257" s="219" t="n"/>
    </row>
    <row r="1258" ht="13.2" customHeight="1" s="1127">
      <c r="E1258" s="219" t="n"/>
    </row>
    <row r="1259" ht="13.2" customHeight="1" s="1127">
      <c r="E1259" s="219" t="n"/>
    </row>
    <row r="1260" ht="13.2" customHeight="1" s="1127">
      <c r="E1260" s="219" t="n"/>
    </row>
    <row r="1261" ht="13.2" customHeight="1" s="1127">
      <c r="E1261" s="219" t="n"/>
    </row>
    <row r="1262" ht="13.2" customHeight="1" s="1127">
      <c r="E1262" s="219" t="n"/>
    </row>
    <row r="1263" ht="13.2" customHeight="1" s="1127">
      <c r="E1263" s="219" t="n"/>
    </row>
    <row r="1264" ht="13.2" customHeight="1" s="1127">
      <c r="E1264" s="219" t="n"/>
    </row>
    <row r="1265" ht="13.2" customHeight="1" s="1127">
      <c r="E1265" s="219" t="n"/>
    </row>
    <row r="1266" ht="13.2" customHeight="1" s="1127">
      <c r="E1266" s="219" t="n"/>
    </row>
    <row r="1267" ht="13.2" customHeight="1" s="1127">
      <c r="E1267" s="219" t="n"/>
    </row>
    <row r="1268" ht="13.2" customHeight="1" s="1127">
      <c r="E1268" s="219" t="n"/>
    </row>
    <row r="1269" ht="13.2" customHeight="1" s="1127">
      <c r="E1269" s="219" t="n"/>
    </row>
    <row r="1270" ht="13.2" customHeight="1" s="1127">
      <c r="E1270" s="219" t="n"/>
    </row>
    <row r="1271" ht="13.2" customHeight="1" s="1127">
      <c r="E1271" s="219" t="n"/>
    </row>
    <row r="1272" ht="13.2" customHeight="1" s="1127">
      <c r="E1272" s="219" t="n"/>
    </row>
    <row r="1273" ht="13.2" customHeight="1" s="1127">
      <c r="E1273" s="219" t="n"/>
    </row>
    <row r="1274" ht="13.2" customHeight="1" s="1127">
      <c r="E1274" s="219" t="n"/>
    </row>
    <row r="1275" ht="13.2" customHeight="1" s="1127">
      <c r="E1275" s="219" t="n"/>
    </row>
    <row r="1276" ht="13.2" customHeight="1" s="1127">
      <c r="E1276" s="219" t="n"/>
    </row>
    <row r="1277" ht="13.2" customHeight="1" s="1127">
      <c r="E1277" s="219" t="n"/>
    </row>
    <row r="1278" ht="13.2" customHeight="1" s="1127">
      <c r="E1278" s="219" t="n"/>
    </row>
    <row r="1279" ht="13.2" customHeight="1" s="1127">
      <c r="E1279" s="219" t="n"/>
    </row>
    <row r="1280" ht="13.2" customHeight="1" s="1127">
      <c r="E1280" s="219" t="n"/>
    </row>
    <row r="1281" ht="13.2" customHeight="1" s="1127">
      <c r="E1281" s="219" t="n"/>
    </row>
    <row r="1282" ht="13.2" customHeight="1" s="1127">
      <c r="E1282" s="219" t="n"/>
    </row>
    <row r="1283" ht="13.2" customHeight="1" s="1127">
      <c r="E1283" s="219" t="n"/>
    </row>
    <row r="1284" ht="13.2" customHeight="1" s="1127">
      <c r="E1284" s="219" t="n"/>
    </row>
    <row r="1285" ht="13.2" customHeight="1" s="1127">
      <c r="E1285" s="219" t="n"/>
    </row>
    <row r="1286" ht="13.2" customHeight="1" s="1127">
      <c r="E1286" s="219" t="n"/>
    </row>
    <row r="1287" ht="13.2" customHeight="1" s="1127">
      <c r="E1287" s="219" t="n"/>
    </row>
    <row r="1288" ht="13.2" customHeight="1" s="1127">
      <c r="E1288" s="219" t="n"/>
    </row>
    <row r="1289" ht="13.2" customHeight="1" s="1127">
      <c r="E1289" s="219" t="n"/>
    </row>
    <row r="1290" ht="13.2" customHeight="1" s="1127">
      <c r="E1290" s="219" t="n"/>
    </row>
    <row r="1291" ht="13.2" customHeight="1" s="1127">
      <c r="E1291" s="219" t="n"/>
    </row>
    <row r="1292" ht="13.2" customHeight="1" s="1127">
      <c r="E1292" s="219" t="n"/>
    </row>
    <row r="1293" ht="13.2" customHeight="1" s="1127">
      <c r="E1293" s="219" t="n"/>
    </row>
    <row r="1294" ht="13.2" customHeight="1" s="1127">
      <c r="E1294" s="219" t="n"/>
    </row>
    <row r="1295" ht="13.2" customHeight="1" s="1127">
      <c r="E1295" s="219" t="n"/>
    </row>
    <row r="1296" ht="13.2" customHeight="1" s="1127">
      <c r="E1296" s="219" t="n"/>
    </row>
    <row r="1297" ht="13.2" customHeight="1" s="1127">
      <c r="E1297" s="219" t="n"/>
    </row>
    <row r="1298" ht="13.2" customHeight="1" s="1127">
      <c r="E1298" s="219" t="n"/>
    </row>
    <row r="1299" ht="13.2" customHeight="1" s="1127">
      <c r="E1299" s="219" t="n"/>
    </row>
    <row r="1300" ht="13.2" customHeight="1" s="1127">
      <c r="E1300" s="219" t="n"/>
    </row>
    <row r="1301" ht="13.2" customHeight="1" s="1127">
      <c r="E1301" s="219" t="n"/>
    </row>
    <row r="1302" ht="13.2" customHeight="1" s="1127">
      <c r="E1302" s="219" t="n"/>
    </row>
    <row r="1303" ht="13.2" customHeight="1" s="1127">
      <c r="E1303" s="219" t="n"/>
    </row>
    <row r="1304" ht="13.2" customHeight="1" s="1127">
      <c r="E1304" s="219" t="n"/>
    </row>
    <row r="1305" ht="13.2" customHeight="1" s="1127">
      <c r="E1305" s="219" t="n"/>
    </row>
    <row r="1306" ht="13.2" customHeight="1" s="1127">
      <c r="E1306" s="219" t="n"/>
    </row>
    <row r="1307" ht="13.2" customHeight="1" s="1127">
      <c r="E1307" s="219" t="n"/>
    </row>
    <row r="1308" ht="13.2" customHeight="1" s="1127">
      <c r="E1308" s="219" t="n"/>
    </row>
    <row r="1309" ht="13.2" customHeight="1" s="1127">
      <c r="E1309" s="219" t="n"/>
    </row>
    <row r="1310" ht="13.2" customHeight="1" s="1127">
      <c r="E1310" s="219" t="n"/>
    </row>
    <row r="1311" ht="13.2" customHeight="1" s="1127">
      <c r="E1311" s="219" t="n"/>
    </row>
    <row r="1312" ht="13.2" customHeight="1" s="1127">
      <c r="E1312" s="219" t="n"/>
    </row>
    <row r="1313" ht="13.2" customHeight="1" s="1127">
      <c r="E1313" s="219" t="n"/>
    </row>
    <row r="1314" ht="13.2" customHeight="1" s="1127">
      <c r="E1314" s="219" t="n"/>
    </row>
    <row r="1315" ht="13.2" customHeight="1" s="1127">
      <c r="E1315" s="219" t="n"/>
    </row>
    <row r="1316" ht="13.2" customHeight="1" s="1127">
      <c r="E1316" s="219" t="n"/>
    </row>
    <row r="1317" ht="13.2" customHeight="1" s="1127">
      <c r="E1317" s="219" t="n"/>
    </row>
    <row r="1318" ht="13.2" customHeight="1" s="1127">
      <c r="E1318" s="219" t="n"/>
    </row>
    <row r="1319" ht="13.2" customHeight="1" s="1127">
      <c r="E1319" s="219" t="n"/>
    </row>
    <row r="1320" ht="13.2" customHeight="1" s="1127">
      <c r="E1320" s="219" t="n"/>
    </row>
    <row r="1321" ht="13.2" customHeight="1" s="1127">
      <c r="E1321" s="219" t="n"/>
    </row>
    <row r="1322" ht="13.2" customHeight="1" s="1127">
      <c r="E1322" s="219" t="n"/>
    </row>
    <row r="1323" ht="13.2" customHeight="1" s="1127">
      <c r="E1323" s="219" t="n"/>
    </row>
    <row r="1324" ht="13.2" customHeight="1" s="1127">
      <c r="E1324" s="219" t="n"/>
    </row>
    <row r="1325" ht="13.2" customHeight="1" s="1127">
      <c r="E1325" s="219" t="n"/>
    </row>
    <row r="1326" ht="13.2" customHeight="1" s="1127">
      <c r="E1326" s="219" t="n"/>
    </row>
    <row r="1327" ht="13.2" customHeight="1" s="1127">
      <c r="E1327" s="219" t="n"/>
    </row>
    <row r="1328" ht="13.2" customHeight="1" s="1127">
      <c r="E1328" s="219" t="n"/>
    </row>
    <row r="1329" ht="13.2" customHeight="1" s="1127">
      <c r="E1329" s="219" t="n"/>
    </row>
    <row r="1330" ht="13.2" customHeight="1" s="1127">
      <c r="E1330" s="219" t="n"/>
    </row>
    <row r="1331" ht="13.2" customHeight="1" s="1127">
      <c r="E1331" s="219" t="n"/>
    </row>
    <row r="1332" ht="13.2" customHeight="1" s="1127">
      <c r="E1332" s="219" t="n"/>
    </row>
    <row r="1333" ht="13.2" customHeight="1" s="1127">
      <c r="E1333" s="219" t="n"/>
    </row>
    <row r="1334" ht="13.2" customHeight="1" s="1127">
      <c r="E1334" s="219" t="n"/>
    </row>
    <row r="1335" ht="13.2" customHeight="1" s="1127">
      <c r="E1335" s="219" t="n"/>
    </row>
    <row r="1336" ht="13.2" customHeight="1" s="1127">
      <c r="E1336" s="219" t="n"/>
    </row>
    <row r="1337" ht="13.2" customHeight="1" s="1127">
      <c r="E1337" s="219" t="n"/>
    </row>
    <row r="1338" ht="13.2" customHeight="1" s="1127">
      <c r="E1338" s="219" t="n"/>
    </row>
    <row r="1339" ht="13.2" customHeight="1" s="1127">
      <c r="E1339" s="219" t="n"/>
    </row>
    <row r="1340" ht="13.2" customHeight="1" s="1127">
      <c r="E1340" s="219" t="n"/>
    </row>
    <row r="1341" ht="13.2" customHeight="1" s="1127">
      <c r="E1341" s="219" t="n"/>
    </row>
    <row r="1342" ht="13.2" customHeight="1" s="1127">
      <c r="E1342" s="219" t="n"/>
    </row>
    <row r="1343" ht="13.2" customHeight="1" s="1127">
      <c r="E1343" s="219" t="n"/>
    </row>
    <row r="1344" ht="13.2" customHeight="1" s="1127">
      <c r="E1344" s="219" t="n"/>
    </row>
    <row r="1345" ht="13.2" customHeight="1" s="1127">
      <c r="E1345" s="219" t="n"/>
    </row>
    <row r="1346" ht="13.2" customHeight="1" s="1127">
      <c r="E1346" s="219" t="n"/>
    </row>
    <row r="1347" ht="13.2" customHeight="1" s="1127">
      <c r="E1347" s="219" t="n"/>
    </row>
    <row r="1348" ht="13.2" customHeight="1" s="1127">
      <c r="E1348" s="219" t="n"/>
    </row>
    <row r="1349" ht="13.2" customHeight="1" s="1127">
      <c r="E1349" s="219" t="n"/>
    </row>
    <row r="1350" ht="13.2" customHeight="1" s="1127">
      <c r="E1350" s="219" t="n"/>
    </row>
    <row r="1351" ht="13.2" customHeight="1" s="1127">
      <c r="E1351" s="219" t="n"/>
    </row>
    <row r="1352" ht="13.2" customHeight="1" s="1127">
      <c r="E1352" s="219" t="n"/>
    </row>
    <row r="1353" ht="13.2" customHeight="1" s="1127">
      <c r="E1353" s="219" t="n"/>
    </row>
    <row r="1354" ht="13.2" customHeight="1" s="1127">
      <c r="E1354" s="219" t="n"/>
    </row>
    <row r="1355" ht="13.2" customHeight="1" s="1127">
      <c r="E1355" s="219" t="n"/>
    </row>
    <row r="1356" ht="13.2" customHeight="1" s="1127">
      <c r="E1356" s="219" t="n"/>
    </row>
    <row r="1357" ht="13.2" customHeight="1" s="1127">
      <c r="E1357" s="219" t="n"/>
    </row>
    <row r="1358" ht="13.2" customHeight="1" s="1127">
      <c r="E1358" s="219" t="n"/>
    </row>
    <row r="1359" ht="13.2" customHeight="1" s="1127">
      <c r="E1359" s="219" t="n"/>
    </row>
    <row r="1360" ht="13.2" customHeight="1" s="1127">
      <c r="E1360" s="219" t="n"/>
    </row>
    <row r="1361" ht="13.2" customHeight="1" s="1127">
      <c r="E1361" s="219" t="n"/>
    </row>
    <row r="1362" ht="13.2" customHeight="1" s="1127">
      <c r="E1362" s="219" t="n"/>
    </row>
    <row r="1363" ht="13.2" customHeight="1" s="1127">
      <c r="E1363" s="219" t="n"/>
    </row>
    <row r="1364" ht="13.2" customHeight="1" s="1127">
      <c r="E1364" s="219" t="n"/>
    </row>
    <row r="1365" ht="13.2" customHeight="1" s="1127">
      <c r="E1365" s="219" t="n"/>
    </row>
    <row r="1366" ht="13.2" customHeight="1" s="1127">
      <c r="E1366" s="219" t="n"/>
    </row>
    <row r="1367" ht="13.2" customHeight="1" s="1127">
      <c r="E1367" s="219" t="n"/>
    </row>
    <row r="1368" ht="13.2" customHeight="1" s="1127">
      <c r="E1368" s="219" t="n"/>
    </row>
    <row r="1369" ht="13.2" customHeight="1" s="1127">
      <c r="E1369" s="219" t="n"/>
    </row>
    <row r="1370" ht="13.2" customHeight="1" s="1127">
      <c r="E1370" s="219" t="n"/>
    </row>
    <row r="1371" ht="13.2" customHeight="1" s="1127">
      <c r="E1371" s="219" t="n"/>
    </row>
    <row r="1372" ht="13.2" customHeight="1" s="1127">
      <c r="E1372" s="219" t="n"/>
    </row>
    <row r="1373" ht="13.2" customHeight="1" s="1127">
      <c r="E1373" s="219" t="n"/>
    </row>
    <row r="1374" ht="13.2" customHeight="1" s="1127">
      <c r="E1374" s="219" t="n"/>
    </row>
    <row r="1375" ht="13.2" customHeight="1" s="1127">
      <c r="E1375" s="219" t="n"/>
    </row>
    <row r="1376" ht="13.2" customHeight="1" s="1127">
      <c r="E1376" s="219" t="n"/>
    </row>
    <row r="1377" ht="13.2" customHeight="1" s="1127">
      <c r="E1377" s="219" t="n"/>
    </row>
    <row r="1378" ht="13.2" customHeight="1" s="1127">
      <c r="E1378" s="219" t="n"/>
    </row>
    <row r="1379" ht="13.2" customHeight="1" s="1127">
      <c r="E1379" s="219" t="n"/>
    </row>
    <row r="1380" ht="13.2" customHeight="1" s="1127">
      <c r="E1380" s="219" t="n"/>
    </row>
    <row r="1381" ht="13.2" customHeight="1" s="1127">
      <c r="E1381" s="219" t="n"/>
    </row>
    <row r="1382" ht="13.2" customHeight="1" s="1127">
      <c r="E1382" s="219" t="n"/>
    </row>
    <row r="1383" ht="13.2" customHeight="1" s="1127">
      <c r="E1383" s="219" t="n"/>
    </row>
    <row r="1384" ht="13.2" customHeight="1" s="1127">
      <c r="E1384" s="219" t="n"/>
    </row>
    <row r="1385" ht="13.2" customHeight="1" s="1127">
      <c r="E1385" s="219" t="n"/>
    </row>
    <row r="1386" ht="13.2" customHeight="1" s="1127">
      <c r="E1386" s="219" t="n"/>
    </row>
    <row r="1387" ht="13.2" customHeight="1" s="1127">
      <c r="E1387" s="219" t="n"/>
    </row>
    <row r="1388" ht="13.2" customHeight="1" s="1127">
      <c r="E1388" s="219" t="n"/>
    </row>
    <row r="1389" ht="13.2" customHeight="1" s="1127">
      <c r="E1389" s="219" t="n"/>
    </row>
    <row r="1390" ht="13.2" customHeight="1" s="1127">
      <c r="E1390" s="219" t="n"/>
    </row>
    <row r="1391" ht="13.2" customHeight="1" s="1127">
      <c r="E1391" s="219" t="n"/>
    </row>
    <row r="1392" ht="13.2" customHeight="1" s="1127">
      <c r="E1392" s="219" t="n"/>
    </row>
    <row r="1393" ht="13.2" customHeight="1" s="1127">
      <c r="E1393" s="219" t="n"/>
    </row>
    <row r="1394" ht="13.2" customHeight="1" s="1127">
      <c r="E1394" s="219" t="n"/>
    </row>
    <row r="1395" ht="13.2" customHeight="1" s="1127">
      <c r="E1395" s="219" t="n"/>
    </row>
    <row r="1396" ht="13.2" customHeight="1" s="1127">
      <c r="E1396" s="219" t="n"/>
    </row>
    <row r="1397" ht="13.2" customHeight="1" s="1127">
      <c r="E1397" s="219" t="n"/>
    </row>
    <row r="1398" ht="13.2" customHeight="1" s="1127">
      <c r="E1398" s="219" t="n"/>
    </row>
    <row r="1399" ht="13.2" customHeight="1" s="1127">
      <c r="E1399" s="219" t="n"/>
    </row>
    <row r="1400" ht="13.2" customHeight="1" s="1127">
      <c r="E1400" s="219" t="n"/>
    </row>
    <row r="1401" ht="13.2" customHeight="1" s="1127">
      <c r="E1401" s="219" t="n"/>
    </row>
    <row r="1402" ht="13.2" customHeight="1" s="1127">
      <c r="E1402" s="219" t="n"/>
    </row>
    <row r="1403" ht="13.2" customHeight="1" s="1127">
      <c r="E1403" s="219" t="n"/>
    </row>
    <row r="1404" ht="13.2" customHeight="1" s="1127">
      <c r="E1404" s="219" t="n"/>
    </row>
    <row r="1405" ht="13.2" customHeight="1" s="1127">
      <c r="E1405" s="219" t="n"/>
    </row>
    <row r="1406" ht="13.2" customHeight="1" s="1127">
      <c r="E1406" s="219" t="n"/>
    </row>
    <row r="1407" ht="13.2" customHeight="1" s="1127">
      <c r="E1407" s="219" t="n"/>
    </row>
    <row r="1408" ht="13.2" customHeight="1" s="1127">
      <c r="E1408" s="219" t="n"/>
    </row>
    <row r="1409" ht="13.2" customHeight="1" s="1127">
      <c r="E1409" s="219" t="n"/>
    </row>
    <row r="1410" ht="13.2" customHeight="1" s="1127">
      <c r="E1410" s="219" t="n"/>
    </row>
    <row r="1411" ht="13.2" customHeight="1" s="1127">
      <c r="E1411" s="219" t="n"/>
    </row>
    <row r="1412" ht="13.2" customHeight="1" s="1127">
      <c r="E1412" s="219" t="n"/>
    </row>
    <row r="1413" ht="13.2" customHeight="1" s="1127">
      <c r="E1413" s="219" t="n"/>
    </row>
    <row r="1414" ht="13.2" customHeight="1" s="1127">
      <c r="E1414" s="219" t="n"/>
    </row>
    <row r="1415" ht="13.2" customHeight="1" s="1127">
      <c r="E1415" s="219" t="n"/>
    </row>
    <row r="1416" ht="13.2" customHeight="1" s="1127">
      <c r="E1416" s="219" t="n"/>
    </row>
    <row r="1417" ht="13.2" customHeight="1" s="1127">
      <c r="E1417" s="219" t="n"/>
    </row>
    <row r="1418" ht="13.2" customHeight="1" s="1127">
      <c r="E1418" s="219" t="n"/>
    </row>
    <row r="1419" ht="13.2" customHeight="1" s="1127">
      <c r="E1419" s="219" t="n"/>
    </row>
    <row r="1420" ht="13.2" customHeight="1" s="1127">
      <c r="E1420" s="219" t="n"/>
    </row>
    <row r="1421" ht="13.2" customHeight="1" s="1127">
      <c r="E1421" s="219" t="n"/>
    </row>
    <row r="1422" ht="13.2" customHeight="1" s="1127">
      <c r="E1422" s="219" t="n"/>
    </row>
    <row r="1423" ht="13.2" customHeight="1" s="1127">
      <c r="E1423" s="219" t="n"/>
    </row>
    <row r="1424" ht="13.2" customHeight="1" s="1127">
      <c r="E1424" s="219" t="n"/>
    </row>
    <row r="1425" ht="13.2" customHeight="1" s="1127">
      <c r="E1425" s="219" t="n"/>
    </row>
    <row r="1426" ht="13.2" customHeight="1" s="1127">
      <c r="E1426" s="219" t="n"/>
    </row>
    <row r="1427" ht="13.2" customHeight="1" s="1127">
      <c r="E1427" s="219" t="n"/>
    </row>
    <row r="1428" ht="13.2" customHeight="1" s="1127">
      <c r="E1428" s="219" t="n"/>
    </row>
    <row r="1429" ht="13.2" customHeight="1" s="1127">
      <c r="E1429" s="219" t="n"/>
    </row>
    <row r="1430" ht="13.2" customHeight="1" s="1127">
      <c r="E1430" s="219" t="n"/>
    </row>
    <row r="1431" ht="13.2" customHeight="1" s="1127">
      <c r="E1431" s="219" t="n"/>
    </row>
    <row r="1432" ht="13.2" customHeight="1" s="1127">
      <c r="E1432" s="219" t="n"/>
    </row>
    <row r="1433" ht="13.2" customHeight="1" s="1127">
      <c r="E1433" s="219" t="n"/>
    </row>
    <row r="1434" ht="13.2" customHeight="1" s="1127">
      <c r="E1434" s="219" t="n"/>
    </row>
    <row r="1435" ht="13.2" customHeight="1" s="1127">
      <c r="E1435" s="219" t="n"/>
    </row>
    <row r="1436" ht="13.2" customHeight="1" s="1127">
      <c r="E1436" s="219" t="n"/>
    </row>
    <row r="1437" ht="13.2" customHeight="1" s="1127">
      <c r="E1437" s="219" t="n"/>
    </row>
    <row r="1438" ht="13.2" customHeight="1" s="1127">
      <c r="E1438" s="219" t="n"/>
    </row>
    <row r="1439" ht="13.2" customHeight="1" s="1127">
      <c r="E1439" s="219" t="n"/>
    </row>
    <row r="1440" ht="13.2" customHeight="1" s="1127">
      <c r="E1440" s="219" t="n"/>
    </row>
    <row r="1441" ht="13.2" customHeight="1" s="1127">
      <c r="E1441" s="219" t="n"/>
    </row>
    <row r="1442" ht="13.2" customHeight="1" s="1127">
      <c r="E1442" s="219" t="n"/>
    </row>
    <row r="1443" ht="13.2" customHeight="1" s="1127">
      <c r="E1443" s="219" t="n"/>
    </row>
    <row r="1444" ht="13.2" customHeight="1" s="1127">
      <c r="E1444" s="219" t="n"/>
    </row>
    <row r="1445" ht="13.2" customHeight="1" s="1127">
      <c r="E1445" s="219" t="n"/>
    </row>
    <row r="1446" ht="13.2" customHeight="1" s="1127">
      <c r="E1446" s="219" t="n"/>
    </row>
    <row r="1447" ht="13.2" customHeight="1" s="1127">
      <c r="E1447" s="219" t="n"/>
    </row>
    <row r="1448" ht="13.2" customHeight="1" s="1127">
      <c r="E1448" s="219" t="n"/>
    </row>
  </sheetData>
  <autoFilter ref="A125:Z444"/>
  <mergeCells count="2">
    <mergeCell ref="H2:L2"/>
    <mergeCell ref="B123:F123"/>
  </mergeCells>
  <dataValidations count="2">
    <dataValidation sqref="F452:F495 F497:F567 F569:F576 F578:F589 F591:F593 F595:F610 F612:F622 F624:F628 F630:F632 F634:F644 F646:F649 F651:F665 F667:F670 F672:F682 F684 F686:F697 F699:F702 F704:F734 F736 F738:F757 F759 F761:F762 F764:F780 F783 F785:F794 F796:F809 F811:F812 F814:F831 F833 F835 F837:F843 F845:F853 F855:F863 F865:F870 F872:F877 F879:F880 F882:F892 F894:F895 F897:F898 F900:F914 F916:F918 F920 F922:F923 F925:F934 F936:F950 F952:F954 F956:F967 F969 F971:F984 F986:F989 F991:F1001 F1003:F1010 F1012:F1018 F1020:F1026 F1028:F1034 F1036:F1059 F1061:F1141" showDropDown="0" showInputMessage="0" showErrorMessage="1" allowBlank="1" type="list">
      <formula1>"Не срочно,Срочно,Оплатить надо,Приоритет к оплате,Оплачено ,Не оплачено"</formula1>
    </dataValidation>
    <dataValidation sqref="F126:F444" showDropDown="0" showInputMessage="0" showErrorMessage="1" allowBlank="1" type="list">
      <formula1>"К оплате,Выплачено,Отложено,Приоритет к оплате"</formula1>
    </dataValidation>
  </dataValidations>
  <hyperlinks>
    <hyperlink xmlns:r="http://schemas.openxmlformats.org/officeDocument/2006/relationships" ref="C501" r:id="rId1"/>
    <hyperlink xmlns:r="http://schemas.openxmlformats.org/officeDocument/2006/relationships" ref="C541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E99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640625" defaultRowHeight="15.75" customHeight="1"/>
  <cols>
    <col width="20.33203125" customWidth="1" style="1127" min="1" max="1"/>
    <col outlineLevel="2" width="12.6640625" customWidth="1" style="1127" min="3" max="7"/>
    <col outlineLevel="1" width="12.6640625" customWidth="1" style="1127" min="8" max="28"/>
  </cols>
  <sheetData>
    <row r="1">
      <c r="A1" s="773" t="n"/>
      <c r="B1" s="773" t="n"/>
      <c r="C1" s="579" t="n">
        <v>46202</v>
      </c>
      <c r="D1" s="579" t="n">
        <v>46203</v>
      </c>
      <c r="E1" s="579" t="n">
        <v>46204</v>
      </c>
      <c r="F1" s="579" t="n">
        <v>46205</v>
      </c>
      <c r="G1" s="579" t="n">
        <v>46206</v>
      </c>
      <c r="H1" s="580" t="inlineStr">
        <is>
          <t>1неделя</t>
        </is>
      </c>
      <c r="I1" s="579" t="n">
        <v>46209</v>
      </c>
      <c r="J1" s="579" t="n">
        <v>46210</v>
      </c>
      <c r="K1" s="579" t="n">
        <v>46211</v>
      </c>
      <c r="L1" s="579" t="n">
        <v>46212</v>
      </c>
      <c r="M1" s="579" t="n">
        <v>46213</v>
      </c>
      <c r="N1" s="579" t="n">
        <v>46216</v>
      </c>
      <c r="O1" s="579" t="n">
        <v>46217</v>
      </c>
      <c r="P1" s="579" t="n">
        <v>46218</v>
      </c>
      <c r="Q1" s="579" t="n">
        <v>46219</v>
      </c>
      <c r="R1" s="579" t="n">
        <v>46220</v>
      </c>
      <c r="S1" s="579" t="n">
        <v>46223</v>
      </c>
      <c r="T1" s="579" t="n">
        <v>46224</v>
      </c>
      <c r="U1" s="579" t="n">
        <v>46225</v>
      </c>
      <c r="V1" s="579" t="n">
        <v>46226</v>
      </c>
      <c r="W1" s="579" t="n">
        <v>46227</v>
      </c>
      <c r="X1" s="579" t="n">
        <v>46230</v>
      </c>
      <c r="Y1" s="579" t="n">
        <v>46231</v>
      </c>
      <c r="Z1" s="579" t="n">
        <v>46232</v>
      </c>
      <c r="AA1" s="579" t="n">
        <v>46233</v>
      </c>
      <c r="AB1" s="579" t="n">
        <v>46234</v>
      </c>
      <c r="AC1" s="581" t="n"/>
      <c r="AD1" s="582" t="n"/>
      <c r="AE1" s="583" t="n"/>
    </row>
    <row r="2">
      <c r="A2" s="584" t="n"/>
      <c r="B2" s="584" t="n"/>
      <c r="C2" s="585" t="inlineStr">
        <is>
          <t>понедельник</t>
        </is>
      </c>
      <c r="D2" s="586" t="inlineStr">
        <is>
          <t>вторник</t>
        </is>
      </c>
      <c r="E2" s="585" t="inlineStr">
        <is>
          <t>среда</t>
        </is>
      </c>
      <c r="F2" s="586" t="inlineStr">
        <is>
          <t>четверг</t>
        </is>
      </c>
      <c r="G2" s="586" t="inlineStr">
        <is>
          <t>пятница</t>
        </is>
      </c>
      <c r="H2" s="586" t="n"/>
      <c r="I2" s="585" t="inlineStr">
        <is>
          <t>понедельник</t>
        </is>
      </c>
      <c r="J2" s="586" t="inlineStr">
        <is>
          <t>вторник</t>
        </is>
      </c>
      <c r="K2" s="586" t="inlineStr">
        <is>
          <t>среда</t>
        </is>
      </c>
      <c r="L2" s="586" t="inlineStr">
        <is>
          <t>четверг</t>
        </is>
      </c>
      <c r="M2" s="586" t="inlineStr">
        <is>
          <t>пятница</t>
        </is>
      </c>
      <c r="N2" s="586" t="inlineStr">
        <is>
          <t>понедельник</t>
        </is>
      </c>
      <c r="O2" s="586" t="inlineStr">
        <is>
          <t>вторник</t>
        </is>
      </c>
      <c r="P2" s="586" t="inlineStr">
        <is>
          <t>среда</t>
        </is>
      </c>
      <c r="Q2" s="586" t="inlineStr">
        <is>
          <t>четверг</t>
        </is>
      </c>
      <c r="R2" s="586" t="inlineStr">
        <is>
          <t>пятница</t>
        </is>
      </c>
      <c r="S2" s="585" t="inlineStr">
        <is>
          <t>понедельник</t>
        </is>
      </c>
      <c r="T2" s="586" t="inlineStr">
        <is>
          <t>вторник</t>
        </is>
      </c>
      <c r="U2" s="586" t="inlineStr">
        <is>
          <t>среда</t>
        </is>
      </c>
      <c r="V2" s="586" t="inlineStr">
        <is>
          <t>четверг</t>
        </is>
      </c>
      <c r="W2" s="586" t="inlineStr">
        <is>
          <t>пятница</t>
        </is>
      </c>
      <c r="X2" s="585" t="inlineStr">
        <is>
          <t>понедельник</t>
        </is>
      </c>
      <c r="Y2" s="586" t="inlineStr">
        <is>
          <t>вторник</t>
        </is>
      </c>
      <c r="Z2" s="586" t="inlineStr">
        <is>
          <t>среда</t>
        </is>
      </c>
      <c r="AA2" s="586" t="inlineStr">
        <is>
          <t>четверг</t>
        </is>
      </c>
      <c r="AB2" s="586" t="inlineStr">
        <is>
          <t>пятница</t>
        </is>
      </c>
      <c r="AC2" s="587" t="inlineStr">
        <is>
          <t>прирост 18% к факту апреля</t>
        </is>
      </c>
      <c r="AD2" s="588" t="n"/>
      <c r="AE2" s="589" t="n"/>
    </row>
    <row r="3">
      <c r="A3" s="590" t="n"/>
      <c r="B3" s="591" t="n"/>
      <c r="C3" s="579" t="n">
        <v>46202</v>
      </c>
      <c r="D3" s="579" t="n">
        <v>46203</v>
      </c>
      <c r="E3" s="579">
        <f>E1</f>
        <v/>
      </c>
      <c r="F3" s="579">
        <f>F1</f>
        <v/>
      </c>
      <c r="G3" s="579">
        <f>G1</f>
        <v/>
      </c>
      <c r="H3" s="579" t="n"/>
      <c r="I3" s="579">
        <f>I1</f>
        <v/>
      </c>
      <c r="J3" s="579">
        <f>J1</f>
        <v/>
      </c>
      <c r="K3" s="579">
        <f>K1</f>
        <v/>
      </c>
      <c r="L3" s="579">
        <f>L1</f>
        <v/>
      </c>
      <c r="M3" s="579">
        <f>M1</f>
        <v/>
      </c>
      <c r="N3" s="579">
        <f>N1</f>
        <v/>
      </c>
      <c r="O3" s="579">
        <f>O1</f>
        <v/>
      </c>
      <c r="P3" s="579">
        <f>P1</f>
        <v/>
      </c>
      <c r="Q3" s="579">
        <f>Q1</f>
        <v/>
      </c>
      <c r="R3" s="579">
        <f>R1</f>
        <v/>
      </c>
      <c r="S3" s="579">
        <f>S1</f>
        <v/>
      </c>
      <c r="T3" s="579">
        <f>T1</f>
        <v/>
      </c>
      <c r="U3" s="579">
        <f>U1</f>
        <v/>
      </c>
      <c r="V3" s="579">
        <f>V1</f>
        <v/>
      </c>
      <c r="W3" s="579">
        <f>W1</f>
        <v/>
      </c>
      <c r="X3" s="579">
        <f>X1</f>
        <v/>
      </c>
      <c r="Y3" s="579">
        <f>Y1</f>
        <v/>
      </c>
      <c r="Z3" s="579">
        <f>Z1</f>
        <v/>
      </c>
      <c r="AA3" s="579">
        <f>AA1</f>
        <v/>
      </c>
      <c r="AB3" s="579">
        <f>AB1</f>
        <v/>
      </c>
      <c r="AC3" s="1212" t="inlineStr">
        <is>
          <t xml:space="preserve">Итого план </t>
        </is>
      </c>
      <c r="AD3" s="1213" t="inlineStr">
        <is>
          <t xml:space="preserve">Итого факт </t>
        </is>
      </c>
      <c r="AE3" s="1214" t="inlineStr">
        <is>
          <t>Отклонение</t>
        </is>
      </c>
    </row>
    <row r="4">
      <c r="A4" s="590" t="n"/>
      <c r="B4" s="591" t="n"/>
      <c r="C4" s="951" t="inlineStr">
        <is>
          <t>План</t>
        </is>
      </c>
      <c r="D4" s="951" t="inlineStr">
        <is>
          <t>План</t>
        </is>
      </c>
      <c r="E4" s="951" t="inlineStr">
        <is>
          <t>План</t>
        </is>
      </c>
      <c r="F4" s="951" t="inlineStr">
        <is>
          <t>План</t>
        </is>
      </c>
      <c r="G4" s="951" t="inlineStr">
        <is>
          <t>План</t>
        </is>
      </c>
      <c r="H4" s="593" t="n"/>
      <c r="I4" s="593" t="inlineStr">
        <is>
          <t>План</t>
        </is>
      </c>
      <c r="J4" s="593" t="inlineStr">
        <is>
          <t>План</t>
        </is>
      </c>
      <c r="K4" s="593" t="inlineStr">
        <is>
          <t>План</t>
        </is>
      </c>
      <c r="L4" s="593" t="inlineStr">
        <is>
          <t>План</t>
        </is>
      </c>
      <c r="M4" s="593" t="inlineStr">
        <is>
          <t>План</t>
        </is>
      </c>
      <c r="N4" s="593" t="inlineStr">
        <is>
          <t>План</t>
        </is>
      </c>
      <c r="O4" s="593" t="inlineStr">
        <is>
          <t>План</t>
        </is>
      </c>
      <c r="P4" s="593" t="inlineStr">
        <is>
          <t>План</t>
        </is>
      </c>
      <c r="Q4" s="593" t="inlineStr">
        <is>
          <t>План</t>
        </is>
      </c>
      <c r="R4" s="593" t="inlineStr">
        <is>
          <t>План</t>
        </is>
      </c>
      <c r="S4" s="594" t="n"/>
      <c r="T4" s="594" t="n"/>
      <c r="U4" s="594" t="n"/>
      <c r="V4" s="594" t="n"/>
      <c r="W4" s="594" t="n"/>
      <c r="X4" s="594" t="n"/>
      <c r="Y4" s="594" t="n"/>
      <c r="Z4" s="594" t="n"/>
      <c r="AA4" s="783">
        <f>Z80</f>
        <v/>
      </c>
      <c r="AB4" s="783">
        <f>AA80</f>
        <v/>
      </c>
      <c r="AC4" s="1215" t="n"/>
      <c r="AD4" s="1216" t="n"/>
      <c r="AE4" s="1217" t="n"/>
    </row>
    <row r="5">
      <c r="A5" s="596" t="inlineStr">
        <is>
          <t>Остаток на начало по Банку</t>
        </is>
      </c>
      <c r="B5" s="597" t="n"/>
      <c r="C5" s="599" t="n">
        <v>5000000</v>
      </c>
      <c r="D5" s="599">
        <f>C81</f>
        <v/>
      </c>
      <c r="E5" s="599">
        <f>D81</f>
        <v/>
      </c>
      <c r="F5" s="599">
        <f>E81</f>
        <v/>
      </c>
      <c r="G5" s="599">
        <f>F81</f>
        <v/>
      </c>
      <c r="H5" s="783">
        <f>G5</f>
        <v/>
      </c>
      <c r="I5" s="783">
        <f>G81</f>
        <v/>
      </c>
      <c r="J5" s="783">
        <f>I81</f>
        <v/>
      </c>
      <c r="K5" s="783">
        <f>J81</f>
        <v/>
      </c>
      <c r="L5" s="783">
        <f>K81</f>
        <v/>
      </c>
      <c r="M5" s="783">
        <f>L81</f>
        <v/>
      </c>
      <c r="N5" s="783">
        <f>M81</f>
        <v/>
      </c>
      <c r="O5" s="783">
        <f>N81</f>
        <v/>
      </c>
      <c r="P5" s="783">
        <f>O81</f>
        <v/>
      </c>
      <c r="Q5" s="783">
        <f>P81</f>
        <v/>
      </c>
      <c r="R5" s="783">
        <f>Q81</f>
        <v/>
      </c>
      <c r="S5" s="783">
        <f>R81</f>
        <v/>
      </c>
      <c r="T5" s="783">
        <f>S81</f>
        <v/>
      </c>
      <c r="U5" s="783">
        <f>T81</f>
        <v/>
      </c>
      <c r="V5" s="783">
        <f>U81</f>
        <v/>
      </c>
      <c r="W5" s="783">
        <f>V81</f>
        <v/>
      </c>
      <c r="X5" s="783">
        <f>W81</f>
        <v/>
      </c>
      <c r="Y5" s="783">
        <f>X81</f>
        <v/>
      </c>
      <c r="Z5" s="783">
        <f>Y81</f>
        <v/>
      </c>
      <c r="AA5" s="783">
        <f>Z81</f>
        <v/>
      </c>
      <c r="AB5" s="783">
        <f>AA81</f>
        <v/>
      </c>
      <c r="AC5" s="600">
        <f>#REF!</f>
        <v/>
      </c>
      <c r="AD5" s="601">
        <f>AC5</f>
        <v/>
      </c>
      <c r="AE5" s="602">
        <f>AD5-AC5</f>
        <v/>
      </c>
    </row>
    <row r="6">
      <c r="A6" s="603" t="inlineStr">
        <is>
          <t>Остаток на начало по Кассе</t>
        </is>
      </c>
      <c r="B6" s="597" t="n"/>
      <c r="C6" s="599" t="n">
        <v>5000000</v>
      </c>
      <c r="D6" s="599">
        <f>C82</f>
        <v/>
      </c>
      <c r="E6" s="599">
        <f>D82</f>
        <v/>
      </c>
      <c r="F6" s="599">
        <f>E82</f>
        <v/>
      </c>
      <c r="G6" s="599">
        <f>F82</f>
        <v/>
      </c>
      <c r="H6" s="783">
        <f>G6</f>
        <v/>
      </c>
      <c r="I6" s="783">
        <f>G82</f>
        <v/>
      </c>
      <c r="J6" s="783">
        <f>I82</f>
        <v/>
      </c>
      <c r="K6" s="783">
        <f>J82</f>
        <v/>
      </c>
      <c r="L6" s="783">
        <f>K82</f>
        <v/>
      </c>
      <c r="M6" s="783">
        <f>L82</f>
        <v/>
      </c>
      <c r="N6" s="783">
        <f>M82</f>
        <v/>
      </c>
      <c r="O6" s="783">
        <f>N82</f>
        <v/>
      </c>
      <c r="P6" s="783">
        <f>O82</f>
        <v/>
      </c>
      <c r="Q6" s="783">
        <f>P82</f>
        <v/>
      </c>
      <c r="R6" s="783">
        <f>Q82</f>
        <v/>
      </c>
      <c r="S6" s="783">
        <f>R82</f>
        <v/>
      </c>
      <c r="T6" s="783">
        <f>S82</f>
        <v/>
      </c>
      <c r="U6" s="783">
        <f>T82</f>
        <v/>
      </c>
      <c r="V6" s="783">
        <f>U82</f>
        <v/>
      </c>
      <c r="W6" s="783">
        <f>V82</f>
        <v/>
      </c>
      <c r="X6" s="783">
        <f>W82</f>
        <v/>
      </c>
      <c r="Y6" s="783">
        <f>X82</f>
        <v/>
      </c>
      <c r="Z6" s="783">
        <f>Y82</f>
        <v/>
      </c>
      <c r="AA6" s="783">
        <f>Z82</f>
        <v/>
      </c>
      <c r="AB6" s="783">
        <f>AA82</f>
        <v/>
      </c>
      <c r="AC6" s="600">
        <f>#REF!</f>
        <v/>
      </c>
      <c r="AD6" s="601">
        <f>AC6</f>
        <v/>
      </c>
      <c r="AE6" s="602">
        <f>AD6-AC6</f>
        <v/>
      </c>
    </row>
    <row r="7">
      <c r="A7" s="591" t="inlineStr">
        <is>
          <t>Прочие</t>
        </is>
      </c>
      <c r="B7" s="604" t="inlineStr">
        <is>
          <t>Приход</t>
        </is>
      </c>
      <c r="C7" s="966" t="n">
        <v>1000000</v>
      </c>
      <c r="D7" s="966" t="n"/>
      <c r="E7" s="966" t="n">
        <v>1000000</v>
      </c>
      <c r="F7" s="966" t="n"/>
      <c r="G7" s="966" t="n">
        <v>1000000</v>
      </c>
      <c r="H7" s="615">
        <f>C7+D7+E7+F7+G7</f>
        <v/>
      </c>
      <c r="I7" s="615" t="n">
        <v>1000000</v>
      </c>
      <c r="J7" s="615" t="n"/>
      <c r="K7" s="615" t="n">
        <v>1000000</v>
      </c>
      <c r="L7" s="615" t="n"/>
      <c r="M7" s="615" t="n">
        <v>1000000</v>
      </c>
      <c r="N7" s="615" t="n">
        <v>1000000</v>
      </c>
      <c r="O7" s="615" t="n"/>
      <c r="P7" s="615" t="n">
        <v>1000000</v>
      </c>
      <c r="Q7" s="615" t="n"/>
      <c r="R7" s="615" t="n">
        <v>1000000</v>
      </c>
      <c r="S7" s="615" t="n">
        <v>1000000</v>
      </c>
      <c r="T7" s="615" t="n"/>
      <c r="U7" s="615" t="n">
        <v>1000000</v>
      </c>
      <c r="V7" s="615" t="n"/>
      <c r="W7" s="615" t="n">
        <v>1000000</v>
      </c>
      <c r="X7" s="615" t="n">
        <v>1000000</v>
      </c>
      <c r="Y7" s="615" t="n"/>
      <c r="Z7" s="615" t="n">
        <v>1000000</v>
      </c>
      <c r="AA7" s="615" t="n">
        <v>1000000</v>
      </c>
      <c r="AB7" s="607" t="n"/>
      <c r="AC7" s="608">
        <f>C7+D7+E7+F7+G7+I7+J7+K7+L7+M7+N7+O7+P7+Q7+R7+S7+T7+U7+V7+W7+X7+Y7+Z7</f>
        <v/>
      </c>
      <c r="AD7" s="608">
        <f>#REF!+#REF!+#REF!+#REF!+#REF!+#REF!+#REF!+#REF!+#REF!+#REF!+#REF!+#REF!+#REF!+#REF!+#REF!+#REF!+#REF!+#REF!+#REF!+#REF!+#REF!</f>
        <v/>
      </c>
      <c r="AE7" s="602">
        <f>AC7-AD7</f>
        <v/>
      </c>
    </row>
    <row r="8">
      <c r="A8" s="591" t="inlineStr">
        <is>
          <t>Б1, Б2, Б5</t>
        </is>
      </c>
      <c r="B8" s="604" t="inlineStr">
        <is>
          <t>Приход</t>
        </is>
      </c>
      <c r="C8" s="977" t="n"/>
      <c r="D8" s="966" t="n">
        <v>1000000</v>
      </c>
      <c r="E8" s="966" t="n">
        <v>1000000</v>
      </c>
      <c r="F8" s="966" t="n">
        <v>1000000</v>
      </c>
      <c r="G8" s="966" t="n">
        <v>1000000</v>
      </c>
      <c r="H8" s="615">
        <f>C8+D8+E8+F8+G8</f>
        <v/>
      </c>
      <c r="I8" s="680" t="n"/>
      <c r="J8" s="615" t="n">
        <v>1000000</v>
      </c>
      <c r="K8" s="680" t="n"/>
      <c r="L8" s="615" t="n">
        <v>1000000</v>
      </c>
      <c r="M8" s="615" t="n">
        <v>1000000</v>
      </c>
      <c r="N8" s="680" t="n"/>
      <c r="O8" s="615" t="n">
        <v>1000000</v>
      </c>
      <c r="P8" s="680" t="n"/>
      <c r="Q8" s="615" t="n">
        <v>1000000</v>
      </c>
      <c r="R8" s="615" t="n">
        <v>1000000</v>
      </c>
      <c r="S8" s="680" t="n"/>
      <c r="T8" s="615" t="n">
        <v>1000000</v>
      </c>
      <c r="U8" s="615" t="n">
        <v>1000000</v>
      </c>
      <c r="V8" s="615" t="n">
        <v>1000000</v>
      </c>
      <c r="W8" s="607" t="n"/>
      <c r="X8" s="680" t="n"/>
      <c r="Y8" s="615" t="n">
        <v>1000000</v>
      </c>
      <c r="Z8" s="615" t="n">
        <v>1000000</v>
      </c>
      <c r="AA8" s="615" t="n">
        <v>10000000</v>
      </c>
      <c r="AB8" s="680" t="n"/>
      <c r="AC8" s="608">
        <f>C8+D8+E8+F8+G8+I8+J8+K8+L8+M8+N8+O8+P8+Q8+R8+S8+T8+U8+V8+W8+X8+Y8+Z8</f>
        <v/>
      </c>
      <c r="AD8" s="608">
        <f>#REF!+#REF!+#REF!+#REF!+#REF!+#REF!+#REF!+#REF!+#REF!+#REF!+#REF!+#REF!+#REF!+#REF!+#REF!+#REF!+#REF!+#REF!+#REF!+#REF!+#REF!</f>
        <v/>
      </c>
      <c r="AE8" s="602">
        <f>AC8-AD8</f>
        <v/>
      </c>
    </row>
    <row r="9">
      <c r="A9" s="591" t="inlineStr">
        <is>
          <t>Яндекс</t>
        </is>
      </c>
      <c r="B9" s="604" t="inlineStr">
        <is>
          <t>Приход</t>
        </is>
      </c>
      <c r="C9" s="977" t="n"/>
      <c r="D9" s="966" t="n">
        <v>6000000</v>
      </c>
      <c r="E9" s="977" t="n"/>
      <c r="F9" s="966" t="n">
        <v>8000000</v>
      </c>
      <c r="G9" s="977" t="n"/>
      <c r="H9" s="615">
        <f>C9+D9+E9+F9+G9</f>
        <v/>
      </c>
      <c r="I9" s="680" t="n"/>
      <c r="J9" s="615" t="n">
        <v>6000000</v>
      </c>
      <c r="K9" s="680" t="n"/>
      <c r="L9" s="615" t="n">
        <v>10000000</v>
      </c>
      <c r="M9" s="680" t="n"/>
      <c r="N9" s="680" t="n"/>
      <c r="O9" s="615" t="n">
        <v>6000000</v>
      </c>
      <c r="P9" s="680" t="n"/>
      <c r="Q9" s="615" t="n">
        <v>10000000</v>
      </c>
      <c r="R9" s="680" t="n"/>
      <c r="S9" s="680" t="n"/>
      <c r="T9" s="615" t="n">
        <v>9000000</v>
      </c>
      <c r="U9" s="680" t="n"/>
      <c r="V9" s="615" t="n">
        <v>10000000</v>
      </c>
      <c r="W9" s="680" t="n"/>
      <c r="X9" s="680" t="n"/>
      <c r="Y9" s="615" t="n">
        <v>9000000</v>
      </c>
      <c r="Z9" s="680" t="n"/>
      <c r="AA9" s="615" t="n">
        <v>2000000</v>
      </c>
      <c r="AB9" s="680" t="n"/>
      <c r="AC9" s="608">
        <f>C9+D9+E9+F9+G9+I9+J9+K9+L9+M9+N9+O9+P9+Q9+R9+S9+T9+U9+V9+W9+X9+Y9+Z9</f>
        <v/>
      </c>
      <c r="AD9" s="608">
        <f>#REF!+#REF!+#REF!+#REF!+#REF!+#REF!+#REF!+#REF!+#REF!+#REF!+#REF!+#REF!+#REF!+#REF!+#REF!+#REF!+#REF!+#REF!+#REF!+#REF!+#REF!</f>
        <v/>
      </c>
      <c r="AE9" s="602">
        <f>AC9-AD9</f>
        <v/>
      </c>
    </row>
    <row r="10">
      <c r="A10" s="591" t="inlineStr">
        <is>
          <t>Май Март</t>
        </is>
      </c>
      <c r="B10" s="604" t="inlineStr">
        <is>
          <t>Приход</t>
        </is>
      </c>
      <c r="C10" s="977" t="n"/>
      <c r="D10" s="966" t="n">
        <v>2000000</v>
      </c>
      <c r="E10" s="977" t="n"/>
      <c r="F10" s="966" t="n">
        <v>2000000</v>
      </c>
      <c r="G10" s="977" t="n"/>
      <c r="H10" s="615">
        <f>C10+D10+E10+F10+G10</f>
        <v/>
      </c>
      <c r="I10" s="680" t="n"/>
      <c r="J10" s="680" t="n"/>
      <c r="K10" s="680" t="n"/>
      <c r="L10" s="615" t="n">
        <v>2000000</v>
      </c>
      <c r="M10" s="607" t="n"/>
      <c r="N10" s="680" t="n"/>
      <c r="O10" s="680" t="n"/>
      <c r="P10" s="607" t="n"/>
      <c r="Q10" s="615" t="n">
        <v>2000000</v>
      </c>
      <c r="R10" s="680" t="n"/>
      <c r="S10" s="680" t="n"/>
      <c r="T10" s="615" t="n">
        <v>2000000</v>
      </c>
      <c r="U10" s="680" t="n"/>
      <c r="V10" s="615" t="n">
        <v>2000000</v>
      </c>
      <c r="W10" s="680" t="n"/>
      <c r="X10" s="680" t="n"/>
      <c r="Y10" s="615" t="n">
        <v>2000000</v>
      </c>
      <c r="Z10" s="680" t="n"/>
      <c r="AA10" s="680" t="n"/>
      <c r="AB10" s="615" t="n">
        <v>1000000</v>
      </c>
      <c r="AC10" s="608">
        <f>C10+D10+E10+F10+G10+I10+J10+K10+L10+M10+N10+O10+P10+Q10+R10+S10+T10+U10+V10+W10+X10+Y10+Z10</f>
        <v/>
      </c>
      <c r="AD10" s="608">
        <f>#REF!+#REF!+#REF!+#REF!+#REF!+#REF!+#REF!+#REF!+#REF!+#REF!+#REF!+#REF!+#REF!+#REF!+#REF!+#REF!+#REF!+#REF!+#REF!+#REF!+#REF!</f>
        <v/>
      </c>
      <c r="AE10" s="602">
        <f>AC10-AD10</f>
        <v/>
      </c>
    </row>
    <row r="11">
      <c r="A11" s="591" t="inlineStr">
        <is>
          <t xml:space="preserve">7-Kaspi Банк </t>
        </is>
      </c>
      <c r="B11" s="604" t="inlineStr">
        <is>
          <t>Приход</t>
        </is>
      </c>
      <c r="C11" s="616" t="n">
        <v>614000</v>
      </c>
      <c r="D11" s="616" t="n">
        <v>500000</v>
      </c>
      <c r="E11" s="966" t="n">
        <v>1000000</v>
      </c>
      <c r="F11" s="966" t="n">
        <v>1000000</v>
      </c>
      <c r="G11" s="966" t="n">
        <v>1000000</v>
      </c>
      <c r="H11" s="615">
        <f>C11+D11+E11+F11+G11</f>
        <v/>
      </c>
      <c r="I11" s="615" t="n">
        <v>1000000</v>
      </c>
      <c r="J11" s="615" t="n">
        <v>1000000</v>
      </c>
      <c r="K11" s="615" t="n">
        <v>1000000</v>
      </c>
      <c r="L11" s="615" t="n">
        <v>1000000</v>
      </c>
      <c r="M11" s="615" t="n">
        <v>1000000</v>
      </c>
      <c r="N11" s="615" t="n">
        <v>1000000</v>
      </c>
      <c r="O11" s="615" t="n">
        <v>1000000</v>
      </c>
      <c r="P11" s="615" t="n">
        <v>1000000</v>
      </c>
      <c r="Q11" s="615" t="n">
        <v>1000000</v>
      </c>
      <c r="R11" s="615" t="n">
        <v>1000000</v>
      </c>
      <c r="S11" s="615" t="n">
        <v>1000000</v>
      </c>
      <c r="T11" s="680" t="n"/>
      <c r="U11" s="615" t="n">
        <v>1000000</v>
      </c>
      <c r="V11" s="680" t="n"/>
      <c r="W11" s="615" t="n">
        <v>1000000</v>
      </c>
      <c r="X11" s="615" t="n">
        <v>1000000</v>
      </c>
      <c r="Y11" s="680" t="n"/>
      <c r="Z11" s="615" t="n">
        <v>1000000</v>
      </c>
      <c r="AA11" s="680" t="n"/>
      <c r="AB11" s="615" t="n">
        <v>3000000</v>
      </c>
      <c r="AC11" s="608">
        <f>C11+D11+E11+F11+G11+I11+J11+K11+L11+M11+N11+O11+P11+Q11+R11+S11+T11+U11+V11+W11+X11+Y11+Z11</f>
        <v/>
      </c>
      <c r="AD11" s="608">
        <f>#REF!+#REF!+#REF!+#REF!+#REF!+#REF!+#REF!+#REF!+#REF!+#REF!+#REF!+#REF!+#REF!+#REF!+#REF!+#REF!+#REF!+#REF!+#REF!+#REF!+#REF!</f>
        <v/>
      </c>
      <c r="AE11" s="602">
        <f>AC11-AD11</f>
        <v/>
      </c>
    </row>
    <row r="12">
      <c r="A12" s="591" t="inlineStr">
        <is>
          <t>Crave</t>
        </is>
      </c>
      <c r="B12" s="604" t="inlineStr">
        <is>
          <t>Приход</t>
        </is>
      </c>
      <c r="C12" s="966" t="n"/>
      <c r="D12" s="616" t="n">
        <v>200000</v>
      </c>
      <c r="E12" s="966" t="n"/>
      <c r="F12" s="977" t="n"/>
      <c r="G12" s="966" t="n"/>
      <c r="H12" s="615">
        <f>C12+D12+E12+F12+G12</f>
        <v/>
      </c>
      <c r="I12" s="615" t="n">
        <v>3000000</v>
      </c>
      <c r="J12" s="680" t="n"/>
      <c r="K12" s="615" t="n">
        <v>3000000</v>
      </c>
      <c r="L12" s="680" t="n"/>
      <c r="M12" s="615" t="n">
        <v>3000000</v>
      </c>
      <c r="N12" s="615" t="n">
        <v>3000000</v>
      </c>
      <c r="O12" s="680" t="n"/>
      <c r="P12" s="615" t="n">
        <v>3000000</v>
      </c>
      <c r="Q12" s="680" t="n"/>
      <c r="R12" s="615" t="n">
        <v>3000000</v>
      </c>
      <c r="S12" s="615" t="n">
        <v>3000000</v>
      </c>
      <c r="T12" s="680" t="n"/>
      <c r="U12" s="615" t="n">
        <v>3000000</v>
      </c>
      <c r="V12" s="680" t="n"/>
      <c r="W12" s="615" t="n">
        <v>3000000</v>
      </c>
      <c r="X12" s="615" t="n">
        <v>3000000</v>
      </c>
      <c r="Y12" s="680" t="n"/>
      <c r="Z12" s="615" t="n">
        <v>3000000</v>
      </c>
      <c r="AA12" s="615" t="n">
        <v>6000000</v>
      </c>
      <c r="AB12" s="680" t="n"/>
      <c r="AC12" s="608">
        <f>C12+D12+E12+F12+G12+I12+J12+K12+L12+M12+N12+O12+P12+Q12+R12+S12+T12+U12+V12+W12+X12+Y12+Z12</f>
        <v/>
      </c>
      <c r="AD12" s="608">
        <f>#REF!+#REF!+#REF!+#REF!+#REF!+#REF!+#REF!+#REF!+#REF!+#REF!+#REF!+#REF!+#REF!+#REF!+#REF!+#REF!+#REF!+#REF!+#REF!+#REF!+#REF!</f>
        <v/>
      </c>
      <c r="AE12" s="602">
        <f>AC12-AD12</f>
        <v/>
      </c>
    </row>
    <row r="13">
      <c r="A13" s="591" t="inlineStr">
        <is>
          <t>99-RP АЗС</t>
        </is>
      </c>
      <c r="B13" s="604" t="inlineStr">
        <is>
          <t>Приход</t>
        </is>
      </c>
      <c r="C13" s="977" t="n"/>
      <c r="D13" s="977" t="n"/>
      <c r="E13" s="977" t="n"/>
      <c r="F13" s="966" t="n">
        <v>6000000</v>
      </c>
      <c r="G13" s="977" t="n"/>
      <c r="H13" s="615">
        <f>C13+D13+E13+F13+G13</f>
        <v/>
      </c>
      <c r="I13" s="680" t="n"/>
      <c r="J13" s="680" t="n"/>
      <c r="K13" s="680" t="n"/>
      <c r="L13" s="615" t="n">
        <v>6000000</v>
      </c>
      <c r="M13" s="680" t="n"/>
      <c r="N13" s="680" t="n"/>
      <c r="O13" s="680" t="n"/>
      <c r="P13" s="680" t="n"/>
      <c r="Q13" s="615" t="n">
        <v>6000000</v>
      </c>
      <c r="R13" s="680" t="n"/>
      <c r="S13" s="680" t="n"/>
      <c r="T13" s="680" t="n"/>
      <c r="U13" s="680" t="n"/>
      <c r="V13" s="615" t="n">
        <v>6000000</v>
      </c>
      <c r="W13" s="680" t="n"/>
      <c r="X13" s="680" t="n"/>
      <c r="Y13" s="680" t="n"/>
      <c r="Z13" s="680" t="n"/>
      <c r="AA13" s="680" t="n"/>
      <c r="AB13" s="680" t="n"/>
      <c r="AC13" s="608">
        <f>C13+D13+E13+F13+G13+I13+J13+K13+L13+M13+N13+O13+P13+Q13+R13+S13+T13+U13+V13+W13+X13+Y13+Z13</f>
        <v/>
      </c>
      <c r="AD13" s="608">
        <f>#REF!+#REF!+#REF!+#REF!+#REF!+#REF!+#REF!+#REF!+#REF!+#REF!+#REF!+#REF!+#REF!+#REF!+#REF!+#REF!+#REF!+#REF!+#REF!+#REF!+#REF!</f>
        <v/>
      </c>
      <c r="AE13" s="602">
        <f>AC13-AD13</f>
        <v/>
      </c>
    </row>
    <row r="14">
      <c r="A14" s="591" t="inlineStr">
        <is>
          <t>96- DSF покупатель</t>
        </is>
      </c>
      <c r="B14" s="604" t="inlineStr">
        <is>
          <t>Приход</t>
        </is>
      </c>
      <c r="C14" s="966" t="n"/>
      <c r="D14" s="966" t="n">
        <v>4000000</v>
      </c>
      <c r="E14" s="977" t="n"/>
      <c r="F14" s="977" t="n"/>
      <c r="G14" s="977" t="n"/>
      <c r="H14" s="615">
        <f>C14+D14+E14+F14+G14</f>
        <v/>
      </c>
      <c r="I14" s="680" t="n"/>
      <c r="J14" s="680" t="n"/>
      <c r="K14" s="680" t="n"/>
      <c r="L14" s="680" t="n"/>
      <c r="M14" s="615" t="n">
        <v>2000000</v>
      </c>
      <c r="N14" s="680" t="n"/>
      <c r="O14" s="680" t="n"/>
      <c r="P14" s="680" t="n"/>
      <c r="Q14" s="607" t="n">
        <v>2000000</v>
      </c>
      <c r="R14" s="680" t="n"/>
      <c r="S14" s="680" t="n"/>
      <c r="T14" s="680" t="n"/>
      <c r="U14" s="615" t="n">
        <v>1000000</v>
      </c>
      <c r="V14" s="680" t="n"/>
      <c r="W14" s="680" t="n"/>
      <c r="X14" s="680" t="n"/>
      <c r="Y14" s="680" t="n"/>
      <c r="Z14" s="615" t="n">
        <v>1000000</v>
      </c>
      <c r="AA14" s="615" t="n">
        <v>4000000</v>
      </c>
      <c r="AB14" s="615" t="n">
        <v>4000000</v>
      </c>
      <c r="AC14" s="608">
        <f>C14+D14+E14+F14+G14+I14+J14+K14+L14+M14+N14+O14+P14+Q14+R14+S14+T14+U14+V14+W14+X14+Y14+Z14</f>
        <v/>
      </c>
      <c r="AD14" s="608">
        <f>#REF!+#REF!+#REF!+#REF!+#REF!+#REF!+#REF!+#REF!+#REF!+#REF!+#REF!+#REF!+#REF!+#REF!+#REF!+#REF!+#REF!+#REF!+#REF!+#REF!+#REF!</f>
        <v/>
      </c>
      <c r="AE14" s="602">
        <f>AC14-AD14</f>
        <v/>
      </c>
    </row>
    <row r="15">
      <c r="A15" s="591" t="inlineStr">
        <is>
          <t>85-ДФЗ дистрибьютер ФЗ</t>
        </is>
      </c>
      <c r="B15" s="604" t="inlineStr">
        <is>
          <t>Приход</t>
        </is>
      </c>
      <c r="C15" s="966" t="n">
        <v>11900000</v>
      </c>
      <c r="D15" s="966" t="n">
        <v>4000000</v>
      </c>
      <c r="E15" s="966" t="n"/>
      <c r="F15" s="966" t="n">
        <v>4000000</v>
      </c>
      <c r="G15" s="966" t="n">
        <v>6000000</v>
      </c>
      <c r="H15" s="615">
        <f>C15+D15+E15+F15+G15</f>
        <v/>
      </c>
      <c r="I15" s="615" t="n">
        <v>2000000</v>
      </c>
      <c r="J15" s="615" t="n">
        <v>2000000</v>
      </c>
      <c r="K15" s="615" t="n">
        <v>10000000</v>
      </c>
      <c r="L15" s="615" t="n">
        <v>4000000</v>
      </c>
      <c r="M15" s="615" t="n">
        <v>2000000</v>
      </c>
      <c r="N15" s="615" t="n">
        <v>4000000</v>
      </c>
      <c r="O15" s="615" t="n">
        <v>1000000</v>
      </c>
      <c r="P15" s="615" t="n">
        <v>10000000</v>
      </c>
      <c r="Q15" s="615" t="n">
        <v>4000000</v>
      </c>
      <c r="R15" s="615" t="n">
        <v>2000000</v>
      </c>
      <c r="S15" s="615" t="n">
        <v>2000000</v>
      </c>
      <c r="T15" s="615" t="n">
        <v>5000000</v>
      </c>
      <c r="U15" s="615" t="n">
        <v>10000000</v>
      </c>
      <c r="V15" s="615" t="n">
        <v>4000000</v>
      </c>
      <c r="W15" s="615" t="n">
        <v>4000000</v>
      </c>
      <c r="X15" s="615" t="n">
        <v>2000000</v>
      </c>
      <c r="Y15" s="615" t="n">
        <v>5000000</v>
      </c>
      <c r="Z15" s="615" t="n">
        <v>10000000</v>
      </c>
      <c r="AA15" s="680" t="n"/>
      <c r="AB15" s="680" t="n"/>
      <c r="AC15" s="608">
        <f>C15+D15+E15+F15+G15+I15+J15+K15+L15+M15+N15+O15+P15+Q15+R15+S15+T15+U15+V15+W15+X15+Y15+Z15</f>
        <v/>
      </c>
      <c r="AD15" s="608">
        <f>#REF!+#REF!+#REF!+#REF!+#REF!+#REF!+#REF!+#REF!+#REF!+#REF!+#REF!+#REF!+#REF!+#REF!+#REF!+#REF!+#REF!+#REF!+#REF!+#REF!+#REF!</f>
        <v/>
      </c>
      <c r="AE15" s="602">
        <f>AC15-AD15</f>
        <v/>
      </c>
    </row>
    <row r="16">
      <c r="A16" s="591" t="inlineStr">
        <is>
          <t xml:space="preserve">110 АЗС №67 "Sinooil" </t>
        </is>
      </c>
      <c r="B16" s="604" t="inlineStr">
        <is>
          <t>Приход</t>
        </is>
      </c>
      <c r="C16" s="620" t="n"/>
      <c r="D16" s="616" t="n">
        <v>200000</v>
      </c>
      <c r="E16" s="620" t="n"/>
      <c r="F16" s="616" t="n">
        <v>150000</v>
      </c>
      <c r="G16" s="966" t="n"/>
      <c r="H16" s="615">
        <f>C16+D16+E16+F16+G16</f>
        <v/>
      </c>
      <c r="I16" s="680" t="n"/>
      <c r="J16" s="615" t="n">
        <v>1500000</v>
      </c>
      <c r="K16" s="680" t="n"/>
      <c r="L16" s="680" t="n"/>
      <c r="M16" s="680" t="n"/>
      <c r="N16" s="615" t="n">
        <v>1000000</v>
      </c>
      <c r="O16" s="680" t="n"/>
      <c r="P16" s="680" t="n"/>
      <c r="Q16" s="680" t="n"/>
      <c r="R16" s="680" t="n"/>
      <c r="S16" s="680" t="n"/>
      <c r="T16" s="680" t="n"/>
      <c r="U16" s="615" t="n">
        <v>2000000</v>
      </c>
      <c r="V16" s="680" t="n"/>
      <c r="W16" s="680" t="n"/>
      <c r="X16" s="680" t="n"/>
      <c r="Y16" s="680" t="n"/>
      <c r="Z16" s="615" t="n">
        <v>2000000</v>
      </c>
      <c r="AA16" s="680" t="n"/>
      <c r="AB16" s="680" t="n"/>
      <c r="AC16" s="608">
        <f>C16+D16+E16+F16+G16+I16+J16+K16+L16+M16+N16+O16+P16+Q16+R16+S16+T16+U16+V16+W16+X16+Y16+Z16</f>
        <v/>
      </c>
      <c r="AD16" s="608">
        <f>#REF!+#REF!+#REF!+#REF!+#REF!+#REF!+#REF!+#REF!+#REF!+#REF!+#REF!+#REF!+#REF!+#REF!+#REF!+#REF!+#REF!+#REF!+#REF!+#REF!+#REF!</f>
        <v/>
      </c>
      <c r="AE16" s="602">
        <f>AC16-AD16</f>
        <v/>
      </c>
    </row>
    <row r="17">
      <c r="A17" s="591" t="inlineStr">
        <is>
          <t>100 ТУАР (шинлайн)</t>
        </is>
      </c>
      <c r="B17" s="604" t="inlineStr">
        <is>
          <t>Приход</t>
        </is>
      </c>
      <c r="C17" s="620" t="n"/>
      <c r="D17" s="620" t="n"/>
      <c r="E17" s="620" t="n"/>
      <c r="F17" s="620" t="n"/>
      <c r="G17" s="620" t="n"/>
      <c r="H17" s="615">
        <f>C17+D17+E17+F17+G17</f>
        <v/>
      </c>
      <c r="I17" s="680" t="n"/>
      <c r="J17" s="680" t="n"/>
      <c r="K17" s="680" t="n"/>
      <c r="L17" s="680" t="n"/>
      <c r="M17" s="680" t="n"/>
      <c r="N17" s="680" t="n"/>
      <c r="O17" s="680" t="n"/>
      <c r="P17" s="680" t="n"/>
      <c r="Q17" s="680" t="n"/>
      <c r="R17" s="680" t="n"/>
      <c r="S17" s="680" t="n"/>
      <c r="T17" s="680" t="n"/>
      <c r="U17" s="680" t="n"/>
      <c r="V17" s="680" t="n"/>
      <c r="W17" s="680" t="n"/>
      <c r="X17" s="680" t="n"/>
      <c r="Y17" s="680" t="n"/>
      <c r="Z17" s="680" t="n"/>
      <c r="AA17" s="680" t="n"/>
      <c r="AB17" s="680" t="n"/>
      <c r="AC17" s="608">
        <f>C17+D17+E17+F17+G17+I17+J17+K17+L17+M17+N17+O17+P17+Q17+R17+S17+T17+U17+V17+W17+X17+Y17+Z17</f>
        <v/>
      </c>
      <c r="AD17" s="608">
        <f>#REF!+#REF!+#REF!+#REF!+#REF!+#REF!+#REF!+#REF!+#REF!+#REF!+#REF!+#REF!+#REF!+#REF!+#REF!+#REF!+#REF!+#REF!+#REF!+#REF!+#REF!</f>
        <v/>
      </c>
      <c r="AE17" s="602">
        <f>AC17-AD17</f>
        <v/>
      </c>
    </row>
    <row r="18">
      <c r="A18" s="591" t="inlineStr">
        <is>
          <t>Даркстор Чоко</t>
        </is>
      </c>
      <c r="B18" s="604" t="inlineStr">
        <is>
          <t>Приход</t>
        </is>
      </c>
      <c r="C18" s="620" t="n"/>
      <c r="D18" s="966" t="n"/>
      <c r="E18" s="616" t="n">
        <v>400000</v>
      </c>
      <c r="F18" s="616" t="n">
        <v>160000</v>
      </c>
      <c r="G18" s="616" t="n">
        <v>200000</v>
      </c>
      <c r="H18" s="615">
        <f>C18+D18+E18+F18+G18</f>
        <v/>
      </c>
      <c r="I18" s="615" t="n">
        <v>500000</v>
      </c>
      <c r="J18" s="680" t="n"/>
      <c r="K18" s="615" t="n">
        <v>500000</v>
      </c>
      <c r="L18" s="680" t="n"/>
      <c r="M18" s="680" t="n"/>
      <c r="N18" s="680" t="n"/>
      <c r="O18" s="680" t="n"/>
      <c r="P18" s="680" t="n"/>
      <c r="Q18" s="615" t="n">
        <v>650000</v>
      </c>
      <c r="R18" s="680" t="n"/>
      <c r="S18" s="615" t="n">
        <v>150000</v>
      </c>
      <c r="T18" s="680" t="n"/>
      <c r="U18" s="615" t="n">
        <v>150000</v>
      </c>
      <c r="V18" s="680" t="n"/>
      <c r="W18" s="680" t="n"/>
      <c r="X18" s="615" t="n">
        <v>150000</v>
      </c>
      <c r="Y18" s="680" t="n"/>
      <c r="Z18" s="615" t="n">
        <v>150000</v>
      </c>
      <c r="AA18" s="615" t="n">
        <v>200000</v>
      </c>
      <c r="AB18" s="615" t="n">
        <v>200000</v>
      </c>
      <c r="AC18" s="608">
        <f>C18+D18+E18+F18+G18+I18+J18+K18+L18+M18+N18+O18+P18+Q18+R18+S18+T18+U18+V18+W18+X18+Y18+Z18</f>
        <v/>
      </c>
      <c r="AD18" s="608">
        <f>#REF!+#REF!+#REF!+#REF!+#REF!+#REF!+#REF!+#REF!+#REF!+#REF!+#REF!+#REF!+#REF!+#REF!+#REF!+#REF!+#REF!+#REF!+#REF!+#REF!+#REF!</f>
        <v/>
      </c>
      <c r="AE18" s="602">
        <f>AC18-AD18</f>
        <v/>
      </c>
    </row>
    <row r="19">
      <c r="A19" s="591" t="inlineStr">
        <is>
          <t>Глово, Вольт</t>
        </is>
      </c>
      <c r="B19" s="604" t="inlineStr">
        <is>
          <t>Приход</t>
        </is>
      </c>
      <c r="C19" s="966" t="n"/>
      <c r="D19" s="966" t="n">
        <v>658000</v>
      </c>
      <c r="E19" s="966" t="n"/>
      <c r="F19" s="966" t="n"/>
      <c r="G19" s="966" t="n"/>
      <c r="H19" s="615">
        <f>C19+D19+E19+F19+G19</f>
        <v/>
      </c>
      <c r="I19" s="680" t="n"/>
      <c r="J19" s="615" t="n">
        <v>100000</v>
      </c>
      <c r="K19" s="680" t="n"/>
      <c r="L19" s="680" t="n"/>
      <c r="M19" s="615" t="n">
        <v>100000</v>
      </c>
      <c r="N19" s="615" t="n">
        <v>100000</v>
      </c>
      <c r="O19" s="615" t="n">
        <v>100000</v>
      </c>
      <c r="P19" s="615" t="n">
        <v>100000</v>
      </c>
      <c r="Q19" s="615" t="n">
        <v>100000</v>
      </c>
      <c r="R19" s="615" t="n">
        <v>100000</v>
      </c>
      <c r="S19" s="615" t="n">
        <v>200000</v>
      </c>
      <c r="T19" s="615" t="n">
        <v>100000</v>
      </c>
      <c r="U19" s="615" t="n">
        <v>200000</v>
      </c>
      <c r="V19" s="615" t="n">
        <v>200000</v>
      </c>
      <c r="W19" s="615" t="n">
        <v>200000</v>
      </c>
      <c r="X19" s="615" t="n">
        <v>200000</v>
      </c>
      <c r="Y19" s="615" t="n">
        <v>100000</v>
      </c>
      <c r="Z19" s="615" t="n">
        <v>200000</v>
      </c>
      <c r="AA19" s="615" t="n">
        <v>300000</v>
      </c>
      <c r="AB19" s="680" t="n"/>
      <c r="AC19" s="608">
        <f>C19+D19+E19+F19+G19+I19+J19+K19+L19+M19+N19+O19+P19+Q19+R19+S19+T19+U19+V19+W19+X19+Y19+Z19</f>
        <v/>
      </c>
      <c r="AD19" s="608">
        <f>#REF!+#REF!+#REF!+#REF!+#REF!+#REF!+#REF!+#REF!+#REF!+#REF!+#REF!+#REF!+#REF!+#REF!+#REF!+#REF!+#REF!+#REF!+#REF!+#REF!+#REF!</f>
        <v/>
      </c>
      <c r="AE19" s="602">
        <f>AC19-AD19</f>
        <v/>
      </c>
    </row>
    <row r="20">
      <c r="A20" s="591" t="inlineStr">
        <is>
          <t>Торты</t>
        </is>
      </c>
      <c r="B20" s="604" t="inlineStr">
        <is>
          <t>Приход</t>
        </is>
      </c>
      <c r="C20" s="616" t="n">
        <v>65000</v>
      </c>
      <c r="D20" s="616" t="n">
        <v>20000</v>
      </c>
      <c r="E20" s="620" t="n"/>
      <c r="F20" s="966" t="n">
        <v>109000</v>
      </c>
      <c r="G20" s="620" t="n"/>
      <c r="H20" s="615">
        <f>C20+D20+E20+F20+G20</f>
        <v/>
      </c>
      <c r="I20" s="680" t="n"/>
      <c r="J20" s="680" t="n"/>
      <c r="K20" s="680" t="n"/>
      <c r="L20" s="680" t="n"/>
      <c r="M20" s="680" t="n"/>
      <c r="N20" s="680" t="n"/>
      <c r="O20" s="680" t="n"/>
      <c r="P20" s="680" t="n"/>
      <c r="Q20" s="615" t="n">
        <v>300000</v>
      </c>
      <c r="R20" s="680" t="n"/>
      <c r="S20" s="680" t="n"/>
      <c r="T20" s="680" t="n"/>
      <c r="U20" s="680" t="n"/>
      <c r="V20" s="615" t="n">
        <v>300000</v>
      </c>
      <c r="W20" s="680" t="n"/>
      <c r="X20" s="680" t="n"/>
      <c r="Y20" s="680" t="n"/>
      <c r="Z20" s="680" t="n"/>
      <c r="AA20" s="622">
        <f>SUM(AA6:AA19)</f>
        <v/>
      </c>
      <c r="AB20" s="622">
        <f>SUM(AB6:AB19)</f>
        <v/>
      </c>
      <c r="AC20" s="608">
        <f>C20+D20+E20+F20+G20+I20+J20+K20+L20+M20+N20+O20+P20+Q20+R20+S20+T20+U20+V20+W20+X20+Y20+Z20</f>
        <v/>
      </c>
      <c r="AD20" s="608">
        <f>#REF!+#REF!+#REF!+#REF!+#REF!+#REF!+#REF!+#REF!+#REF!+#REF!+#REF!+#REF!+#REF!+#REF!+#REF!+#REF!+#REF!+#REF!+#REF!+#REF!+#REF!</f>
        <v/>
      </c>
      <c r="AE20" s="602">
        <f>AC20-AD20</f>
        <v/>
      </c>
    </row>
    <row r="21">
      <c r="A21" s="623" t="inlineStr">
        <is>
          <t>Итого по банку</t>
        </is>
      </c>
      <c r="B21" s="624" t="inlineStr">
        <is>
          <t>Приход</t>
        </is>
      </c>
      <c r="C21" s="622">
        <f>SUM(C7:C20)</f>
        <v/>
      </c>
      <c r="D21" s="622">
        <f>SUM(D7:D20)</f>
        <v/>
      </c>
      <c r="E21" s="622">
        <f>SUM(E7:E20)</f>
        <v/>
      </c>
      <c r="F21" s="622">
        <f>SUM(F7:F20)</f>
        <v/>
      </c>
      <c r="G21" s="622">
        <f>SUM(G7:G20)</f>
        <v/>
      </c>
      <c r="H21" s="622">
        <f>SUM(H7:H20)</f>
        <v/>
      </c>
      <c r="I21" s="622">
        <f>SUM(I7:I20)</f>
        <v/>
      </c>
      <c r="J21" s="622">
        <f>SUM(J7:J20)</f>
        <v/>
      </c>
      <c r="K21" s="622">
        <f>SUM(K7:K20)</f>
        <v/>
      </c>
      <c r="L21" s="622">
        <f>SUM(L7:L20)</f>
        <v/>
      </c>
      <c r="M21" s="622">
        <f>SUM(M7:M20)</f>
        <v/>
      </c>
      <c r="N21" s="622">
        <f>SUM(N7:N20)</f>
        <v/>
      </c>
      <c r="O21" s="622">
        <f>SUM(O7:O20)</f>
        <v/>
      </c>
      <c r="P21" s="622">
        <f>SUM(P7:P20)</f>
        <v/>
      </c>
      <c r="Q21" s="622">
        <f>SUM(Q7:Q20)</f>
        <v/>
      </c>
      <c r="R21" s="622">
        <f>SUM(R7:R20)</f>
        <v/>
      </c>
      <c r="S21" s="622">
        <f>SUM(S7:S20)</f>
        <v/>
      </c>
      <c r="T21" s="622">
        <f>SUM(T7:T20)</f>
        <v/>
      </c>
      <c r="U21" s="622">
        <f>SUM(U7:U20)</f>
        <v/>
      </c>
      <c r="V21" s="622">
        <f>SUM(V7:V20)</f>
        <v/>
      </c>
      <c r="W21" s="622">
        <f>SUM(W7:W20)</f>
        <v/>
      </c>
      <c r="X21" s="622">
        <f>SUM(X7:X20)</f>
        <v/>
      </c>
      <c r="Y21" s="622">
        <f>SUM(Y7:Y20)</f>
        <v/>
      </c>
      <c r="Z21" s="622">
        <f>SUM(Z7:Z20)</f>
        <v/>
      </c>
      <c r="AA21" s="680" t="n"/>
      <c r="AB21" s="680" t="n"/>
      <c r="AC21" s="608">
        <f>C21+D21+E21+F21+G21+I21+J21+K21+L21+M21+N21+O21+P21+Q21+R21+S21+T21+U21+V21+W21+X21+Y21+Z21</f>
        <v/>
      </c>
      <c r="AD21" s="625">
        <f>#REF!+#REF!+#REF!+#REF!+#REF!+#REF!+#REF!+#REF!+#REF!+#REF!+#REF!+#REF!+#REF!+#REF!+#REF!+#REF!+#REF!+#REF!+#REF!+#REF!+#REF!</f>
        <v/>
      </c>
      <c r="AE21" s="626">
        <f>AC21-AD21</f>
        <v/>
      </c>
    </row>
    <row r="22">
      <c r="A22" s="591" t="inlineStr">
        <is>
          <t>97- Кейтеринг гость</t>
        </is>
      </c>
      <c r="B22" s="604" t="inlineStr">
        <is>
          <t>Приход</t>
        </is>
      </c>
      <c r="C22" s="977" t="n"/>
      <c r="D22" s="977" t="n"/>
      <c r="E22" s="977" t="n"/>
      <c r="F22" s="966" t="n">
        <v>450000</v>
      </c>
      <c r="G22" s="977" t="n"/>
      <c r="H22" s="615">
        <f>C22+D22+E22+F22+G22</f>
        <v/>
      </c>
      <c r="I22" s="680" t="n"/>
      <c r="J22" s="680" t="n"/>
      <c r="K22" s="680" t="n"/>
      <c r="L22" s="615" t="n">
        <v>250000</v>
      </c>
      <c r="M22" s="680" t="n"/>
      <c r="N22" s="680" t="n"/>
      <c r="O22" s="615" t="n">
        <v>300000</v>
      </c>
      <c r="P22" s="680" t="n"/>
      <c r="Q22" s="680" t="n"/>
      <c r="R22" s="680" t="n"/>
      <c r="S22" s="680" t="n"/>
      <c r="T22" s="615" t="n">
        <v>500000</v>
      </c>
      <c r="U22" s="680" t="n"/>
      <c r="V22" s="680" t="n"/>
      <c r="W22" s="680" t="n"/>
      <c r="X22" s="680" t="n"/>
      <c r="Y22" s="615" t="n">
        <v>500000</v>
      </c>
      <c r="Z22" s="680" t="n"/>
      <c r="AA22" s="680" t="n"/>
      <c r="AB22" s="680" t="n"/>
      <c r="AC22" s="608">
        <f>C22+D22+E22+F22+G22+I22+J22+K22+L22+M22+N22+O22+P22+Q22+R22+S22+T22+U22+V22+W22+X22+Y22+Z22</f>
        <v/>
      </c>
      <c r="AD22" s="608">
        <f>#REF!+#REF!+#REF!+#REF!+#REF!+#REF!+#REF!+#REF!+#REF!+#REF!+#REF!+#REF!+#REF!+#REF!+#REF!+#REF!+#REF!+#REF!+#REF!+#REF!+#REF!</f>
        <v/>
      </c>
      <c r="AE22" s="602">
        <f>AC22-AD22</f>
        <v/>
      </c>
    </row>
    <row r="23">
      <c r="A23" s="591" t="inlineStr">
        <is>
          <t>Возврат с подотчета, Кредит</t>
        </is>
      </c>
      <c r="B23" s="604" t="inlineStr">
        <is>
          <t>Приход</t>
        </is>
      </c>
      <c r="C23" s="977" t="n"/>
      <c r="D23" s="977" t="n"/>
      <c r="E23" s="977" t="n"/>
      <c r="F23" s="977" t="n"/>
      <c r="G23" s="977" t="n"/>
      <c r="H23" s="615">
        <f>C23+D23+E23+F23+G23</f>
        <v/>
      </c>
      <c r="I23" s="680" t="n"/>
      <c r="J23" s="680" t="n"/>
      <c r="K23" s="680" t="n"/>
      <c r="L23" s="615" t="n"/>
      <c r="M23" s="680" t="n"/>
      <c r="N23" s="680" t="n"/>
      <c r="O23" s="680" t="n"/>
      <c r="P23" s="680" t="n"/>
      <c r="Q23" s="680" t="n"/>
      <c r="R23" s="680" t="n"/>
      <c r="S23" s="680" t="n"/>
      <c r="T23" s="680" t="n"/>
      <c r="U23" s="680" t="n"/>
      <c r="V23" s="680" t="n"/>
      <c r="W23" s="680" t="n"/>
      <c r="X23" s="680" t="n"/>
      <c r="Y23" s="680" t="n"/>
      <c r="Z23" s="680" t="n"/>
      <c r="AA23" s="615" t="n">
        <v>600000</v>
      </c>
      <c r="AB23" s="680" t="n"/>
      <c r="AC23" s="608">
        <f>C23+D23+E23+F23+G23+I23+J23+K23+L23+M23+N23+O23+P23+Q23+R23+S23+T23+U23+V23+W23+X23+Y23+Z23</f>
        <v/>
      </c>
      <c r="AD23" s="608">
        <f>#REF!+#REF!+#REF!+#REF!+#REF!+#REF!+#REF!+#REF!+#REF!+#REF!+#REF!+#REF!+#REF!+#REF!+#REF!+#REF!+#REF!+#REF!+#REF!+#REF!+#REF!</f>
        <v/>
      </c>
      <c r="AE23" s="602">
        <f>AC23-AD23</f>
        <v/>
      </c>
    </row>
    <row r="24">
      <c r="A24" s="591" t="inlineStr">
        <is>
          <t>Crave</t>
        </is>
      </c>
      <c r="B24" s="604" t="inlineStr">
        <is>
          <t>Приход</t>
        </is>
      </c>
      <c r="C24" s="966" t="n">
        <v>600000</v>
      </c>
      <c r="D24" s="977" t="n"/>
      <c r="E24" s="977" t="n"/>
      <c r="F24" s="966" t="n">
        <v>600000</v>
      </c>
      <c r="G24" s="977" t="n"/>
      <c r="H24" s="615">
        <f>C24+D24+E24+F24+G24</f>
        <v/>
      </c>
      <c r="I24" s="615" t="n">
        <v>600000</v>
      </c>
      <c r="J24" s="680" t="n"/>
      <c r="K24" s="680" t="n"/>
      <c r="L24" s="615" t="n">
        <v>600000</v>
      </c>
      <c r="M24" s="680" t="n"/>
      <c r="N24" s="615" t="n">
        <v>600000</v>
      </c>
      <c r="O24" s="680" t="n"/>
      <c r="P24" s="680" t="n"/>
      <c r="Q24" s="615" t="n">
        <v>600000</v>
      </c>
      <c r="R24" s="680" t="n"/>
      <c r="S24" s="615" t="n">
        <v>600000</v>
      </c>
      <c r="T24" s="680" t="n"/>
      <c r="U24" s="680" t="n"/>
      <c r="V24" s="615" t="n">
        <v>600000</v>
      </c>
      <c r="W24" s="680" t="n"/>
      <c r="X24" s="615" t="n">
        <v>600000</v>
      </c>
      <c r="Y24" s="680" t="n"/>
      <c r="Z24" s="680" t="n"/>
      <c r="AA24" s="615" t="n">
        <v>1000000</v>
      </c>
      <c r="AB24" s="680" t="n"/>
      <c r="AC24" s="608">
        <f>C24+D24+E24+F24+G24+I24+J24+K24+L24+M24+N24+O24+P24+Q24+R24+S24+T24+U24+V24+W24+X24+Y24+Z24</f>
        <v/>
      </c>
      <c r="AD24" s="608">
        <f>#REF!+#REF!+#REF!+#REF!+#REF!+#REF!+#REF!+#REF!+#REF!+#REF!+#REF!+#REF!+#REF!+#REF!+#REF!+#REF!+#REF!+#REF!+#REF!+#REF!+#REF!</f>
        <v/>
      </c>
      <c r="AE24" s="602">
        <f>AC24-AD24</f>
        <v/>
      </c>
    </row>
    <row r="25">
      <c r="A25" s="591" t="inlineStr">
        <is>
          <t>7-Kaspi Банк (нал)</t>
        </is>
      </c>
      <c r="B25" s="604" t="inlineStr">
        <is>
          <t>Приход</t>
        </is>
      </c>
      <c r="C25" s="977" t="n"/>
      <c r="D25" s="977" t="n"/>
      <c r="E25" s="966" t="n"/>
      <c r="F25" s="966" t="n">
        <v>1000000</v>
      </c>
      <c r="G25" s="977" t="n"/>
      <c r="H25" s="615">
        <f>C25+D25+E25+F25+G25</f>
        <v/>
      </c>
      <c r="I25" s="680" t="n"/>
      <c r="J25" s="680" t="n"/>
      <c r="K25" s="615" t="n"/>
      <c r="L25" s="615" t="n">
        <v>1000000</v>
      </c>
      <c r="M25" s="680" t="n"/>
      <c r="N25" s="680" t="n"/>
      <c r="O25" s="680" t="n"/>
      <c r="P25" s="615" t="n"/>
      <c r="Q25" s="615" t="n">
        <v>1000000</v>
      </c>
      <c r="R25" s="680" t="n"/>
      <c r="S25" s="680" t="n"/>
      <c r="T25" s="680" t="n"/>
      <c r="U25" s="615" t="n"/>
      <c r="V25" s="615" t="n">
        <v>1000000</v>
      </c>
      <c r="W25" s="680" t="n"/>
      <c r="X25" s="680" t="n"/>
      <c r="Y25" s="680" t="n"/>
      <c r="Z25" s="615" t="n"/>
      <c r="AA25" s="680" t="n"/>
      <c r="AB25" s="680" t="n"/>
      <c r="AC25" s="608">
        <f>C25+D25+E25+F25+G25+I25+J25+K25+L25+M25+N25+O25+P25+Q25+R25+S25+T25+U25+V25+W25+X25+Y25+Z25</f>
        <v/>
      </c>
      <c r="AD25" s="608">
        <f>#REF!+#REF!+#REF!+#REF!+#REF!+#REF!+#REF!+#REF!+#REF!+#REF!+#REF!+#REF!+#REF!+#REF!+#REF!+#REF!+#REF!+#REF!+#REF!+#REF!+#REF!</f>
        <v/>
      </c>
      <c r="AE25" s="602">
        <f>AC25-AD25</f>
        <v/>
      </c>
    </row>
    <row r="26">
      <c r="A26" s="591" t="inlineStr">
        <is>
          <t>Частное лицо (Покупатель)</t>
        </is>
      </c>
      <c r="B26" s="604" t="inlineStr">
        <is>
          <t>Приход</t>
        </is>
      </c>
      <c r="C26" s="977" t="n"/>
      <c r="D26" s="977" t="n"/>
      <c r="E26" s="977" t="n"/>
      <c r="F26" s="966" t="n">
        <v>200000</v>
      </c>
      <c r="G26" s="977" t="n"/>
      <c r="H26" s="615">
        <f>C26+D26+E26+F26+G26</f>
        <v/>
      </c>
      <c r="I26" s="680" t="n"/>
      <c r="J26" s="680" t="n"/>
      <c r="K26" s="680" t="n"/>
      <c r="L26" s="615" t="n">
        <v>400000</v>
      </c>
      <c r="M26" s="680" t="n"/>
      <c r="N26" s="680" t="n"/>
      <c r="O26" s="680" t="n"/>
      <c r="P26" s="680" t="n"/>
      <c r="Q26" s="615" t="n">
        <v>200000</v>
      </c>
      <c r="R26" s="680" t="n"/>
      <c r="S26" s="680" t="n"/>
      <c r="T26" s="615" t="n">
        <v>200000</v>
      </c>
      <c r="U26" s="680" t="n"/>
      <c r="V26" s="680" t="n"/>
      <c r="W26" s="680" t="n"/>
      <c r="X26" s="680" t="n"/>
      <c r="Y26" s="615" t="n">
        <v>200000</v>
      </c>
      <c r="Z26" s="680" t="n"/>
      <c r="AA26" s="615" t="n">
        <v>1500000</v>
      </c>
      <c r="AB26" s="680" t="n"/>
      <c r="AC26" s="608">
        <f>C26+D26+E26+F26+G26+I26+J26+K26+L26+M26+N26+O26+P26+Q26+R26+S26+T26+U26+V26+W26+X26+Y26+Z26</f>
        <v/>
      </c>
      <c r="AD26" s="608">
        <f>#REF!+#REF!+#REF!+#REF!+#REF!+#REF!+#REF!+#REF!+#REF!+#REF!+#REF!+#REF!+#REF!+#REF!+#REF!+#REF!+#REF!+#REF!+#REF!+#REF!+#REF!</f>
        <v/>
      </c>
      <c r="AE26" s="602">
        <f>AC26-AD26</f>
        <v/>
      </c>
    </row>
    <row r="27">
      <c r="A27" s="591" t="inlineStr">
        <is>
          <t>98-FOOD vending : СКЛАД АППАРАТ №1 (ФЗ Ермагамбет)</t>
        </is>
      </c>
      <c r="B27" s="604" t="inlineStr">
        <is>
          <t>Приход</t>
        </is>
      </c>
      <c r="C27" s="977" t="n"/>
      <c r="D27" s="977" t="n"/>
      <c r="E27" s="977" t="n"/>
      <c r="F27" s="966" t="n">
        <v>1500000</v>
      </c>
      <c r="G27" s="977" t="n"/>
      <c r="H27" s="615">
        <f>C27+D27+E27+F27+G27</f>
        <v/>
      </c>
      <c r="I27" s="680" t="n"/>
      <c r="J27" s="680" t="n"/>
      <c r="K27" s="680" t="n"/>
      <c r="L27" s="615" t="n">
        <v>1500000</v>
      </c>
      <c r="M27" s="680" t="n"/>
      <c r="N27" s="680" t="n"/>
      <c r="O27" s="680" t="n"/>
      <c r="P27" s="680" t="n"/>
      <c r="Q27" s="615" t="n">
        <v>1500000</v>
      </c>
      <c r="R27" s="680" t="n"/>
      <c r="S27" s="680" t="n"/>
      <c r="T27" s="680" t="n"/>
      <c r="U27" s="680" t="n"/>
      <c r="V27" s="615" t="n">
        <v>1500000</v>
      </c>
      <c r="W27" s="680" t="n"/>
      <c r="X27" s="680" t="n"/>
      <c r="Y27" s="680" t="n"/>
      <c r="Z27" s="680" t="n"/>
      <c r="AA27" s="783">
        <f>SUM(AA21:AA26)</f>
        <v/>
      </c>
      <c r="AB27" s="783">
        <f>SUM(AB21:AB26)</f>
        <v/>
      </c>
      <c r="AC27" s="608">
        <f>C27+D27+E27+F27+G27+I27+J27+K27+L27+M27+N27+O27+P27+Q27+R27+S27+T27+U27+V27+W27+X27+Y27+Z27</f>
        <v/>
      </c>
      <c r="AD27" s="608">
        <f>#REF!+#REF!+#REF!+#REF!+#REF!+#REF!+#REF!+#REF!+#REF!+#REF!+#REF!+#REF!+#REF!+#REF!+#REF!+#REF!+#REF!+#REF!+#REF!+#REF!+#REF!</f>
        <v/>
      </c>
      <c r="AE27" s="602">
        <f>AC27-AD27</f>
        <v/>
      </c>
    </row>
    <row r="28">
      <c r="A28" s="627" t="inlineStr">
        <is>
          <t>Итого по кассе</t>
        </is>
      </c>
      <c r="B28" s="596" t="inlineStr">
        <is>
          <t>Приход</t>
        </is>
      </c>
      <c r="C28" s="599">
        <f>SUM(C22:C27)</f>
        <v/>
      </c>
      <c r="D28" s="599">
        <f>SUM(D22:D27)</f>
        <v/>
      </c>
      <c r="E28" s="599">
        <f>SUM(E22:E27)</f>
        <v/>
      </c>
      <c r="F28" s="599">
        <f>SUM(F22:F27)</f>
        <v/>
      </c>
      <c r="G28" s="599">
        <f>SUM(G22:G27)</f>
        <v/>
      </c>
      <c r="H28" s="615">
        <f>C28+D28+E28+F28+G28</f>
        <v/>
      </c>
      <c r="I28" s="783">
        <f>SUM(I22:I27)</f>
        <v/>
      </c>
      <c r="J28" s="783">
        <f>SUM(J22:J27)</f>
        <v/>
      </c>
      <c r="K28" s="783">
        <f>SUM(K22:K27)</f>
        <v/>
      </c>
      <c r="L28" s="783">
        <f>SUM(L22:L27)</f>
        <v/>
      </c>
      <c r="M28" s="783">
        <f>SUM(M22:M27)</f>
        <v/>
      </c>
      <c r="N28" s="783">
        <f>SUM(N22:N27)</f>
        <v/>
      </c>
      <c r="O28" s="783">
        <f>SUM(O22:O27)</f>
        <v/>
      </c>
      <c r="P28" s="783">
        <f>SUM(P22:P27)</f>
        <v/>
      </c>
      <c r="Q28" s="783">
        <f>SUM(Q22:Q27)</f>
        <v/>
      </c>
      <c r="R28" s="783">
        <f>SUM(R22:R27)</f>
        <v/>
      </c>
      <c r="S28" s="783">
        <f>SUM(S22:S27)</f>
        <v/>
      </c>
      <c r="T28" s="783">
        <f>SUM(T22:T27)</f>
        <v/>
      </c>
      <c r="U28" s="783">
        <f>SUM(U22:U27)</f>
        <v/>
      </c>
      <c r="V28" s="783">
        <f>SUM(V22:V27)</f>
        <v/>
      </c>
      <c r="W28" s="783">
        <f>SUM(W22:W27)</f>
        <v/>
      </c>
      <c r="X28" s="783">
        <f>SUM(X22:X27)</f>
        <v/>
      </c>
      <c r="Y28" s="783">
        <f>SUM(Y22:Y27)</f>
        <v/>
      </c>
      <c r="Z28" s="783">
        <f>SUM(Z22:Z27)</f>
        <v/>
      </c>
      <c r="AA28" s="628">
        <f>AA20+AA27</f>
        <v/>
      </c>
      <c r="AB28" s="628">
        <f>AB20+AB27</f>
        <v/>
      </c>
      <c r="AC28" s="608">
        <f>C28+D28+E28+F28+G28+I28+J28+K28+L28+M28+N28+O28+P28+Q28+R28+S28+T28+U28+V28+W28+X28+Y28+Z28</f>
        <v/>
      </c>
      <c r="AD28" s="608">
        <f>#REF!+#REF!+#REF!+#REF!+#REF!+#REF!+#REF!+#REF!+#REF!+#REF!+#REF!+#REF!+#REF!+#REF!+#REF!+#REF!+#REF!+#REF!+#REF!+#REF!+#REF!</f>
        <v/>
      </c>
      <c r="AE28" s="602">
        <f>AC28-AD28</f>
        <v/>
      </c>
    </row>
    <row r="29">
      <c r="A29" s="629" t="inlineStr">
        <is>
          <t>1.Выручка</t>
        </is>
      </c>
      <c r="B29" s="630" t="inlineStr">
        <is>
          <t>Приход</t>
        </is>
      </c>
      <c r="C29" s="628">
        <f>C21+C28</f>
        <v/>
      </c>
      <c r="D29" s="628">
        <f>D21+D28</f>
        <v/>
      </c>
      <c r="E29" s="628">
        <f>E21+E28</f>
        <v/>
      </c>
      <c r="F29" s="628">
        <f>F21+F28</f>
        <v/>
      </c>
      <c r="G29" s="628">
        <f>G21+G28</f>
        <v/>
      </c>
      <c r="H29" s="628">
        <f>H21+H28</f>
        <v/>
      </c>
      <c r="I29" s="628">
        <f>I21+I28</f>
        <v/>
      </c>
      <c r="J29" s="628">
        <f>J21+J28</f>
        <v/>
      </c>
      <c r="K29" s="628">
        <f>K21+K28</f>
        <v/>
      </c>
      <c r="L29" s="628">
        <f>L21+L28</f>
        <v/>
      </c>
      <c r="M29" s="628">
        <f>M21+M28</f>
        <v/>
      </c>
      <c r="N29" s="628">
        <f>N21+N28</f>
        <v/>
      </c>
      <c r="O29" s="628">
        <f>O21+O28</f>
        <v/>
      </c>
      <c r="P29" s="628">
        <f>P21+P28</f>
        <v/>
      </c>
      <c r="Q29" s="628">
        <f>Q21+Q28</f>
        <v/>
      </c>
      <c r="R29" s="628">
        <f>R21+R28</f>
        <v/>
      </c>
      <c r="S29" s="628">
        <f>S21+S28</f>
        <v/>
      </c>
      <c r="T29" s="628">
        <f>T21+T28</f>
        <v/>
      </c>
      <c r="U29" s="628">
        <f>U21+U28</f>
        <v/>
      </c>
      <c r="V29" s="628">
        <f>V21+V28</f>
        <v/>
      </c>
      <c r="W29" s="628">
        <f>W21+W28</f>
        <v/>
      </c>
      <c r="X29" s="628">
        <f>X21+X28</f>
        <v/>
      </c>
      <c r="Y29" s="628">
        <f>Y21+Y28</f>
        <v/>
      </c>
      <c r="Z29" s="628">
        <f>Z21+Z28</f>
        <v/>
      </c>
      <c r="AA29" s="680" t="n"/>
      <c r="AB29" s="680" t="n"/>
      <c r="AC29" s="608">
        <f>C29+D29+E29+F29+G29+I29+J29+K29+L29+M29+N29+O29+P29+Q29+R29+S29+T29+U29+V29+W29+X29+Y29+Z29</f>
        <v/>
      </c>
      <c r="AD29" s="631">
        <f>#REF!+#REF!+#REF!+#REF!+#REF!+#REF!+#REF!+#REF!+#REF!+#REF!+#REF!+#REF!+#REF!+#REF!+#REF!+#REF!+#REF!+#REF!+#REF!+#REF!+#REF!</f>
        <v/>
      </c>
      <c r="AE29" s="632">
        <f>AC29-AD29</f>
        <v/>
      </c>
    </row>
    <row r="30">
      <c r="A30" s="633" t="inlineStr">
        <is>
          <t>IT-обслуживание,телефония,интернет</t>
        </is>
      </c>
      <c r="B30" s="604" t="inlineStr">
        <is>
          <t>Расход</t>
        </is>
      </c>
      <c r="C30" s="634" t="n"/>
      <c r="D30" s="636" t="n">
        <v>-90000</v>
      </c>
      <c r="E30" s="634" t="n"/>
      <c r="F30" s="636" t="n">
        <v>-220400</v>
      </c>
      <c r="G30" s="634" t="n"/>
      <c r="H30" s="615">
        <f>C30+D30+E30+F30+G30</f>
        <v/>
      </c>
      <c r="I30" s="680" t="n"/>
      <c r="J30" s="680" t="n"/>
      <c r="K30" s="680" t="n"/>
      <c r="L30" s="680" t="n"/>
      <c r="M30" s="680" t="n"/>
      <c r="N30" s="637" t="n"/>
      <c r="O30" s="680" t="n"/>
      <c r="P30" s="680" t="n"/>
      <c r="Q30" s="637" t="n"/>
      <c r="R30" s="680" t="n"/>
      <c r="S30" s="645" t="n">
        <v>-90000</v>
      </c>
      <c r="T30" s="645" t="n">
        <v>-90000</v>
      </c>
      <c r="U30" s="680" t="n"/>
      <c r="V30" s="680" t="n"/>
      <c r="W30" s="680" t="n"/>
      <c r="X30" s="645" t="n">
        <v>-90000</v>
      </c>
      <c r="Y30" s="645" t="n">
        <v>-90000</v>
      </c>
      <c r="Z30" s="680" t="n"/>
      <c r="AA30" s="680" t="n"/>
      <c r="AB30" s="680" t="n"/>
      <c r="AC30" s="608">
        <f>C30+D30+E30+F30+G30+I30+J30+K30+L30+M30+N30+O30+P30+Q30+R30+S30+T30+U30+V30+W30+X30+Y30+Z30</f>
        <v/>
      </c>
      <c r="AD30" s="608">
        <f>#REF!+#REF!+#REF!+#REF!+#REF!+#REF!+#REF!+#REF!+#REF!+#REF!+#REF!+#REF!+#REF!+#REF!+#REF!+#REF!+#REF!+#REF!+#REF!+#REF!+#REF!</f>
        <v/>
      </c>
      <c r="AE30" s="602">
        <f>AC30-AD30</f>
        <v/>
      </c>
    </row>
    <row r="31">
      <c r="A31" s="633" t="inlineStr">
        <is>
          <t>Авансы поставщикам</t>
        </is>
      </c>
      <c r="B31" s="604" t="inlineStr">
        <is>
          <t>Расход</t>
        </is>
      </c>
      <c r="C31" s="634" t="n"/>
      <c r="D31" s="634" t="n"/>
      <c r="E31" s="634" t="n"/>
      <c r="F31" s="634" t="n"/>
      <c r="G31" s="634" t="n"/>
      <c r="H31" s="615">
        <f>C31+D31+E31+F31+G31</f>
        <v/>
      </c>
      <c r="I31" s="680" t="n"/>
      <c r="J31" s="680" t="n"/>
      <c r="K31" s="680" t="n"/>
      <c r="L31" s="680" t="n"/>
      <c r="M31" s="680" t="n"/>
      <c r="N31" s="680" t="n"/>
      <c r="O31" s="680" t="n"/>
      <c r="P31" s="680" t="n"/>
      <c r="Q31" s="680" t="n"/>
      <c r="R31" s="680" t="n"/>
      <c r="S31" s="680" t="n"/>
      <c r="T31" s="680" t="n"/>
      <c r="U31" s="680" t="n"/>
      <c r="V31" s="680" t="n"/>
      <c r="W31" s="680" t="n"/>
      <c r="X31" s="680" t="n"/>
      <c r="Y31" s="680" t="n"/>
      <c r="Z31" s="680" t="n"/>
      <c r="AA31" s="642" t="n">
        <v>-55000</v>
      </c>
      <c r="AB31" s="642" t="n">
        <v>-55000</v>
      </c>
      <c r="AC31" s="608">
        <f>C31+D31+E31+F31+G31+I31+J31+K31+L31+M31+N31+O31+P31+Q31+R31+S31+T31+U31+V31+W31+X31+Y31+Z31</f>
        <v/>
      </c>
      <c r="AD31" s="608">
        <f>#REF!+#REF!+#REF!+#REF!+#REF!+#REF!+#REF!+#REF!+#REF!+#REF!+#REF!+#REF!+#REF!+#REF!+#REF!+#REF!+#REF!+#REF!+#REF!+#REF!+#REF!</f>
        <v/>
      </c>
      <c r="AE31" s="602">
        <f>AC31-AD31</f>
        <v/>
      </c>
    </row>
    <row r="32">
      <c r="A32" s="633" t="inlineStr">
        <is>
          <t>Административные расходы</t>
        </is>
      </c>
      <c r="B32" s="604" t="inlineStr">
        <is>
          <t>Расход</t>
        </is>
      </c>
      <c r="C32" s="641" t="n">
        <v>-55000</v>
      </c>
      <c r="D32" s="641">
        <f>-400000</f>
        <v/>
      </c>
      <c r="E32" s="641" t="n">
        <v>-55000</v>
      </c>
      <c r="F32" s="641" t="n">
        <v>-55000</v>
      </c>
      <c r="G32" s="641" t="n">
        <v>-55000</v>
      </c>
      <c r="H32" s="615">
        <f>C32+D32+E32+F32+G32</f>
        <v/>
      </c>
      <c r="I32" s="642" t="n">
        <v>-55000</v>
      </c>
      <c r="J32" s="642" t="n">
        <v>-30000</v>
      </c>
      <c r="K32" s="642" t="n">
        <v>-55000</v>
      </c>
      <c r="L32" s="642" t="n">
        <v>-55000</v>
      </c>
      <c r="M32" s="642" t="n">
        <v>-55000</v>
      </c>
      <c r="N32" s="642" t="n">
        <v>-55000</v>
      </c>
      <c r="O32" s="642" t="n">
        <v>-55000</v>
      </c>
      <c r="P32" s="642" t="n">
        <v>-55000</v>
      </c>
      <c r="Q32" s="642" t="n">
        <v>-55000</v>
      </c>
      <c r="R32" s="642" t="n">
        <v>-55000</v>
      </c>
      <c r="S32" s="642" t="n">
        <v>-55000</v>
      </c>
      <c r="T32" s="642" t="n">
        <v>-55000</v>
      </c>
      <c r="U32" s="642" t="n">
        <v>-55000</v>
      </c>
      <c r="V32" s="642" t="n">
        <v>-55000</v>
      </c>
      <c r="W32" s="642" t="n">
        <v>-55000</v>
      </c>
      <c r="X32" s="642" t="n">
        <v>-55000</v>
      </c>
      <c r="Y32" s="642" t="n">
        <v>-55000</v>
      </c>
      <c r="Z32" s="642" t="n">
        <v>-55000</v>
      </c>
      <c r="AA32" s="680" t="n"/>
      <c r="AB32" s="680" t="n"/>
      <c r="AC32" s="608">
        <f>C32+D32+E32+F32+G32+I32+J32+K32+L32+M32+N32+O32+P32+Q32+R32+S32+T32+U32+V32+W32+X32+Y32+Z32</f>
        <v/>
      </c>
      <c r="AD32" s="608">
        <f>#REF!+#REF!+#REF!+#REF!+#REF!+#REF!+#REF!+#REF!+#REF!+#REF!+#REF!+#REF!+#REF!+#REF!+#REF!+#REF!+#REF!+#REF!+#REF!+#REF!+#REF!</f>
        <v/>
      </c>
      <c r="AE32" s="602">
        <f>AC32-AD32</f>
        <v/>
      </c>
    </row>
    <row r="33">
      <c r="A33" s="633" t="inlineStr">
        <is>
          <t>Возврат ВФП</t>
        </is>
      </c>
      <c r="B33" s="604" t="inlineStr">
        <is>
          <t>Расход</t>
        </is>
      </c>
      <c r="C33" s="634" t="n"/>
      <c r="D33" s="634" t="n"/>
      <c r="E33" s="634" t="n"/>
      <c r="F33" s="634" t="n"/>
      <c r="G33" s="634" t="n"/>
      <c r="H33" s="615">
        <f>C33+D33+E33+F33+G33</f>
        <v/>
      </c>
      <c r="I33" s="680" t="n"/>
      <c r="J33" s="680" t="n"/>
      <c r="K33" s="680" t="n"/>
      <c r="L33" s="680" t="n"/>
      <c r="M33" s="680" t="n"/>
      <c r="N33" s="680" t="n"/>
      <c r="O33" s="680" t="n"/>
      <c r="P33" s="680" t="n"/>
      <c r="Q33" s="680" t="n"/>
      <c r="R33" s="680" t="n"/>
      <c r="S33" s="643" t="n"/>
      <c r="T33" s="680" t="n"/>
      <c r="U33" s="680" t="n"/>
      <c r="V33" s="680" t="n"/>
      <c r="W33" s="680" t="n"/>
      <c r="X33" s="643" t="n"/>
      <c r="Y33" s="680" t="n"/>
      <c r="Z33" s="680" t="n"/>
      <c r="AA33" s="680" t="n"/>
      <c r="AB33" s="680" t="n"/>
      <c r="AC33" s="608">
        <f>C33+D33+E33+F33+G33+I33+J33+K33+L33+M33+N33+O33+P33+Q33+R33+S33+T33+U33+V33+W33+X33+Y33+Z33</f>
        <v/>
      </c>
      <c r="AD33" s="608">
        <f>#REF!+#REF!+#REF!+#REF!+#REF!+#REF!+#REF!+#REF!+#REF!+#REF!+#REF!+#REF!+#REF!+#REF!+#REF!+#REF!+#REF!+#REF!+#REF!+#REF!+#REF!</f>
        <v/>
      </c>
      <c r="AE33" s="602">
        <f>AC33-AD33</f>
        <v/>
      </c>
    </row>
    <row r="34">
      <c r="A34" s="604" t="inlineStr">
        <is>
          <t>Представительские расходы</t>
        </is>
      </c>
      <c r="B34" s="604" t="inlineStr">
        <is>
          <t>Расход</t>
        </is>
      </c>
      <c r="C34" s="634" t="n"/>
      <c r="D34" s="634" t="n"/>
      <c r="E34" s="634" t="n"/>
      <c r="F34" s="634" t="n"/>
      <c r="G34" s="634" t="n"/>
      <c r="H34" s="615">
        <f>C34+D34+E34+F34+G34</f>
        <v/>
      </c>
      <c r="I34" s="680" t="n"/>
      <c r="J34" s="680" t="n"/>
      <c r="K34" s="680" t="n"/>
      <c r="L34" s="680" t="n"/>
      <c r="M34" s="680" t="n"/>
      <c r="N34" s="680" t="n"/>
      <c r="O34" s="680" t="n"/>
      <c r="P34" s="680" t="n"/>
      <c r="Q34" s="680" t="n"/>
      <c r="R34" s="680" t="n"/>
      <c r="S34" s="643" t="n"/>
      <c r="T34" s="680" t="n"/>
      <c r="U34" s="680" t="n"/>
      <c r="V34" s="680" t="n"/>
      <c r="W34" s="680" t="n"/>
      <c r="X34" s="643" t="n"/>
      <c r="Y34" s="680" t="n"/>
      <c r="Z34" s="680" t="n"/>
      <c r="AA34" s="680" t="n"/>
      <c r="AB34" s="680" t="n"/>
      <c r="AC34" s="608">
        <f>C34+D34+E34+F34+G34+I34+J34+K34+L34+M34+N34+O34+P34+Q34+R34+S34+T34+U34+V34+W34+X34+Y34+Z34</f>
        <v/>
      </c>
      <c r="AD34" s="608">
        <f>#REF!+#REF!+#REF!+#REF!+#REF!+#REF!+#REF!+#REF!+#REF!+#REF!+#REF!+#REF!+#REF!+#REF!+#REF!+#REF!+#REF!+#REF!+#REF!+#REF!+#REF!</f>
        <v/>
      </c>
      <c r="AE34" s="602">
        <f>AC34-AD34</f>
        <v/>
      </c>
    </row>
    <row r="35">
      <c r="A35" s="633" t="inlineStr">
        <is>
          <t>Аренда помещений</t>
        </is>
      </c>
      <c r="B35" s="604" t="inlineStr">
        <is>
          <t>Расход</t>
        </is>
      </c>
      <c r="C35" s="634" t="n"/>
      <c r="D35" s="634" t="n"/>
      <c r="E35" s="634" t="n"/>
      <c r="F35" s="634" t="n"/>
      <c r="G35" s="634" t="n"/>
      <c r="H35" s="615">
        <f>C35+D35+E35+F35+G35</f>
        <v/>
      </c>
      <c r="I35" s="680" t="n"/>
      <c r="J35" s="645" t="n">
        <v>-6655000</v>
      </c>
      <c r="K35" s="680" t="n"/>
      <c r="L35" s="680" t="n"/>
      <c r="M35" s="680" t="n"/>
      <c r="N35" s="680" t="n"/>
      <c r="O35" s="680" t="n"/>
      <c r="P35" s="680" t="n"/>
      <c r="Q35" s="680" t="n"/>
      <c r="R35" s="680" t="n"/>
      <c r="S35" s="643" t="n"/>
      <c r="T35" s="680" t="n"/>
      <c r="U35" s="680" t="n"/>
      <c r="V35" s="680" t="n"/>
      <c r="W35" s="680" t="n"/>
      <c r="X35" s="643" t="n"/>
      <c r="Y35" s="680" t="n"/>
      <c r="Z35" s="680" t="n"/>
      <c r="AA35" s="680" t="n"/>
      <c r="AB35" s="680" t="n"/>
      <c r="AC35" s="608">
        <f>C35+D35+E35+F35+G35+I35+J35+K35+L35+M35+N35+O35+P35+Q35+R35+S35+T35+U35+V35+W35+X35+Y35+Z35</f>
        <v/>
      </c>
      <c r="AD35" s="608">
        <f>#REF!+#REF!+#REF!+#REF!+#REF!+#REF!+#REF!+#REF!+#REF!+#REF!+#REF!+#REF!+#REF!+#REF!+#REF!+#REF!+#REF!+#REF!+#REF!+#REF!+#REF!</f>
        <v/>
      </c>
      <c r="AE35" s="602">
        <f>AC35-AD35</f>
        <v/>
      </c>
    </row>
    <row r="36">
      <c r="A36" s="633" t="inlineStr">
        <is>
          <t>Газ</t>
        </is>
      </c>
      <c r="B36" s="604" t="inlineStr">
        <is>
          <t>Расход</t>
        </is>
      </c>
      <c r="C36" s="634" t="n"/>
      <c r="D36" s="634" t="n"/>
      <c r="E36" s="634" t="n"/>
      <c r="F36" s="634" t="n"/>
      <c r="G36" s="634" t="n"/>
      <c r="H36" s="615">
        <f>C36+D36+E36+F36+G36</f>
        <v/>
      </c>
      <c r="I36" s="680" t="n"/>
      <c r="J36" s="680" t="n"/>
      <c r="K36" s="680" t="n"/>
      <c r="L36" s="680" t="n"/>
      <c r="M36" s="680" t="n"/>
      <c r="N36" s="680" t="n"/>
      <c r="O36" s="680" t="n"/>
      <c r="P36" s="680" t="n"/>
      <c r="Q36" s="680" t="n"/>
      <c r="R36" s="680" t="n"/>
      <c r="S36" s="645" t="n">
        <v>-630000</v>
      </c>
      <c r="T36" s="680" t="n"/>
      <c r="U36" s="680" t="n"/>
      <c r="V36" s="680" t="n"/>
      <c r="W36" s="680" t="n"/>
      <c r="X36" s="645" t="n">
        <v>-630000</v>
      </c>
      <c r="Y36" s="680" t="n"/>
      <c r="Z36" s="680" t="n"/>
      <c r="AA36" s="680" t="n"/>
      <c r="AB36" s="680" t="n"/>
      <c r="AC36" s="608">
        <f>C36+D36+E36+F36+G36+I36+J36+K36+L36+M36+N36+O36+P36+Q36+R36+S36+T36+U36+V36+W36+X36+Y36+Z36</f>
        <v/>
      </c>
      <c r="AD36" s="608">
        <f>#REF!+#REF!+#REF!+#REF!+#REF!+#REF!+#REF!+#REF!+#REF!+#REF!+#REF!+#REF!+#REF!+#REF!+#REF!+#REF!+#REF!+#REF!+#REF!+#REF!+#REF!</f>
        <v/>
      </c>
      <c r="AE36" s="602">
        <f>AC36-AD36</f>
        <v/>
      </c>
    </row>
    <row r="37">
      <c r="A37" s="633" t="inlineStr">
        <is>
          <t>Маркетинг</t>
        </is>
      </c>
      <c r="B37" s="604" t="inlineStr">
        <is>
          <t>Расход</t>
        </is>
      </c>
      <c r="C37" s="634" t="n"/>
      <c r="D37" s="634" t="n"/>
      <c r="E37" s="634" t="n"/>
      <c r="F37" s="634" t="n"/>
      <c r="G37" s="634" t="n"/>
      <c r="H37" s="615">
        <f>C37+D37+E37+F37+G37</f>
        <v/>
      </c>
      <c r="I37" s="680" t="n"/>
      <c r="J37" s="680" t="n"/>
      <c r="K37" s="680" t="n"/>
      <c r="L37" s="680" t="n"/>
      <c r="M37" s="680" t="n"/>
      <c r="N37" s="680" t="n"/>
      <c r="O37" s="680" t="n"/>
      <c r="P37" s="680" t="n"/>
      <c r="Q37" s="680" t="n"/>
      <c r="R37" s="680" t="n"/>
      <c r="S37" s="643" t="n"/>
      <c r="T37" s="680" t="n"/>
      <c r="U37" s="680" t="n"/>
      <c r="V37" s="680" t="n"/>
      <c r="W37" s="680" t="n"/>
      <c r="X37" s="643" t="n"/>
      <c r="Y37" s="680" t="n"/>
      <c r="Z37" s="680" t="n"/>
      <c r="AA37" s="680" t="n"/>
      <c r="AB37" s="680" t="n"/>
      <c r="AC37" s="608">
        <f>C37+D37+E37+F37+G37+I37+J37+K37+L37+M37+N37+O37+P37+Q37+R37+S37+T37+U37+V37+W37+X37+Y37+Z37</f>
        <v/>
      </c>
      <c r="AD37" s="608">
        <f>#REF!+#REF!+#REF!+#REF!+#REF!+#REF!+#REF!+#REF!+#REF!+#REF!+#REF!+#REF!+#REF!+#REF!+#REF!+#REF!+#REF!+#REF!+#REF!+#REF!+#REF!</f>
        <v/>
      </c>
      <c r="AE37" s="602">
        <f>AC37-AD37</f>
        <v/>
      </c>
    </row>
    <row r="38">
      <c r="A38" s="633" t="inlineStr">
        <is>
          <t>Мусор</t>
        </is>
      </c>
      <c r="B38" s="604" t="inlineStr">
        <is>
          <t>Расход</t>
        </is>
      </c>
      <c r="C38" s="634" t="n"/>
      <c r="D38" s="634" t="n"/>
      <c r="E38" s="634" t="n"/>
      <c r="F38" s="634" t="n"/>
      <c r="G38" s="634" t="n"/>
      <c r="H38" s="615">
        <f>C38+D38+E38+F38+G38</f>
        <v/>
      </c>
      <c r="I38" s="680" t="n"/>
      <c r="J38" s="680" t="n"/>
      <c r="K38" s="680" t="n"/>
      <c r="L38" s="680" t="n"/>
      <c r="M38" s="645" t="n">
        <v>-100000</v>
      </c>
      <c r="N38" s="680" t="n"/>
      <c r="O38" s="680" t="n"/>
      <c r="P38" s="680" t="n"/>
      <c r="Q38" s="642" t="n">
        <v>-642920</v>
      </c>
      <c r="R38" s="647" t="n"/>
      <c r="S38" s="642" t="n"/>
      <c r="T38" s="680" t="n"/>
      <c r="U38" s="680" t="n"/>
      <c r="V38" s="680" t="n"/>
      <c r="W38" s="680" t="n"/>
      <c r="X38" s="642" t="n"/>
      <c r="Y38" s="680" t="n"/>
      <c r="Z38" s="680" t="n"/>
      <c r="AA38" s="680" t="n"/>
      <c r="AB38" s="680" t="n"/>
      <c r="AC38" s="608">
        <f>C38+D38+E38+F38+G38+I38+J38+K38+L38+M38+N38+O38+P38+Q38+R38+S38+T38+U38+V38+W38+X38+Y38+Z38</f>
        <v/>
      </c>
      <c r="AD38" s="608">
        <f>#REF!+#REF!+#REF!+#REF!+#REF!+#REF!+#REF!+#REF!+#REF!+#REF!+#REF!+#REF!+#REF!+#REF!+#REF!+#REF!+#REF!+#REF!+#REF!+#REF!+#REF!</f>
        <v/>
      </c>
      <c r="AE38" s="602">
        <f>AC38-AD38</f>
        <v/>
      </c>
    </row>
    <row r="39">
      <c r="A39" s="633" t="inlineStr">
        <is>
          <t>Налоги и другие платежи в бюджет</t>
        </is>
      </c>
      <c r="B39" s="604" t="inlineStr">
        <is>
          <t>Расход</t>
        </is>
      </c>
      <c r="C39" s="641" t="n"/>
      <c r="D39" s="641" t="n"/>
      <c r="E39" s="641" t="n"/>
      <c r="F39" s="641" t="n"/>
      <c r="G39" s="634" t="n"/>
      <c r="H39" s="615">
        <f>C39+D39+E39+F39+G39</f>
        <v/>
      </c>
      <c r="I39" s="680" t="n"/>
      <c r="J39" s="680" t="n"/>
      <c r="K39" s="680" t="n"/>
      <c r="L39" s="680" t="n"/>
      <c r="M39" s="645" t="n">
        <v>-8000000</v>
      </c>
      <c r="N39" s="645" t="n">
        <v>-6000000</v>
      </c>
      <c r="O39" s="680" t="n"/>
      <c r="P39" s="680" t="n"/>
      <c r="Q39" s="645" t="n"/>
      <c r="R39" s="645" t="n"/>
      <c r="S39" s="643" t="n"/>
      <c r="T39" s="642" t="n">
        <v>-12000000</v>
      </c>
      <c r="U39" s="680" t="n"/>
      <c r="V39" s="680" t="n"/>
      <c r="W39" s="680" t="n"/>
      <c r="X39" s="643" t="n"/>
      <c r="Y39" s="642" t="n">
        <v>-12000000</v>
      </c>
      <c r="Z39" s="680" t="n"/>
      <c r="AA39" s="680" t="n"/>
      <c r="AB39" s="680" t="n"/>
      <c r="AC39" s="608">
        <f>C39+D39+E39+F39+G39+I39+J39+K39+L39+M39+N39+O39+P39+Q39+R39+S39+T39+U39+V39+W39+X39+Y39+Z39</f>
        <v/>
      </c>
      <c r="AD39" s="608">
        <f>#REF!+#REF!+#REF!+#REF!+#REF!+#REF!+#REF!+#REF!+#REF!+#REF!+#REF!+#REF!+#REF!+#REF!+#REF!+#REF!+#REF!+#REF!+#REF!+#REF!+#REF!</f>
        <v/>
      </c>
      <c r="AE39" s="602">
        <f>AC39-AD39</f>
        <v/>
      </c>
    </row>
    <row r="40">
      <c r="A40" s="633" t="inlineStr">
        <is>
          <t>Оплата труда</t>
        </is>
      </c>
      <c r="B40" s="604" t="inlineStr">
        <is>
          <t>Расход</t>
        </is>
      </c>
      <c r="C40" s="634" t="n"/>
      <c r="D40" s="641" t="n"/>
      <c r="E40" s="634" t="n"/>
      <c r="F40" s="1077" t="n">
        <v>-18500000</v>
      </c>
      <c r="G40" s="634" t="n"/>
      <c r="H40" s="615">
        <f>C40+D40+E40+F40+G40</f>
        <v/>
      </c>
      <c r="I40" s="680" t="n"/>
      <c r="J40" s="680" t="n"/>
      <c r="K40" s="680" t="n"/>
      <c r="L40" s="680" t="n"/>
      <c r="M40" s="680" t="n"/>
      <c r="N40" s="680" t="n"/>
      <c r="O40" s="680" t="n"/>
      <c r="P40" s="680" t="n"/>
      <c r="Q40" s="647" t="n">
        <v>-2030000</v>
      </c>
      <c r="R40" s="680" t="n"/>
      <c r="S40" s="680" t="n"/>
      <c r="T40" s="680" t="n"/>
      <c r="U40" s="680" t="n"/>
      <c r="V40" s="680" t="n"/>
      <c r="W40" s="680" t="n"/>
      <c r="X40" s="680" t="n"/>
      <c r="Y40" s="680" t="n"/>
      <c r="Z40" s="680" t="n"/>
      <c r="AA40" s="680" t="n"/>
      <c r="AB40" s="680" t="n"/>
      <c r="AC40" s="608">
        <f>C40+D40+E40+F40+G40+I40+J40+K40+L40+M40+N40+O40+P40+Q40+R40+S40+T40+U40+V40+W40+X40+Y40+Z40</f>
        <v/>
      </c>
      <c r="AD40" s="608">
        <f>#REF!+#REF!+#REF!+#REF!+#REF!+#REF!+#REF!+#REF!+#REF!+#REF!+#REF!+#REF!+#REF!+#REF!+#REF!+#REF!+#REF!+#REF!+#REF!+#REF!+#REF!</f>
        <v/>
      </c>
      <c r="AE40" s="602">
        <f>AC40-AD40</f>
        <v/>
      </c>
    </row>
    <row r="41">
      <c r="A41" s="633" t="inlineStr">
        <is>
          <t>Охрана</t>
        </is>
      </c>
      <c r="B41" s="604" t="inlineStr">
        <is>
          <t>Расход</t>
        </is>
      </c>
      <c r="C41" s="634" t="n"/>
      <c r="D41" s="634" t="n"/>
      <c r="E41" s="634" t="n"/>
      <c r="F41" s="634" t="n"/>
      <c r="G41" s="634" t="n"/>
      <c r="H41" s="615">
        <f>C41+D41+E41+F41+G41</f>
        <v/>
      </c>
      <c r="I41" s="680" t="n"/>
      <c r="J41" s="645" t="n">
        <v>-1000000</v>
      </c>
      <c r="K41" s="680" t="n"/>
      <c r="L41" s="680" t="n"/>
      <c r="M41" s="680" t="n"/>
      <c r="N41" s="680" t="n"/>
      <c r="O41" s="680" t="n"/>
      <c r="P41" s="680" t="n"/>
      <c r="Q41" s="680" t="n"/>
      <c r="R41" s="680" t="n"/>
      <c r="S41" s="643" t="n"/>
      <c r="T41" s="680" t="n"/>
      <c r="U41" s="680" t="n"/>
      <c r="V41" s="680" t="n"/>
      <c r="W41" s="680" t="n"/>
      <c r="X41" s="643" t="n"/>
      <c r="Y41" s="680" t="n"/>
      <c r="Z41" s="680" t="n"/>
      <c r="AA41" s="680" t="n"/>
      <c r="AB41" s="680" t="n"/>
      <c r="AC41" s="608">
        <f>C41+D41+E41+F41+G41+I41+J41+K41+L41+M41+N41+O41+P41+Q41+R41+S41+T41+U41+V41+W41+X41+Y41+Z41</f>
        <v/>
      </c>
      <c r="AD41" s="608">
        <f>#REF!+#REF!+#REF!+#REF!+#REF!+#REF!+#REF!+#REF!+#REF!+#REF!+#REF!+#REF!+#REF!+#REF!+#REF!+#REF!+#REF!+#REF!+#REF!+#REF!+#REF!</f>
        <v/>
      </c>
      <c r="AE41" s="602">
        <f>AC41-AD41</f>
        <v/>
      </c>
    </row>
    <row r="42">
      <c r="A42" s="633" t="inlineStr">
        <is>
          <t>Платежи поставщикам Прочее</t>
        </is>
      </c>
      <c r="B42" s="604" t="inlineStr">
        <is>
          <t>Расход</t>
        </is>
      </c>
      <c r="C42" s="634" t="n"/>
      <c r="D42" s="634" t="n"/>
      <c r="E42" s="634" t="n"/>
      <c r="F42" s="634" t="n"/>
      <c r="G42" s="634" t="n"/>
      <c r="H42" s="615">
        <f>C42+D42+E42+F42+G42</f>
        <v/>
      </c>
      <c r="I42" s="680" t="n"/>
      <c r="J42" s="680" t="n"/>
      <c r="K42" s="680" t="n"/>
      <c r="L42" s="680" t="n"/>
      <c r="M42" s="680" t="n"/>
      <c r="N42" s="680" t="n"/>
      <c r="O42" s="680" t="n"/>
      <c r="P42" s="680" t="n"/>
      <c r="Q42" s="680" t="n"/>
      <c r="R42" s="680" t="n"/>
      <c r="S42" s="643" t="n"/>
      <c r="T42" s="680" t="n"/>
      <c r="U42" s="680" t="n"/>
      <c r="V42" s="680" t="n"/>
      <c r="W42" s="680" t="n"/>
      <c r="X42" s="643" t="n"/>
      <c r="Y42" s="680" t="n"/>
      <c r="Z42" s="680" t="n"/>
      <c r="AA42" s="642" t="n">
        <v>-3000000</v>
      </c>
      <c r="AB42" s="680" t="n"/>
      <c r="AC42" s="608">
        <f>C42+D42+E42+F42+G42+I42+J42+K42+L42+M42+N42+O42+P42+Q42+R42+S42+T42+U42+V42+W42+X42+Y42+Z42</f>
        <v/>
      </c>
      <c r="AD42" s="608">
        <f>#REF!+#REF!+#REF!+#REF!+#REF!+#REF!+#REF!+#REF!+#REF!+#REF!+#REF!+#REF!+#REF!+#REF!+#REF!+#REF!+#REF!+#REF!+#REF!+#REF!+#REF!</f>
        <v/>
      </c>
      <c r="AE42" s="602">
        <f>AC42-AD42</f>
        <v/>
      </c>
    </row>
    <row r="43">
      <c r="A43" s="633" t="inlineStr">
        <is>
          <t xml:space="preserve">Производственные расходы </t>
        </is>
      </c>
      <c r="B43" s="604" t="inlineStr">
        <is>
          <t>Расход</t>
        </is>
      </c>
      <c r="C43" s="634" t="n"/>
      <c r="D43" s="641" t="n">
        <v>-3000000</v>
      </c>
      <c r="E43" s="634" t="n"/>
      <c r="F43" s="641" t="n"/>
      <c r="G43" s="634" t="n"/>
      <c r="H43" s="615">
        <f>C43+D43+E43+F43+G43</f>
        <v/>
      </c>
      <c r="I43" s="680" t="n"/>
      <c r="J43" s="642" t="n">
        <v>-3000000</v>
      </c>
      <c r="K43" s="642" t="n">
        <v>-3000000</v>
      </c>
      <c r="L43" s="642" t="n">
        <v>-3000000</v>
      </c>
      <c r="M43" s="680" t="n"/>
      <c r="N43" s="680" t="n"/>
      <c r="O43" s="642" t="n"/>
      <c r="P43" s="643" t="n"/>
      <c r="Q43" s="642" t="n">
        <v>-3000000</v>
      </c>
      <c r="R43" s="680" t="n"/>
      <c r="S43" s="642" t="n">
        <v>-3000000</v>
      </c>
      <c r="T43" s="642" t="n"/>
      <c r="U43" s="643" t="n"/>
      <c r="V43" s="642" t="n">
        <v>-3000000</v>
      </c>
      <c r="W43" s="680" t="n"/>
      <c r="X43" s="642" t="n">
        <v>-3000000</v>
      </c>
      <c r="Y43" s="642" t="n"/>
      <c r="Z43" s="643" t="n"/>
      <c r="AA43" s="680" t="n"/>
      <c r="AB43" s="680" t="n"/>
      <c r="AC43" s="608">
        <f>C43+D43+E43+F43+G43+I43+J43+K43+L43+M43+N43+O43+P43+Q43+R43+S43+T43+U43+V43+W43+X43+Y43+Z43</f>
        <v/>
      </c>
      <c r="AD43" s="608">
        <f>#REF!+#REF!+#REF!+#REF!+#REF!+#REF!+#REF!+#REF!+#REF!+#REF!+#REF!+#REF!+#REF!+#REF!+#REF!+#REF!+#REF!+#REF!+#REF!+#REF!+#REF!</f>
        <v/>
      </c>
      <c r="AE43" s="602">
        <f>AC43-AD43</f>
        <v/>
      </c>
    </row>
    <row r="44">
      <c r="A44" s="633" t="inlineStr">
        <is>
          <t>Инвентарь</t>
        </is>
      </c>
      <c r="B44" s="604" t="inlineStr">
        <is>
          <t>Расход</t>
        </is>
      </c>
      <c r="C44" s="634" t="n"/>
      <c r="D44" s="634" t="n"/>
      <c r="E44" s="634" t="n"/>
      <c r="F44" s="634" t="n"/>
      <c r="G44" s="634" t="n"/>
      <c r="H44" s="615">
        <f>C44+D44+E44+F44+G44</f>
        <v/>
      </c>
      <c r="I44" s="680" t="n"/>
      <c r="J44" s="680" t="n"/>
      <c r="K44" s="680" t="n"/>
      <c r="L44" s="680" t="n"/>
      <c r="M44" s="680" t="n"/>
      <c r="N44" s="680" t="n"/>
      <c r="O44" s="680" t="n"/>
      <c r="P44" s="680" t="n"/>
      <c r="Q44" s="680" t="n"/>
      <c r="R44" s="680" t="n"/>
      <c r="S44" s="643" t="n"/>
      <c r="T44" s="680" t="n"/>
      <c r="U44" s="680" t="n"/>
      <c r="V44" s="680" t="n"/>
      <c r="W44" s="680" t="n"/>
      <c r="X44" s="643" t="n"/>
      <c r="Y44" s="680" t="n"/>
      <c r="Z44" s="680" t="n"/>
      <c r="AA44" s="680" t="n"/>
      <c r="AB44" s="680" t="n"/>
      <c r="AC44" s="608">
        <f>C44+D44+E44+F44+G44+I44+J44+K44+L44+M44+N44+O44+P44+Q44+R44+S44+T44+U44+V44+W44+X44+Y44+Z44</f>
        <v/>
      </c>
      <c r="AD44" s="608">
        <f>#REF!+#REF!+#REF!+#REF!+#REF!+#REF!+#REF!+#REF!+#REF!+#REF!+#REF!+#REF!+#REF!+#REF!+#REF!+#REF!+#REF!+#REF!+#REF!+#REF!+#REF!</f>
        <v/>
      </c>
      <c r="AE44" s="602">
        <f>AC44-AD44</f>
        <v/>
      </c>
    </row>
    <row r="45">
      <c r="A45" s="633" t="inlineStr">
        <is>
          <t>Униформа</t>
        </is>
      </c>
      <c r="B45" s="604" t="inlineStr">
        <is>
          <t>Расход</t>
        </is>
      </c>
      <c r="C45" s="634" t="n"/>
      <c r="D45" s="634" t="n"/>
      <c r="E45" s="634" t="n"/>
      <c r="F45" s="634" t="n"/>
      <c r="G45" s="634" t="n"/>
      <c r="H45" s="615">
        <f>C45+D45+E45+F45+G45</f>
        <v/>
      </c>
      <c r="I45" s="680" t="n"/>
      <c r="J45" s="680" t="n"/>
      <c r="K45" s="680" t="n"/>
      <c r="L45" s="680" t="n"/>
      <c r="M45" s="680" t="n"/>
      <c r="N45" s="680" t="n"/>
      <c r="O45" s="680" t="n"/>
      <c r="P45" s="680" t="n"/>
      <c r="Q45" s="680" t="n"/>
      <c r="R45" s="680" t="n"/>
      <c r="S45" s="643" t="n"/>
      <c r="T45" s="680" t="n"/>
      <c r="U45" s="680" t="n"/>
      <c r="V45" s="680" t="n"/>
      <c r="W45" s="680" t="n"/>
      <c r="X45" s="643" t="n"/>
      <c r="Y45" s="680" t="n"/>
      <c r="Z45" s="680" t="n"/>
      <c r="AA45" s="680" t="n"/>
      <c r="AB45" s="680" t="n"/>
      <c r="AC45" s="608">
        <f>C45+D45+E45+F45+G45+I45+J45+K45+L45+M45+N45+O45+P45+Q45+R45+S45+T45+U45+V45+W45+X45+Y45+Z45</f>
        <v/>
      </c>
      <c r="AD45" s="608">
        <f>#REF!+#REF!+#REF!+#REF!+#REF!+#REF!+#REF!+#REF!+#REF!+#REF!+#REF!+#REF!+#REF!+#REF!+#REF!+#REF!+#REF!+#REF!+#REF!+#REF!+#REF!</f>
        <v/>
      </c>
      <c r="AE45" s="602">
        <f>AC45-AD45</f>
        <v/>
      </c>
    </row>
    <row r="46">
      <c r="A46" s="633" t="inlineStr">
        <is>
          <t>Упаковка</t>
        </is>
      </c>
      <c r="B46" s="604" t="inlineStr">
        <is>
          <t>Расход</t>
        </is>
      </c>
      <c r="C46" s="634" t="n"/>
      <c r="D46" s="641" t="n">
        <v>-3000000</v>
      </c>
      <c r="E46" s="634" t="n"/>
      <c r="F46" s="641" t="n">
        <v>-1000000</v>
      </c>
      <c r="G46" s="641" t="n"/>
      <c r="H46" s="615">
        <f>C46+D46+E46+F46+G46</f>
        <v/>
      </c>
      <c r="I46" s="680" t="n"/>
      <c r="J46" s="643" t="n"/>
      <c r="K46" s="642" t="n">
        <v>-1500000</v>
      </c>
      <c r="L46" s="645" t="n">
        <v>-900000</v>
      </c>
      <c r="M46" s="649" t="n">
        <v>-600000</v>
      </c>
      <c r="N46" s="680" t="n"/>
      <c r="O46" s="645" t="n">
        <v>-1000000</v>
      </c>
      <c r="P46" s="643" t="n"/>
      <c r="Q46" s="647" t="n">
        <v>-1000000</v>
      </c>
      <c r="R46" s="649" t="n">
        <v>-2000000</v>
      </c>
      <c r="S46" s="643" t="n"/>
      <c r="T46" s="642" t="n"/>
      <c r="U46" s="680" t="n"/>
      <c r="V46" s="680" t="n"/>
      <c r="W46" s="680" t="n"/>
      <c r="X46" s="643" t="n"/>
      <c r="Y46" s="642" t="n"/>
      <c r="Z46" s="680" t="n"/>
      <c r="AA46" s="680" t="n"/>
      <c r="AB46" s="680" t="n"/>
      <c r="AC46" s="608">
        <f>C46+D46+E46+F46+G46+I46+J46+K46+L46+M46+N46+O46+P46+Q46+R46+S46+T46+U46+V46+W46+X46+Y46+Z46</f>
        <v/>
      </c>
      <c r="AD46" s="608">
        <f>#REF!+#REF!+#REF!+#REF!+#REF!+#REF!+#REF!+#REF!+#REF!+#REF!+#REF!+#REF!+#REF!+#REF!+#REF!+#REF!+#REF!+#REF!+#REF!+#REF!+#REF!</f>
        <v/>
      </c>
      <c r="AE46" s="602">
        <f>AC46-AD46</f>
        <v/>
      </c>
    </row>
    <row r="47">
      <c r="A47" s="633" t="inlineStr">
        <is>
          <t>Хоз.товара</t>
        </is>
      </c>
      <c r="B47" s="604" t="inlineStr">
        <is>
          <t>Расход</t>
        </is>
      </c>
      <c r="C47" s="634" t="n"/>
      <c r="D47" s="634" t="n"/>
      <c r="E47" s="634" t="n"/>
      <c r="F47" s="634" t="n"/>
      <c r="G47" s="634" t="n"/>
      <c r="H47" s="615">
        <f>C47+D47+E47+F47+G47</f>
        <v/>
      </c>
      <c r="I47" s="680" t="n"/>
      <c r="J47" s="680" t="n"/>
      <c r="K47" s="680" t="n"/>
      <c r="L47" s="680" t="n"/>
      <c r="M47" s="649" t="n">
        <v>-300000</v>
      </c>
      <c r="N47" s="680" t="n"/>
      <c r="O47" s="680" t="n"/>
      <c r="P47" s="680" t="n"/>
      <c r="Q47" s="680" t="n"/>
      <c r="R47" s="680" t="n"/>
      <c r="S47" s="643" t="n"/>
      <c r="T47" s="680" t="n"/>
      <c r="U47" s="680" t="n"/>
      <c r="V47" s="680" t="n"/>
      <c r="W47" s="680" t="n"/>
      <c r="X47" s="643" t="n"/>
      <c r="Y47" s="680" t="n"/>
      <c r="Z47" s="680" t="n"/>
      <c r="AA47" s="649">
        <f>-915358-1770150</f>
        <v/>
      </c>
      <c r="AB47" s="649">
        <f>-915358-1770150</f>
        <v/>
      </c>
      <c r="AC47" s="608">
        <f>C47+D47+E47+F47+G47+I47+J47+K47+L47+M47+N47+O47+P47+Q47+R47+S47+T47+U47+V47+W47+X47+Y47+Z47</f>
        <v/>
      </c>
      <c r="AD47" s="608">
        <f>#REF!+#REF!+#REF!+#REF!+#REF!+#REF!+#REF!+#REF!+#REF!+#REF!+#REF!+#REF!+#REF!+#REF!+#REF!+#REF!+#REF!+#REF!+#REF!+#REF!+#REF!</f>
        <v/>
      </c>
      <c r="AE47" s="602">
        <f>AC47-AD47</f>
        <v/>
      </c>
    </row>
    <row r="48">
      <c r="A48" s="633" t="inlineStr">
        <is>
          <t>Погашение кредита и %%</t>
        </is>
      </c>
      <c r="B48" s="604" t="inlineStr">
        <is>
          <t>Расход</t>
        </is>
      </c>
      <c r="C48" s="634" t="n"/>
      <c r="D48" s="634" t="n"/>
      <c r="E48" s="634" t="n"/>
      <c r="F48" s="634" t="n"/>
      <c r="G48" s="634" t="n"/>
      <c r="H48" s="615">
        <f>C48+D48+E48+F48+G48</f>
        <v/>
      </c>
      <c r="I48" s="680" t="n"/>
      <c r="J48" s="680" t="n"/>
      <c r="K48" s="680" t="n"/>
      <c r="L48" s="680" t="n"/>
      <c r="M48" s="680" t="n"/>
      <c r="N48" s="680" t="n"/>
      <c r="O48" s="680" t="n"/>
      <c r="P48" s="680" t="n"/>
      <c r="Q48" s="680" t="n"/>
      <c r="R48" s="680" t="n"/>
      <c r="S48" s="649" t="n">
        <v>-1198352</v>
      </c>
      <c r="T48" s="680" t="n"/>
      <c r="U48" s="680" t="n"/>
      <c r="V48" s="649">
        <f>-915358-1770150</f>
        <v/>
      </c>
      <c r="W48" s="649">
        <f>-915358-1770150</f>
        <v/>
      </c>
      <c r="X48" s="649" t="n">
        <v>-1198352</v>
      </c>
      <c r="Y48" s="680" t="n"/>
      <c r="Z48" s="680" t="n"/>
      <c r="AA48" s="680" t="n"/>
      <c r="AB48" s="649" t="n">
        <v>-2725000</v>
      </c>
      <c r="AC48" s="608">
        <f>C48+D48+E48+F48+G48+I48+J48+K48+L48+M48+N48+O48+P48+Q48+R48+S48+T48+U48+V48+W48+X48+Y48+Z48</f>
        <v/>
      </c>
      <c r="AD48" s="608">
        <f>#REF!+#REF!+#REF!+#REF!+#REF!+#REF!+#REF!+#REF!+#REF!+#REF!+#REF!+#REF!+#REF!+#REF!+#REF!+#REF!+#REF!+#REF!+#REF!+#REF!+#REF!</f>
        <v/>
      </c>
      <c r="AE48" s="602">
        <f>AC48-AD48</f>
        <v/>
      </c>
    </row>
    <row r="49">
      <c r="A49" s="633" t="inlineStr">
        <is>
          <t>Расходы по реализации Разные(Логистика)</t>
        </is>
      </c>
      <c r="B49" s="604" t="inlineStr">
        <is>
          <t>Расход</t>
        </is>
      </c>
      <c r="C49" s="634" t="n"/>
      <c r="D49" s="641" t="n">
        <v>-800000</v>
      </c>
      <c r="E49" s="634" t="n"/>
      <c r="F49" s="634" t="n"/>
      <c r="G49" s="641" t="n">
        <v>-2525000</v>
      </c>
      <c r="H49" s="615">
        <f>C49+D49+E49+F49+G49</f>
        <v/>
      </c>
      <c r="I49" s="680" t="n"/>
      <c r="J49" s="642" t="n">
        <v>-800000</v>
      </c>
      <c r="K49" s="680" t="n"/>
      <c r="L49" s="680" t="n"/>
      <c r="M49" s="649" t="n">
        <v>-2725000</v>
      </c>
      <c r="N49" s="680" t="n"/>
      <c r="O49" s="642" t="n">
        <v>-800000</v>
      </c>
      <c r="P49" s="680" t="n"/>
      <c r="Q49" s="680" t="n"/>
      <c r="R49" s="649" t="n">
        <v>-2725000</v>
      </c>
      <c r="S49" s="643" t="n"/>
      <c r="T49" s="642" t="n">
        <v>-800000</v>
      </c>
      <c r="U49" s="680" t="n"/>
      <c r="V49" s="680" t="n"/>
      <c r="W49" s="649" t="n">
        <v>-2725000</v>
      </c>
      <c r="X49" s="643" t="n"/>
      <c r="Y49" s="642" t="n">
        <v>-800000</v>
      </c>
      <c r="Z49" s="680" t="n"/>
      <c r="AA49" s="680" t="n"/>
      <c r="AB49" s="680" t="n"/>
      <c r="AC49" s="608">
        <f>C49+D49+E49+F49+G49+I49+J49+K49+L49+M49+N49+O49+P49+Q49+R49+S49+T49+U49+V49+W49+X49+Y49+Z49</f>
        <v/>
      </c>
      <c r="AD49" s="608">
        <f>#REF!+#REF!+#REF!+#REF!+#REF!+#REF!+#REF!+#REF!+#REF!+#REF!+#REF!+#REF!+#REF!+#REF!+#REF!+#REF!+#REF!+#REF!+#REF!+#REF!+#REF!</f>
        <v/>
      </c>
      <c r="AE49" s="602">
        <f>AC49-AD49</f>
        <v/>
      </c>
    </row>
    <row r="50">
      <c r="A50" s="633" t="inlineStr">
        <is>
          <t>Ремонт помещений</t>
        </is>
      </c>
      <c r="B50" s="604" t="inlineStr">
        <is>
          <t>Расход</t>
        </is>
      </c>
      <c r="C50" s="634" t="n"/>
      <c r="D50" s="634" t="n"/>
      <c r="E50" s="634" t="n"/>
      <c r="F50" s="634" t="n"/>
      <c r="G50" s="634" t="n"/>
      <c r="H50" s="615">
        <f>C50+D50+E50+F50+G50</f>
        <v/>
      </c>
      <c r="I50" s="680" t="n"/>
      <c r="J50" s="680" t="n"/>
      <c r="K50" s="680" t="n"/>
      <c r="L50" s="680" t="n"/>
      <c r="M50" s="680" t="n"/>
      <c r="N50" s="680" t="n"/>
      <c r="O50" s="680" t="n"/>
      <c r="P50" s="680" t="n"/>
      <c r="Q50" s="680" t="n"/>
      <c r="R50" s="680" t="n"/>
      <c r="S50" s="643" t="n"/>
      <c r="T50" s="680" t="n"/>
      <c r="U50" s="680" t="n"/>
      <c r="V50" s="680" t="n"/>
      <c r="W50" s="680" t="n"/>
      <c r="X50" s="643" t="n"/>
      <c r="Y50" s="680" t="n"/>
      <c r="Z50" s="680" t="n"/>
      <c r="AA50" s="680" t="n"/>
      <c r="AB50" s="680" t="n"/>
      <c r="AC50" s="608">
        <f>C50+D50+E50+F50+G50+I50+J50+K50+L50+M50+N50+O50+P50+Q50+R50+S50+T50+U50+V50+W50+X50+Y50+Z50</f>
        <v/>
      </c>
      <c r="AD50" s="608">
        <f>#REF!+#REF!+#REF!+#REF!+#REF!+#REF!+#REF!+#REF!+#REF!+#REF!+#REF!+#REF!+#REF!+#REF!+#REF!+#REF!+#REF!+#REF!+#REF!+#REF!+#REF!</f>
        <v/>
      </c>
      <c r="AE50" s="602">
        <f>AC50-AD50</f>
        <v/>
      </c>
    </row>
    <row r="51">
      <c r="A51" s="633" t="inlineStr">
        <is>
          <t>Ремонт оборудования</t>
        </is>
      </c>
      <c r="B51" s="604" t="inlineStr">
        <is>
          <t>Расход</t>
        </is>
      </c>
      <c r="C51" s="634" t="n"/>
      <c r="D51" s="634" t="n"/>
      <c r="E51" s="634" t="n"/>
      <c r="F51" s="634" t="n"/>
      <c r="G51" s="634" t="n"/>
      <c r="H51" s="615">
        <f>C51+D51+E51+F51+G51</f>
        <v/>
      </c>
      <c r="I51" s="680" t="n"/>
      <c r="J51" s="680" t="n"/>
      <c r="K51" s="680" t="n"/>
      <c r="L51" s="680" t="n"/>
      <c r="M51" s="680" t="n"/>
      <c r="N51" s="680" t="n"/>
      <c r="O51" s="680" t="n"/>
      <c r="P51" s="680" t="n"/>
      <c r="Q51" s="680" t="n"/>
      <c r="R51" s="680" t="n"/>
      <c r="S51" s="643" t="n"/>
      <c r="T51" s="680" t="n"/>
      <c r="U51" s="680" t="n"/>
      <c r="V51" s="680" t="n"/>
      <c r="W51" s="680" t="n"/>
      <c r="X51" s="643" t="n"/>
      <c r="Y51" s="680" t="n"/>
      <c r="Z51" s="680" t="n"/>
      <c r="AA51" s="680" t="n"/>
      <c r="AB51" s="680" t="n"/>
      <c r="AC51" s="608">
        <f>C51+D51+E51+F51+G51+I51+J51+K51+L51+M51+N51+O51+P51+Q51+R51+S51+T51+U51+V51+W51+X51+Y51+Z51</f>
        <v/>
      </c>
      <c r="AD51" s="608">
        <f>#REF!+#REF!+#REF!+#REF!+#REF!+#REF!+#REF!+#REF!+#REF!+#REF!+#REF!+#REF!+#REF!+#REF!+#REF!+#REF!+#REF!+#REF!+#REF!+#REF!+#REF!</f>
        <v/>
      </c>
      <c r="AE51" s="602">
        <f>AC51-AD51</f>
        <v/>
      </c>
    </row>
    <row r="52">
      <c r="A52" s="633" t="inlineStr">
        <is>
          <t>Приобретение основных средств</t>
        </is>
      </c>
      <c r="B52" s="604" t="inlineStr">
        <is>
          <t>Расход</t>
        </is>
      </c>
      <c r="C52" s="634" t="n"/>
      <c r="D52" s="634" t="n"/>
      <c r="E52" s="634" t="n"/>
      <c r="F52" s="634" t="n"/>
      <c r="G52" s="634" t="n"/>
      <c r="H52" s="615">
        <f>C52+D52+E52+F52+G52</f>
        <v/>
      </c>
      <c r="I52" s="680" t="n"/>
      <c r="J52" s="680" t="n"/>
      <c r="K52" s="680" t="n"/>
      <c r="L52" s="680" t="n"/>
      <c r="M52" s="680" t="n"/>
      <c r="N52" s="680" t="n"/>
      <c r="O52" s="680" t="n"/>
      <c r="P52" s="680" t="n"/>
      <c r="Q52" s="680" t="n"/>
      <c r="R52" s="680" t="n"/>
      <c r="S52" s="643" t="n"/>
      <c r="T52" s="680" t="n"/>
      <c r="U52" s="680" t="n"/>
      <c r="V52" s="680" t="n"/>
      <c r="W52" s="680" t="n"/>
      <c r="X52" s="643" t="n"/>
      <c r="Y52" s="680" t="n"/>
      <c r="Z52" s="680" t="n"/>
      <c r="AA52" s="642" t="n">
        <v>-5000000</v>
      </c>
      <c r="AB52" s="642" t="n">
        <v>-5000000</v>
      </c>
      <c r="AC52" s="608">
        <f>C52+D52+E52+F52+G52+I52+J52+K52+L52+M52+N52+O52+P52+Q52+R52+S52+T52+U52+V52+W52+X52+Y52+Z52</f>
        <v/>
      </c>
      <c r="AD52" s="608">
        <f>#REF!+#REF!+#REF!+#REF!+#REF!+#REF!+#REF!+#REF!+#REF!+#REF!+#REF!+#REF!+#REF!+#REF!+#REF!+#REF!+#REF!+#REF!+#REF!+#REF!+#REF!</f>
        <v/>
      </c>
      <c r="AE52" s="602">
        <f>AC52-AD52</f>
        <v/>
      </c>
    </row>
    <row r="53">
      <c r="A53" s="633" t="inlineStr">
        <is>
          <t>Сырье Платежи поставщикам</t>
        </is>
      </c>
      <c r="B53" s="604" t="inlineStr">
        <is>
          <t>Расход</t>
        </is>
      </c>
      <c r="C53" s="641" t="n">
        <v>-9000000</v>
      </c>
      <c r="D53" s="641" t="n">
        <v>-6000000</v>
      </c>
      <c r="E53" s="641" t="n"/>
      <c r="F53" s="641" t="n">
        <v>-9000000</v>
      </c>
      <c r="G53" s="641" t="n">
        <v>-5000000</v>
      </c>
      <c r="H53" s="615">
        <f>C53+D53+E53+F53+G53</f>
        <v/>
      </c>
      <c r="I53" s="642" t="n">
        <v>-5000000</v>
      </c>
      <c r="J53" s="642" t="n">
        <v>-8000000</v>
      </c>
      <c r="K53" s="649" t="n">
        <v>-5000000</v>
      </c>
      <c r="L53" s="642" t="n">
        <v>-6000000</v>
      </c>
      <c r="M53" s="642" t="n">
        <v>-5000000</v>
      </c>
      <c r="N53" s="649" t="n">
        <v>-5000000</v>
      </c>
      <c r="O53" s="642" t="n">
        <v>-5000000</v>
      </c>
      <c r="P53" s="649" t="n">
        <v>-5000000</v>
      </c>
      <c r="Q53" s="642" t="n">
        <v>-5000000</v>
      </c>
      <c r="R53" s="642" t="n">
        <v>-5000000</v>
      </c>
      <c r="S53" s="649" t="n">
        <v>-5000000</v>
      </c>
      <c r="T53" s="642" t="n">
        <v>-5000000</v>
      </c>
      <c r="U53" s="649" t="n">
        <v>-5000000</v>
      </c>
      <c r="V53" s="642" t="n">
        <v>-5000000</v>
      </c>
      <c r="W53" s="642" t="n">
        <v>-5000000</v>
      </c>
      <c r="X53" s="649" t="n">
        <v>-5000000</v>
      </c>
      <c r="Y53" s="642" t="n">
        <v>-5000000</v>
      </c>
      <c r="Z53" s="649" t="n">
        <v>-5000000</v>
      </c>
      <c r="AA53" s="680" t="n"/>
      <c r="AB53" s="680" t="n"/>
      <c r="AC53" s="608">
        <f>C53+D53+E53+F53+G53+I53+J53+K53+L53+M53+N53+O53+P53+Q53+R53+S53+T53+U53+V53+W53+X53+Y53+Z53</f>
        <v/>
      </c>
      <c r="AD53" s="608">
        <f>#REF!+#REF!+#REF!+#REF!+#REF!+#REF!+#REF!+#REF!+#REF!+#REF!+#REF!+#REF!+#REF!+#REF!+#REF!+#REF!+#REF!+#REF!+#REF!+#REF!+#REF!</f>
        <v/>
      </c>
      <c r="AE53" s="602">
        <f>AC53-AD53</f>
        <v/>
      </c>
    </row>
    <row r="54">
      <c r="A54" s="633" t="inlineStr">
        <is>
          <t>Электроэнергия</t>
        </is>
      </c>
      <c r="B54" s="604" t="inlineStr">
        <is>
          <t>Расход</t>
        </is>
      </c>
      <c r="C54" s="634" t="n"/>
      <c r="D54" s="634" t="n"/>
      <c r="E54" s="634" t="n"/>
      <c r="F54" s="634" t="n"/>
      <c r="G54" s="634" t="n"/>
      <c r="H54" s="615">
        <f>C54+D54+E54+F54+G54</f>
        <v/>
      </c>
      <c r="I54" s="680" t="n"/>
      <c r="J54" s="680" t="n"/>
      <c r="K54" s="680" t="n"/>
      <c r="L54" s="680" t="n"/>
      <c r="M54" s="680" t="n"/>
      <c r="N54" s="680" t="n"/>
      <c r="O54" s="680" t="n"/>
      <c r="P54" s="680" t="n"/>
      <c r="Q54" s="680" t="n"/>
      <c r="R54" s="680" t="n"/>
      <c r="S54" s="645" t="n">
        <v>-6900000</v>
      </c>
      <c r="T54" s="680" t="n"/>
      <c r="U54" s="680" t="n"/>
      <c r="V54" s="680" t="n"/>
      <c r="W54" s="680" t="n"/>
      <c r="X54" s="645" t="n">
        <v>-6900000</v>
      </c>
      <c r="Y54" s="680" t="n"/>
      <c r="Z54" s="680" t="n"/>
      <c r="AA54" s="650">
        <f>SUM(AA29:AA53)</f>
        <v/>
      </c>
      <c r="AB54" s="650">
        <f>SUM(AB29:AB53)</f>
        <v/>
      </c>
      <c r="AC54" s="608">
        <f>C54+D54+E54+F54+G54+I54+J54+K54+L54+M54+N54+O54+P54+Q54+R54+S54+T54+U54+V54+W54+X54+Y54+Z54</f>
        <v/>
      </c>
      <c r="AD54" s="608">
        <f>#REF!+#REF!+#REF!+#REF!+#REF!+#REF!+#REF!+#REF!+#REF!+#REF!+#REF!+#REF!+#REF!+#REF!+#REF!+#REF!+#REF!+#REF!+#REF!+#REF!+#REF!</f>
        <v/>
      </c>
      <c r="AE54" s="602">
        <f>AC54-AD54</f>
        <v/>
      </c>
    </row>
    <row r="55">
      <c r="A55" s="651" t="inlineStr">
        <is>
          <t>Итого по банку</t>
        </is>
      </c>
      <c r="B55" s="652" t="inlineStr">
        <is>
          <t>Расход</t>
        </is>
      </c>
      <c r="C55" s="650">
        <f>SUM(C30:C54)</f>
        <v/>
      </c>
      <c r="D55" s="650">
        <f>SUM(D30:D54)</f>
        <v/>
      </c>
      <c r="E55" s="650">
        <f>SUM(E30:E54)</f>
        <v/>
      </c>
      <c r="F55" s="650">
        <f>SUM(F30:F54)</f>
        <v/>
      </c>
      <c r="G55" s="650">
        <f>SUM(G30:G54)</f>
        <v/>
      </c>
      <c r="H55" s="650">
        <f>SUM(H30:H54)</f>
        <v/>
      </c>
      <c r="I55" s="650">
        <f>SUM(I30:I54)</f>
        <v/>
      </c>
      <c r="J55" s="650">
        <f>SUM(J30:J54)</f>
        <v/>
      </c>
      <c r="K55" s="650">
        <f>SUM(K30:K54)</f>
        <v/>
      </c>
      <c r="L55" s="650">
        <f>SUM(L30:L54)</f>
        <v/>
      </c>
      <c r="M55" s="650">
        <f>SUM(M30:M54)</f>
        <v/>
      </c>
      <c r="N55" s="650">
        <f>SUM(N30:N54)</f>
        <v/>
      </c>
      <c r="O55" s="650">
        <f>SUM(O30:O54)</f>
        <v/>
      </c>
      <c r="P55" s="650">
        <f>SUM(P30:P54)</f>
        <v/>
      </c>
      <c r="Q55" s="650">
        <f>SUM(Q30:Q54)</f>
        <v/>
      </c>
      <c r="R55" s="650">
        <f>SUM(R30:R54)</f>
        <v/>
      </c>
      <c r="S55" s="650">
        <f>SUM(S30:S54)</f>
        <v/>
      </c>
      <c r="T55" s="650">
        <f>SUM(T30:T54)</f>
        <v/>
      </c>
      <c r="U55" s="650">
        <f>SUM(U30:U54)</f>
        <v/>
      </c>
      <c r="V55" s="650">
        <f>SUM(V30:V54)</f>
        <v/>
      </c>
      <c r="W55" s="650">
        <f>SUM(W30:W54)</f>
        <v/>
      </c>
      <c r="X55" s="650">
        <f>SUM(X30:X54)</f>
        <v/>
      </c>
      <c r="Y55" s="650">
        <f>SUM(Y30:Y54)</f>
        <v/>
      </c>
      <c r="Z55" s="650">
        <f>SUM(Z30:Z54)</f>
        <v/>
      </c>
      <c r="AA55" s="649" t="n">
        <v>-500000</v>
      </c>
      <c r="AB55" s="649" t="n">
        <v>-500000</v>
      </c>
      <c r="AC55" s="608">
        <f>C55+D55+E55+F55+G55+I55+J55+K55+L55+M55+N55+O55+P55+Q55+R55+S55+T55+U55+V55+W55+X55+Y55+Z55</f>
        <v/>
      </c>
      <c r="AD55" s="653">
        <f>#REF!+#REF!+#REF!+#REF!+#REF!+#REF!+#REF!+#REF!+#REF!+#REF!+#REF!+#REF!+#REF!+#REF!+#REF!+#REF!+#REF!+#REF!+#REF!+#REF!+#REF!</f>
        <v/>
      </c>
      <c r="AE55" s="654">
        <f>AC55-AD55</f>
        <v/>
      </c>
    </row>
    <row r="56">
      <c r="A56" s="633" t="inlineStr">
        <is>
          <t>Подотчет (Рынок сырье, Рынок ТМЦ)</t>
        </is>
      </c>
      <c r="B56" s="604" t="inlineStr">
        <is>
          <t>Расход</t>
        </is>
      </c>
      <c r="C56" s="656" t="n">
        <v>-300000</v>
      </c>
      <c r="D56" s="656" t="n"/>
      <c r="E56" s="656" t="n"/>
      <c r="F56" s="656" t="n">
        <v>-500000</v>
      </c>
      <c r="G56" s="656" t="n">
        <v>-500000</v>
      </c>
      <c r="H56" s="615">
        <f>C56+D56+E56+F56+G56</f>
        <v/>
      </c>
      <c r="I56" s="649" t="n">
        <v>-500000</v>
      </c>
      <c r="J56" s="649" t="n"/>
      <c r="K56" s="649" t="n"/>
      <c r="L56" s="649" t="n">
        <v>-500000</v>
      </c>
      <c r="M56" s="649" t="n">
        <v>-500000</v>
      </c>
      <c r="N56" s="680" t="n"/>
      <c r="O56" s="649" t="n"/>
      <c r="P56" s="649" t="n"/>
      <c r="Q56" s="649" t="n">
        <v>-800000</v>
      </c>
      <c r="R56" s="680" t="n"/>
      <c r="S56" s="649" t="n"/>
      <c r="T56" s="649" t="n"/>
      <c r="U56" s="649" t="n"/>
      <c r="V56" s="649" t="n">
        <v>-500000</v>
      </c>
      <c r="W56" s="649" t="n">
        <v>-500000</v>
      </c>
      <c r="X56" s="649" t="n"/>
      <c r="Y56" s="649" t="n"/>
      <c r="Z56" s="649" t="n"/>
      <c r="AA56" s="642" t="n">
        <v>-55000</v>
      </c>
      <c r="AB56" s="680" t="n"/>
      <c r="AC56" s="608">
        <f>C56+D56+E56+F56+G56+I56+J56+K56+L56+M56+N56+O56+P56+Q56+R56+S56+T56+U56+V56+W56+X56+Y56+Z56</f>
        <v/>
      </c>
      <c r="AD56" s="608">
        <f>#REF!+#REF!+#REF!+#REF!+#REF!+#REF!+#REF!+#REF!+#REF!+#REF!+#REF!+#REF!+#REF!+#REF!+#REF!+#REF!+#REF!+#REF!+#REF!+#REF!+#REF!</f>
        <v/>
      </c>
      <c r="AE56" s="602">
        <f>AC56-AD56</f>
        <v/>
      </c>
    </row>
    <row r="57">
      <c r="A57" s="633" t="inlineStr">
        <is>
          <t>Административные расходы</t>
        </is>
      </c>
      <c r="B57" s="604" t="inlineStr">
        <is>
          <t>Расход</t>
        </is>
      </c>
      <c r="C57" s="977" t="n"/>
      <c r="D57" s="656" t="n">
        <v>-55000</v>
      </c>
      <c r="E57" s="656" t="n">
        <v>-55000</v>
      </c>
      <c r="F57" s="656" t="n">
        <v>-55000</v>
      </c>
      <c r="G57" s="656" t="n">
        <v>-55000</v>
      </c>
      <c r="H57" s="615">
        <f>C57+D57+E57+F57+G57</f>
        <v/>
      </c>
      <c r="I57" s="642" t="n">
        <v>-30000</v>
      </c>
      <c r="J57" s="642" t="n">
        <v>-55000</v>
      </c>
      <c r="K57" s="642" t="n">
        <v>-55000</v>
      </c>
      <c r="L57" s="642" t="n">
        <v>-55000</v>
      </c>
      <c r="M57" s="642" t="n">
        <v>-55000</v>
      </c>
      <c r="N57" s="642" t="n">
        <v>-55000</v>
      </c>
      <c r="O57" s="642" t="n">
        <v>-55000</v>
      </c>
      <c r="P57" s="642" t="n">
        <v>-55000</v>
      </c>
      <c r="Q57" s="642" t="n">
        <v>-55000</v>
      </c>
      <c r="R57" s="642" t="n">
        <v>-55000</v>
      </c>
      <c r="S57" s="642" t="n">
        <v>-55000</v>
      </c>
      <c r="T57" s="642" t="n">
        <v>-55000</v>
      </c>
      <c r="U57" s="642" t="n">
        <v>-55000</v>
      </c>
      <c r="V57" s="642" t="n">
        <v>-55000</v>
      </c>
      <c r="W57" s="680" t="n"/>
      <c r="X57" s="642" t="n">
        <v>-55000</v>
      </c>
      <c r="Y57" s="642" t="n">
        <v>-55000</v>
      </c>
      <c r="Z57" s="642" t="n">
        <v>-55000</v>
      </c>
      <c r="AA57" s="680" t="n"/>
      <c r="AB57" s="680" t="n"/>
      <c r="AC57" s="608">
        <f>C57+D57+E57+F57+G57+I57+J57+K57+L57+M57+N57+O57+P57+Q57+R57+S57+T57+U57+V57+W57+X57+Y57+Z57</f>
        <v/>
      </c>
      <c r="AD57" s="608">
        <f>#REF!+#REF!+#REF!+#REF!+#REF!+#REF!+#REF!+#REF!+#REF!+#REF!+#REF!+#REF!+#REF!+#REF!+#REF!+#REF!+#REF!+#REF!+#REF!+#REF!+#REF!</f>
        <v/>
      </c>
      <c r="AE57" s="602">
        <f>AC57-AD57</f>
        <v/>
      </c>
    </row>
    <row r="58">
      <c r="A58" s="633" t="inlineStr">
        <is>
          <t>Представительские расходы</t>
        </is>
      </c>
      <c r="B58" s="604" t="inlineStr">
        <is>
          <t>Расход</t>
        </is>
      </c>
      <c r="C58" s="977" t="n"/>
      <c r="D58" s="977" t="n"/>
      <c r="E58" s="977" t="n"/>
      <c r="F58" s="977" t="n"/>
      <c r="G58" s="977" t="n"/>
      <c r="H58" s="615">
        <f>C58+D58+E58+F58+G58</f>
        <v/>
      </c>
      <c r="I58" s="680" t="n"/>
      <c r="J58" s="680" t="n"/>
      <c r="K58" s="680" t="n"/>
      <c r="L58" s="680" t="n"/>
      <c r="M58" s="680" t="n"/>
      <c r="N58" s="680" t="n"/>
      <c r="O58" s="680" t="n"/>
      <c r="P58" s="680" t="n"/>
      <c r="Q58" s="680" t="n"/>
      <c r="R58" s="680" t="n"/>
      <c r="S58" s="680" t="n"/>
      <c r="T58" s="680" t="n"/>
      <c r="U58" s="680" t="n"/>
      <c r="V58" s="680" t="n"/>
      <c r="W58" s="680" t="n"/>
      <c r="X58" s="680" t="n"/>
      <c r="Y58" s="680" t="n"/>
      <c r="Z58" s="680" t="n"/>
      <c r="AA58" s="680" t="n"/>
      <c r="AB58" s="680" t="n"/>
      <c r="AC58" s="608">
        <f>C58+D58+E58+F58+G58+I58+J58+K58+L58+M58+N58+O58+P58+Q58+R58+S58+T58+U58+V58+W58+X58+Y58+Z58</f>
        <v/>
      </c>
      <c r="AD58" s="608">
        <f>#REF!+#REF!+#REF!+#REF!+#REF!+#REF!+#REF!+#REF!+#REF!+#REF!+#REF!+#REF!+#REF!+#REF!+#REF!+#REF!+#REF!+#REF!+#REF!+#REF!+#REF!</f>
        <v/>
      </c>
      <c r="AE58" s="602">
        <f>AC58-AD58</f>
        <v/>
      </c>
    </row>
    <row r="59">
      <c r="A59" s="633" t="inlineStr">
        <is>
          <t>Аренда квартир</t>
        </is>
      </c>
      <c r="B59" s="604" t="inlineStr">
        <is>
          <t>Расход</t>
        </is>
      </c>
      <c r="C59" s="977" t="n"/>
      <c r="D59" s="977" t="n"/>
      <c r="E59" s="977" t="n"/>
      <c r="F59" s="977" t="n"/>
      <c r="G59" s="977" t="n"/>
      <c r="H59" s="615">
        <f>C59+D59+E59+F59+G59</f>
        <v/>
      </c>
      <c r="I59" s="645">
        <f>-175000-300000</f>
        <v/>
      </c>
      <c r="J59" s="649" t="n">
        <v>-500000</v>
      </c>
      <c r="K59" s="680" t="n"/>
      <c r="L59" s="680" t="n"/>
      <c r="M59" s="649" t="n">
        <v>-500000</v>
      </c>
      <c r="N59" s="680" t="n"/>
      <c r="O59" s="680" t="n"/>
      <c r="P59" s="680" t="n"/>
      <c r="Q59" s="645" t="n">
        <v>-350149</v>
      </c>
      <c r="R59" s="680" t="n"/>
      <c r="S59" s="680" t="n"/>
      <c r="T59" s="680" t="n"/>
      <c r="U59" s="680" t="n"/>
      <c r="V59" s="680" t="n"/>
      <c r="W59" s="680" t="n"/>
      <c r="X59" s="680" t="n"/>
      <c r="Y59" s="680" t="n"/>
      <c r="Z59" s="680" t="n"/>
      <c r="AA59" s="680" t="n"/>
      <c r="AB59" s="680" t="n"/>
      <c r="AC59" s="608">
        <f>C59+D59+E59+F59+G59+I59+J59+K59+L59+M59+N59+O59+P59+Q59+R59+S59+T59+U59+V59+W59+X59+Y59+Z59</f>
        <v/>
      </c>
      <c r="AD59" s="608">
        <f>#REF!+#REF!+#REF!+#REF!+#REF!+#REF!+#REF!+#REF!+#REF!+#REF!+#REF!+#REF!+#REF!+#REF!+#REF!+#REF!+#REF!+#REF!+#REF!+#REF!+#REF!</f>
        <v/>
      </c>
      <c r="AE59" s="602">
        <f>AC59-AD59</f>
        <v/>
      </c>
    </row>
    <row r="60">
      <c r="A60" s="633" t="inlineStr">
        <is>
          <t>Налоги и другие платежи в бюджет</t>
        </is>
      </c>
      <c r="B60" s="604" t="inlineStr">
        <is>
          <t>Расход</t>
        </is>
      </c>
      <c r="C60" s="977" t="n"/>
      <c r="D60" s="977" t="n"/>
      <c r="E60" s="977" t="n"/>
      <c r="F60" s="977" t="n"/>
      <c r="G60" s="977" t="n"/>
      <c r="H60" s="615">
        <f>C60+D60+E60+F60+G60</f>
        <v/>
      </c>
      <c r="I60" s="680" t="n"/>
      <c r="J60" s="680" t="n"/>
      <c r="K60" s="680" t="n"/>
      <c r="L60" s="680" t="n"/>
      <c r="M60" s="680" t="n"/>
      <c r="N60" s="680" t="n"/>
      <c r="O60" s="680" t="n"/>
      <c r="P60" s="680" t="n"/>
      <c r="Q60" s="680" t="n"/>
      <c r="R60" s="680" t="n"/>
      <c r="S60" s="680" t="n"/>
      <c r="T60" s="680" t="n"/>
      <c r="U60" s="680" t="n"/>
      <c r="V60" s="680" t="n"/>
      <c r="W60" s="680" t="n"/>
      <c r="X60" s="680" t="n"/>
      <c r="Y60" s="680" t="n"/>
      <c r="Z60" s="680" t="n"/>
      <c r="AA60" s="680" t="n"/>
      <c r="AB60" s="680" t="n"/>
      <c r="AC60" s="608">
        <f>C60+D60+E60+F60+G60+I60+J60+K60+L60+M60+N60+O60+P60+Q60+R60+S60+T60+U60+V60+W60+X60+Y60+Z60</f>
        <v/>
      </c>
      <c r="AD60" s="608">
        <f>#REF!+#REF!+#REF!+#REF!+#REF!+#REF!+#REF!+#REF!+#REF!+#REF!+#REF!+#REF!+#REF!+#REF!+#REF!+#REF!+#REF!+#REF!+#REF!+#REF!+#REF!</f>
        <v/>
      </c>
      <c r="AE60" s="602">
        <f>AC60-AD60</f>
        <v/>
      </c>
    </row>
    <row r="61">
      <c r="A61" s="633" t="inlineStr">
        <is>
          <t>Маркетинг</t>
        </is>
      </c>
      <c r="B61" s="604" t="inlineStr">
        <is>
          <t>Расход</t>
        </is>
      </c>
      <c r="C61" s="977" t="n"/>
      <c r="D61" s="977" t="n"/>
      <c r="E61" s="977" t="n"/>
      <c r="F61" s="656" t="n">
        <v>-450000</v>
      </c>
      <c r="G61" s="977" t="n"/>
      <c r="H61" s="615">
        <f>C61+D61+E61+F61+G61</f>
        <v/>
      </c>
      <c r="I61" s="680" t="n"/>
      <c r="J61" s="680" t="n"/>
      <c r="K61" s="680" t="n"/>
      <c r="L61" s="680" t="n"/>
      <c r="M61" s="680" t="n"/>
      <c r="N61" s="680" t="n"/>
      <c r="O61" s="680" t="n"/>
      <c r="P61" s="680" t="n"/>
      <c r="Q61" s="680" t="n"/>
      <c r="R61" s="680" t="n"/>
      <c r="S61" s="680" t="n"/>
      <c r="T61" s="680" t="n"/>
      <c r="U61" s="680" t="n"/>
      <c r="V61" s="680" t="n"/>
      <c r="W61" s="680" t="n"/>
      <c r="X61" s="680" t="n"/>
      <c r="Y61" s="680" t="n"/>
      <c r="Z61" s="680" t="n"/>
      <c r="AA61" s="647" t="n">
        <v>-3000000</v>
      </c>
      <c r="AB61" s="647" t="n">
        <v>-2000000</v>
      </c>
      <c r="AC61" s="608">
        <f>C61+D61+E61+F61+G61+I61+J61+K61+L61+M61+N61+O61+P61+Q61+R61+S61+T61+U61+V61+W61+X61+Y61+Z61</f>
        <v/>
      </c>
      <c r="AD61" s="608">
        <f>#REF!+#REF!+#REF!+#REF!+#REF!+#REF!+#REF!+#REF!+#REF!+#REF!+#REF!+#REF!+#REF!+#REF!+#REF!+#REF!+#REF!+#REF!+#REF!+#REF!+#REF!</f>
        <v/>
      </c>
      <c r="AE61" s="602">
        <f>AC61-AD61</f>
        <v/>
      </c>
    </row>
    <row r="62">
      <c r="A62" s="633" t="inlineStr">
        <is>
          <t>Оплата труда</t>
        </is>
      </c>
      <c r="B62" s="604" t="inlineStr">
        <is>
          <t>Расход</t>
        </is>
      </c>
      <c r="C62" s="656" t="n">
        <v>-3000000</v>
      </c>
      <c r="D62" s="656" t="n">
        <v>-3000000</v>
      </c>
      <c r="E62" s="656" t="n"/>
      <c r="F62" s="657" t="n">
        <v>-15000000</v>
      </c>
      <c r="G62" s="656" t="n"/>
      <c r="H62" s="615">
        <f>C62+D62+E62+F62+G62</f>
        <v/>
      </c>
      <c r="I62" s="647" t="n"/>
      <c r="J62" s="680" t="n"/>
      <c r="K62" s="649" t="n">
        <v>-2500000</v>
      </c>
      <c r="L62" s="645" t="n">
        <v>-8000000</v>
      </c>
      <c r="M62" s="649" t="n">
        <v>-7000000</v>
      </c>
      <c r="N62" s="680" t="n"/>
      <c r="O62" s="680" t="n"/>
      <c r="P62" s="680" t="n"/>
      <c r="Q62" s="645" t="n">
        <v>-800000</v>
      </c>
      <c r="R62" s="649" t="n">
        <v>-7000000</v>
      </c>
      <c r="S62" s="649" t="n">
        <v>-5000000</v>
      </c>
      <c r="T62" s="649" t="n">
        <v>-2000000</v>
      </c>
      <c r="U62" s="649" t="n">
        <v>-2000000</v>
      </c>
      <c r="V62" s="647" t="n">
        <v>-3000000</v>
      </c>
      <c r="W62" s="647" t="n">
        <v>-2000000</v>
      </c>
      <c r="X62" s="649" t="n">
        <v>-5000000</v>
      </c>
      <c r="Y62" s="649" t="n">
        <v>-2000000</v>
      </c>
      <c r="Z62" s="649" t="n">
        <v>-2000000</v>
      </c>
      <c r="AA62" s="680" t="n"/>
      <c r="AB62" s="680" t="n"/>
      <c r="AC62" s="608">
        <f>C62+D62+E62+F62+G62+I62+J62+K62+L62+M62+N62+O62+P62+Q62+R62+S62+T62+U62+V62+W62+X62+Y62+Z62</f>
        <v/>
      </c>
      <c r="AD62" s="608">
        <f>#REF!+#REF!+#REF!+#REF!+#REF!+#REF!+#REF!+#REF!+#REF!+#REF!+#REF!+#REF!+#REF!+#REF!+#REF!+#REF!+#REF!+#REF!+#REF!+#REF!+#REF!</f>
        <v/>
      </c>
      <c r="AE62" s="602">
        <f>AC62-AD62</f>
        <v/>
      </c>
    </row>
    <row r="63">
      <c r="A63" s="633" t="inlineStr">
        <is>
          <t>Платежи поставщикам Прочее</t>
        </is>
      </c>
      <c r="B63" s="604" t="inlineStr">
        <is>
          <t>Расход</t>
        </is>
      </c>
      <c r="C63" s="977" t="n"/>
      <c r="D63" s="977" t="n"/>
      <c r="E63" s="977" t="n"/>
      <c r="F63" s="977" t="n"/>
      <c r="G63" s="977" t="n"/>
      <c r="H63" s="615">
        <f>C63+D63+E63+F63+G63</f>
        <v/>
      </c>
      <c r="I63" s="680" t="n"/>
      <c r="J63" s="680" t="n"/>
      <c r="K63" s="680" t="n"/>
      <c r="L63" s="680" t="n"/>
      <c r="M63" s="680" t="n"/>
      <c r="N63" s="680" t="n"/>
      <c r="O63" s="680" t="n"/>
      <c r="P63" s="680" t="n"/>
      <c r="Q63" s="680" t="n"/>
      <c r="R63" s="680" t="n"/>
      <c r="S63" s="680" t="n"/>
      <c r="T63" s="680" t="n"/>
      <c r="U63" s="680" t="n"/>
      <c r="V63" s="680" t="n"/>
      <c r="W63" s="680" t="n"/>
      <c r="X63" s="680" t="n"/>
      <c r="Y63" s="680" t="n"/>
      <c r="Z63" s="680" t="n"/>
      <c r="AA63" s="680" t="n"/>
      <c r="AB63" s="680" t="n"/>
      <c r="AC63" s="608">
        <f>C63+D63+E63+F63+G63+I63+J63+K63+L63+M63+N63+O63+P63+Q63+R63+S63+T63+U63+V63+W63+X63+Y63+Z63</f>
        <v/>
      </c>
      <c r="AD63" s="608">
        <f>#REF!+#REF!+#REF!+#REF!+#REF!+#REF!+#REF!+#REF!+#REF!+#REF!+#REF!+#REF!+#REF!+#REF!+#REF!+#REF!+#REF!+#REF!+#REF!+#REF!+#REF!</f>
        <v/>
      </c>
      <c r="AE63" s="602">
        <f>AC63-AD63</f>
        <v/>
      </c>
    </row>
    <row r="64">
      <c r="A64" s="633" t="inlineStr">
        <is>
          <t xml:space="preserve">Производственные расходы </t>
        </is>
      </c>
      <c r="B64" s="604" t="inlineStr">
        <is>
          <t>Расход</t>
        </is>
      </c>
      <c r="C64" s="658" t="n">
        <v>-48000</v>
      </c>
      <c r="D64" s="977" t="n"/>
      <c r="E64" s="977" t="n"/>
      <c r="F64" s="659" t="n">
        <v>-48000</v>
      </c>
      <c r="G64" s="977" t="n"/>
      <c r="H64" s="615">
        <f>C64+D64+E64+F64+G64</f>
        <v/>
      </c>
      <c r="I64" s="645" t="n">
        <v>-42000</v>
      </c>
      <c r="J64" s="645" t="n">
        <v>-42000</v>
      </c>
      <c r="K64" s="680" t="n"/>
      <c r="L64" s="680" t="n"/>
      <c r="M64" s="680" t="n"/>
      <c r="N64" s="680" t="n"/>
      <c r="O64" s="645" t="n">
        <v>-48000</v>
      </c>
      <c r="P64" s="680" t="n"/>
      <c r="Q64" s="645" t="n">
        <v>-48000</v>
      </c>
      <c r="R64" s="680" t="n"/>
      <c r="S64" s="680" t="n"/>
      <c r="T64" s="649" t="n">
        <v>-48000</v>
      </c>
      <c r="U64" s="680" t="n"/>
      <c r="V64" s="680" t="n"/>
      <c r="W64" s="680" t="n"/>
      <c r="X64" s="680" t="n"/>
      <c r="Y64" s="649" t="n">
        <v>-48000</v>
      </c>
      <c r="Z64" s="680" t="n"/>
      <c r="AA64" s="680" t="n"/>
      <c r="AB64" s="680" t="n"/>
      <c r="AC64" s="608">
        <f>C64+D64+E64+F64+G64+I64+J64+K64+L64+M64+N64+O64+P64+Q64+R64+S64+T64+U64+V64+W64+X64+Y64+Z64</f>
        <v/>
      </c>
      <c r="AD64" s="608">
        <f>#REF!+#REF!+#REF!+#REF!+#REF!+#REF!+#REF!+#REF!+#REF!+#REF!+#REF!+#REF!+#REF!+#REF!+#REF!+#REF!+#REF!+#REF!+#REF!+#REF!+#REF!</f>
        <v/>
      </c>
      <c r="AE64" s="602">
        <f>AC64-AD64</f>
        <v/>
      </c>
    </row>
    <row r="65">
      <c r="A65" s="633" t="inlineStr">
        <is>
          <t>Инвентарь</t>
        </is>
      </c>
      <c r="B65" s="604" t="inlineStr">
        <is>
          <t>Расход</t>
        </is>
      </c>
      <c r="C65" s="656">
        <f>-15000-27000</f>
        <v/>
      </c>
      <c r="D65" s="656" t="n">
        <v>-40000</v>
      </c>
      <c r="E65" s="977" t="n"/>
      <c r="F65" s="977" t="n"/>
      <c r="G65" s="977" t="n"/>
      <c r="H65" s="615">
        <f>C65+D65+E65+F65+G65</f>
        <v/>
      </c>
      <c r="I65" s="680" t="n"/>
      <c r="J65" s="649">
        <f>-116000-19100</f>
        <v/>
      </c>
      <c r="K65" s="680" t="n"/>
      <c r="L65" s="680" t="n"/>
      <c r="M65" s="680" t="n"/>
      <c r="N65" s="680" t="n"/>
      <c r="O65" s="645" t="n">
        <v>-32000</v>
      </c>
      <c r="P65" s="649" t="n">
        <v>-35000</v>
      </c>
      <c r="Q65" s="680" t="n"/>
      <c r="R65" s="680" t="n"/>
      <c r="S65" s="680" t="n"/>
      <c r="T65" s="680" t="n"/>
      <c r="U65" s="680" t="n"/>
      <c r="V65" s="680" t="n"/>
      <c r="W65" s="680" t="n"/>
      <c r="X65" s="680" t="n"/>
      <c r="Y65" s="680" t="n"/>
      <c r="Z65" s="680" t="n"/>
      <c r="AA65" s="680" t="n"/>
      <c r="AB65" s="680" t="n"/>
      <c r="AC65" s="608">
        <f>C65+D65+E65+F65+G65+I65+J65+K65+L65+M65+N65+O65+P65+Q65+R65+S65+T65+U65+V65+W65+X65+Y65+Z65</f>
        <v/>
      </c>
      <c r="AD65" s="608">
        <f>#REF!+#REF!+#REF!+#REF!+#REF!+#REF!+#REF!+#REF!+#REF!+#REF!+#REF!+#REF!+#REF!+#REF!+#REF!+#REF!+#REF!+#REF!+#REF!+#REF!+#REF!</f>
        <v/>
      </c>
      <c r="AE65" s="602">
        <f>AC65-AD65</f>
        <v/>
      </c>
    </row>
    <row r="66">
      <c r="A66" s="633" t="inlineStr">
        <is>
          <t>Погашение кредита и %%</t>
        </is>
      </c>
      <c r="B66" s="604" t="inlineStr">
        <is>
          <t>Расход</t>
        </is>
      </c>
      <c r="C66" s="977" t="n"/>
      <c r="D66" s="977" t="n"/>
      <c r="E66" s="977" t="n"/>
      <c r="F66" s="977" t="n"/>
      <c r="G66" s="977" t="n"/>
      <c r="H66" s="615">
        <f>C66+D66+E66+F66+G66</f>
        <v/>
      </c>
      <c r="I66" s="680" t="n"/>
      <c r="J66" s="680" t="n"/>
      <c r="K66" s="680" t="n"/>
      <c r="L66" s="680" t="n"/>
      <c r="M66" s="680" t="n"/>
      <c r="N66" s="680" t="n"/>
      <c r="O66" s="680" t="n"/>
      <c r="P66" s="680" t="n"/>
      <c r="Q66" s="680" t="n"/>
      <c r="R66" s="680" t="n"/>
      <c r="S66" s="680" t="n"/>
      <c r="T66" s="680" t="n"/>
      <c r="U66" s="680" t="n"/>
      <c r="V66" s="680" t="n"/>
      <c r="W66" s="680" t="n"/>
      <c r="X66" s="680" t="n"/>
      <c r="Y66" s="680" t="n"/>
      <c r="Z66" s="680" t="n"/>
      <c r="AA66" s="680" t="n"/>
      <c r="AB66" s="680" t="n"/>
      <c r="AC66" s="608">
        <f>C66+D66+E66+F66+G66+I66+J66+K66+L66+M66+N66+O66+P66+Q66+R66+S66+T66+U66+V66+W66+X66+Y66+Z66</f>
        <v/>
      </c>
      <c r="AD66" s="608">
        <f>#REF!+#REF!+#REF!+#REF!+#REF!+#REF!+#REF!+#REF!+#REF!+#REF!+#REF!+#REF!+#REF!+#REF!+#REF!+#REF!+#REF!+#REF!+#REF!+#REF!+#REF!</f>
        <v/>
      </c>
      <c r="AE66" s="602">
        <f>AC66-AD66</f>
        <v/>
      </c>
    </row>
    <row r="67">
      <c r="A67" s="633" t="inlineStr">
        <is>
          <t>Хоз.товара</t>
        </is>
      </c>
      <c r="B67" s="604" t="inlineStr">
        <is>
          <t>Расход</t>
        </is>
      </c>
      <c r="C67" s="977" t="n"/>
      <c r="D67" s="977" t="n"/>
      <c r="E67" s="977" t="n"/>
      <c r="F67" s="977" t="n"/>
      <c r="G67" s="977" t="n"/>
      <c r="H67" s="615">
        <f>C67+D67+E67+F67+G67</f>
        <v/>
      </c>
      <c r="I67" s="680" t="n"/>
      <c r="J67" s="680" t="n"/>
      <c r="K67" s="680" t="n"/>
      <c r="L67" s="680" t="n"/>
      <c r="M67" s="680" t="n"/>
      <c r="N67" s="680" t="n"/>
      <c r="O67" s="680" t="n"/>
      <c r="P67" s="680" t="n"/>
      <c r="Q67" s="680" t="n"/>
      <c r="R67" s="680" t="n"/>
      <c r="S67" s="680" t="n"/>
      <c r="T67" s="680" t="n"/>
      <c r="U67" s="680" t="n"/>
      <c r="V67" s="680" t="n"/>
      <c r="W67" s="680" t="n"/>
      <c r="X67" s="680" t="n"/>
      <c r="Y67" s="680" t="n"/>
      <c r="Z67" s="680" t="n"/>
      <c r="AA67" s="680" t="n"/>
      <c r="AB67" s="680" t="n"/>
      <c r="AC67" s="608">
        <f>C67+D67+E67+F67+G67+I67+J67+K67+L67+M67+N67+O67+P67+Q67+R67+S67+T67+U67+V67+W67+X67+Y67+Z67</f>
        <v/>
      </c>
      <c r="AD67" s="608">
        <f>#REF!+#REF!+#REF!+#REF!+#REF!+#REF!+#REF!+#REF!+#REF!+#REF!+#REF!+#REF!+#REF!+#REF!+#REF!+#REF!+#REF!+#REF!+#REF!+#REF!+#REF!</f>
        <v/>
      </c>
      <c r="AE67" s="602">
        <f>AC67-AD67</f>
        <v/>
      </c>
    </row>
    <row r="68">
      <c r="A68" s="633" t="inlineStr">
        <is>
          <t>Канц.товары</t>
        </is>
      </c>
      <c r="B68" s="604" t="inlineStr">
        <is>
          <t>Расход</t>
        </is>
      </c>
      <c r="C68" s="977" t="n"/>
      <c r="D68" s="977" t="n"/>
      <c r="E68" s="977" t="n"/>
      <c r="F68" s="977" t="n"/>
      <c r="G68" s="977" t="n"/>
      <c r="H68" s="615">
        <f>C68+D68+E68+F68+G68</f>
        <v/>
      </c>
      <c r="I68" s="680" t="n"/>
      <c r="J68" s="680" t="n"/>
      <c r="K68" s="680" t="n"/>
      <c r="L68" s="680" t="n"/>
      <c r="M68" s="680" t="n"/>
      <c r="N68" s="680" t="n"/>
      <c r="O68" s="680" t="n"/>
      <c r="P68" s="680" t="n"/>
      <c r="Q68" s="680" t="n"/>
      <c r="R68" s="680" t="n"/>
      <c r="S68" s="680" t="n"/>
      <c r="T68" s="680" t="n"/>
      <c r="U68" s="680" t="n"/>
      <c r="V68" s="680" t="n"/>
      <c r="W68" s="680" t="n"/>
      <c r="X68" s="680" t="n"/>
      <c r="Y68" s="680" t="n"/>
      <c r="Z68" s="680" t="n"/>
      <c r="AA68" s="680" t="n"/>
      <c r="AB68" s="680" t="n"/>
      <c r="AC68" s="608">
        <f>C68+D68+E68+F68+G68+I68+J68+K68+L68+M68+N68+O68+P68+Q68+R68+S68+T68+U68+V68+W68+X68+Y68+Z68</f>
        <v/>
      </c>
      <c r="AD68" s="608">
        <f>#REF!+#REF!+#REF!+#REF!+#REF!+#REF!+#REF!+#REF!+#REF!+#REF!+#REF!+#REF!+#REF!+#REF!+#REF!+#REF!+#REF!+#REF!+#REF!+#REF!+#REF!</f>
        <v/>
      </c>
      <c r="AE68" s="602">
        <f>AC68-AD68</f>
        <v/>
      </c>
    </row>
    <row r="69">
      <c r="A69" s="633" t="inlineStr">
        <is>
          <t>Расходы по реализации Разные</t>
        </is>
      </c>
      <c r="B69" s="604" t="inlineStr">
        <is>
          <t>Расход</t>
        </is>
      </c>
      <c r="C69" s="977" t="n"/>
      <c r="D69" s="977" t="n"/>
      <c r="E69" s="977" t="n"/>
      <c r="F69" s="977" t="n"/>
      <c r="G69" s="977" t="n"/>
      <c r="H69" s="615">
        <f>C69+D69+E69+F69+G69</f>
        <v/>
      </c>
      <c r="I69" s="680" t="n"/>
      <c r="J69" s="680" t="n"/>
      <c r="K69" s="680" t="n"/>
      <c r="L69" s="680" t="n"/>
      <c r="M69" s="680" t="n"/>
      <c r="N69" s="680" t="n"/>
      <c r="O69" s="680" t="n"/>
      <c r="P69" s="680" t="n"/>
      <c r="Q69" s="680" t="n"/>
      <c r="R69" s="680" t="n"/>
      <c r="S69" s="680" t="n"/>
      <c r="T69" s="680" t="n"/>
      <c r="U69" s="680" t="n"/>
      <c r="V69" s="680" t="n"/>
      <c r="W69" s="680" t="n"/>
      <c r="X69" s="680" t="n"/>
      <c r="Y69" s="680" t="n"/>
      <c r="Z69" s="680" t="n"/>
      <c r="AA69" s="680" t="n"/>
      <c r="AB69" s="680" t="n"/>
      <c r="AC69" s="608">
        <f>C69+D69+E69+F69+G69+I69+J69+K69+L69+M69+N69+O69+P69+Q69+R69+S69+T69+U69+V69+W69+X69+Y69+Z69</f>
        <v/>
      </c>
      <c r="AD69" s="608">
        <f>#REF!+#REF!+#REF!+#REF!+#REF!+#REF!+#REF!+#REF!+#REF!+#REF!+#REF!+#REF!+#REF!+#REF!+#REF!+#REF!+#REF!+#REF!+#REF!+#REF!+#REF!</f>
        <v/>
      </c>
      <c r="AE69" s="602">
        <f>AC69-AD69</f>
        <v/>
      </c>
    </row>
    <row r="70">
      <c r="A70" s="633" t="inlineStr">
        <is>
          <t>Ремонт помещений</t>
        </is>
      </c>
      <c r="B70" s="604" t="inlineStr">
        <is>
          <t>Расход</t>
        </is>
      </c>
      <c r="C70" s="977" t="n"/>
      <c r="D70" s="977" t="n"/>
      <c r="E70" s="977" t="n"/>
      <c r="F70" s="977" t="n"/>
      <c r="G70" s="977" t="n"/>
      <c r="H70" s="615">
        <f>C70+D70+E70+F70+G70</f>
        <v/>
      </c>
      <c r="I70" s="680" t="n"/>
      <c r="J70" s="680" t="n"/>
      <c r="K70" s="680" t="n"/>
      <c r="L70" s="680" t="n"/>
      <c r="M70" s="680" t="n"/>
      <c r="N70" s="680" t="n"/>
      <c r="O70" s="680" t="n"/>
      <c r="P70" s="680" t="n"/>
      <c r="Q70" s="680" t="n"/>
      <c r="R70" s="680" t="n"/>
      <c r="S70" s="680" t="n"/>
      <c r="T70" s="680" t="n"/>
      <c r="U70" s="680" t="n"/>
      <c r="V70" s="680" t="n"/>
      <c r="W70" s="680" t="n"/>
      <c r="X70" s="680" t="n"/>
      <c r="Y70" s="680" t="n"/>
      <c r="Z70" s="680" t="n"/>
      <c r="AA70" s="680" t="n"/>
      <c r="AB70" s="680" t="n"/>
      <c r="AC70" s="608">
        <f>C70+D70+E70+F70+G70+I70+J70+K70+L70+M70+N70+O70+P70+Q70+R70+S70+T70+U70+V70+W70+X70+Y70+Z70</f>
        <v/>
      </c>
      <c r="AD70" s="608">
        <f>#REF!+#REF!+#REF!+#REF!+#REF!+#REF!+#REF!+#REF!+#REF!+#REF!+#REF!+#REF!+#REF!+#REF!+#REF!+#REF!+#REF!+#REF!+#REF!+#REF!+#REF!</f>
        <v/>
      </c>
      <c r="AE70" s="602">
        <f>AC70-AD70</f>
        <v/>
      </c>
    </row>
    <row r="71">
      <c r="A71" s="633" t="inlineStr">
        <is>
          <t>Ремонт оборудования</t>
        </is>
      </c>
      <c r="B71" s="604" t="inlineStr">
        <is>
          <t>Расход</t>
        </is>
      </c>
      <c r="C71" s="977" t="n"/>
      <c r="D71" s="656" t="n"/>
      <c r="E71" s="977" t="n"/>
      <c r="F71" s="977" t="n"/>
      <c r="G71" s="977" t="n"/>
      <c r="H71" s="615">
        <f>C71+D71+E71+F71+G71</f>
        <v/>
      </c>
      <c r="I71" s="680" t="n"/>
      <c r="J71" s="645" t="n"/>
      <c r="K71" s="680" t="n"/>
      <c r="L71" s="680" t="n"/>
      <c r="M71" s="680" t="n"/>
      <c r="N71" s="680" t="n"/>
      <c r="O71" s="680" t="n"/>
      <c r="P71" s="649" t="n"/>
      <c r="Q71" s="680" t="n"/>
      <c r="R71" s="680" t="n"/>
      <c r="S71" s="680" t="n"/>
      <c r="T71" s="680" t="n"/>
      <c r="U71" s="680" t="n"/>
      <c r="V71" s="680" t="n"/>
      <c r="W71" s="680" t="n"/>
      <c r="X71" s="680" t="n"/>
      <c r="Y71" s="680" t="n"/>
      <c r="Z71" s="680" t="n"/>
      <c r="AA71" s="680" t="n"/>
      <c r="AB71" s="680" t="n"/>
      <c r="AC71" s="608">
        <f>C71+D71+E71+F71+G71+I71+J71+K71+L71+M71+N71+O71+P71+Q71+R71+S71+T71+U71+V71+W71+X71+Y71+Z71</f>
        <v/>
      </c>
      <c r="AD71" s="608">
        <f>#REF!+#REF!+#REF!+#REF!+#REF!+#REF!+#REF!+#REF!+#REF!+#REF!+#REF!+#REF!+#REF!+#REF!+#REF!+#REF!+#REF!+#REF!+#REF!+#REF!+#REF!</f>
        <v/>
      </c>
      <c r="AE71" s="602">
        <f>AC71-AD71</f>
        <v/>
      </c>
    </row>
    <row r="72">
      <c r="A72" s="633" t="inlineStr">
        <is>
          <t>Приобретение основных средств</t>
        </is>
      </c>
      <c r="B72" s="604" t="inlineStr">
        <is>
          <t>Расход</t>
        </is>
      </c>
      <c r="C72" s="977" t="n"/>
      <c r="D72" s="977" t="n"/>
      <c r="E72" s="977" t="n"/>
      <c r="F72" s="977" t="n"/>
      <c r="G72" s="977" t="n"/>
      <c r="H72" s="615">
        <f>C72+D72+E72+F72+G72</f>
        <v/>
      </c>
      <c r="I72" s="680" t="n"/>
      <c r="J72" s="680" t="n"/>
      <c r="K72" s="680" t="n"/>
      <c r="L72" s="680" t="n"/>
      <c r="M72" s="680" t="n"/>
      <c r="N72" s="680" t="n"/>
      <c r="O72" s="680" t="n"/>
      <c r="P72" s="680" t="n"/>
      <c r="Q72" s="680" t="n"/>
      <c r="R72" s="680" t="n"/>
      <c r="S72" s="680" t="n"/>
      <c r="T72" s="680" t="n"/>
      <c r="U72" s="680" t="n"/>
      <c r="V72" s="680" t="n"/>
      <c r="W72" s="680" t="n"/>
      <c r="X72" s="680" t="n"/>
      <c r="Y72" s="680" t="n"/>
      <c r="Z72" s="680" t="n"/>
      <c r="AA72" s="649" t="n">
        <v>-500000</v>
      </c>
      <c r="AB72" s="680" t="n"/>
      <c r="AC72" s="608">
        <f>C72+D72+E72+F72+G72+I72+J72+K72+L72+M72+N72+O72+P72+Q72+R72+S72+T72+U72+V72+W72+X72+Y72+Z72</f>
        <v/>
      </c>
      <c r="AD72" s="608">
        <f>#REF!+#REF!+#REF!+#REF!+#REF!+#REF!+#REF!+#REF!+#REF!+#REF!+#REF!+#REF!+#REF!+#REF!+#REF!+#REF!+#REF!+#REF!+#REF!+#REF!+#REF!</f>
        <v/>
      </c>
      <c r="AE72" s="602">
        <f>AC72-AD72</f>
        <v/>
      </c>
    </row>
    <row r="73">
      <c r="A73" s="633" t="inlineStr">
        <is>
          <t>Сырье Платежи поставщикам</t>
        </is>
      </c>
      <c r="B73" s="604" t="inlineStr">
        <is>
          <t>Расход</t>
        </is>
      </c>
      <c r="C73" s="977" t="n"/>
      <c r="D73" s="656" t="n">
        <v>-1500000</v>
      </c>
      <c r="E73" s="656" t="n">
        <v>-1500000</v>
      </c>
      <c r="F73" s="656" t="n">
        <v>-500000</v>
      </c>
      <c r="G73" s="977" t="n"/>
      <c r="H73" s="615">
        <f>C73+D73+E73+F73+G73</f>
        <v/>
      </c>
      <c r="I73" s="680" t="n"/>
      <c r="J73" s="649" t="n">
        <v>-500000</v>
      </c>
      <c r="K73" s="649" t="n">
        <v>-500000</v>
      </c>
      <c r="L73" s="649" t="n">
        <v>-500000</v>
      </c>
      <c r="M73" s="680" t="n"/>
      <c r="N73" s="680" t="n"/>
      <c r="O73" s="649" t="n">
        <v>-500000</v>
      </c>
      <c r="P73" s="649" t="n">
        <v>-500000</v>
      </c>
      <c r="Q73" s="649" t="n">
        <v>-500000</v>
      </c>
      <c r="R73" s="680" t="n"/>
      <c r="S73" s="680" t="n"/>
      <c r="T73" s="649" t="n">
        <v>-500000</v>
      </c>
      <c r="U73" s="649" t="n">
        <v>-500000</v>
      </c>
      <c r="V73" s="649" t="n">
        <v>-500000</v>
      </c>
      <c r="W73" s="680" t="n"/>
      <c r="X73" s="680" t="n"/>
      <c r="Y73" s="649" t="n">
        <v>-500000</v>
      </c>
      <c r="Z73" s="649" t="n">
        <v>-500000</v>
      </c>
      <c r="AA73" s="660">
        <f>SUM(AA55:AA72)</f>
        <v/>
      </c>
      <c r="AB73" s="660">
        <f>SUM(AB55:AB72)</f>
        <v/>
      </c>
      <c r="AC73" s="608">
        <f>C73+D73+E73+F73+G73+I73+J73+K73+L73+M73+N73+O73+P73+Q73+R73+S73+T73+U73+V73+W73+X73+Y73+Z73</f>
        <v/>
      </c>
      <c r="AD73" s="608">
        <f>#REF!+#REF!+#REF!+#REF!+#REF!+#REF!+#REF!+#REF!+#REF!+#REF!+#REF!+#REF!+#REF!+#REF!+#REF!+#REF!+#REF!+#REF!+#REF!+#REF!+#REF!</f>
        <v/>
      </c>
      <c r="AE73" s="602">
        <f>AC73-AD73</f>
        <v/>
      </c>
    </row>
    <row r="74">
      <c r="A74" s="661" t="inlineStr">
        <is>
          <t>Итого по кассе</t>
        </is>
      </c>
      <c r="B74" s="662" t="inlineStr">
        <is>
          <t>Расход</t>
        </is>
      </c>
      <c r="C74" s="660">
        <f>SUM(C56:C73)</f>
        <v/>
      </c>
      <c r="D74" s="660">
        <f>SUM(D56:D73)</f>
        <v/>
      </c>
      <c r="E74" s="660">
        <f>SUM(E56:E73)</f>
        <v/>
      </c>
      <c r="F74" s="660">
        <f>SUM(F56:F73)</f>
        <v/>
      </c>
      <c r="G74" s="660">
        <f>SUM(G56:G73)</f>
        <v/>
      </c>
      <c r="H74" s="660">
        <f>SUM(H56:H73)</f>
        <v/>
      </c>
      <c r="I74" s="660">
        <f>SUM(I56:I73)</f>
        <v/>
      </c>
      <c r="J74" s="660">
        <f>SUM(J56:J73)</f>
        <v/>
      </c>
      <c r="K74" s="660">
        <f>SUM(K56:K73)</f>
        <v/>
      </c>
      <c r="L74" s="660">
        <f>SUM(L56:L73)</f>
        <v/>
      </c>
      <c r="M74" s="660">
        <f>SUM(M56:M73)</f>
        <v/>
      </c>
      <c r="N74" s="660">
        <f>SUM(N56:N73)</f>
        <v/>
      </c>
      <c r="O74" s="660">
        <f>SUM(O56:O73)</f>
        <v/>
      </c>
      <c r="P74" s="660">
        <f>SUM(P56:P73)</f>
        <v/>
      </c>
      <c r="Q74" s="660">
        <f>SUM(Q56:Q73)</f>
        <v/>
      </c>
      <c r="R74" s="660">
        <f>SUM(R56:R73)</f>
        <v/>
      </c>
      <c r="S74" s="660">
        <f>SUM(S56:S73)</f>
        <v/>
      </c>
      <c r="T74" s="660">
        <f>SUM(T56:T73)</f>
        <v/>
      </c>
      <c r="U74" s="660">
        <f>SUM(U56:U73)</f>
        <v/>
      </c>
      <c r="V74" s="660">
        <f>SUM(V56:V73)</f>
        <v/>
      </c>
      <c r="W74" s="660">
        <f>SUM(W56:W73)</f>
        <v/>
      </c>
      <c r="X74" s="660">
        <f>SUM(X56:X73)</f>
        <v/>
      </c>
      <c r="Y74" s="660">
        <f>SUM(Y56:Y73)</f>
        <v/>
      </c>
      <c r="Z74" s="660">
        <f>SUM(Z56:Z73)</f>
        <v/>
      </c>
      <c r="AA74" s="663">
        <f>AA54+AA73</f>
        <v/>
      </c>
      <c r="AB74" s="663">
        <f>AB54+AB73</f>
        <v/>
      </c>
      <c r="AC74" s="664">
        <f>SUM(AC56:AC73)</f>
        <v/>
      </c>
      <c r="AD74" s="653">
        <f>#REF!+#REF!+#REF!+#REF!+#REF!+#REF!+#REF!+#REF!+#REF!+#REF!+#REF!+#REF!+#REF!+#REF!+#REF!+#REF!+#REF!+#REF!+#REF!+#REF!+#REF!</f>
        <v/>
      </c>
      <c r="AE74" s="654">
        <f>AC74-AD74</f>
        <v/>
      </c>
    </row>
    <row r="75">
      <c r="A75" s="665" t="inlineStr">
        <is>
          <t>ИТОГО РАСХОДЫ</t>
        </is>
      </c>
      <c r="B75" s="666" t="n"/>
      <c r="C75" s="663">
        <f>C55+C74</f>
        <v/>
      </c>
      <c r="D75" s="663">
        <f>D55+D74</f>
        <v/>
      </c>
      <c r="E75" s="663">
        <f>E55+E74</f>
        <v/>
      </c>
      <c r="F75" s="663">
        <f>F55+F74</f>
        <v/>
      </c>
      <c r="G75" s="663">
        <f>G55+G74</f>
        <v/>
      </c>
      <c r="H75" s="663">
        <f>H55+H74</f>
        <v/>
      </c>
      <c r="I75" s="663">
        <f>I55+I74</f>
        <v/>
      </c>
      <c r="J75" s="663">
        <f>J55+J74</f>
        <v/>
      </c>
      <c r="K75" s="663">
        <f>K55+K74</f>
        <v/>
      </c>
      <c r="L75" s="663">
        <f>L55+L74</f>
        <v/>
      </c>
      <c r="M75" s="663">
        <f>M55+M74</f>
        <v/>
      </c>
      <c r="N75" s="663">
        <f>N55+N74</f>
        <v/>
      </c>
      <c r="O75" s="663">
        <f>O55+O74</f>
        <v/>
      </c>
      <c r="P75" s="663">
        <f>P55+P74</f>
        <v/>
      </c>
      <c r="Q75" s="663">
        <f>Q55+Q74</f>
        <v/>
      </c>
      <c r="R75" s="663">
        <f>R55+R74</f>
        <v/>
      </c>
      <c r="S75" s="663">
        <f>S55+S74</f>
        <v/>
      </c>
      <c r="T75" s="663">
        <f>T55+T74</f>
        <v/>
      </c>
      <c r="U75" s="663">
        <f>U55+U74</f>
        <v/>
      </c>
      <c r="V75" s="663">
        <f>V55+V74</f>
        <v/>
      </c>
      <c r="W75" s="663">
        <f>W55+W74</f>
        <v/>
      </c>
      <c r="X75" s="663">
        <f>X55+X74</f>
        <v/>
      </c>
      <c r="Y75" s="663">
        <f>Y55+Y74</f>
        <v/>
      </c>
      <c r="Z75" s="663">
        <f>Z55+Z74</f>
        <v/>
      </c>
      <c r="AA75" s="667">
        <f>AA28-(-AA54-AA73)</f>
        <v/>
      </c>
      <c r="AB75" s="667">
        <f>AB28-(-AB54-AB73)</f>
        <v/>
      </c>
      <c r="AC75" s="668">
        <f>AC55+AC74</f>
        <v/>
      </c>
      <c r="AD75" s="669">
        <f>#REF!+#REF!+#REF!+#REF!+#REF!+#REF!+#REF!+#REF!+#REF!+#REF!+#REF!+#REF!+#REF!+#REF!+#REF!+#REF!+#REF!+#REF!+#REF!+#REF!+#REF!</f>
        <v/>
      </c>
      <c r="AE75" s="670">
        <f>AC75-AD75</f>
        <v/>
      </c>
    </row>
    <row r="76">
      <c r="A76" s="671" t="inlineStr">
        <is>
          <t>Операционная деятельность</t>
        </is>
      </c>
      <c r="B76" s="672" t="n"/>
      <c r="C76" s="667">
        <f>C29-(-C55-C74)</f>
        <v/>
      </c>
      <c r="D76" s="667">
        <f>D29-(-D55-D74)</f>
        <v/>
      </c>
      <c r="E76" s="667">
        <f>E29-(-E55-E74)</f>
        <v/>
      </c>
      <c r="F76" s="667">
        <f>F29-(-F55-F74)</f>
        <v/>
      </c>
      <c r="G76" s="667">
        <f>G29-(-G55-G74)</f>
        <v/>
      </c>
      <c r="H76" s="667">
        <f>H29-(-H55-H74)</f>
        <v/>
      </c>
      <c r="I76" s="667">
        <f>I29-(-I55-I74)</f>
        <v/>
      </c>
      <c r="J76" s="667">
        <f>J29-(-J55-J74)</f>
        <v/>
      </c>
      <c r="K76" s="667">
        <f>K29-(-K55-K74)</f>
        <v/>
      </c>
      <c r="L76" s="667">
        <f>L29-(-L55-L74)</f>
        <v/>
      </c>
      <c r="M76" s="673" t="n"/>
      <c r="N76" s="667">
        <f>N29-(-N55-N74)</f>
        <v/>
      </c>
      <c r="O76" s="667">
        <f>O29-(-O55-O74)</f>
        <v/>
      </c>
      <c r="P76" s="667">
        <f>P29-(-#REF!-P74)</f>
        <v/>
      </c>
      <c r="Q76" s="667">
        <f>Q29-(-Q74)</f>
        <v/>
      </c>
      <c r="R76" s="667">
        <f>R29-(-#REF!-R74)</f>
        <v/>
      </c>
      <c r="S76" s="667">
        <f>S29-(-S55-S74)</f>
        <v/>
      </c>
      <c r="T76" s="667">
        <f>T29-(-T55-T74)</f>
        <v/>
      </c>
      <c r="U76" s="667">
        <f>U29-(-U55-U74)</f>
        <v/>
      </c>
      <c r="V76" s="667">
        <f>V29-(-V55-V74)</f>
        <v/>
      </c>
      <c r="W76" s="667">
        <f>W29-(-W55-W74)</f>
        <v/>
      </c>
      <c r="X76" s="667">
        <f>X29-(-X55-X74)</f>
        <v/>
      </c>
      <c r="Y76" s="667">
        <f>Y29-(-Y55-Y74)</f>
        <v/>
      </c>
      <c r="Z76" s="667">
        <f>Z29-(-Z55-Z74)</f>
        <v/>
      </c>
      <c r="AA76" s="674" t="n"/>
      <c r="AB76" s="674" t="n"/>
      <c r="AC76" s="675">
        <f>AC29-(-AC55-AC74)</f>
        <v/>
      </c>
      <c r="AD76" s="608">
        <f>#REF!+#REF!+#REF!+#REF!+#REF!+#REF!+#REF!+#REF!+#REF!+#REF!+#REF!+#REF!+#REF!+#REF!+#REF!+#REF!+#REF!+#REF!+#REF!+#REF!+#REF!</f>
        <v/>
      </c>
      <c r="AE76" s="676" t="n"/>
    </row>
    <row r="77">
      <c r="A77" s="1218" t="inlineStr">
        <is>
          <t>ВФП Учредители поступление (НАЛ)</t>
        </is>
      </c>
      <c r="B77" s="678" t="inlineStr">
        <is>
          <t>Приход</t>
        </is>
      </c>
      <c r="C77" s="998" t="n"/>
      <c r="D77" s="998" t="n"/>
      <c r="E77" s="998" t="n"/>
      <c r="F77" s="998" t="n"/>
      <c r="G77" s="998" t="n"/>
      <c r="H77" s="674" t="n"/>
      <c r="I77" s="674" t="n"/>
      <c r="J77" s="674" t="n"/>
      <c r="K77" s="674" t="n"/>
      <c r="L77" s="674" t="n"/>
      <c r="M77" s="674" t="n"/>
      <c r="N77" s="674" t="n"/>
      <c r="O77" s="674" t="n"/>
      <c r="P77" s="674" t="n"/>
      <c r="Q77" s="674" t="n"/>
      <c r="R77" s="674" t="n"/>
      <c r="S77" s="674" t="n"/>
      <c r="T77" s="674" t="n"/>
      <c r="U77" s="674" t="n"/>
      <c r="V77" s="674" t="n"/>
      <c r="W77" s="674" t="n"/>
      <c r="X77" s="674" t="n"/>
      <c r="Y77" s="674" t="n"/>
      <c r="Z77" s="674" t="n"/>
      <c r="AA77" s="674" t="n"/>
      <c r="AB77" s="674" t="n"/>
      <c r="AC77" s="675">
        <f>AC30-(-AC56-AC75)</f>
        <v/>
      </c>
      <c r="AD77" s="608">
        <f>#REF!+#REF!+#REF!+#REF!+#REF!+#REF!+#REF!+#REF!+#REF!+#REF!+#REF!+#REF!+#REF!+#REF!+#REF!+#REF!+#REF!+#REF!+#REF!+#REF!+#REF!</f>
        <v/>
      </c>
      <c r="AE77" s="676" t="n"/>
    </row>
    <row r="78">
      <c r="A78" s="1219" t="n"/>
      <c r="B78" s="604" t="inlineStr">
        <is>
          <t>Расход</t>
        </is>
      </c>
      <c r="C78" s="977" t="n"/>
      <c r="D78" s="977" t="n"/>
      <c r="E78" s="977" t="n"/>
      <c r="F78" s="977" t="n"/>
      <c r="G78" s="977" t="n"/>
      <c r="H78" s="674" t="n"/>
      <c r="I78" s="674" t="n"/>
      <c r="J78" s="674" t="n"/>
      <c r="K78" s="674" t="n"/>
      <c r="L78" s="674" t="n"/>
      <c r="M78" s="674" t="n"/>
      <c r="N78" s="674" t="n"/>
      <c r="O78" s="674" t="n"/>
      <c r="P78" s="674" t="n"/>
      <c r="Q78" s="674" t="n"/>
      <c r="R78" s="674" t="n"/>
      <c r="S78" s="674" t="n"/>
      <c r="T78" s="674" t="n"/>
      <c r="U78" s="674" t="n"/>
      <c r="V78" s="674" t="n"/>
      <c r="W78" s="674" t="n"/>
      <c r="X78" s="674" t="n"/>
      <c r="Y78" s="674" t="n"/>
      <c r="Z78" s="674" t="n"/>
      <c r="AA78" s="674" t="n"/>
      <c r="AB78" s="674" t="n"/>
      <c r="AC78" s="675">
        <f>AC31-(-AC57-AC76)</f>
        <v/>
      </c>
      <c r="AD78" s="608">
        <f>#REF!+#REF!+#REF!+#REF!+#REF!+#REF!+#REF!+#REF!+#REF!+#REF!+#REF!+#REF!+#REF!+#REF!+#REF!+#REF!+#REF!+#REF!+#REF!+#REF!+#REF!</f>
        <v/>
      </c>
      <c r="AE78" s="676" t="n"/>
    </row>
    <row r="79">
      <c r="A79" s="1134" t="inlineStr">
        <is>
          <t>Касса взаиморасчета банк</t>
        </is>
      </c>
      <c r="B79" s="604" t="inlineStr">
        <is>
          <t>Расход</t>
        </is>
      </c>
      <c r="C79" s="977" t="n"/>
      <c r="D79" s="977" t="n"/>
      <c r="E79" s="977" t="n"/>
      <c r="F79" s="977" t="n"/>
      <c r="G79" s="977" t="n"/>
      <c r="H79" s="680" t="n">
        <v>-10500000</v>
      </c>
      <c r="I79" s="680" t="n"/>
      <c r="J79" s="680" t="n"/>
      <c r="K79" s="680" t="n"/>
      <c r="L79" s="680" t="n"/>
      <c r="M79" s="680" t="n"/>
      <c r="N79" s="680" t="n"/>
      <c r="O79" s="680" t="n"/>
      <c r="P79" s="680" t="n"/>
      <c r="Q79" s="680" t="n"/>
      <c r="R79" s="680" t="n"/>
      <c r="S79" s="674" t="n"/>
      <c r="T79" s="674" t="n"/>
      <c r="U79" s="674" t="n"/>
      <c r="V79" s="674" t="n"/>
      <c r="W79" s="674" t="n"/>
      <c r="X79" s="674" t="n"/>
      <c r="Y79" s="674" t="n"/>
      <c r="Z79" s="674" t="n"/>
      <c r="AA79" s="674" t="n"/>
      <c r="AB79" s="674" t="n"/>
      <c r="AC79" s="675">
        <f>AC32-(-AC58-AC77)</f>
        <v/>
      </c>
      <c r="AD79" s="608">
        <f>#REF!+#REF!+#REF!+#REF!+#REF!+#REF!+#REF!+#REF!+#REF!+#REF!+#REF!+#REF!+#REF!+#REF!+#REF!+#REF!+#REF!+#REF!+#REF!+#REF!+#REF!</f>
        <v/>
      </c>
      <c r="AE79" s="676" t="n"/>
    </row>
    <row r="80">
      <c r="A80" s="1134" t="inlineStr">
        <is>
          <t>Касса взаиморасчета касса</t>
        </is>
      </c>
      <c r="B80" s="678" t="inlineStr">
        <is>
          <t>Приход</t>
        </is>
      </c>
      <c r="C80" s="977" t="n"/>
      <c r="D80" s="977" t="n"/>
      <c r="E80" s="977" t="n"/>
      <c r="F80" s="977" t="n"/>
      <c r="G80" s="977" t="n"/>
      <c r="H80" s="680" t="n">
        <v>10500000</v>
      </c>
      <c r="I80" s="680" t="n"/>
      <c r="J80" s="680" t="n"/>
      <c r="K80" s="680" t="n"/>
      <c r="L80" s="680" t="n"/>
      <c r="M80" s="680" t="n"/>
      <c r="N80" s="680" t="n"/>
      <c r="O80" s="680" t="n"/>
      <c r="P80" s="680" t="n"/>
      <c r="Q80" s="680" t="n"/>
      <c r="R80" s="680" t="n"/>
      <c r="S80" s="674" t="n"/>
      <c r="T80" s="674" t="n"/>
      <c r="U80" s="674" t="n"/>
      <c r="V80" s="674" t="n"/>
      <c r="W80" s="674" t="n"/>
      <c r="X80" s="674" t="n"/>
      <c r="Y80" s="674" t="n"/>
      <c r="Z80" s="674" t="n"/>
      <c r="AA80" s="681">
        <f>AA4+AA20-(-AA54)-AA78+AA76-AA77</f>
        <v/>
      </c>
      <c r="AB80" s="681">
        <f>AB4+AB20-(-AB54)-AB78+AB76-AB77</f>
        <v/>
      </c>
      <c r="AC80" s="675">
        <f>AC33-(-AC59-AC78)</f>
        <v/>
      </c>
      <c r="AD80" s="608">
        <f>#REF!+#REF!+#REF!+#REF!+#REF!+#REF!+#REF!+#REF!+#REF!+#REF!+#REF!+#REF!+#REF!+#REF!+#REF!+#REF!+#REF!+#REF!+#REF!+#REF!+#REF!</f>
        <v/>
      </c>
      <c r="AE80" s="676" t="n"/>
    </row>
    <row r="81">
      <c r="A81" s="682" t="inlineStr">
        <is>
          <t>Остаток на конец ПО БАНКУ</t>
        </is>
      </c>
      <c r="B81" s="597" t="n"/>
      <c r="C81" s="683">
        <f>C5+C21-(-C55)-C79</f>
        <v/>
      </c>
      <c r="D81" s="683">
        <f>D5+D21-(-D55)-D79</f>
        <v/>
      </c>
      <c r="E81" s="683">
        <f>E5+E21-(-E55)-E79</f>
        <v/>
      </c>
      <c r="F81" s="684">
        <f>F5+F21-(-F55)-F79</f>
        <v/>
      </c>
      <c r="G81" s="685">
        <f>G5+G21-(-G55)-G79</f>
        <v/>
      </c>
      <c r="H81" s="686">
        <f>G81+H79</f>
        <v/>
      </c>
      <c r="I81" s="686">
        <f>I5+I21-(-I55)-I79</f>
        <v/>
      </c>
      <c r="J81" s="687">
        <f>J5+J21-(-J55)-J79</f>
        <v/>
      </c>
      <c r="K81" s="688">
        <f>K5+K21-(-K55)-K79</f>
        <v/>
      </c>
      <c r="L81" s="689">
        <f>L5+L21-(-L55)-L79</f>
        <v/>
      </c>
      <c r="M81" s="690">
        <f>M5+M21-(-M55)-M79</f>
        <v/>
      </c>
      <c r="N81" s="689">
        <f>N5+N21-(-N55)-N79</f>
        <v/>
      </c>
      <c r="O81" s="689">
        <f>O5+O21-(-O55)-O79</f>
        <v/>
      </c>
      <c r="P81" s="689">
        <f>P5+P21-(-P55)-P79</f>
        <v/>
      </c>
      <c r="Q81" s="689">
        <f>Q5+Q21-(-Q55)-Q79</f>
        <v/>
      </c>
      <c r="R81" s="689">
        <f>R5+R21-(-R55)-R79</f>
        <v/>
      </c>
      <c r="S81" s="691">
        <f>S5+S21-(-S55)-S79</f>
        <v/>
      </c>
      <c r="T81" s="692">
        <f>T5+T21-(-T55)-T79</f>
        <v/>
      </c>
      <c r="U81" s="693">
        <f>U5+U21-(-U55)-U79</f>
        <v/>
      </c>
      <c r="V81" s="681">
        <f>V5+V21-(-V55)-V79+V77-V78</f>
        <v/>
      </c>
      <c r="W81" s="681">
        <f>W5+W21-(-W55)-W79+W77-W78</f>
        <v/>
      </c>
      <c r="X81" s="691">
        <f>X5+X21-(-X55)-X79</f>
        <v/>
      </c>
      <c r="Y81" s="692">
        <f>Y5+Y21-(-Y55)-Y79</f>
        <v/>
      </c>
      <c r="Z81" s="693">
        <f>Z5+Z21-(-Z55)-Z79</f>
        <v/>
      </c>
      <c r="AA81" s="694">
        <f>AA5+AA27-(-AA73)+AA79</f>
        <v/>
      </c>
      <c r="AB81" s="694">
        <f>AB5+AB27-(-AB73)+AB79</f>
        <v/>
      </c>
      <c r="AC81" s="681">
        <f>AC5+AC21-(-AC55)-AC79</f>
        <v/>
      </c>
      <c r="AD81" s="695">
        <f>AD5+AD21-(-AD55)-AD79</f>
        <v/>
      </c>
      <c r="AE81" s="676" t="n"/>
    </row>
    <row r="82">
      <c r="A82" s="682" t="inlineStr">
        <is>
          <t>Остаток на конец ПО КАССЕ</t>
        </is>
      </c>
      <c r="B82" s="597" t="n"/>
      <c r="C82" s="696">
        <f>C6+C28-(-C74)+C77-C78+C80</f>
        <v/>
      </c>
      <c r="D82" s="696">
        <f>D6+D28-(-D74)+D77-D78+D80</f>
        <v/>
      </c>
      <c r="E82" s="696">
        <f>E6+E28-(-E74)+E77-E78+E80</f>
        <v/>
      </c>
      <c r="F82" s="697">
        <f>F6+F28-(-F74)+F77-F78+F80</f>
        <v/>
      </c>
      <c r="G82" s="698">
        <f>G6+G28-(-G74)+G77-G78+G80</f>
        <v/>
      </c>
      <c r="H82" s="699">
        <f>G82+H80</f>
        <v/>
      </c>
      <c r="I82" s="699">
        <f>I6+I28-(-I74)+I77-I78+I80</f>
        <v/>
      </c>
      <c r="J82" s="700">
        <f>J6+J28-(-J74)+J77-J78+J80</f>
        <v/>
      </c>
      <c r="K82" s="701">
        <f>K6+K28-(-K74)+K77-K78+K80</f>
        <v/>
      </c>
      <c r="L82" s="702">
        <f>L6+L28-(-L74)+L77-L78+L80</f>
        <v/>
      </c>
      <c r="M82" s="703">
        <f>M6+M28-(-M74)+M77-M78+M80</f>
        <v/>
      </c>
      <c r="N82" s="703">
        <f>N6+N28-(-N74)+N77-N78+N80</f>
        <v/>
      </c>
      <c r="O82" s="704">
        <f>O6+O28-(-O74)+O77-O78+O80</f>
        <v/>
      </c>
      <c r="P82" s="705">
        <f>P6+P28-(-P74)+P77-P78+P80</f>
        <v/>
      </c>
      <c r="Q82" s="706">
        <f>Q6+Q28-(-Q74)+Q77-Q78+Q80</f>
        <v/>
      </c>
      <c r="R82" s="707">
        <f>R6+R28-(-R74)+R77-R78+R80</f>
        <v/>
      </c>
      <c r="S82" s="708">
        <f>S6+S28-(-S74)+S77-S78+S80</f>
        <v/>
      </c>
      <c r="T82" s="709">
        <f>T6+T28-(-T74)+T77-T78+T80</f>
        <v/>
      </c>
      <c r="U82" s="710">
        <f>U6+U28-(-U74)+U77-U78+U80</f>
        <v/>
      </c>
      <c r="V82" s="694">
        <f>V6+V28-(-V74)+V80</f>
        <v/>
      </c>
      <c r="W82" s="694">
        <f>W6+W28-(-W74)+W80</f>
        <v/>
      </c>
      <c r="X82" s="708">
        <f>X6+X28-(-X74)+X77-X78+X80</f>
        <v/>
      </c>
      <c r="Y82" s="709">
        <f>Y6+Y28-(-Y74)+Y77-Y78+Y80</f>
        <v/>
      </c>
      <c r="Z82" s="710">
        <f>Z6+Z28-(-Z74)+Z77-Z78+Z80</f>
        <v/>
      </c>
      <c r="AA82" s="711">
        <f>AA80+AA81</f>
        <v/>
      </c>
      <c r="AB82" s="711">
        <f>AB80+AB81</f>
        <v/>
      </c>
      <c r="AC82" s="694">
        <f>AC6+AC28-(-AC74)+AC77-AC78+AC80</f>
        <v/>
      </c>
      <c r="AD82" s="712">
        <f>AD6+AD28-(-AD74)+AD77-AD78+AD80</f>
        <v/>
      </c>
      <c r="AE82" s="676" t="n"/>
    </row>
    <row r="83">
      <c r="A83" s="713" t="inlineStr">
        <is>
          <t>Итого</t>
        </is>
      </c>
      <c r="B83" s="714" t="n"/>
      <c r="C83" s="711">
        <f>C81+C82</f>
        <v/>
      </c>
      <c r="D83" s="711">
        <f>D81+D82</f>
        <v/>
      </c>
      <c r="E83" s="711">
        <f>E81+E82</f>
        <v/>
      </c>
      <c r="F83" s="711">
        <f>F81+F82</f>
        <v/>
      </c>
      <c r="G83" s="711">
        <f>G81+G82</f>
        <v/>
      </c>
      <c r="H83" s="711">
        <f>G83</f>
        <v/>
      </c>
      <c r="I83" s="711">
        <f>I81+I82</f>
        <v/>
      </c>
      <c r="J83" s="711">
        <f>J81+J82</f>
        <v/>
      </c>
      <c r="K83" s="711">
        <f>K81+K82</f>
        <v/>
      </c>
      <c r="L83" s="711">
        <f>L81+L82</f>
        <v/>
      </c>
      <c r="M83" s="711">
        <f>M81+M82</f>
        <v/>
      </c>
      <c r="N83" s="711">
        <f>N81+N82</f>
        <v/>
      </c>
      <c r="O83" s="711">
        <f>O81+O82</f>
        <v/>
      </c>
      <c r="P83" s="711">
        <f>P81+P82</f>
        <v/>
      </c>
      <c r="Q83" s="711">
        <f>Q81+Q82</f>
        <v/>
      </c>
      <c r="R83" s="711">
        <f>R81+R82</f>
        <v/>
      </c>
      <c r="S83" s="711">
        <f>S81+S82</f>
        <v/>
      </c>
      <c r="T83" s="711">
        <f>T81+T82</f>
        <v/>
      </c>
      <c r="U83" s="711">
        <f>U81+U82</f>
        <v/>
      </c>
      <c r="V83" s="711">
        <f>V81+V82</f>
        <v/>
      </c>
      <c r="W83" s="711">
        <f>W81+W82</f>
        <v/>
      </c>
      <c r="X83" s="711">
        <f>X81+X82</f>
        <v/>
      </c>
      <c r="Y83" s="711">
        <f>Y81+Y82</f>
        <v/>
      </c>
      <c r="Z83" s="711">
        <f>Z81+Z82</f>
        <v/>
      </c>
      <c r="AA83" s="711">
        <f>AA81+AA82</f>
        <v/>
      </c>
      <c r="AB83" s="711">
        <f>AB81+AB82</f>
        <v/>
      </c>
      <c r="AC83" s="715">
        <f>AC81+AC82</f>
        <v/>
      </c>
      <c r="AD83" s="715">
        <f>AD81+AD82</f>
        <v/>
      </c>
      <c r="AE83" s="716" t="n"/>
    </row>
    <row r="84">
      <c r="A84" s="717" t="n"/>
      <c r="B84" s="839" t="n"/>
      <c r="C84" s="842" t="n"/>
      <c r="D84" s="842" t="n"/>
      <c r="E84" s="842" t="n"/>
      <c r="F84" s="842" t="n"/>
      <c r="G84" s="842" t="n"/>
      <c r="H84" s="842" t="n"/>
      <c r="I84" s="842" t="n"/>
      <c r="J84" s="842" t="n"/>
      <c r="K84" s="842" t="n"/>
      <c r="L84" s="842" t="n"/>
      <c r="M84" s="842" t="n"/>
      <c r="N84" s="842" t="n"/>
      <c r="O84" s="842" t="n"/>
      <c r="P84" s="842" t="n"/>
      <c r="Q84" s="842" t="n"/>
      <c r="R84" s="720" t="n"/>
      <c r="S84" s="842" t="n"/>
      <c r="T84" s="842" t="n"/>
      <c r="U84" s="842" t="n"/>
      <c r="V84" s="842" t="n"/>
      <c r="W84" s="842" t="n"/>
      <c r="X84" s="842" t="n"/>
      <c r="Y84" s="842" t="n"/>
      <c r="Z84" s="842" t="n"/>
      <c r="AA84" s="842" t="n"/>
      <c r="AB84" s="842" t="n"/>
      <c r="AC84" s="1220" t="inlineStr">
        <is>
          <t>Итого май (+если есть деньги, - кас.разрыв)</t>
        </is>
      </c>
      <c r="AE84" s="721">
        <f>AE75+AE29</f>
        <v/>
      </c>
    </row>
    <row r="85">
      <c r="A85" s="842" t="n"/>
      <c r="B85" s="842" t="n"/>
      <c r="C85" s="722" t="n"/>
      <c r="D85" s="842" t="n"/>
      <c r="E85" s="1027" t="n"/>
      <c r="F85" s="842" t="n"/>
      <c r="G85" s="242" t="n"/>
      <c r="H85" s="773" t="n"/>
      <c r="I85" s="842" t="n"/>
      <c r="J85" s="842" t="n"/>
      <c r="K85" s="842" t="n"/>
      <c r="L85" s="842" t="n"/>
      <c r="M85" s="242" t="n"/>
      <c r="N85" s="842" t="n"/>
      <c r="O85" s="842" t="n"/>
      <c r="P85" s="842" t="n"/>
      <c r="Q85" s="842" t="n"/>
      <c r="R85" s="773" t="n"/>
      <c r="S85" s="722" t="n"/>
      <c r="T85" s="842" t="n"/>
      <c r="U85" s="842" t="n"/>
      <c r="V85" s="842" t="n"/>
      <c r="W85" s="242" t="n"/>
      <c r="X85" s="722" t="n"/>
      <c r="Y85" s="842" t="n"/>
      <c r="Z85" s="842" t="n"/>
      <c r="AA85" s="842" t="n"/>
      <c r="AB85" s="842" t="n"/>
      <c r="AC85" s="724" t="inlineStr">
        <is>
          <t>План</t>
        </is>
      </c>
      <c r="AD85" s="724" t="inlineStr">
        <is>
          <t>Факт</t>
        </is>
      </c>
      <c r="AE85" s="725" t="inlineStr">
        <is>
          <t>Отклонение</t>
        </is>
      </c>
    </row>
    <row r="86">
      <c r="A86" s="842" t="n"/>
      <c r="B86" s="842" t="n"/>
      <c r="C86" s="722" t="n"/>
      <c r="D86" s="842" t="n"/>
      <c r="E86" s="842" t="n"/>
      <c r="F86" s="842" t="n"/>
      <c r="G86" s="730" t="inlineStr">
        <is>
          <t>Выплата поставщикам</t>
        </is>
      </c>
      <c r="H86" s="773" t="n"/>
      <c r="I86" s="842" t="n"/>
      <c r="J86" s="842" t="n"/>
      <c r="K86" s="842" t="n"/>
      <c r="L86" s="842" t="n"/>
      <c r="M86" s="730" t="inlineStr">
        <is>
          <t>Выплата поставщикам</t>
        </is>
      </c>
      <c r="N86" s="842" t="n"/>
      <c r="O86" s="842" t="n"/>
      <c r="P86" s="842" t="n"/>
      <c r="Q86" s="842" t="n"/>
      <c r="R86" s="727" t="n"/>
      <c r="S86" s="722" t="n"/>
      <c r="T86" s="842" t="n"/>
      <c r="U86" s="842" t="n"/>
      <c r="V86" s="842" t="n"/>
      <c r="W86" s="730" t="inlineStr">
        <is>
          <t>Выплата поставщикам</t>
        </is>
      </c>
      <c r="X86" s="722" t="n"/>
      <c r="Y86" s="842" t="n"/>
      <c r="Z86" s="842" t="n"/>
      <c r="AA86" s="842" t="n"/>
      <c r="AB86" s="842" t="n"/>
      <c r="AC86" s="728">
        <f>AC31+AC46+AC47+AC53+AC73+AC56+AC49</f>
        <v/>
      </c>
      <c r="AD86" s="728">
        <f>AD31+AD46+AD47+AD53+AD73+AD56</f>
        <v/>
      </c>
      <c r="AE86" s="729">
        <f>AC86-AD86</f>
        <v/>
      </c>
    </row>
    <row r="87">
      <c r="A87" s="842" t="n"/>
      <c r="B87" s="842" t="n"/>
      <c r="C87" s="722" t="n"/>
      <c r="D87" s="842" t="n"/>
      <c r="E87" s="842" t="n"/>
      <c r="F87" s="842" t="n"/>
      <c r="G87" s="730" t="inlineStr">
        <is>
          <t>Налоги</t>
        </is>
      </c>
      <c r="H87" s="773" t="n"/>
      <c r="I87" s="842" t="n"/>
      <c r="J87" s="842" t="n"/>
      <c r="K87" s="842" t="n"/>
      <c r="L87" s="842" t="n"/>
      <c r="M87" s="730" t="inlineStr">
        <is>
          <t>Налоги</t>
        </is>
      </c>
      <c r="N87" s="842" t="n"/>
      <c r="O87" s="842" t="n"/>
      <c r="P87" s="842" t="n"/>
      <c r="Q87" s="842" t="n"/>
      <c r="R87" s="727" t="n"/>
      <c r="S87" s="722" t="n"/>
      <c r="T87" s="842" t="n"/>
      <c r="U87" s="842" t="n"/>
      <c r="V87" s="842" t="n"/>
      <c r="W87" s="730" t="inlineStr">
        <is>
          <t>Налоги</t>
        </is>
      </c>
      <c r="X87" s="722" t="n"/>
      <c r="Y87" s="842" t="n"/>
      <c r="Z87" s="842" t="n"/>
      <c r="AA87" s="842" t="n"/>
      <c r="AB87" s="842" t="n"/>
      <c r="AC87" s="728">
        <f>AC39</f>
        <v/>
      </c>
      <c r="AD87" s="728">
        <f>AD39</f>
        <v/>
      </c>
      <c r="AE87" s="729">
        <f>AC87-AD87</f>
        <v/>
      </c>
    </row>
    <row r="88">
      <c r="A88" s="842" t="n"/>
      <c r="B88" s="842" t="n"/>
      <c r="C88" s="722" t="n"/>
      <c r="D88" s="842" t="n"/>
      <c r="E88" s="842" t="n"/>
      <c r="F88" s="842" t="n"/>
      <c r="G88" s="730" t="inlineStr">
        <is>
          <t>Оплата труда</t>
        </is>
      </c>
      <c r="H88" s="773" t="n"/>
      <c r="I88" s="842" t="n"/>
      <c r="J88" s="842" t="n"/>
      <c r="K88" s="842" t="n"/>
      <c r="L88" s="842" t="n"/>
      <c r="M88" s="730" t="inlineStr">
        <is>
          <t>Оплата труда</t>
        </is>
      </c>
      <c r="N88" s="842" t="n"/>
      <c r="O88" s="842" t="n"/>
      <c r="P88" s="842" t="n"/>
      <c r="Q88" s="842" t="n"/>
      <c r="R88" s="727" t="n"/>
      <c r="S88" s="722" t="n"/>
      <c r="T88" s="842" t="n"/>
      <c r="U88" s="842" t="n"/>
      <c r="V88" s="842" t="n"/>
      <c r="W88" s="730" t="inlineStr">
        <is>
          <t>Оплата труда</t>
        </is>
      </c>
      <c r="X88" s="722" t="n"/>
      <c r="Y88" s="842" t="n"/>
      <c r="Z88" s="842" t="n"/>
      <c r="AA88" s="842" t="n"/>
      <c r="AB88" s="842" t="n"/>
      <c r="AC88" s="728">
        <f>AC40+AC62</f>
        <v/>
      </c>
      <c r="AD88" s="728">
        <f>AD40+AD62</f>
        <v/>
      </c>
      <c r="AE88" s="729">
        <f>AC88-AD88</f>
        <v/>
      </c>
    </row>
    <row r="89">
      <c r="A89" s="842" t="n"/>
      <c r="B89" s="842" t="n"/>
      <c r="C89" s="722" t="n"/>
      <c r="D89" s="842" t="n"/>
      <c r="E89" s="842" t="n"/>
      <c r="F89" s="842" t="n"/>
      <c r="G89" s="730" t="inlineStr">
        <is>
          <t>Ремонт</t>
        </is>
      </c>
      <c r="H89" s="773" t="n"/>
      <c r="I89" s="842" t="n"/>
      <c r="J89" s="842" t="n"/>
      <c r="K89" s="842" t="n"/>
      <c r="L89" s="842" t="n"/>
      <c r="M89" s="730" t="inlineStr">
        <is>
          <t>Ремонт</t>
        </is>
      </c>
      <c r="N89" s="842" t="n"/>
      <c r="O89" s="842" t="n"/>
      <c r="P89" s="842" t="n"/>
      <c r="Q89" s="842" t="n"/>
      <c r="R89" s="727" t="n"/>
      <c r="S89" s="722" t="n"/>
      <c r="T89" s="842" t="n"/>
      <c r="U89" s="842" t="n"/>
      <c r="V89" s="842" t="n"/>
      <c r="W89" s="730" t="inlineStr">
        <is>
          <t>Произв. расх</t>
        </is>
      </c>
      <c r="X89" s="722" t="n"/>
      <c r="Y89" s="842" t="n"/>
      <c r="Z89" s="842" t="n"/>
      <c r="AA89" s="842" t="n"/>
      <c r="AB89" s="842" t="n"/>
      <c r="AC89" s="728">
        <f>AC64+AC43+AC44+AC51+AC65</f>
        <v/>
      </c>
      <c r="AD89" s="728">
        <f>AD51+AD50+AD70+AD71</f>
        <v/>
      </c>
      <c r="AE89" s="729">
        <f>AC89-AD89</f>
        <v/>
      </c>
    </row>
    <row r="90">
      <c r="A90" s="842" t="n"/>
      <c r="B90" s="842" t="n"/>
      <c r="C90" s="722" t="n"/>
      <c r="D90" s="842" t="n"/>
      <c r="E90" s="842" t="n"/>
      <c r="F90" s="842" t="n"/>
      <c r="G90" s="730" t="inlineStr">
        <is>
          <t>ОС</t>
        </is>
      </c>
      <c r="H90" s="773" t="n"/>
      <c r="I90" s="842" t="n"/>
      <c r="J90" s="842" t="n"/>
      <c r="K90" s="842" t="n"/>
      <c r="L90" s="842" t="n"/>
      <c r="M90" s="730" t="inlineStr">
        <is>
          <t>ОС</t>
        </is>
      </c>
      <c r="N90" s="842" t="n"/>
      <c r="O90" s="842" t="n"/>
      <c r="P90" s="842" t="n"/>
      <c r="Q90" s="842" t="n"/>
      <c r="R90" s="727" t="n"/>
      <c r="S90" s="722" t="n"/>
      <c r="T90" s="842" t="n"/>
      <c r="U90" s="842" t="n"/>
      <c r="V90" s="842" t="n"/>
      <c r="W90" s="730" t="inlineStr">
        <is>
          <t>ОС</t>
        </is>
      </c>
      <c r="X90" s="722" t="n"/>
      <c r="Y90" s="842" t="n"/>
      <c r="Z90" s="842" t="n"/>
      <c r="AA90" s="842" t="n"/>
      <c r="AB90" s="842" t="n"/>
      <c r="AC90" s="728">
        <f>AC52+AC72</f>
        <v/>
      </c>
      <c r="AD90" s="728">
        <f>AD52+AD72</f>
        <v/>
      </c>
      <c r="AE90" s="729">
        <f>AC90-AD90</f>
        <v/>
      </c>
    </row>
    <row r="91">
      <c r="A91" s="772" t="n"/>
      <c r="B91" s="772" t="n"/>
      <c r="C91" s="772" t="n"/>
      <c r="D91" s="772" t="n"/>
      <c r="E91" s="772" t="n"/>
      <c r="F91" s="772" t="n"/>
      <c r="G91" s="772" t="n"/>
      <c r="H91" s="772" t="n"/>
      <c r="I91" s="772" t="n"/>
      <c r="J91" s="772" t="n"/>
      <c r="K91" s="772" t="n"/>
      <c r="L91" s="772" t="n"/>
      <c r="M91" s="772" t="n"/>
      <c r="N91" s="772" t="n"/>
      <c r="O91" s="772" t="n"/>
      <c r="P91" s="772" t="n"/>
      <c r="Q91" s="772" t="n"/>
      <c r="R91" s="772" t="n"/>
      <c r="S91" s="772" t="n"/>
      <c r="T91" s="772" t="n"/>
      <c r="U91" s="772" t="n"/>
      <c r="V91" s="772" t="n"/>
      <c r="W91" s="772" t="n"/>
      <c r="X91" s="772" t="n"/>
      <c r="Y91" s="772" t="n"/>
      <c r="Z91" s="772" t="n"/>
      <c r="AA91" s="772" t="n"/>
      <c r="AB91" s="772" t="n"/>
      <c r="AC91" s="731" t="n"/>
      <c r="AD91" s="731" t="n"/>
      <c r="AE91" s="731" t="n"/>
    </row>
    <row r="92">
      <c r="A92" s="772" t="n"/>
      <c r="B92" s="772" t="n"/>
      <c r="C92" s="772" t="n"/>
      <c r="D92" s="772" t="n"/>
      <c r="E92" s="772" t="n"/>
      <c r="F92" s="772" t="n"/>
      <c r="G92" s="772" t="n"/>
      <c r="H92" s="772" t="n"/>
      <c r="I92" s="772" t="n"/>
      <c r="J92" s="772" t="n"/>
      <c r="K92" s="772" t="n"/>
      <c r="L92" s="772" t="n"/>
      <c r="M92" s="772" t="n"/>
      <c r="N92" s="772" t="n"/>
      <c r="O92" s="772" t="n"/>
      <c r="P92" s="772" t="n"/>
      <c r="Q92" s="772" t="n"/>
      <c r="R92" s="772" t="n"/>
      <c r="S92" s="772" t="n"/>
      <c r="T92" s="772" t="n"/>
      <c r="U92" s="772" t="n"/>
      <c r="V92" s="772" t="n"/>
      <c r="W92" s="772" t="n"/>
      <c r="X92" s="772" t="n"/>
      <c r="Y92" s="772" t="n"/>
      <c r="Z92" s="772" t="n"/>
      <c r="AA92" s="772" t="n"/>
      <c r="AB92" s="772" t="n"/>
      <c r="AC92" s="731" t="n"/>
      <c r="AD92" s="731" t="n"/>
      <c r="AE92" s="731" t="n"/>
    </row>
    <row r="93">
      <c r="A93" s="772" t="n"/>
      <c r="B93" s="772" t="n"/>
      <c r="C93" s="772" t="n"/>
      <c r="D93" s="772" t="n"/>
      <c r="E93" s="772" t="n"/>
      <c r="F93" s="772" t="n"/>
      <c r="G93" s="772" t="n"/>
      <c r="H93" s="772" t="n"/>
      <c r="I93" s="772" t="n"/>
      <c r="J93" s="772" t="n"/>
      <c r="K93" s="772" t="n"/>
      <c r="L93" s="772" t="n"/>
      <c r="M93" s="772" t="n"/>
      <c r="N93" s="772" t="n"/>
      <c r="O93" s="772" t="n"/>
      <c r="P93" s="772" t="n"/>
      <c r="Q93" s="772" t="n"/>
      <c r="R93" s="772" t="n"/>
      <c r="S93" s="772" t="n"/>
      <c r="T93" s="772" t="n"/>
      <c r="U93" s="772" t="n"/>
      <c r="V93" s="772" t="n"/>
      <c r="W93" s="772" t="n"/>
      <c r="X93" s="772" t="n"/>
      <c r="Y93" s="772" t="n"/>
      <c r="Z93" s="772" t="n"/>
      <c r="AA93" s="772" t="n"/>
      <c r="AB93" s="772" t="n"/>
      <c r="AC93" s="731" t="n"/>
      <c r="AD93" s="731" t="n"/>
      <c r="AE93" s="731" t="n"/>
    </row>
    <row r="94">
      <c r="A94" s="772" t="n"/>
      <c r="B94" s="772" t="n"/>
      <c r="C94" s="772" t="n"/>
      <c r="D94" s="772" t="n"/>
      <c r="E94" s="772" t="n"/>
      <c r="F94" s="772" t="n"/>
      <c r="G94" s="772" t="n"/>
      <c r="H94" s="772" t="n"/>
      <c r="I94" s="772" t="n"/>
      <c r="J94" s="772" t="n"/>
      <c r="K94" s="772" t="n"/>
      <c r="L94" s="772" t="n"/>
      <c r="M94" s="772" t="n"/>
      <c r="N94" s="772" t="n"/>
      <c r="O94" s="772" t="n"/>
      <c r="P94" s="772" t="n"/>
      <c r="Q94" s="772" t="n"/>
      <c r="R94" s="772" t="n"/>
      <c r="S94" s="772" t="n"/>
      <c r="T94" s="772" t="n"/>
      <c r="U94" s="772" t="n"/>
      <c r="V94" s="772" t="n"/>
      <c r="W94" s="772" t="n"/>
      <c r="X94" s="772" t="n"/>
      <c r="Y94" s="772" t="n"/>
      <c r="Z94" s="772" t="n"/>
      <c r="AA94" s="772" t="n"/>
      <c r="AB94" s="772" t="n"/>
      <c r="AC94" s="731" t="n"/>
      <c r="AD94" s="731" t="n"/>
      <c r="AE94" s="731" t="n"/>
    </row>
    <row r="95">
      <c r="A95" s="772" t="n"/>
      <c r="B95" s="772" t="n"/>
      <c r="C95" s="772" t="n"/>
      <c r="D95" s="772" t="n"/>
      <c r="E95" s="772" t="n"/>
      <c r="F95" s="772" t="n"/>
      <c r="G95" s="772" t="n"/>
      <c r="H95" s="772" t="n"/>
      <c r="I95" s="772" t="n"/>
      <c r="J95" s="772" t="n"/>
      <c r="K95" s="772" t="n"/>
      <c r="L95" s="772" t="n"/>
      <c r="M95" s="772" t="n"/>
      <c r="N95" s="772" t="n"/>
      <c r="O95" s="772" t="n"/>
      <c r="P95" s="772" t="n"/>
      <c r="Q95" s="772" t="n"/>
      <c r="R95" s="772" t="n"/>
      <c r="S95" s="772" t="n"/>
      <c r="T95" s="772" t="n"/>
      <c r="U95" s="772" t="n"/>
      <c r="V95" s="772" t="n"/>
      <c r="W95" s="772" t="n"/>
      <c r="X95" s="772" t="n"/>
      <c r="Y95" s="772" t="n"/>
      <c r="Z95" s="772" t="n"/>
      <c r="AA95" s="772" t="n"/>
      <c r="AB95" s="772" t="n"/>
      <c r="AC95" s="731" t="n"/>
      <c r="AD95" s="731" t="n"/>
      <c r="AE95" s="731" t="n"/>
    </row>
    <row r="96">
      <c r="A96" s="772" t="n"/>
      <c r="B96" s="772" t="n"/>
      <c r="C96" s="772" t="n"/>
      <c r="D96" s="772" t="n"/>
      <c r="E96" s="772" t="n"/>
      <c r="F96" s="772" t="n"/>
      <c r="G96" s="772" t="n"/>
      <c r="H96" s="772" t="n"/>
      <c r="I96" s="772" t="n"/>
      <c r="J96" s="772" t="n"/>
      <c r="K96" s="772" t="n"/>
      <c r="L96" s="772" t="n"/>
      <c r="M96" s="772" t="n"/>
      <c r="N96" s="772" t="n"/>
      <c r="O96" s="772" t="n"/>
      <c r="P96" s="772" t="n"/>
      <c r="Q96" s="772" t="n"/>
      <c r="R96" s="772" t="n"/>
      <c r="S96" s="772" t="n"/>
      <c r="T96" s="772" t="n"/>
      <c r="U96" s="772" t="n"/>
      <c r="V96" s="772" t="n"/>
      <c r="W96" s="772" t="n"/>
      <c r="X96" s="772" t="n"/>
      <c r="Y96" s="772" t="n"/>
      <c r="Z96" s="772" t="n"/>
      <c r="AA96" s="772" t="n"/>
      <c r="AB96" s="772" t="n"/>
      <c r="AC96" s="731" t="n"/>
      <c r="AD96" s="731" t="n"/>
      <c r="AE96" s="731" t="n"/>
    </row>
    <row r="97">
      <c r="A97" s="772" t="n"/>
      <c r="B97" s="772" t="n"/>
      <c r="C97" s="772" t="n"/>
      <c r="D97" s="772" t="n"/>
      <c r="E97" s="772" t="n"/>
      <c r="F97" s="772" t="n"/>
      <c r="G97" s="772" t="n"/>
      <c r="H97" s="772" t="n"/>
      <c r="I97" s="772" t="n"/>
      <c r="J97" s="772" t="n"/>
      <c r="K97" s="772" t="n"/>
      <c r="L97" s="772" t="n"/>
      <c r="M97" s="772" t="n"/>
      <c r="N97" s="772" t="n"/>
      <c r="O97" s="772" t="n"/>
      <c r="P97" s="772" t="n"/>
      <c r="Q97" s="772" t="n"/>
      <c r="R97" s="772" t="n"/>
      <c r="S97" s="772" t="n"/>
      <c r="T97" s="772" t="n"/>
      <c r="U97" s="772" t="n"/>
      <c r="V97" s="772" t="n"/>
      <c r="W97" s="772" t="n"/>
      <c r="X97" s="772" t="n"/>
      <c r="Y97" s="772" t="n"/>
      <c r="Z97" s="772" t="n"/>
      <c r="AA97" s="772" t="n"/>
      <c r="AB97" s="772" t="n"/>
      <c r="AC97" s="731" t="n"/>
      <c r="AD97" s="731" t="n"/>
      <c r="AE97" s="731" t="n"/>
    </row>
    <row r="98">
      <c r="A98" s="772" t="n"/>
      <c r="B98" s="772" t="n"/>
      <c r="C98" s="772" t="n"/>
      <c r="D98" s="772" t="n"/>
      <c r="E98" s="772" t="n"/>
      <c r="F98" s="772" t="n"/>
      <c r="G98" s="772" t="n"/>
      <c r="H98" s="772" t="n"/>
      <c r="I98" s="772" t="n"/>
      <c r="J98" s="772" t="n"/>
      <c r="K98" s="772" t="n"/>
      <c r="L98" s="772" t="n"/>
      <c r="M98" s="772" t="n"/>
      <c r="N98" s="772" t="n"/>
      <c r="O98" s="772" t="n"/>
      <c r="P98" s="772" t="n"/>
      <c r="Q98" s="772" t="n"/>
      <c r="R98" s="772" t="n"/>
      <c r="S98" s="772" t="n"/>
      <c r="T98" s="772" t="n"/>
      <c r="U98" s="772" t="n"/>
      <c r="V98" s="772" t="n"/>
      <c r="W98" s="772" t="n"/>
      <c r="X98" s="772" t="n"/>
      <c r="Y98" s="772" t="n"/>
      <c r="Z98" s="772" t="n"/>
      <c r="AA98" s="772" t="n"/>
      <c r="AB98" s="772" t="n"/>
      <c r="AC98" s="731" t="n"/>
      <c r="AD98" s="731" t="n"/>
      <c r="AE98" s="731" t="n"/>
    </row>
    <row r="99">
      <c r="A99" s="772" t="n"/>
      <c r="B99" s="772" t="n"/>
      <c r="C99" s="772" t="n"/>
      <c r="D99" s="772" t="n"/>
      <c r="E99" s="772" t="n"/>
      <c r="F99" s="772" t="n"/>
      <c r="G99" s="772" t="n"/>
      <c r="H99" s="772" t="n"/>
      <c r="I99" s="772" t="n"/>
      <c r="J99" s="772" t="n"/>
      <c r="K99" s="772" t="n"/>
      <c r="L99" s="772" t="n"/>
      <c r="M99" s="772" t="n"/>
      <c r="N99" s="772" t="n"/>
      <c r="O99" s="772" t="n"/>
      <c r="P99" s="772" t="n"/>
      <c r="Q99" s="772" t="n"/>
      <c r="R99" s="772" t="n"/>
      <c r="S99" s="772" t="n"/>
      <c r="T99" s="772" t="n"/>
      <c r="U99" s="772" t="n"/>
      <c r="V99" s="772" t="n"/>
      <c r="W99" s="772" t="n"/>
      <c r="X99" s="772" t="n"/>
      <c r="Y99" s="772" t="n"/>
      <c r="Z99" s="772" t="n"/>
      <c r="AA99" s="772" t="n"/>
      <c r="AB99" s="772" t="n"/>
      <c r="AC99" s="731" t="n"/>
      <c r="AD99" s="731" t="n"/>
      <c r="AE99" s="731" t="n"/>
    </row>
    <row r="100">
      <c r="A100" s="772" t="n"/>
      <c r="B100" s="772" t="n"/>
      <c r="C100" s="772" t="n"/>
      <c r="D100" s="772" t="n"/>
      <c r="E100" s="772" t="n"/>
      <c r="F100" s="772" t="n"/>
      <c r="G100" s="772" t="n"/>
      <c r="H100" s="772" t="n"/>
      <c r="I100" s="772" t="n"/>
      <c r="J100" s="772" t="n"/>
      <c r="K100" s="772" t="n"/>
      <c r="L100" s="772" t="n"/>
      <c r="M100" s="772" t="n"/>
      <c r="N100" s="772" t="n"/>
      <c r="O100" s="772" t="n"/>
      <c r="P100" s="772" t="n"/>
      <c r="Q100" s="772" t="n"/>
      <c r="R100" s="772" t="n"/>
      <c r="S100" s="772" t="n"/>
      <c r="T100" s="772" t="n"/>
      <c r="U100" s="772" t="n"/>
      <c r="V100" s="772" t="n"/>
      <c r="W100" s="772" t="n"/>
      <c r="X100" s="772" t="n"/>
      <c r="Y100" s="772" t="n"/>
      <c r="Z100" s="772" t="n"/>
      <c r="AA100" s="772" t="n"/>
      <c r="AB100" s="772" t="n"/>
      <c r="AC100" s="731" t="n"/>
      <c r="AD100" s="731" t="n"/>
      <c r="AE100" s="731" t="n"/>
    </row>
    <row r="101">
      <c r="A101" s="772" t="n"/>
      <c r="B101" s="772" t="n"/>
      <c r="C101" s="772" t="n"/>
      <c r="D101" s="772" t="n"/>
      <c r="E101" s="772" t="n"/>
      <c r="F101" s="772" t="n"/>
      <c r="G101" s="772" t="n"/>
      <c r="H101" s="772" t="n"/>
      <c r="I101" s="772" t="n"/>
      <c r="J101" s="772" t="n"/>
      <c r="K101" s="772" t="n"/>
      <c r="L101" s="772" t="n"/>
      <c r="M101" s="772" t="n"/>
      <c r="N101" s="772" t="n"/>
      <c r="O101" s="772" t="n"/>
      <c r="P101" s="772" t="n"/>
      <c r="Q101" s="772" t="n"/>
      <c r="R101" s="772" t="n"/>
      <c r="S101" s="772" t="n"/>
      <c r="T101" s="772" t="n"/>
      <c r="U101" s="772" t="n"/>
      <c r="V101" s="772" t="n"/>
      <c r="W101" s="772" t="n"/>
      <c r="X101" s="772" t="n"/>
      <c r="Y101" s="772" t="n"/>
      <c r="Z101" s="772" t="n"/>
      <c r="AA101" s="772" t="n"/>
      <c r="AB101" s="772" t="n"/>
      <c r="AC101" s="731" t="n"/>
      <c r="AD101" s="731" t="n"/>
      <c r="AE101" s="731" t="n"/>
    </row>
    <row r="102">
      <c r="A102" s="772" t="n"/>
      <c r="B102" s="772" t="n"/>
      <c r="C102" s="772" t="n"/>
      <c r="D102" s="772" t="n"/>
      <c r="E102" s="772" t="n"/>
      <c r="F102" s="772" t="n"/>
      <c r="G102" s="772" t="n"/>
      <c r="H102" s="772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2" t="n"/>
      <c r="W102" s="772" t="n"/>
      <c r="X102" s="772" t="n"/>
      <c r="Y102" s="772" t="n"/>
      <c r="Z102" s="772" t="n"/>
      <c r="AA102" s="772" t="n"/>
      <c r="AB102" s="772" t="n"/>
      <c r="AC102" s="731" t="n"/>
      <c r="AD102" s="731" t="n"/>
      <c r="AE102" s="731" t="n"/>
    </row>
    <row r="103">
      <c r="A103" s="772" t="n"/>
      <c r="B103" s="772" t="n"/>
      <c r="C103" s="772" t="n"/>
      <c r="D103" s="772" t="n"/>
      <c r="E103" s="772" t="n"/>
      <c r="F103" s="772" t="n"/>
      <c r="G103" s="772" t="n"/>
      <c r="H103" s="772" t="n"/>
      <c r="I103" s="772" t="n"/>
      <c r="J103" s="772" t="n"/>
      <c r="K103" s="772" t="n"/>
      <c r="L103" s="772" t="n"/>
      <c r="M103" s="772" t="n"/>
      <c r="N103" s="772" t="n"/>
      <c r="O103" s="772" t="n"/>
      <c r="P103" s="772" t="n"/>
      <c r="Q103" s="772" t="n"/>
      <c r="R103" s="772" t="n"/>
      <c r="S103" s="772" t="n"/>
      <c r="T103" s="772" t="n"/>
      <c r="U103" s="772" t="n"/>
      <c r="V103" s="772" t="n"/>
      <c r="W103" s="772" t="n"/>
      <c r="X103" s="772" t="n"/>
      <c r="Y103" s="772" t="n"/>
      <c r="Z103" s="772" t="n"/>
      <c r="AA103" s="772" t="n"/>
      <c r="AB103" s="772" t="n"/>
      <c r="AC103" s="731" t="n"/>
      <c r="AD103" s="731" t="n"/>
      <c r="AE103" s="731" t="n"/>
    </row>
    <row r="104">
      <c r="A104" s="772" t="n"/>
      <c r="B104" s="772" t="n"/>
      <c r="C104" s="772" t="n"/>
      <c r="D104" s="772" t="n"/>
      <c r="E104" s="772" t="n"/>
      <c r="F104" s="772" t="n"/>
      <c r="G104" s="772" t="n"/>
      <c r="H104" s="772" t="n"/>
      <c r="I104" s="772" t="n"/>
      <c r="J104" s="772" t="n"/>
      <c r="K104" s="772" t="n"/>
      <c r="L104" s="772" t="n"/>
      <c r="M104" s="772" t="n"/>
      <c r="N104" s="772" t="n"/>
      <c r="O104" s="772" t="n"/>
      <c r="P104" s="772" t="n"/>
      <c r="Q104" s="772" t="n"/>
      <c r="R104" s="772" t="n"/>
      <c r="S104" s="772" t="n"/>
      <c r="T104" s="772" t="n"/>
      <c r="U104" s="772" t="n"/>
      <c r="V104" s="772" t="n"/>
      <c r="W104" s="772" t="n"/>
      <c r="X104" s="772" t="n"/>
      <c r="Y104" s="772" t="n"/>
      <c r="Z104" s="772" t="n"/>
      <c r="AA104" s="772" t="n"/>
      <c r="AB104" s="772" t="n"/>
      <c r="AC104" s="731" t="n"/>
      <c r="AD104" s="731" t="n"/>
      <c r="AE104" s="731" t="n"/>
    </row>
    <row r="105">
      <c r="A105" s="772" t="n"/>
      <c r="B105" s="772" t="n"/>
      <c r="C105" s="772" t="n"/>
      <c r="D105" s="772" t="n"/>
      <c r="E105" s="772" t="n"/>
      <c r="F105" s="772" t="n"/>
      <c r="G105" s="772" t="n"/>
      <c r="H105" s="772" t="n"/>
      <c r="I105" s="772" t="n"/>
      <c r="J105" s="772" t="n"/>
      <c r="K105" s="772" t="n"/>
      <c r="L105" s="772" t="n"/>
      <c r="M105" s="772" t="n"/>
      <c r="N105" s="772" t="n"/>
      <c r="O105" s="772" t="n"/>
      <c r="P105" s="772" t="n"/>
      <c r="Q105" s="772" t="n"/>
      <c r="R105" s="772" t="n"/>
      <c r="S105" s="772" t="n"/>
      <c r="T105" s="772" t="n"/>
      <c r="U105" s="772" t="n"/>
      <c r="V105" s="772" t="n"/>
      <c r="W105" s="772" t="n"/>
      <c r="X105" s="772" t="n"/>
      <c r="Y105" s="772" t="n"/>
      <c r="Z105" s="772" t="n"/>
      <c r="AA105" s="772" t="n"/>
      <c r="AB105" s="772" t="n"/>
      <c r="AC105" s="731" t="n"/>
      <c r="AD105" s="731" t="n"/>
      <c r="AE105" s="731" t="n"/>
    </row>
    <row r="106">
      <c r="A106" s="772" t="n"/>
      <c r="B106" s="772" t="n"/>
      <c r="C106" s="772" t="n"/>
      <c r="D106" s="772" t="n"/>
      <c r="E106" s="772" t="n"/>
      <c r="F106" s="772" t="n"/>
      <c r="G106" s="772" t="n"/>
      <c r="H106" s="772" t="n"/>
      <c r="I106" s="772" t="n"/>
      <c r="J106" s="772" t="n"/>
      <c r="K106" s="772" t="n"/>
      <c r="L106" s="772" t="n"/>
      <c r="M106" s="772" t="n"/>
      <c r="N106" s="772" t="n"/>
      <c r="O106" s="772" t="n"/>
      <c r="P106" s="772" t="n"/>
      <c r="Q106" s="772" t="n"/>
      <c r="R106" s="772" t="n"/>
      <c r="S106" s="772" t="n"/>
      <c r="T106" s="772" t="n"/>
      <c r="U106" s="772" t="n"/>
      <c r="V106" s="772" t="n"/>
      <c r="W106" s="772" t="n"/>
      <c r="X106" s="772" t="n"/>
      <c r="Y106" s="772" t="n"/>
      <c r="Z106" s="772" t="n"/>
      <c r="AA106" s="772" t="n"/>
      <c r="AB106" s="772" t="n"/>
      <c r="AC106" s="731" t="n"/>
      <c r="AD106" s="731" t="n"/>
      <c r="AE106" s="731" t="n"/>
    </row>
    <row r="107">
      <c r="A107" s="772" t="n"/>
      <c r="B107" s="772" t="n"/>
      <c r="C107" s="772" t="n"/>
      <c r="D107" s="772" t="n"/>
      <c r="E107" s="772" t="n"/>
      <c r="F107" s="772" t="n"/>
      <c r="G107" s="772" t="n"/>
      <c r="H107" s="772" t="n"/>
      <c r="I107" s="772" t="n"/>
      <c r="J107" s="772" t="n"/>
      <c r="K107" s="772" t="n"/>
      <c r="L107" s="772" t="n"/>
      <c r="M107" s="772" t="n"/>
      <c r="N107" s="772" t="n"/>
      <c r="O107" s="772" t="n"/>
      <c r="P107" s="772" t="n"/>
      <c r="Q107" s="772" t="n"/>
      <c r="R107" s="772" t="n"/>
      <c r="S107" s="772" t="n"/>
      <c r="T107" s="772" t="n"/>
      <c r="U107" s="772" t="n"/>
      <c r="V107" s="772" t="n"/>
      <c r="W107" s="772" t="n"/>
      <c r="X107" s="772" t="n"/>
      <c r="Y107" s="772" t="n"/>
      <c r="Z107" s="772" t="n"/>
      <c r="AA107" s="772" t="n"/>
      <c r="AB107" s="772" t="n"/>
      <c r="AC107" s="731" t="n"/>
      <c r="AD107" s="731" t="n"/>
      <c r="AE107" s="731" t="n"/>
    </row>
    <row r="108">
      <c r="A108" s="772" t="n"/>
      <c r="B108" s="772" t="n"/>
      <c r="C108" s="772" t="n"/>
      <c r="D108" s="772" t="n"/>
      <c r="E108" s="772" t="n"/>
      <c r="F108" s="772" t="n"/>
      <c r="G108" s="772" t="n"/>
      <c r="H108" s="772" t="n"/>
      <c r="I108" s="772" t="n"/>
      <c r="J108" s="772" t="n"/>
      <c r="K108" s="772" t="n"/>
      <c r="L108" s="772" t="n"/>
      <c r="M108" s="772" t="n"/>
      <c r="N108" s="772" t="n"/>
      <c r="O108" s="772" t="n"/>
      <c r="P108" s="772" t="n"/>
      <c r="Q108" s="772" t="n"/>
      <c r="R108" s="772" t="n"/>
      <c r="S108" s="772" t="n"/>
      <c r="T108" s="772" t="n"/>
      <c r="U108" s="772" t="n"/>
      <c r="V108" s="772" t="n"/>
      <c r="W108" s="772" t="n"/>
      <c r="X108" s="772" t="n"/>
      <c r="Y108" s="772" t="n"/>
      <c r="Z108" s="772" t="n"/>
      <c r="AA108" s="772" t="n"/>
      <c r="AB108" s="772" t="n"/>
      <c r="AC108" s="731" t="n"/>
      <c r="AD108" s="731" t="n"/>
      <c r="AE108" s="731" t="n"/>
    </row>
    <row r="109">
      <c r="A109" s="772" t="n"/>
      <c r="B109" s="772" t="n"/>
      <c r="C109" s="772" t="n"/>
      <c r="D109" s="772" t="n"/>
      <c r="E109" s="772" t="n"/>
      <c r="F109" s="772" t="n"/>
      <c r="G109" s="772" t="n"/>
      <c r="H109" s="772" t="n"/>
      <c r="I109" s="772" t="n"/>
      <c r="J109" s="772" t="n"/>
      <c r="K109" s="772" t="n"/>
      <c r="L109" s="772" t="n"/>
      <c r="M109" s="772" t="n"/>
      <c r="N109" s="772" t="n"/>
      <c r="O109" s="772" t="n"/>
      <c r="P109" s="772" t="n"/>
      <c r="Q109" s="772" t="n"/>
      <c r="R109" s="772" t="n"/>
      <c r="S109" s="772" t="n"/>
      <c r="T109" s="772" t="n"/>
      <c r="U109" s="772" t="n"/>
      <c r="V109" s="772" t="n"/>
      <c r="W109" s="772" t="n"/>
      <c r="X109" s="772" t="n"/>
      <c r="Y109" s="772" t="n"/>
      <c r="Z109" s="772" t="n"/>
      <c r="AA109" s="772" t="n"/>
      <c r="AB109" s="772" t="n"/>
      <c r="AC109" s="731" t="n"/>
      <c r="AD109" s="731" t="n"/>
      <c r="AE109" s="731" t="n"/>
    </row>
    <row r="110">
      <c r="A110" s="772" t="n"/>
      <c r="B110" s="772" t="n"/>
      <c r="C110" s="772" t="n"/>
      <c r="D110" s="772" t="n"/>
      <c r="E110" s="772" t="n"/>
      <c r="F110" s="772" t="n"/>
      <c r="G110" s="772" t="n"/>
      <c r="H110" s="772" t="n"/>
      <c r="I110" s="772" t="n"/>
      <c r="J110" s="772" t="n"/>
      <c r="K110" s="772" t="n"/>
      <c r="L110" s="772" t="n"/>
      <c r="M110" s="772" t="n"/>
      <c r="N110" s="772" t="n"/>
      <c r="O110" s="772" t="n"/>
      <c r="P110" s="772" t="n"/>
      <c r="Q110" s="772" t="n"/>
      <c r="R110" s="772" t="n"/>
      <c r="S110" s="772" t="n"/>
      <c r="T110" s="772" t="n"/>
      <c r="U110" s="772" t="n"/>
      <c r="V110" s="772" t="n"/>
      <c r="W110" s="772" t="n"/>
      <c r="X110" s="772" t="n"/>
      <c r="Y110" s="772" t="n"/>
      <c r="Z110" s="772" t="n"/>
      <c r="AA110" s="772" t="n"/>
      <c r="AB110" s="772" t="n"/>
      <c r="AC110" s="731" t="n"/>
      <c r="AD110" s="731" t="n"/>
      <c r="AE110" s="731" t="n"/>
    </row>
    <row r="111">
      <c r="A111" s="772" t="n"/>
      <c r="B111" s="772" t="n"/>
      <c r="C111" s="772" t="n"/>
      <c r="D111" s="772" t="n"/>
      <c r="E111" s="772" t="n"/>
      <c r="F111" s="772" t="n"/>
      <c r="G111" s="772" t="n"/>
      <c r="H111" s="772" t="n"/>
      <c r="I111" s="772" t="n"/>
      <c r="J111" s="772" t="n"/>
      <c r="K111" s="772" t="n"/>
      <c r="L111" s="772" t="n"/>
      <c r="M111" s="772" t="n"/>
      <c r="N111" s="772" t="n"/>
      <c r="O111" s="772" t="n"/>
      <c r="P111" s="772" t="n"/>
      <c r="Q111" s="772" t="n"/>
      <c r="R111" s="772" t="n"/>
      <c r="S111" s="772" t="n"/>
      <c r="T111" s="772" t="n"/>
      <c r="U111" s="772" t="n"/>
      <c r="V111" s="772" t="n"/>
      <c r="W111" s="772" t="n"/>
      <c r="X111" s="772" t="n"/>
      <c r="Y111" s="772" t="n"/>
      <c r="Z111" s="772" t="n"/>
      <c r="AA111" s="772" t="n"/>
      <c r="AB111" s="772" t="n"/>
      <c r="AC111" s="731" t="n"/>
      <c r="AD111" s="731" t="n"/>
      <c r="AE111" s="731" t="n"/>
    </row>
    <row r="112">
      <c r="A112" s="772" t="n"/>
      <c r="B112" s="772" t="n"/>
      <c r="C112" s="772" t="n"/>
      <c r="D112" s="772" t="n"/>
      <c r="E112" s="772" t="n"/>
      <c r="F112" s="772" t="n"/>
      <c r="G112" s="772" t="n"/>
      <c r="H112" s="772" t="n"/>
      <c r="I112" s="772" t="n"/>
      <c r="J112" s="772" t="n"/>
      <c r="K112" s="772" t="n"/>
      <c r="L112" s="772" t="n"/>
      <c r="M112" s="772" t="n"/>
      <c r="N112" s="772" t="n"/>
      <c r="O112" s="772" t="n"/>
      <c r="P112" s="772" t="n"/>
      <c r="Q112" s="772" t="n"/>
      <c r="R112" s="772" t="n"/>
      <c r="S112" s="772" t="n"/>
      <c r="T112" s="772" t="n"/>
      <c r="U112" s="772" t="n"/>
      <c r="V112" s="772" t="n"/>
      <c r="W112" s="772" t="n"/>
      <c r="X112" s="772" t="n"/>
      <c r="Y112" s="772" t="n"/>
      <c r="Z112" s="772" t="n"/>
      <c r="AA112" s="772" t="n"/>
      <c r="AB112" s="772" t="n"/>
      <c r="AC112" s="731" t="n"/>
      <c r="AD112" s="731" t="n"/>
      <c r="AE112" s="731" t="n"/>
    </row>
    <row r="113">
      <c r="A113" s="772" t="n"/>
      <c r="B113" s="772" t="n"/>
      <c r="C113" s="772" t="n"/>
      <c r="D113" s="772" t="n"/>
      <c r="E113" s="772" t="n"/>
      <c r="F113" s="772" t="n"/>
      <c r="G113" s="772" t="n"/>
      <c r="H113" s="772" t="n"/>
      <c r="I113" s="772" t="n"/>
      <c r="J113" s="772" t="n"/>
      <c r="K113" s="772" t="n"/>
      <c r="L113" s="772" t="n"/>
      <c r="M113" s="772" t="n"/>
      <c r="N113" s="772" t="n"/>
      <c r="O113" s="772" t="n"/>
      <c r="P113" s="772" t="n"/>
      <c r="Q113" s="772" t="n"/>
      <c r="R113" s="772" t="n"/>
      <c r="S113" s="772" t="n"/>
      <c r="T113" s="772" t="n"/>
      <c r="U113" s="772" t="n"/>
      <c r="V113" s="772" t="n"/>
      <c r="W113" s="772" t="n"/>
      <c r="X113" s="772" t="n"/>
      <c r="Y113" s="772" t="n"/>
      <c r="Z113" s="772" t="n"/>
      <c r="AA113" s="772" t="n"/>
      <c r="AB113" s="772" t="n"/>
      <c r="AC113" s="731" t="n"/>
      <c r="AD113" s="731" t="n"/>
      <c r="AE113" s="731" t="n"/>
    </row>
    <row r="114">
      <c r="A114" s="772" t="n"/>
      <c r="B114" s="772" t="n"/>
      <c r="C114" s="772" t="n"/>
      <c r="D114" s="772" t="n"/>
      <c r="E114" s="772" t="n"/>
      <c r="F114" s="772" t="n"/>
      <c r="G114" s="772" t="n"/>
      <c r="H114" s="772" t="n"/>
      <c r="I114" s="772" t="n"/>
      <c r="J114" s="772" t="n"/>
      <c r="K114" s="772" t="n"/>
      <c r="L114" s="772" t="n"/>
      <c r="M114" s="772" t="n"/>
      <c r="N114" s="772" t="n"/>
      <c r="O114" s="772" t="n"/>
      <c r="P114" s="772" t="n"/>
      <c r="Q114" s="772" t="n"/>
      <c r="R114" s="772" t="n"/>
      <c r="S114" s="772" t="n"/>
      <c r="T114" s="772" t="n"/>
      <c r="U114" s="772" t="n"/>
      <c r="V114" s="772" t="n"/>
      <c r="W114" s="772" t="n"/>
      <c r="X114" s="772" t="n"/>
      <c r="Y114" s="772" t="n"/>
      <c r="Z114" s="772" t="n"/>
      <c r="AA114" s="772" t="n"/>
      <c r="AB114" s="772" t="n"/>
      <c r="AC114" s="731" t="n"/>
      <c r="AD114" s="731" t="n"/>
      <c r="AE114" s="731" t="n"/>
    </row>
    <row r="115">
      <c r="A115" s="772" t="n"/>
      <c r="B115" s="772" t="n"/>
      <c r="C115" s="772" t="n"/>
      <c r="D115" s="772" t="n"/>
      <c r="E115" s="772" t="n"/>
      <c r="F115" s="772" t="n"/>
      <c r="G115" s="772" t="n"/>
      <c r="H115" s="772" t="n"/>
      <c r="I115" s="772" t="n"/>
      <c r="J115" s="772" t="n"/>
      <c r="K115" s="772" t="n"/>
      <c r="L115" s="772" t="n"/>
      <c r="M115" s="772" t="n"/>
      <c r="N115" s="772" t="n"/>
      <c r="O115" s="772" t="n"/>
      <c r="P115" s="772" t="n"/>
      <c r="Q115" s="772" t="n"/>
      <c r="R115" s="772" t="n"/>
      <c r="S115" s="772" t="n"/>
      <c r="T115" s="772" t="n"/>
      <c r="U115" s="772" t="n"/>
      <c r="V115" s="772" t="n"/>
      <c r="W115" s="772" t="n"/>
      <c r="X115" s="772" t="n"/>
      <c r="Y115" s="772" t="n"/>
      <c r="Z115" s="772" t="n"/>
      <c r="AA115" s="772" t="n"/>
      <c r="AB115" s="772" t="n"/>
      <c r="AC115" s="731" t="n"/>
      <c r="AD115" s="731" t="n"/>
      <c r="AE115" s="731" t="n"/>
    </row>
    <row r="116">
      <c r="A116" s="772" t="n"/>
      <c r="B116" s="772" t="n"/>
      <c r="C116" s="772" t="n"/>
      <c r="D116" s="772" t="n"/>
      <c r="E116" s="772" t="n"/>
      <c r="F116" s="772" t="n"/>
      <c r="G116" s="772" t="n"/>
      <c r="H116" s="772" t="n"/>
      <c r="I116" s="772" t="n"/>
      <c r="J116" s="772" t="n"/>
      <c r="K116" s="772" t="n"/>
      <c r="L116" s="772" t="n"/>
      <c r="M116" s="772" t="n"/>
      <c r="N116" s="772" t="n"/>
      <c r="O116" s="772" t="n"/>
      <c r="P116" s="772" t="n"/>
      <c r="Q116" s="772" t="n"/>
      <c r="R116" s="772" t="n"/>
      <c r="S116" s="772" t="n"/>
      <c r="T116" s="772" t="n"/>
      <c r="U116" s="772" t="n"/>
      <c r="V116" s="772" t="n"/>
      <c r="W116" s="772" t="n"/>
      <c r="X116" s="772" t="n"/>
      <c r="Y116" s="772" t="n"/>
      <c r="Z116" s="772" t="n"/>
      <c r="AA116" s="772" t="n"/>
      <c r="AB116" s="772" t="n"/>
      <c r="AC116" s="731" t="n"/>
      <c r="AD116" s="731" t="n"/>
      <c r="AE116" s="731" t="n"/>
    </row>
    <row r="117">
      <c r="A117" s="772" t="n"/>
      <c r="B117" s="772" t="n"/>
      <c r="C117" s="772" t="n"/>
      <c r="D117" s="772" t="n"/>
      <c r="E117" s="772" t="n"/>
      <c r="F117" s="772" t="n"/>
      <c r="G117" s="772" t="n"/>
      <c r="H117" s="772" t="n"/>
      <c r="I117" s="772" t="n"/>
      <c r="J117" s="772" t="n"/>
      <c r="K117" s="772" t="n"/>
      <c r="L117" s="772" t="n"/>
      <c r="M117" s="772" t="n"/>
      <c r="N117" s="772" t="n"/>
      <c r="O117" s="772" t="n"/>
      <c r="P117" s="772" t="n"/>
      <c r="Q117" s="772" t="n"/>
      <c r="R117" s="772" t="n"/>
      <c r="S117" s="772" t="n"/>
      <c r="T117" s="772" t="n"/>
      <c r="U117" s="772" t="n"/>
      <c r="V117" s="772" t="n"/>
      <c r="W117" s="772" t="n"/>
      <c r="X117" s="772" t="n"/>
      <c r="Y117" s="772" t="n"/>
      <c r="Z117" s="772" t="n"/>
      <c r="AA117" s="772" t="n"/>
      <c r="AB117" s="772" t="n"/>
      <c r="AC117" s="731" t="n"/>
      <c r="AD117" s="731" t="n"/>
      <c r="AE117" s="731" t="n"/>
    </row>
    <row r="118">
      <c r="A118" s="772" t="n"/>
      <c r="B118" s="772" t="n"/>
      <c r="C118" s="772" t="n"/>
      <c r="D118" s="772" t="n"/>
      <c r="E118" s="772" t="n"/>
      <c r="F118" s="772" t="n"/>
      <c r="G118" s="772" t="n"/>
      <c r="H118" s="772" t="n"/>
      <c r="I118" s="772" t="n"/>
      <c r="J118" s="772" t="n"/>
      <c r="K118" s="772" t="n"/>
      <c r="L118" s="772" t="n"/>
      <c r="M118" s="772" t="n"/>
      <c r="N118" s="772" t="n"/>
      <c r="O118" s="772" t="n"/>
      <c r="P118" s="772" t="n"/>
      <c r="Q118" s="772" t="n"/>
      <c r="R118" s="772" t="n"/>
      <c r="S118" s="772" t="n"/>
      <c r="T118" s="772" t="n"/>
      <c r="U118" s="772" t="n"/>
      <c r="V118" s="772" t="n"/>
      <c r="W118" s="772" t="n"/>
      <c r="X118" s="772" t="n"/>
      <c r="Y118" s="772" t="n"/>
      <c r="Z118" s="772" t="n"/>
      <c r="AA118" s="772" t="n"/>
      <c r="AB118" s="772" t="n"/>
      <c r="AC118" s="731" t="n"/>
      <c r="AD118" s="731" t="n"/>
      <c r="AE118" s="731" t="n"/>
    </row>
    <row r="119">
      <c r="A119" s="772" t="n"/>
      <c r="B119" s="772" t="n"/>
      <c r="C119" s="772" t="n"/>
      <c r="D119" s="772" t="n"/>
      <c r="E119" s="772" t="n"/>
      <c r="F119" s="772" t="n"/>
      <c r="G119" s="772" t="n"/>
      <c r="H119" s="772" t="n"/>
      <c r="I119" s="772" t="n"/>
      <c r="J119" s="772" t="n"/>
      <c r="K119" s="772" t="n"/>
      <c r="L119" s="772" t="n"/>
      <c r="M119" s="772" t="n"/>
      <c r="N119" s="772" t="n"/>
      <c r="O119" s="772" t="n"/>
      <c r="P119" s="772" t="n"/>
      <c r="Q119" s="772" t="n"/>
      <c r="R119" s="772" t="n"/>
      <c r="S119" s="772" t="n"/>
      <c r="T119" s="772" t="n"/>
      <c r="U119" s="772" t="n"/>
      <c r="V119" s="772" t="n"/>
      <c r="W119" s="772" t="n"/>
      <c r="X119" s="772" t="n"/>
      <c r="Y119" s="772" t="n"/>
      <c r="Z119" s="772" t="n"/>
      <c r="AA119" s="772" t="n"/>
      <c r="AB119" s="772" t="n"/>
      <c r="AC119" s="731" t="n"/>
      <c r="AD119" s="731" t="n"/>
      <c r="AE119" s="731" t="n"/>
    </row>
    <row r="120">
      <c r="A120" s="772" t="n"/>
      <c r="B120" s="772" t="n"/>
      <c r="C120" s="772" t="n"/>
      <c r="D120" s="772" t="n"/>
      <c r="E120" s="772" t="n"/>
      <c r="F120" s="772" t="n"/>
      <c r="G120" s="772" t="n"/>
      <c r="H120" s="772" t="n"/>
      <c r="I120" s="772" t="n"/>
      <c r="J120" s="772" t="n"/>
      <c r="K120" s="772" t="n"/>
      <c r="L120" s="772" t="n"/>
      <c r="M120" s="772" t="n"/>
      <c r="N120" s="772" t="n"/>
      <c r="O120" s="772" t="n"/>
      <c r="P120" s="772" t="n"/>
      <c r="Q120" s="772" t="n"/>
      <c r="R120" s="772" t="n"/>
      <c r="S120" s="772" t="n"/>
      <c r="T120" s="772" t="n"/>
      <c r="U120" s="772" t="n"/>
      <c r="V120" s="772" t="n"/>
      <c r="W120" s="772" t="n"/>
      <c r="X120" s="772" t="n"/>
      <c r="Y120" s="772" t="n"/>
      <c r="Z120" s="772" t="n"/>
      <c r="AA120" s="772" t="n"/>
      <c r="AB120" s="772" t="n"/>
      <c r="AC120" s="731" t="n"/>
      <c r="AD120" s="731" t="n"/>
      <c r="AE120" s="731" t="n"/>
    </row>
    <row r="121">
      <c r="A121" s="772" t="n"/>
      <c r="B121" s="772" t="n"/>
      <c r="C121" s="772" t="n"/>
      <c r="D121" s="772" t="n"/>
      <c r="E121" s="772" t="n"/>
      <c r="F121" s="772" t="n"/>
      <c r="G121" s="772" t="n"/>
      <c r="H121" s="772" t="n"/>
      <c r="I121" s="772" t="n"/>
      <c r="J121" s="772" t="n"/>
      <c r="K121" s="772" t="n"/>
      <c r="L121" s="772" t="n"/>
      <c r="M121" s="772" t="n"/>
      <c r="N121" s="772" t="n"/>
      <c r="O121" s="772" t="n"/>
      <c r="P121" s="772" t="n"/>
      <c r="Q121" s="772" t="n"/>
      <c r="R121" s="772" t="n"/>
      <c r="S121" s="772" t="n"/>
      <c r="T121" s="772" t="n"/>
      <c r="U121" s="772" t="n"/>
      <c r="V121" s="772" t="n"/>
      <c r="W121" s="772" t="n"/>
      <c r="X121" s="772" t="n"/>
      <c r="Y121" s="772" t="n"/>
      <c r="Z121" s="772" t="n"/>
      <c r="AA121" s="772" t="n"/>
      <c r="AB121" s="772" t="n"/>
      <c r="AC121" s="731" t="n"/>
      <c r="AD121" s="731" t="n"/>
      <c r="AE121" s="731" t="n"/>
    </row>
    <row r="122">
      <c r="A122" s="772" t="n"/>
      <c r="B122" s="772" t="n"/>
      <c r="C122" s="772" t="n"/>
      <c r="D122" s="772" t="n"/>
      <c r="E122" s="772" t="n"/>
      <c r="F122" s="772" t="n"/>
      <c r="G122" s="772" t="n"/>
      <c r="H122" s="772" t="n"/>
      <c r="I122" s="772" t="n"/>
      <c r="J122" s="772" t="n"/>
      <c r="K122" s="772" t="n"/>
      <c r="L122" s="772" t="n"/>
      <c r="M122" s="772" t="n"/>
      <c r="N122" s="772" t="n"/>
      <c r="O122" s="772" t="n"/>
      <c r="P122" s="772" t="n"/>
      <c r="Q122" s="772" t="n"/>
      <c r="R122" s="772" t="n"/>
      <c r="S122" s="772" t="n"/>
      <c r="T122" s="772" t="n"/>
      <c r="U122" s="772" t="n"/>
      <c r="V122" s="772" t="n"/>
      <c r="W122" s="772" t="n"/>
      <c r="X122" s="772" t="n"/>
      <c r="Y122" s="772" t="n"/>
      <c r="Z122" s="772" t="n"/>
      <c r="AA122" s="772" t="n"/>
      <c r="AB122" s="772" t="n"/>
      <c r="AC122" s="731" t="n"/>
      <c r="AD122" s="731" t="n"/>
      <c r="AE122" s="731" t="n"/>
    </row>
    <row r="123">
      <c r="A123" s="772" t="n"/>
      <c r="B123" s="772" t="n"/>
      <c r="C123" s="772" t="n"/>
      <c r="D123" s="772" t="n"/>
      <c r="E123" s="772" t="n"/>
      <c r="F123" s="772" t="n"/>
      <c r="G123" s="772" t="n"/>
      <c r="H123" s="772" t="n"/>
      <c r="I123" s="772" t="n"/>
      <c r="J123" s="772" t="n"/>
      <c r="K123" s="772" t="n"/>
      <c r="L123" s="772" t="n"/>
      <c r="M123" s="772" t="n"/>
      <c r="N123" s="772" t="n"/>
      <c r="O123" s="772" t="n"/>
      <c r="P123" s="772" t="n"/>
      <c r="Q123" s="772" t="n"/>
      <c r="R123" s="772" t="n"/>
      <c r="S123" s="772" t="n"/>
      <c r="T123" s="772" t="n"/>
      <c r="U123" s="772" t="n"/>
      <c r="V123" s="772" t="n"/>
      <c r="W123" s="772" t="n"/>
      <c r="X123" s="772" t="n"/>
      <c r="Y123" s="772" t="n"/>
      <c r="Z123" s="772" t="n"/>
      <c r="AA123" s="772" t="n"/>
      <c r="AB123" s="772" t="n"/>
      <c r="AC123" s="731" t="n"/>
      <c r="AD123" s="731" t="n"/>
      <c r="AE123" s="731" t="n"/>
    </row>
    <row r="124">
      <c r="A124" s="772" t="n"/>
      <c r="B124" s="772" t="n"/>
      <c r="C124" s="772" t="n"/>
      <c r="D124" s="772" t="n"/>
      <c r="E124" s="772" t="n"/>
      <c r="F124" s="772" t="n"/>
      <c r="G124" s="772" t="n"/>
      <c r="H124" s="772" t="n"/>
      <c r="I124" s="772" t="n"/>
      <c r="J124" s="772" t="n"/>
      <c r="K124" s="772" t="n"/>
      <c r="L124" s="772" t="n"/>
      <c r="M124" s="772" t="n"/>
      <c r="N124" s="772" t="n"/>
      <c r="O124" s="772" t="n"/>
      <c r="P124" s="772" t="n"/>
      <c r="Q124" s="772" t="n"/>
      <c r="R124" s="772" t="n"/>
      <c r="S124" s="772" t="n"/>
      <c r="T124" s="772" t="n"/>
      <c r="U124" s="772" t="n"/>
      <c r="V124" s="772" t="n"/>
      <c r="W124" s="772" t="n"/>
      <c r="X124" s="772" t="n"/>
      <c r="Y124" s="772" t="n"/>
      <c r="Z124" s="772" t="n"/>
      <c r="AA124" s="772" t="n"/>
      <c r="AB124" s="772" t="n"/>
      <c r="AC124" s="731" t="n"/>
      <c r="AD124" s="731" t="n"/>
      <c r="AE124" s="731" t="n"/>
    </row>
    <row r="125">
      <c r="A125" s="772" t="n"/>
      <c r="B125" s="772" t="n"/>
      <c r="C125" s="772" t="n"/>
      <c r="D125" s="772" t="n"/>
      <c r="E125" s="772" t="n"/>
      <c r="F125" s="772" t="n"/>
      <c r="G125" s="772" t="n"/>
      <c r="H125" s="772" t="n"/>
      <c r="I125" s="772" t="n"/>
      <c r="J125" s="772" t="n"/>
      <c r="K125" s="772" t="n"/>
      <c r="L125" s="772" t="n"/>
      <c r="M125" s="772" t="n"/>
      <c r="N125" s="772" t="n"/>
      <c r="O125" s="772" t="n"/>
      <c r="P125" s="772" t="n"/>
      <c r="Q125" s="772" t="n"/>
      <c r="R125" s="772" t="n"/>
      <c r="S125" s="772" t="n"/>
      <c r="T125" s="772" t="n"/>
      <c r="U125" s="772" t="n"/>
      <c r="V125" s="772" t="n"/>
      <c r="W125" s="772" t="n"/>
      <c r="X125" s="772" t="n"/>
      <c r="Y125" s="772" t="n"/>
      <c r="Z125" s="772" t="n"/>
      <c r="AA125" s="772" t="n"/>
      <c r="AB125" s="772" t="n"/>
      <c r="AC125" s="731" t="n"/>
      <c r="AD125" s="731" t="n"/>
      <c r="AE125" s="731" t="n"/>
    </row>
    <row r="126">
      <c r="A126" s="772" t="n"/>
      <c r="B126" s="772" t="n"/>
      <c r="C126" s="772" t="n"/>
      <c r="D126" s="772" t="n"/>
      <c r="E126" s="772" t="n"/>
      <c r="F126" s="772" t="n"/>
      <c r="G126" s="772" t="n"/>
      <c r="H126" s="772" t="n"/>
      <c r="I126" s="772" t="n"/>
      <c r="J126" s="772" t="n"/>
      <c r="K126" s="772" t="n"/>
      <c r="L126" s="772" t="n"/>
      <c r="M126" s="772" t="n"/>
      <c r="N126" s="772" t="n"/>
      <c r="O126" s="772" t="n"/>
      <c r="P126" s="772" t="n"/>
      <c r="Q126" s="772" t="n"/>
      <c r="R126" s="772" t="n"/>
      <c r="S126" s="772" t="n"/>
      <c r="T126" s="772" t="n"/>
      <c r="U126" s="772" t="n"/>
      <c r="V126" s="772" t="n"/>
      <c r="W126" s="772" t="n"/>
      <c r="X126" s="772" t="n"/>
      <c r="Y126" s="772" t="n"/>
      <c r="Z126" s="772" t="n"/>
      <c r="AA126" s="772" t="n"/>
      <c r="AB126" s="772" t="n"/>
      <c r="AC126" s="731" t="n"/>
      <c r="AD126" s="731" t="n"/>
      <c r="AE126" s="731" t="n"/>
    </row>
    <row r="127">
      <c r="A127" s="772" t="n"/>
      <c r="B127" s="772" t="n"/>
      <c r="C127" s="772" t="n"/>
      <c r="D127" s="772" t="n"/>
      <c r="E127" s="772" t="n"/>
      <c r="F127" s="772" t="n"/>
      <c r="G127" s="772" t="n"/>
      <c r="H127" s="772" t="n"/>
      <c r="I127" s="772" t="n"/>
      <c r="J127" s="772" t="n"/>
      <c r="K127" s="772" t="n"/>
      <c r="L127" s="772" t="n"/>
      <c r="M127" s="772" t="n"/>
      <c r="N127" s="772" t="n"/>
      <c r="O127" s="772" t="n"/>
      <c r="P127" s="772" t="n"/>
      <c r="Q127" s="772" t="n"/>
      <c r="R127" s="772" t="n"/>
      <c r="S127" s="772" t="n"/>
      <c r="T127" s="772" t="n"/>
      <c r="U127" s="772" t="n"/>
      <c r="V127" s="772" t="n"/>
      <c r="W127" s="772" t="n"/>
      <c r="X127" s="772" t="n"/>
      <c r="Y127" s="772" t="n"/>
      <c r="Z127" s="772" t="n"/>
      <c r="AA127" s="772" t="n"/>
      <c r="AB127" s="772" t="n"/>
      <c r="AC127" s="731" t="n"/>
      <c r="AD127" s="731" t="n"/>
      <c r="AE127" s="731" t="n"/>
    </row>
    <row r="128">
      <c r="A128" s="772" t="n"/>
      <c r="B128" s="772" t="n"/>
      <c r="C128" s="772" t="n"/>
      <c r="D128" s="772" t="n"/>
      <c r="E128" s="772" t="n"/>
      <c r="F128" s="772" t="n"/>
      <c r="G128" s="772" t="n"/>
      <c r="H128" s="772" t="n"/>
      <c r="I128" s="772" t="n"/>
      <c r="J128" s="772" t="n"/>
      <c r="K128" s="772" t="n"/>
      <c r="L128" s="772" t="n"/>
      <c r="M128" s="772" t="n"/>
      <c r="N128" s="772" t="n"/>
      <c r="O128" s="772" t="n"/>
      <c r="P128" s="772" t="n"/>
      <c r="Q128" s="772" t="n"/>
      <c r="R128" s="772" t="n"/>
      <c r="S128" s="772" t="n"/>
      <c r="T128" s="772" t="n"/>
      <c r="U128" s="772" t="n"/>
      <c r="V128" s="772" t="n"/>
      <c r="W128" s="772" t="n"/>
      <c r="X128" s="772" t="n"/>
      <c r="Y128" s="772" t="n"/>
      <c r="Z128" s="772" t="n"/>
      <c r="AA128" s="772" t="n"/>
      <c r="AB128" s="772" t="n"/>
      <c r="AC128" s="731" t="n"/>
      <c r="AD128" s="731" t="n"/>
      <c r="AE128" s="731" t="n"/>
    </row>
    <row r="129">
      <c r="A129" s="772" t="n"/>
      <c r="B129" s="772" t="n"/>
      <c r="C129" s="772" t="n"/>
      <c r="D129" s="772" t="n"/>
      <c r="E129" s="772" t="n"/>
      <c r="F129" s="772" t="n"/>
      <c r="G129" s="772" t="n"/>
      <c r="H129" s="772" t="n"/>
      <c r="I129" s="772" t="n"/>
      <c r="J129" s="772" t="n"/>
      <c r="K129" s="772" t="n"/>
      <c r="L129" s="772" t="n"/>
      <c r="M129" s="772" t="n"/>
      <c r="N129" s="772" t="n"/>
      <c r="O129" s="772" t="n"/>
      <c r="P129" s="772" t="n"/>
      <c r="Q129" s="772" t="n"/>
      <c r="R129" s="772" t="n"/>
      <c r="S129" s="772" t="n"/>
      <c r="T129" s="772" t="n"/>
      <c r="U129" s="772" t="n"/>
      <c r="V129" s="772" t="n"/>
      <c r="W129" s="772" t="n"/>
      <c r="X129" s="772" t="n"/>
      <c r="Y129" s="772" t="n"/>
      <c r="Z129" s="772" t="n"/>
      <c r="AA129" s="772" t="n"/>
      <c r="AB129" s="772" t="n"/>
      <c r="AC129" s="731" t="n"/>
      <c r="AD129" s="731" t="n"/>
      <c r="AE129" s="731" t="n"/>
    </row>
    <row r="130">
      <c r="A130" s="772" t="n"/>
      <c r="B130" s="772" t="n"/>
      <c r="C130" s="772" t="n"/>
      <c r="D130" s="772" t="n"/>
      <c r="E130" s="772" t="n"/>
      <c r="F130" s="772" t="n"/>
      <c r="G130" s="772" t="n"/>
      <c r="H130" s="772" t="n"/>
      <c r="I130" s="772" t="n"/>
      <c r="J130" s="772" t="n"/>
      <c r="K130" s="772" t="n"/>
      <c r="L130" s="772" t="n"/>
      <c r="M130" s="772" t="n"/>
      <c r="N130" s="772" t="n"/>
      <c r="O130" s="772" t="n"/>
      <c r="P130" s="772" t="n"/>
      <c r="Q130" s="772" t="n"/>
      <c r="R130" s="772" t="n"/>
      <c r="S130" s="772" t="n"/>
      <c r="T130" s="772" t="n"/>
      <c r="U130" s="772" t="n"/>
      <c r="V130" s="772" t="n"/>
      <c r="W130" s="772" t="n"/>
      <c r="X130" s="772" t="n"/>
      <c r="Y130" s="772" t="n"/>
      <c r="Z130" s="772" t="n"/>
      <c r="AA130" s="772" t="n"/>
      <c r="AB130" s="772" t="n"/>
      <c r="AC130" s="731" t="n"/>
      <c r="AD130" s="731" t="n"/>
      <c r="AE130" s="731" t="n"/>
    </row>
    <row r="131">
      <c r="A131" s="772" t="n"/>
      <c r="B131" s="772" t="n"/>
      <c r="C131" s="772" t="n"/>
      <c r="D131" s="772" t="n"/>
      <c r="E131" s="772" t="n"/>
      <c r="F131" s="772" t="n"/>
      <c r="G131" s="772" t="n"/>
      <c r="H131" s="772" t="n"/>
      <c r="I131" s="772" t="n"/>
      <c r="J131" s="772" t="n"/>
      <c r="K131" s="772" t="n"/>
      <c r="L131" s="772" t="n"/>
      <c r="M131" s="772" t="n"/>
      <c r="N131" s="772" t="n"/>
      <c r="O131" s="772" t="n"/>
      <c r="P131" s="772" t="n"/>
      <c r="Q131" s="772" t="n"/>
      <c r="R131" s="772" t="n"/>
      <c r="S131" s="772" t="n"/>
      <c r="T131" s="772" t="n"/>
      <c r="U131" s="772" t="n"/>
      <c r="V131" s="772" t="n"/>
      <c r="W131" s="772" t="n"/>
      <c r="X131" s="772" t="n"/>
      <c r="Y131" s="772" t="n"/>
      <c r="Z131" s="772" t="n"/>
      <c r="AA131" s="772" t="n"/>
      <c r="AB131" s="772" t="n"/>
      <c r="AC131" s="731" t="n"/>
      <c r="AD131" s="731" t="n"/>
      <c r="AE131" s="731" t="n"/>
    </row>
    <row r="132">
      <c r="A132" s="772" t="n"/>
      <c r="B132" s="772" t="n"/>
      <c r="C132" s="772" t="n"/>
      <c r="D132" s="772" t="n"/>
      <c r="E132" s="772" t="n"/>
      <c r="F132" s="772" t="n"/>
      <c r="G132" s="772" t="n"/>
      <c r="H132" s="772" t="n"/>
      <c r="I132" s="772" t="n"/>
      <c r="J132" s="772" t="n"/>
      <c r="K132" s="772" t="n"/>
      <c r="L132" s="772" t="n"/>
      <c r="M132" s="772" t="n"/>
      <c r="N132" s="772" t="n"/>
      <c r="O132" s="772" t="n"/>
      <c r="P132" s="772" t="n"/>
      <c r="Q132" s="772" t="n"/>
      <c r="R132" s="772" t="n"/>
      <c r="S132" s="772" t="n"/>
      <c r="T132" s="772" t="n"/>
      <c r="U132" s="772" t="n"/>
      <c r="V132" s="772" t="n"/>
      <c r="W132" s="772" t="n"/>
      <c r="X132" s="772" t="n"/>
      <c r="Y132" s="772" t="n"/>
      <c r="Z132" s="772" t="n"/>
      <c r="AA132" s="772" t="n"/>
      <c r="AB132" s="772" t="n"/>
      <c r="AC132" s="731" t="n"/>
      <c r="AD132" s="731" t="n"/>
      <c r="AE132" s="731" t="n"/>
    </row>
    <row r="133">
      <c r="A133" s="772" t="n"/>
      <c r="B133" s="772" t="n"/>
      <c r="C133" s="772" t="n"/>
      <c r="D133" s="772" t="n"/>
      <c r="E133" s="772" t="n"/>
      <c r="F133" s="772" t="n"/>
      <c r="G133" s="772" t="n"/>
      <c r="H133" s="772" t="n"/>
      <c r="I133" s="772" t="n"/>
      <c r="J133" s="772" t="n"/>
      <c r="K133" s="772" t="n"/>
      <c r="L133" s="772" t="n"/>
      <c r="M133" s="772" t="n"/>
      <c r="N133" s="772" t="n"/>
      <c r="O133" s="772" t="n"/>
      <c r="P133" s="772" t="n"/>
      <c r="Q133" s="772" t="n"/>
      <c r="R133" s="772" t="n"/>
      <c r="S133" s="772" t="n"/>
      <c r="T133" s="772" t="n"/>
      <c r="U133" s="772" t="n"/>
      <c r="V133" s="772" t="n"/>
      <c r="W133" s="772" t="n"/>
      <c r="X133" s="772" t="n"/>
      <c r="Y133" s="772" t="n"/>
      <c r="Z133" s="772" t="n"/>
      <c r="AA133" s="772" t="n"/>
      <c r="AB133" s="772" t="n"/>
      <c r="AC133" s="731" t="n"/>
      <c r="AD133" s="731" t="n"/>
      <c r="AE133" s="731" t="n"/>
    </row>
    <row r="134">
      <c r="A134" s="772" t="n"/>
      <c r="B134" s="772" t="n"/>
      <c r="C134" s="772" t="n"/>
      <c r="D134" s="772" t="n"/>
      <c r="E134" s="772" t="n"/>
      <c r="F134" s="772" t="n"/>
      <c r="G134" s="772" t="n"/>
      <c r="H134" s="772" t="n"/>
      <c r="I134" s="772" t="n"/>
      <c r="J134" s="772" t="n"/>
      <c r="K134" s="772" t="n"/>
      <c r="L134" s="772" t="n"/>
      <c r="M134" s="772" t="n"/>
      <c r="N134" s="772" t="n"/>
      <c r="O134" s="772" t="n"/>
      <c r="P134" s="772" t="n"/>
      <c r="Q134" s="772" t="n"/>
      <c r="R134" s="772" t="n"/>
      <c r="S134" s="772" t="n"/>
      <c r="T134" s="772" t="n"/>
      <c r="U134" s="772" t="n"/>
      <c r="V134" s="772" t="n"/>
      <c r="W134" s="772" t="n"/>
      <c r="X134" s="772" t="n"/>
      <c r="Y134" s="772" t="n"/>
      <c r="Z134" s="772" t="n"/>
      <c r="AA134" s="772" t="n"/>
      <c r="AB134" s="772" t="n"/>
      <c r="AC134" s="731" t="n"/>
      <c r="AD134" s="731" t="n"/>
      <c r="AE134" s="731" t="n"/>
    </row>
    <row r="135">
      <c r="A135" s="772" t="n"/>
      <c r="B135" s="772" t="n"/>
      <c r="C135" s="772" t="n"/>
      <c r="D135" s="772" t="n"/>
      <c r="E135" s="772" t="n"/>
      <c r="F135" s="772" t="n"/>
      <c r="G135" s="772" t="n"/>
      <c r="H135" s="772" t="n"/>
      <c r="I135" s="772" t="n"/>
      <c r="J135" s="772" t="n"/>
      <c r="K135" s="772" t="n"/>
      <c r="L135" s="772" t="n"/>
      <c r="M135" s="772" t="n"/>
      <c r="N135" s="772" t="n"/>
      <c r="O135" s="772" t="n"/>
      <c r="P135" s="772" t="n"/>
      <c r="Q135" s="772" t="n"/>
      <c r="R135" s="772" t="n"/>
      <c r="S135" s="772" t="n"/>
      <c r="T135" s="772" t="n"/>
      <c r="U135" s="772" t="n"/>
      <c r="V135" s="772" t="n"/>
      <c r="W135" s="772" t="n"/>
      <c r="X135" s="772" t="n"/>
      <c r="Y135" s="772" t="n"/>
      <c r="Z135" s="772" t="n"/>
      <c r="AA135" s="772" t="n"/>
      <c r="AB135" s="772" t="n"/>
      <c r="AC135" s="731" t="n"/>
      <c r="AD135" s="731" t="n"/>
      <c r="AE135" s="731" t="n"/>
    </row>
    <row r="136">
      <c r="A136" s="772" t="n"/>
      <c r="B136" s="772" t="n"/>
      <c r="C136" s="772" t="n"/>
      <c r="D136" s="772" t="n"/>
      <c r="E136" s="772" t="n"/>
      <c r="F136" s="772" t="n"/>
      <c r="G136" s="772" t="n"/>
      <c r="H136" s="772" t="n"/>
      <c r="I136" s="772" t="n"/>
      <c r="J136" s="772" t="n"/>
      <c r="K136" s="772" t="n"/>
      <c r="L136" s="772" t="n"/>
      <c r="M136" s="772" t="n"/>
      <c r="N136" s="772" t="n"/>
      <c r="O136" s="772" t="n"/>
      <c r="P136" s="772" t="n"/>
      <c r="Q136" s="772" t="n"/>
      <c r="R136" s="772" t="n"/>
      <c r="S136" s="772" t="n"/>
      <c r="T136" s="772" t="n"/>
      <c r="U136" s="772" t="n"/>
      <c r="V136" s="772" t="n"/>
      <c r="W136" s="772" t="n"/>
      <c r="X136" s="772" t="n"/>
      <c r="Y136" s="772" t="n"/>
      <c r="Z136" s="772" t="n"/>
      <c r="AA136" s="772" t="n"/>
      <c r="AB136" s="772" t="n"/>
      <c r="AC136" s="731" t="n"/>
      <c r="AD136" s="731" t="n"/>
      <c r="AE136" s="731" t="n"/>
    </row>
    <row r="137">
      <c r="A137" s="772" t="n"/>
      <c r="B137" s="772" t="n"/>
      <c r="C137" s="772" t="n"/>
      <c r="D137" s="772" t="n"/>
      <c r="E137" s="772" t="n"/>
      <c r="F137" s="772" t="n"/>
      <c r="G137" s="772" t="n"/>
      <c r="H137" s="772" t="n"/>
      <c r="I137" s="772" t="n"/>
      <c r="J137" s="772" t="n"/>
      <c r="K137" s="772" t="n"/>
      <c r="L137" s="772" t="n"/>
      <c r="M137" s="772" t="n"/>
      <c r="N137" s="772" t="n"/>
      <c r="O137" s="772" t="n"/>
      <c r="P137" s="772" t="n"/>
      <c r="Q137" s="772" t="n"/>
      <c r="R137" s="772" t="n"/>
      <c r="S137" s="772" t="n"/>
      <c r="T137" s="772" t="n"/>
      <c r="U137" s="772" t="n"/>
      <c r="V137" s="772" t="n"/>
      <c r="W137" s="772" t="n"/>
      <c r="X137" s="772" t="n"/>
      <c r="Y137" s="772" t="n"/>
      <c r="Z137" s="772" t="n"/>
      <c r="AA137" s="772" t="n"/>
      <c r="AB137" s="772" t="n"/>
      <c r="AC137" s="731" t="n"/>
      <c r="AD137" s="731" t="n"/>
      <c r="AE137" s="731" t="n"/>
    </row>
    <row r="138">
      <c r="A138" s="772" t="n"/>
      <c r="B138" s="772" t="n"/>
      <c r="C138" s="772" t="n"/>
      <c r="D138" s="772" t="n"/>
      <c r="E138" s="772" t="n"/>
      <c r="F138" s="772" t="n"/>
      <c r="G138" s="772" t="n"/>
      <c r="H138" s="772" t="n"/>
      <c r="I138" s="772" t="n"/>
      <c r="J138" s="772" t="n"/>
      <c r="K138" s="772" t="n"/>
      <c r="L138" s="772" t="n"/>
      <c r="M138" s="772" t="n"/>
      <c r="N138" s="772" t="n"/>
      <c r="O138" s="772" t="n"/>
      <c r="P138" s="772" t="n"/>
      <c r="Q138" s="772" t="n"/>
      <c r="R138" s="772" t="n"/>
      <c r="S138" s="772" t="n"/>
      <c r="T138" s="772" t="n"/>
      <c r="U138" s="772" t="n"/>
      <c r="V138" s="772" t="n"/>
      <c r="W138" s="772" t="n"/>
      <c r="X138" s="772" t="n"/>
      <c r="Y138" s="772" t="n"/>
      <c r="Z138" s="772" t="n"/>
      <c r="AA138" s="772" t="n"/>
      <c r="AB138" s="772" t="n"/>
      <c r="AC138" s="731" t="n"/>
      <c r="AD138" s="731" t="n"/>
      <c r="AE138" s="731" t="n"/>
    </row>
    <row r="139">
      <c r="A139" s="772" t="n"/>
      <c r="B139" s="772" t="n"/>
      <c r="C139" s="772" t="n"/>
      <c r="D139" s="772" t="n"/>
      <c r="E139" s="772" t="n"/>
      <c r="F139" s="772" t="n"/>
      <c r="G139" s="772" t="n"/>
      <c r="H139" s="772" t="n"/>
      <c r="I139" s="772" t="n"/>
      <c r="J139" s="772" t="n"/>
      <c r="K139" s="772" t="n"/>
      <c r="L139" s="772" t="n"/>
      <c r="M139" s="772" t="n"/>
      <c r="N139" s="772" t="n"/>
      <c r="O139" s="772" t="n"/>
      <c r="P139" s="772" t="n"/>
      <c r="Q139" s="772" t="n"/>
      <c r="R139" s="772" t="n"/>
      <c r="S139" s="772" t="n"/>
      <c r="T139" s="772" t="n"/>
      <c r="U139" s="772" t="n"/>
      <c r="V139" s="772" t="n"/>
      <c r="W139" s="772" t="n"/>
      <c r="X139" s="772" t="n"/>
      <c r="Y139" s="772" t="n"/>
      <c r="Z139" s="772" t="n"/>
      <c r="AA139" s="772" t="n"/>
      <c r="AB139" s="772" t="n"/>
      <c r="AC139" s="731" t="n"/>
      <c r="AD139" s="731" t="n"/>
      <c r="AE139" s="731" t="n"/>
    </row>
    <row r="140">
      <c r="A140" s="772" t="n"/>
      <c r="B140" s="772" t="n"/>
      <c r="C140" s="772" t="n"/>
      <c r="D140" s="772" t="n"/>
      <c r="E140" s="772" t="n"/>
      <c r="F140" s="772" t="n"/>
      <c r="G140" s="772" t="n"/>
      <c r="H140" s="772" t="n"/>
      <c r="I140" s="772" t="n"/>
      <c r="J140" s="772" t="n"/>
      <c r="K140" s="772" t="n"/>
      <c r="L140" s="772" t="n"/>
      <c r="M140" s="772" t="n"/>
      <c r="N140" s="772" t="n"/>
      <c r="O140" s="772" t="n"/>
      <c r="P140" s="772" t="n"/>
      <c r="Q140" s="772" t="n"/>
      <c r="R140" s="772" t="n"/>
      <c r="S140" s="772" t="n"/>
      <c r="T140" s="772" t="n"/>
      <c r="U140" s="772" t="n"/>
      <c r="V140" s="772" t="n"/>
      <c r="W140" s="772" t="n"/>
      <c r="X140" s="772" t="n"/>
      <c r="Y140" s="772" t="n"/>
      <c r="Z140" s="772" t="n"/>
      <c r="AA140" s="772" t="n"/>
      <c r="AB140" s="772" t="n"/>
      <c r="AC140" s="731" t="n"/>
      <c r="AD140" s="731" t="n"/>
      <c r="AE140" s="731" t="n"/>
    </row>
    <row r="141">
      <c r="A141" s="772" t="n"/>
      <c r="B141" s="772" t="n"/>
      <c r="C141" s="772" t="n"/>
      <c r="D141" s="772" t="n"/>
      <c r="E141" s="772" t="n"/>
      <c r="F141" s="772" t="n"/>
      <c r="G141" s="772" t="n"/>
      <c r="H141" s="772" t="n"/>
      <c r="I141" s="772" t="n"/>
      <c r="J141" s="772" t="n"/>
      <c r="K141" s="772" t="n"/>
      <c r="L141" s="772" t="n"/>
      <c r="M141" s="772" t="n"/>
      <c r="N141" s="772" t="n"/>
      <c r="O141" s="772" t="n"/>
      <c r="P141" s="772" t="n"/>
      <c r="Q141" s="772" t="n"/>
      <c r="R141" s="772" t="n"/>
      <c r="S141" s="772" t="n"/>
      <c r="T141" s="772" t="n"/>
      <c r="U141" s="772" t="n"/>
      <c r="V141" s="772" t="n"/>
      <c r="W141" s="772" t="n"/>
      <c r="X141" s="772" t="n"/>
      <c r="Y141" s="772" t="n"/>
      <c r="Z141" s="772" t="n"/>
      <c r="AA141" s="772" t="n"/>
      <c r="AB141" s="772" t="n"/>
      <c r="AC141" s="731" t="n"/>
      <c r="AD141" s="731" t="n"/>
      <c r="AE141" s="731" t="n"/>
    </row>
    <row r="142">
      <c r="A142" s="772" t="n"/>
      <c r="B142" s="772" t="n"/>
      <c r="C142" s="772" t="n"/>
      <c r="D142" s="772" t="n"/>
      <c r="E142" s="772" t="n"/>
      <c r="F142" s="772" t="n"/>
      <c r="G142" s="772" t="n"/>
      <c r="H142" s="772" t="n"/>
      <c r="I142" s="772" t="n"/>
      <c r="J142" s="772" t="n"/>
      <c r="K142" s="772" t="n"/>
      <c r="L142" s="772" t="n"/>
      <c r="M142" s="772" t="n"/>
      <c r="N142" s="772" t="n"/>
      <c r="O142" s="772" t="n"/>
      <c r="P142" s="772" t="n"/>
      <c r="Q142" s="772" t="n"/>
      <c r="R142" s="772" t="n"/>
      <c r="S142" s="772" t="n"/>
      <c r="T142" s="772" t="n"/>
      <c r="U142" s="772" t="n"/>
      <c r="V142" s="772" t="n"/>
      <c r="W142" s="772" t="n"/>
      <c r="X142" s="772" t="n"/>
      <c r="Y142" s="772" t="n"/>
      <c r="Z142" s="772" t="n"/>
      <c r="AA142" s="772" t="n"/>
      <c r="AB142" s="772" t="n"/>
      <c r="AC142" s="731" t="n"/>
      <c r="AD142" s="731" t="n"/>
      <c r="AE142" s="731" t="n"/>
    </row>
    <row r="143">
      <c r="A143" s="772" t="n"/>
      <c r="B143" s="772" t="n"/>
      <c r="C143" s="772" t="n"/>
      <c r="D143" s="772" t="n"/>
      <c r="E143" s="772" t="n"/>
      <c r="F143" s="772" t="n"/>
      <c r="G143" s="772" t="n"/>
      <c r="H143" s="772" t="n"/>
      <c r="I143" s="772" t="n"/>
      <c r="J143" s="772" t="n"/>
      <c r="K143" s="772" t="n"/>
      <c r="L143" s="772" t="n"/>
      <c r="M143" s="772" t="n"/>
      <c r="N143" s="772" t="n"/>
      <c r="O143" s="772" t="n"/>
      <c r="P143" s="772" t="n"/>
      <c r="Q143" s="772" t="n"/>
      <c r="R143" s="772" t="n"/>
      <c r="S143" s="772" t="n"/>
      <c r="T143" s="772" t="n"/>
      <c r="U143" s="772" t="n"/>
      <c r="V143" s="772" t="n"/>
      <c r="W143" s="772" t="n"/>
      <c r="X143" s="772" t="n"/>
      <c r="Y143" s="772" t="n"/>
      <c r="Z143" s="772" t="n"/>
      <c r="AA143" s="772" t="n"/>
      <c r="AB143" s="772" t="n"/>
      <c r="AC143" s="731" t="n"/>
      <c r="AD143" s="731" t="n"/>
      <c r="AE143" s="731" t="n"/>
    </row>
    <row r="144">
      <c r="A144" s="772" t="n"/>
      <c r="B144" s="772" t="n"/>
      <c r="C144" s="772" t="n"/>
      <c r="D144" s="772" t="n"/>
      <c r="E144" s="772" t="n"/>
      <c r="F144" s="772" t="n"/>
      <c r="G144" s="772" t="n"/>
      <c r="H144" s="772" t="n"/>
      <c r="I144" s="772" t="n"/>
      <c r="J144" s="772" t="n"/>
      <c r="K144" s="772" t="n"/>
      <c r="L144" s="772" t="n"/>
      <c r="M144" s="772" t="n"/>
      <c r="N144" s="772" t="n"/>
      <c r="O144" s="772" t="n"/>
      <c r="P144" s="772" t="n"/>
      <c r="Q144" s="772" t="n"/>
      <c r="R144" s="772" t="n"/>
      <c r="S144" s="772" t="n"/>
      <c r="T144" s="772" t="n"/>
      <c r="U144" s="772" t="n"/>
      <c r="V144" s="772" t="n"/>
      <c r="W144" s="772" t="n"/>
      <c r="X144" s="772" t="n"/>
      <c r="Y144" s="772" t="n"/>
      <c r="Z144" s="772" t="n"/>
      <c r="AA144" s="772" t="n"/>
      <c r="AB144" s="772" t="n"/>
      <c r="AC144" s="731" t="n"/>
      <c r="AD144" s="731" t="n"/>
      <c r="AE144" s="731" t="n"/>
    </row>
    <row r="145">
      <c r="A145" s="772" t="n"/>
      <c r="B145" s="772" t="n"/>
      <c r="C145" s="772" t="n"/>
      <c r="D145" s="772" t="n"/>
      <c r="E145" s="772" t="n"/>
      <c r="F145" s="772" t="n"/>
      <c r="G145" s="772" t="n"/>
      <c r="H145" s="772" t="n"/>
      <c r="I145" s="772" t="n"/>
      <c r="J145" s="772" t="n"/>
      <c r="K145" s="772" t="n"/>
      <c r="L145" s="772" t="n"/>
      <c r="M145" s="772" t="n"/>
      <c r="N145" s="772" t="n"/>
      <c r="O145" s="772" t="n"/>
      <c r="P145" s="772" t="n"/>
      <c r="Q145" s="772" t="n"/>
      <c r="R145" s="772" t="n"/>
      <c r="S145" s="772" t="n"/>
      <c r="T145" s="772" t="n"/>
      <c r="U145" s="772" t="n"/>
      <c r="V145" s="772" t="n"/>
      <c r="W145" s="772" t="n"/>
      <c r="X145" s="772" t="n"/>
      <c r="Y145" s="772" t="n"/>
      <c r="Z145" s="772" t="n"/>
      <c r="AA145" s="772" t="n"/>
      <c r="AB145" s="772" t="n"/>
      <c r="AC145" s="731" t="n"/>
      <c r="AD145" s="731" t="n"/>
      <c r="AE145" s="731" t="n"/>
    </row>
    <row r="146">
      <c r="A146" s="772" t="n"/>
      <c r="B146" s="772" t="n"/>
      <c r="C146" s="772" t="n"/>
      <c r="D146" s="772" t="n"/>
      <c r="E146" s="772" t="n"/>
      <c r="F146" s="772" t="n"/>
      <c r="G146" s="772" t="n"/>
      <c r="H146" s="772" t="n"/>
      <c r="I146" s="772" t="n"/>
      <c r="J146" s="772" t="n"/>
      <c r="K146" s="772" t="n"/>
      <c r="L146" s="772" t="n"/>
      <c r="M146" s="772" t="n"/>
      <c r="N146" s="772" t="n"/>
      <c r="O146" s="772" t="n"/>
      <c r="P146" s="772" t="n"/>
      <c r="Q146" s="772" t="n"/>
      <c r="R146" s="772" t="n"/>
      <c r="S146" s="772" t="n"/>
      <c r="T146" s="772" t="n"/>
      <c r="U146" s="772" t="n"/>
      <c r="V146" s="772" t="n"/>
      <c r="W146" s="772" t="n"/>
      <c r="X146" s="772" t="n"/>
      <c r="Y146" s="772" t="n"/>
      <c r="Z146" s="772" t="n"/>
      <c r="AA146" s="772" t="n"/>
      <c r="AB146" s="772" t="n"/>
      <c r="AC146" s="731" t="n"/>
      <c r="AD146" s="731" t="n"/>
      <c r="AE146" s="731" t="n"/>
    </row>
    <row r="147">
      <c r="A147" s="772" t="n"/>
      <c r="B147" s="772" t="n"/>
      <c r="C147" s="772" t="n"/>
      <c r="D147" s="772" t="n"/>
      <c r="E147" s="772" t="n"/>
      <c r="F147" s="772" t="n"/>
      <c r="G147" s="772" t="n"/>
      <c r="H147" s="772" t="n"/>
      <c r="I147" s="772" t="n"/>
      <c r="J147" s="772" t="n"/>
      <c r="K147" s="772" t="n"/>
      <c r="L147" s="772" t="n"/>
      <c r="M147" s="772" t="n"/>
      <c r="N147" s="772" t="n"/>
      <c r="O147" s="772" t="n"/>
      <c r="P147" s="772" t="n"/>
      <c r="Q147" s="772" t="n"/>
      <c r="R147" s="772" t="n"/>
      <c r="S147" s="772" t="n"/>
      <c r="T147" s="772" t="n"/>
      <c r="U147" s="772" t="n"/>
      <c r="V147" s="772" t="n"/>
      <c r="W147" s="772" t="n"/>
      <c r="X147" s="772" t="n"/>
      <c r="Y147" s="772" t="n"/>
      <c r="Z147" s="772" t="n"/>
      <c r="AA147" s="772" t="n"/>
      <c r="AB147" s="772" t="n"/>
      <c r="AC147" s="731" t="n"/>
      <c r="AD147" s="731" t="n"/>
      <c r="AE147" s="731" t="n"/>
    </row>
    <row r="148">
      <c r="A148" s="772" t="n"/>
      <c r="B148" s="772" t="n"/>
      <c r="C148" s="772" t="n"/>
      <c r="D148" s="772" t="n"/>
      <c r="E148" s="772" t="n"/>
      <c r="F148" s="772" t="n"/>
      <c r="G148" s="772" t="n"/>
      <c r="H148" s="772" t="n"/>
      <c r="I148" s="772" t="n"/>
      <c r="J148" s="772" t="n"/>
      <c r="K148" s="772" t="n"/>
      <c r="L148" s="772" t="n"/>
      <c r="M148" s="772" t="n"/>
      <c r="N148" s="772" t="n"/>
      <c r="O148" s="772" t="n"/>
      <c r="P148" s="772" t="n"/>
      <c r="Q148" s="772" t="n"/>
      <c r="R148" s="772" t="n"/>
      <c r="S148" s="772" t="n"/>
      <c r="T148" s="772" t="n"/>
      <c r="U148" s="772" t="n"/>
      <c r="V148" s="772" t="n"/>
      <c r="W148" s="772" t="n"/>
      <c r="X148" s="772" t="n"/>
      <c r="Y148" s="772" t="n"/>
      <c r="Z148" s="772" t="n"/>
      <c r="AA148" s="772" t="n"/>
      <c r="AB148" s="772" t="n"/>
      <c r="AC148" s="731" t="n"/>
      <c r="AD148" s="731" t="n"/>
      <c r="AE148" s="731" t="n"/>
    </row>
    <row r="149">
      <c r="A149" s="772" t="n"/>
      <c r="B149" s="772" t="n"/>
      <c r="C149" s="772" t="n"/>
      <c r="D149" s="772" t="n"/>
      <c r="E149" s="772" t="n"/>
      <c r="F149" s="772" t="n"/>
      <c r="G149" s="772" t="n"/>
      <c r="H149" s="772" t="n"/>
      <c r="I149" s="772" t="n"/>
      <c r="J149" s="772" t="n"/>
      <c r="K149" s="772" t="n"/>
      <c r="L149" s="772" t="n"/>
      <c r="M149" s="772" t="n"/>
      <c r="N149" s="772" t="n"/>
      <c r="O149" s="772" t="n"/>
      <c r="P149" s="772" t="n"/>
      <c r="Q149" s="772" t="n"/>
      <c r="R149" s="772" t="n"/>
      <c r="S149" s="772" t="n"/>
      <c r="T149" s="772" t="n"/>
      <c r="U149" s="772" t="n"/>
      <c r="V149" s="772" t="n"/>
      <c r="W149" s="772" t="n"/>
      <c r="X149" s="772" t="n"/>
      <c r="Y149" s="772" t="n"/>
      <c r="Z149" s="772" t="n"/>
      <c r="AA149" s="772" t="n"/>
      <c r="AB149" s="772" t="n"/>
      <c r="AC149" s="731" t="n"/>
      <c r="AD149" s="731" t="n"/>
      <c r="AE149" s="731" t="n"/>
    </row>
    <row r="150">
      <c r="A150" s="772" t="n"/>
      <c r="B150" s="772" t="n"/>
      <c r="C150" s="772" t="n"/>
      <c r="D150" s="772" t="n"/>
      <c r="E150" s="772" t="n"/>
      <c r="F150" s="772" t="n"/>
      <c r="G150" s="772" t="n"/>
      <c r="H150" s="772" t="n"/>
      <c r="I150" s="772" t="n"/>
      <c r="J150" s="772" t="n"/>
      <c r="K150" s="772" t="n"/>
      <c r="L150" s="772" t="n"/>
      <c r="M150" s="772" t="n"/>
      <c r="N150" s="772" t="n"/>
      <c r="O150" s="772" t="n"/>
      <c r="P150" s="772" t="n"/>
      <c r="Q150" s="772" t="n"/>
      <c r="R150" s="772" t="n"/>
      <c r="S150" s="772" t="n"/>
      <c r="T150" s="772" t="n"/>
      <c r="U150" s="772" t="n"/>
      <c r="V150" s="772" t="n"/>
      <c r="W150" s="772" t="n"/>
      <c r="X150" s="772" t="n"/>
      <c r="Y150" s="772" t="n"/>
      <c r="Z150" s="772" t="n"/>
      <c r="AA150" s="772" t="n"/>
      <c r="AB150" s="772" t="n"/>
      <c r="AC150" s="731" t="n"/>
      <c r="AD150" s="731" t="n"/>
      <c r="AE150" s="731" t="n"/>
    </row>
    <row r="151">
      <c r="A151" s="772" t="n"/>
      <c r="B151" s="772" t="n"/>
      <c r="C151" s="772" t="n"/>
      <c r="D151" s="772" t="n"/>
      <c r="E151" s="772" t="n"/>
      <c r="F151" s="772" t="n"/>
      <c r="G151" s="772" t="n"/>
      <c r="H151" s="772" t="n"/>
      <c r="I151" s="772" t="n"/>
      <c r="J151" s="772" t="n"/>
      <c r="K151" s="772" t="n"/>
      <c r="L151" s="772" t="n"/>
      <c r="M151" s="772" t="n"/>
      <c r="N151" s="772" t="n"/>
      <c r="O151" s="772" t="n"/>
      <c r="P151" s="772" t="n"/>
      <c r="Q151" s="772" t="n"/>
      <c r="R151" s="772" t="n"/>
      <c r="S151" s="772" t="n"/>
      <c r="T151" s="772" t="n"/>
      <c r="U151" s="772" t="n"/>
      <c r="V151" s="772" t="n"/>
      <c r="W151" s="772" t="n"/>
      <c r="X151" s="772" t="n"/>
      <c r="Y151" s="772" t="n"/>
      <c r="Z151" s="772" t="n"/>
      <c r="AA151" s="772" t="n"/>
      <c r="AB151" s="772" t="n"/>
      <c r="AC151" s="731" t="n"/>
      <c r="AD151" s="731" t="n"/>
      <c r="AE151" s="731" t="n"/>
    </row>
    <row r="152">
      <c r="A152" s="772" t="n"/>
      <c r="B152" s="772" t="n"/>
      <c r="C152" s="772" t="n"/>
      <c r="D152" s="772" t="n"/>
      <c r="E152" s="772" t="n"/>
      <c r="F152" s="772" t="n"/>
      <c r="G152" s="772" t="n"/>
      <c r="H152" s="772" t="n"/>
      <c r="I152" s="772" t="n"/>
      <c r="J152" s="772" t="n"/>
      <c r="K152" s="772" t="n"/>
      <c r="L152" s="772" t="n"/>
      <c r="M152" s="772" t="n"/>
      <c r="N152" s="772" t="n"/>
      <c r="O152" s="772" t="n"/>
      <c r="P152" s="772" t="n"/>
      <c r="Q152" s="772" t="n"/>
      <c r="R152" s="772" t="n"/>
      <c r="S152" s="772" t="n"/>
      <c r="T152" s="772" t="n"/>
      <c r="U152" s="772" t="n"/>
      <c r="V152" s="772" t="n"/>
      <c r="W152" s="772" t="n"/>
      <c r="X152" s="772" t="n"/>
      <c r="Y152" s="772" t="n"/>
      <c r="Z152" s="772" t="n"/>
      <c r="AA152" s="772" t="n"/>
      <c r="AB152" s="772" t="n"/>
      <c r="AC152" s="731" t="n"/>
      <c r="AD152" s="731" t="n"/>
      <c r="AE152" s="731" t="n"/>
    </row>
    <row r="153">
      <c r="A153" s="772" t="n"/>
      <c r="B153" s="772" t="n"/>
      <c r="C153" s="772" t="n"/>
      <c r="D153" s="772" t="n"/>
      <c r="E153" s="772" t="n"/>
      <c r="F153" s="772" t="n"/>
      <c r="G153" s="772" t="n"/>
      <c r="H153" s="772" t="n"/>
      <c r="I153" s="772" t="n"/>
      <c r="J153" s="772" t="n"/>
      <c r="K153" s="772" t="n"/>
      <c r="L153" s="772" t="n"/>
      <c r="M153" s="772" t="n"/>
      <c r="N153" s="772" t="n"/>
      <c r="O153" s="772" t="n"/>
      <c r="P153" s="772" t="n"/>
      <c r="Q153" s="772" t="n"/>
      <c r="R153" s="772" t="n"/>
      <c r="S153" s="772" t="n"/>
      <c r="T153" s="772" t="n"/>
      <c r="U153" s="772" t="n"/>
      <c r="V153" s="772" t="n"/>
      <c r="W153" s="772" t="n"/>
      <c r="X153" s="772" t="n"/>
      <c r="Y153" s="772" t="n"/>
      <c r="Z153" s="772" t="n"/>
      <c r="AA153" s="772" t="n"/>
      <c r="AB153" s="772" t="n"/>
      <c r="AC153" s="731" t="n"/>
      <c r="AD153" s="731" t="n"/>
      <c r="AE153" s="731" t="n"/>
    </row>
    <row r="154">
      <c r="A154" s="772" t="n"/>
      <c r="B154" s="772" t="n"/>
      <c r="C154" s="772" t="n"/>
      <c r="D154" s="772" t="n"/>
      <c r="E154" s="772" t="n"/>
      <c r="F154" s="772" t="n"/>
      <c r="G154" s="772" t="n"/>
      <c r="H154" s="772" t="n"/>
      <c r="I154" s="772" t="n"/>
      <c r="J154" s="772" t="n"/>
      <c r="K154" s="772" t="n"/>
      <c r="L154" s="772" t="n"/>
      <c r="M154" s="772" t="n"/>
      <c r="N154" s="772" t="n"/>
      <c r="O154" s="772" t="n"/>
      <c r="P154" s="772" t="n"/>
      <c r="Q154" s="772" t="n"/>
      <c r="R154" s="772" t="n"/>
      <c r="S154" s="772" t="n"/>
      <c r="T154" s="772" t="n"/>
      <c r="U154" s="772" t="n"/>
      <c r="V154" s="772" t="n"/>
      <c r="W154" s="772" t="n"/>
      <c r="X154" s="772" t="n"/>
      <c r="Y154" s="772" t="n"/>
      <c r="Z154" s="772" t="n"/>
      <c r="AA154" s="772" t="n"/>
      <c r="AB154" s="772" t="n"/>
      <c r="AC154" s="731" t="n"/>
      <c r="AD154" s="731" t="n"/>
      <c r="AE154" s="731" t="n"/>
    </row>
    <row r="155">
      <c r="A155" s="772" t="n"/>
      <c r="B155" s="772" t="n"/>
      <c r="C155" s="772" t="n"/>
      <c r="D155" s="772" t="n"/>
      <c r="E155" s="772" t="n"/>
      <c r="F155" s="772" t="n"/>
      <c r="G155" s="772" t="n"/>
      <c r="H155" s="772" t="n"/>
      <c r="I155" s="772" t="n"/>
      <c r="J155" s="772" t="n"/>
      <c r="K155" s="772" t="n"/>
      <c r="L155" s="772" t="n"/>
      <c r="M155" s="772" t="n"/>
      <c r="N155" s="772" t="n"/>
      <c r="O155" s="772" t="n"/>
      <c r="P155" s="772" t="n"/>
      <c r="Q155" s="772" t="n"/>
      <c r="R155" s="772" t="n"/>
      <c r="S155" s="772" t="n"/>
      <c r="T155" s="772" t="n"/>
      <c r="U155" s="772" t="n"/>
      <c r="V155" s="772" t="n"/>
      <c r="W155" s="772" t="n"/>
      <c r="X155" s="772" t="n"/>
      <c r="Y155" s="772" t="n"/>
      <c r="Z155" s="772" t="n"/>
      <c r="AA155" s="772" t="n"/>
      <c r="AB155" s="772" t="n"/>
      <c r="AC155" s="731" t="n"/>
      <c r="AD155" s="731" t="n"/>
      <c r="AE155" s="731" t="n"/>
    </row>
    <row r="156">
      <c r="A156" s="772" t="n"/>
      <c r="B156" s="772" t="n"/>
      <c r="C156" s="772" t="n"/>
      <c r="D156" s="772" t="n"/>
      <c r="E156" s="772" t="n"/>
      <c r="F156" s="772" t="n"/>
      <c r="G156" s="772" t="n"/>
      <c r="H156" s="772" t="n"/>
      <c r="I156" s="772" t="n"/>
      <c r="J156" s="772" t="n"/>
      <c r="K156" s="772" t="n"/>
      <c r="L156" s="772" t="n"/>
      <c r="M156" s="772" t="n"/>
      <c r="N156" s="772" t="n"/>
      <c r="O156" s="772" t="n"/>
      <c r="P156" s="772" t="n"/>
      <c r="Q156" s="772" t="n"/>
      <c r="R156" s="772" t="n"/>
      <c r="S156" s="772" t="n"/>
      <c r="T156" s="772" t="n"/>
      <c r="U156" s="772" t="n"/>
      <c r="V156" s="772" t="n"/>
      <c r="W156" s="772" t="n"/>
      <c r="X156" s="772" t="n"/>
      <c r="Y156" s="772" t="n"/>
      <c r="Z156" s="772" t="n"/>
      <c r="AA156" s="772" t="n"/>
      <c r="AB156" s="772" t="n"/>
      <c r="AC156" s="731" t="n"/>
      <c r="AD156" s="731" t="n"/>
      <c r="AE156" s="731" t="n"/>
    </row>
    <row r="157">
      <c r="A157" s="772" t="n"/>
      <c r="B157" s="772" t="n"/>
      <c r="C157" s="772" t="n"/>
      <c r="D157" s="772" t="n"/>
      <c r="E157" s="772" t="n"/>
      <c r="F157" s="772" t="n"/>
      <c r="G157" s="772" t="n"/>
      <c r="H157" s="772" t="n"/>
      <c r="I157" s="772" t="n"/>
      <c r="J157" s="772" t="n"/>
      <c r="K157" s="772" t="n"/>
      <c r="L157" s="772" t="n"/>
      <c r="M157" s="772" t="n"/>
      <c r="N157" s="772" t="n"/>
      <c r="O157" s="772" t="n"/>
      <c r="P157" s="772" t="n"/>
      <c r="Q157" s="772" t="n"/>
      <c r="R157" s="772" t="n"/>
      <c r="S157" s="772" t="n"/>
      <c r="T157" s="772" t="n"/>
      <c r="U157" s="772" t="n"/>
      <c r="V157" s="772" t="n"/>
      <c r="W157" s="772" t="n"/>
      <c r="X157" s="772" t="n"/>
      <c r="Y157" s="772" t="n"/>
      <c r="Z157" s="772" t="n"/>
      <c r="AA157" s="772" t="n"/>
      <c r="AB157" s="772" t="n"/>
      <c r="AC157" s="731" t="n"/>
      <c r="AD157" s="731" t="n"/>
      <c r="AE157" s="731" t="n"/>
    </row>
    <row r="158">
      <c r="A158" s="772" t="n"/>
      <c r="B158" s="772" t="n"/>
      <c r="C158" s="772" t="n"/>
      <c r="D158" s="772" t="n"/>
      <c r="E158" s="772" t="n"/>
      <c r="F158" s="772" t="n"/>
      <c r="G158" s="772" t="n"/>
      <c r="H158" s="772" t="n"/>
      <c r="I158" s="772" t="n"/>
      <c r="J158" s="772" t="n"/>
      <c r="K158" s="772" t="n"/>
      <c r="L158" s="772" t="n"/>
      <c r="M158" s="772" t="n"/>
      <c r="N158" s="772" t="n"/>
      <c r="O158" s="772" t="n"/>
      <c r="P158" s="772" t="n"/>
      <c r="Q158" s="772" t="n"/>
      <c r="R158" s="772" t="n"/>
      <c r="S158" s="772" t="n"/>
      <c r="T158" s="772" t="n"/>
      <c r="U158" s="772" t="n"/>
      <c r="V158" s="772" t="n"/>
      <c r="W158" s="772" t="n"/>
      <c r="X158" s="772" t="n"/>
      <c r="Y158" s="772" t="n"/>
      <c r="Z158" s="772" t="n"/>
      <c r="AA158" s="772" t="n"/>
      <c r="AB158" s="772" t="n"/>
      <c r="AC158" s="731" t="n"/>
      <c r="AD158" s="731" t="n"/>
      <c r="AE158" s="731" t="n"/>
    </row>
    <row r="159">
      <c r="A159" s="772" t="n"/>
      <c r="B159" s="772" t="n"/>
      <c r="C159" s="772" t="n"/>
      <c r="D159" s="772" t="n"/>
      <c r="E159" s="772" t="n"/>
      <c r="F159" s="772" t="n"/>
      <c r="G159" s="772" t="n"/>
      <c r="H159" s="772" t="n"/>
      <c r="I159" s="772" t="n"/>
      <c r="J159" s="772" t="n"/>
      <c r="K159" s="772" t="n"/>
      <c r="L159" s="772" t="n"/>
      <c r="M159" s="772" t="n"/>
      <c r="N159" s="772" t="n"/>
      <c r="O159" s="772" t="n"/>
      <c r="P159" s="772" t="n"/>
      <c r="Q159" s="772" t="n"/>
      <c r="R159" s="772" t="n"/>
      <c r="S159" s="772" t="n"/>
      <c r="T159" s="772" t="n"/>
      <c r="U159" s="772" t="n"/>
      <c r="V159" s="772" t="n"/>
      <c r="W159" s="772" t="n"/>
      <c r="X159" s="772" t="n"/>
      <c r="Y159" s="772" t="n"/>
      <c r="Z159" s="772" t="n"/>
      <c r="AA159" s="772" t="n"/>
      <c r="AB159" s="772" t="n"/>
      <c r="AC159" s="731" t="n"/>
      <c r="AD159" s="731" t="n"/>
      <c r="AE159" s="731" t="n"/>
    </row>
    <row r="160">
      <c r="A160" s="772" t="n"/>
      <c r="B160" s="772" t="n"/>
      <c r="C160" s="772" t="n"/>
      <c r="D160" s="772" t="n"/>
      <c r="E160" s="772" t="n"/>
      <c r="F160" s="772" t="n"/>
      <c r="G160" s="772" t="n"/>
      <c r="H160" s="772" t="n"/>
      <c r="I160" s="772" t="n"/>
      <c r="J160" s="772" t="n"/>
      <c r="K160" s="772" t="n"/>
      <c r="L160" s="772" t="n"/>
      <c r="M160" s="772" t="n"/>
      <c r="N160" s="772" t="n"/>
      <c r="O160" s="772" t="n"/>
      <c r="P160" s="772" t="n"/>
      <c r="Q160" s="772" t="n"/>
      <c r="R160" s="772" t="n"/>
      <c r="S160" s="772" t="n"/>
      <c r="T160" s="772" t="n"/>
      <c r="U160" s="772" t="n"/>
      <c r="V160" s="772" t="n"/>
      <c r="W160" s="772" t="n"/>
      <c r="X160" s="772" t="n"/>
      <c r="Y160" s="772" t="n"/>
      <c r="Z160" s="772" t="n"/>
      <c r="AA160" s="772" t="n"/>
      <c r="AB160" s="772" t="n"/>
      <c r="AC160" s="731" t="n"/>
      <c r="AD160" s="731" t="n"/>
      <c r="AE160" s="731" t="n"/>
    </row>
    <row r="161">
      <c r="A161" s="772" t="n"/>
      <c r="B161" s="772" t="n"/>
      <c r="C161" s="772" t="n"/>
      <c r="D161" s="772" t="n"/>
      <c r="E161" s="772" t="n"/>
      <c r="F161" s="772" t="n"/>
      <c r="G161" s="772" t="n"/>
      <c r="H161" s="772" t="n"/>
      <c r="I161" s="772" t="n"/>
      <c r="J161" s="772" t="n"/>
      <c r="K161" s="772" t="n"/>
      <c r="L161" s="772" t="n"/>
      <c r="M161" s="772" t="n"/>
      <c r="N161" s="772" t="n"/>
      <c r="O161" s="772" t="n"/>
      <c r="P161" s="772" t="n"/>
      <c r="Q161" s="772" t="n"/>
      <c r="R161" s="772" t="n"/>
      <c r="S161" s="772" t="n"/>
      <c r="T161" s="772" t="n"/>
      <c r="U161" s="772" t="n"/>
      <c r="V161" s="772" t="n"/>
      <c r="W161" s="772" t="n"/>
      <c r="X161" s="772" t="n"/>
      <c r="Y161" s="772" t="n"/>
      <c r="Z161" s="772" t="n"/>
      <c r="AA161" s="772" t="n"/>
      <c r="AB161" s="772" t="n"/>
      <c r="AC161" s="731" t="n"/>
      <c r="AD161" s="731" t="n"/>
      <c r="AE161" s="731" t="n"/>
    </row>
    <row r="162">
      <c r="A162" s="772" t="n"/>
      <c r="B162" s="772" t="n"/>
      <c r="C162" s="772" t="n"/>
      <c r="D162" s="772" t="n"/>
      <c r="E162" s="772" t="n"/>
      <c r="F162" s="772" t="n"/>
      <c r="G162" s="772" t="n"/>
      <c r="H162" s="772" t="n"/>
      <c r="I162" s="772" t="n"/>
      <c r="J162" s="772" t="n"/>
      <c r="K162" s="772" t="n"/>
      <c r="L162" s="772" t="n"/>
      <c r="M162" s="772" t="n"/>
      <c r="N162" s="772" t="n"/>
      <c r="O162" s="772" t="n"/>
      <c r="P162" s="772" t="n"/>
      <c r="Q162" s="772" t="n"/>
      <c r="R162" s="772" t="n"/>
      <c r="S162" s="772" t="n"/>
      <c r="T162" s="772" t="n"/>
      <c r="U162" s="772" t="n"/>
      <c r="V162" s="772" t="n"/>
      <c r="W162" s="772" t="n"/>
      <c r="X162" s="772" t="n"/>
      <c r="Y162" s="772" t="n"/>
      <c r="Z162" s="772" t="n"/>
      <c r="AA162" s="772" t="n"/>
      <c r="AB162" s="772" t="n"/>
      <c r="AC162" s="731" t="n"/>
      <c r="AD162" s="731" t="n"/>
      <c r="AE162" s="731" t="n"/>
    </row>
    <row r="163">
      <c r="A163" s="772" t="n"/>
      <c r="B163" s="772" t="n"/>
      <c r="C163" s="772" t="n"/>
      <c r="D163" s="772" t="n"/>
      <c r="E163" s="772" t="n"/>
      <c r="F163" s="772" t="n"/>
      <c r="G163" s="772" t="n"/>
      <c r="H163" s="772" t="n"/>
      <c r="I163" s="772" t="n"/>
      <c r="J163" s="772" t="n"/>
      <c r="K163" s="772" t="n"/>
      <c r="L163" s="772" t="n"/>
      <c r="M163" s="772" t="n"/>
      <c r="N163" s="772" t="n"/>
      <c r="O163" s="772" t="n"/>
      <c r="P163" s="772" t="n"/>
      <c r="Q163" s="772" t="n"/>
      <c r="R163" s="772" t="n"/>
      <c r="S163" s="772" t="n"/>
      <c r="T163" s="772" t="n"/>
      <c r="U163" s="772" t="n"/>
      <c r="V163" s="772" t="n"/>
      <c r="W163" s="772" t="n"/>
      <c r="X163" s="772" t="n"/>
      <c r="Y163" s="772" t="n"/>
      <c r="Z163" s="772" t="n"/>
      <c r="AA163" s="772" t="n"/>
      <c r="AB163" s="772" t="n"/>
      <c r="AC163" s="731" t="n"/>
      <c r="AD163" s="731" t="n"/>
      <c r="AE163" s="731" t="n"/>
    </row>
    <row r="164">
      <c r="A164" s="772" t="n"/>
      <c r="B164" s="772" t="n"/>
      <c r="C164" s="772" t="n"/>
      <c r="D164" s="772" t="n"/>
      <c r="E164" s="772" t="n"/>
      <c r="F164" s="772" t="n"/>
      <c r="G164" s="772" t="n"/>
      <c r="H164" s="772" t="n"/>
      <c r="I164" s="772" t="n"/>
      <c r="J164" s="772" t="n"/>
      <c r="K164" s="772" t="n"/>
      <c r="L164" s="772" t="n"/>
      <c r="M164" s="772" t="n"/>
      <c r="N164" s="772" t="n"/>
      <c r="O164" s="772" t="n"/>
      <c r="P164" s="772" t="n"/>
      <c r="Q164" s="772" t="n"/>
      <c r="R164" s="772" t="n"/>
      <c r="S164" s="772" t="n"/>
      <c r="T164" s="772" t="n"/>
      <c r="U164" s="772" t="n"/>
      <c r="V164" s="772" t="n"/>
      <c r="W164" s="772" t="n"/>
      <c r="X164" s="772" t="n"/>
      <c r="Y164" s="772" t="n"/>
      <c r="Z164" s="772" t="n"/>
      <c r="AA164" s="772" t="n"/>
      <c r="AB164" s="772" t="n"/>
      <c r="AC164" s="731" t="n"/>
      <c r="AD164" s="731" t="n"/>
      <c r="AE164" s="731" t="n"/>
    </row>
    <row r="165">
      <c r="A165" s="772" t="n"/>
      <c r="B165" s="772" t="n"/>
      <c r="C165" s="772" t="n"/>
      <c r="D165" s="772" t="n"/>
      <c r="E165" s="772" t="n"/>
      <c r="F165" s="772" t="n"/>
      <c r="G165" s="772" t="n"/>
      <c r="H165" s="772" t="n"/>
      <c r="I165" s="772" t="n"/>
      <c r="J165" s="772" t="n"/>
      <c r="K165" s="772" t="n"/>
      <c r="L165" s="772" t="n"/>
      <c r="M165" s="772" t="n"/>
      <c r="N165" s="772" t="n"/>
      <c r="O165" s="772" t="n"/>
      <c r="P165" s="772" t="n"/>
      <c r="Q165" s="772" t="n"/>
      <c r="R165" s="772" t="n"/>
      <c r="S165" s="772" t="n"/>
      <c r="T165" s="772" t="n"/>
      <c r="U165" s="772" t="n"/>
      <c r="V165" s="772" t="n"/>
      <c r="W165" s="772" t="n"/>
      <c r="X165" s="772" t="n"/>
      <c r="Y165" s="772" t="n"/>
      <c r="Z165" s="772" t="n"/>
      <c r="AA165" s="772" t="n"/>
      <c r="AB165" s="772" t="n"/>
      <c r="AC165" s="731" t="n"/>
      <c r="AD165" s="731" t="n"/>
      <c r="AE165" s="731" t="n"/>
    </row>
    <row r="166">
      <c r="A166" s="772" t="n"/>
      <c r="B166" s="772" t="n"/>
      <c r="C166" s="772" t="n"/>
      <c r="D166" s="772" t="n"/>
      <c r="E166" s="772" t="n"/>
      <c r="F166" s="772" t="n"/>
      <c r="G166" s="772" t="n"/>
      <c r="H166" s="772" t="n"/>
      <c r="I166" s="772" t="n"/>
      <c r="J166" s="772" t="n"/>
      <c r="K166" s="772" t="n"/>
      <c r="L166" s="772" t="n"/>
      <c r="M166" s="772" t="n"/>
      <c r="N166" s="772" t="n"/>
      <c r="O166" s="772" t="n"/>
      <c r="P166" s="772" t="n"/>
      <c r="Q166" s="772" t="n"/>
      <c r="R166" s="772" t="n"/>
      <c r="S166" s="772" t="n"/>
      <c r="T166" s="772" t="n"/>
      <c r="U166" s="772" t="n"/>
      <c r="V166" s="772" t="n"/>
      <c r="W166" s="772" t="n"/>
      <c r="X166" s="772" t="n"/>
      <c r="Y166" s="772" t="n"/>
      <c r="Z166" s="772" t="n"/>
      <c r="AA166" s="772" t="n"/>
      <c r="AB166" s="772" t="n"/>
      <c r="AC166" s="731" t="n"/>
      <c r="AD166" s="731" t="n"/>
      <c r="AE166" s="731" t="n"/>
    </row>
    <row r="167">
      <c r="A167" s="772" t="n"/>
      <c r="B167" s="772" t="n"/>
      <c r="C167" s="772" t="n"/>
      <c r="D167" s="772" t="n"/>
      <c r="E167" s="772" t="n"/>
      <c r="F167" s="772" t="n"/>
      <c r="G167" s="772" t="n"/>
      <c r="H167" s="772" t="n"/>
      <c r="I167" s="772" t="n"/>
      <c r="J167" s="772" t="n"/>
      <c r="K167" s="772" t="n"/>
      <c r="L167" s="772" t="n"/>
      <c r="M167" s="772" t="n"/>
      <c r="N167" s="772" t="n"/>
      <c r="O167" s="772" t="n"/>
      <c r="P167" s="772" t="n"/>
      <c r="Q167" s="772" t="n"/>
      <c r="R167" s="772" t="n"/>
      <c r="S167" s="772" t="n"/>
      <c r="T167" s="772" t="n"/>
      <c r="U167" s="772" t="n"/>
      <c r="V167" s="772" t="n"/>
      <c r="W167" s="772" t="n"/>
      <c r="X167" s="772" t="n"/>
      <c r="Y167" s="772" t="n"/>
      <c r="Z167" s="772" t="n"/>
      <c r="AA167" s="772" t="n"/>
      <c r="AB167" s="772" t="n"/>
      <c r="AC167" s="731" t="n"/>
      <c r="AD167" s="731" t="n"/>
      <c r="AE167" s="731" t="n"/>
    </row>
    <row r="168">
      <c r="A168" s="772" t="n"/>
      <c r="B168" s="772" t="n"/>
      <c r="C168" s="772" t="n"/>
      <c r="D168" s="772" t="n"/>
      <c r="E168" s="772" t="n"/>
      <c r="F168" s="772" t="n"/>
      <c r="G168" s="772" t="n"/>
      <c r="H168" s="772" t="n"/>
      <c r="I168" s="772" t="n"/>
      <c r="J168" s="772" t="n"/>
      <c r="K168" s="772" t="n"/>
      <c r="L168" s="772" t="n"/>
      <c r="M168" s="772" t="n"/>
      <c r="N168" s="772" t="n"/>
      <c r="O168" s="772" t="n"/>
      <c r="P168" s="772" t="n"/>
      <c r="Q168" s="772" t="n"/>
      <c r="R168" s="772" t="n"/>
      <c r="S168" s="772" t="n"/>
      <c r="T168" s="772" t="n"/>
      <c r="U168" s="772" t="n"/>
      <c r="V168" s="772" t="n"/>
      <c r="W168" s="772" t="n"/>
      <c r="X168" s="772" t="n"/>
      <c r="Y168" s="772" t="n"/>
      <c r="Z168" s="772" t="n"/>
      <c r="AA168" s="772" t="n"/>
      <c r="AB168" s="772" t="n"/>
      <c r="AC168" s="731" t="n"/>
      <c r="AD168" s="731" t="n"/>
      <c r="AE168" s="731" t="n"/>
    </row>
    <row r="169">
      <c r="A169" s="772" t="n"/>
      <c r="B169" s="772" t="n"/>
      <c r="C169" s="772" t="n"/>
      <c r="D169" s="772" t="n"/>
      <c r="E169" s="772" t="n"/>
      <c r="F169" s="772" t="n"/>
      <c r="G169" s="772" t="n"/>
      <c r="H169" s="772" t="n"/>
      <c r="I169" s="772" t="n"/>
      <c r="J169" s="772" t="n"/>
      <c r="K169" s="772" t="n"/>
      <c r="L169" s="772" t="n"/>
      <c r="M169" s="772" t="n"/>
      <c r="N169" s="772" t="n"/>
      <c r="O169" s="772" t="n"/>
      <c r="P169" s="772" t="n"/>
      <c r="Q169" s="772" t="n"/>
      <c r="R169" s="772" t="n"/>
      <c r="S169" s="772" t="n"/>
      <c r="T169" s="772" t="n"/>
      <c r="U169" s="772" t="n"/>
      <c r="V169" s="772" t="n"/>
      <c r="W169" s="772" t="n"/>
      <c r="X169" s="772" t="n"/>
      <c r="Y169" s="772" t="n"/>
      <c r="Z169" s="772" t="n"/>
      <c r="AA169" s="772" t="n"/>
      <c r="AB169" s="772" t="n"/>
      <c r="AC169" s="731" t="n"/>
      <c r="AD169" s="731" t="n"/>
      <c r="AE169" s="731" t="n"/>
    </row>
    <row r="170">
      <c r="A170" s="772" t="n"/>
      <c r="B170" s="772" t="n"/>
      <c r="C170" s="772" t="n"/>
      <c r="D170" s="772" t="n"/>
      <c r="E170" s="772" t="n"/>
      <c r="F170" s="772" t="n"/>
      <c r="G170" s="772" t="n"/>
      <c r="H170" s="772" t="n"/>
      <c r="I170" s="772" t="n"/>
      <c r="J170" s="772" t="n"/>
      <c r="K170" s="772" t="n"/>
      <c r="L170" s="772" t="n"/>
      <c r="M170" s="772" t="n"/>
      <c r="N170" s="772" t="n"/>
      <c r="O170" s="772" t="n"/>
      <c r="P170" s="772" t="n"/>
      <c r="Q170" s="772" t="n"/>
      <c r="R170" s="772" t="n"/>
      <c r="S170" s="772" t="n"/>
      <c r="T170" s="772" t="n"/>
      <c r="U170" s="772" t="n"/>
      <c r="V170" s="772" t="n"/>
      <c r="W170" s="772" t="n"/>
      <c r="X170" s="772" t="n"/>
      <c r="Y170" s="772" t="n"/>
      <c r="Z170" s="772" t="n"/>
      <c r="AA170" s="772" t="n"/>
      <c r="AB170" s="772" t="n"/>
      <c r="AC170" s="731" t="n"/>
      <c r="AD170" s="731" t="n"/>
      <c r="AE170" s="731" t="n"/>
    </row>
    <row r="171">
      <c r="A171" s="772" t="n"/>
      <c r="B171" s="772" t="n"/>
      <c r="C171" s="772" t="n"/>
      <c r="D171" s="772" t="n"/>
      <c r="E171" s="772" t="n"/>
      <c r="F171" s="772" t="n"/>
      <c r="G171" s="772" t="n"/>
      <c r="H171" s="772" t="n"/>
      <c r="I171" s="772" t="n"/>
      <c r="J171" s="772" t="n"/>
      <c r="K171" s="772" t="n"/>
      <c r="L171" s="772" t="n"/>
      <c r="M171" s="772" t="n"/>
      <c r="N171" s="772" t="n"/>
      <c r="O171" s="772" t="n"/>
      <c r="P171" s="772" t="n"/>
      <c r="Q171" s="772" t="n"/>
      <c r="R171" s="772" t="n"/>
      <c r="S171" s="772" t="n"/>
      <c r="T171" s="772" t="n"/>
      <c r="U171" s="772" t="n"/>
      <c r="V171" s="772" t="n"/>
      <c r="W171" s="772" t="n"/>
      <c r="X171" s="772" t="n"/>
      <c r="Y171" s="772" t="n"/>
      <c r="Z171" s="772" t="n"/>
      <c r="AA171" s="772" t="n"/>
      <c r="AB171" s="772" t="n"/>
      <c r="AC171" s="731" t="n"/>
      <c r="AD171" s="731" t="n"/>
      <c r="AE171" s="731" t="n"/>
    </row>
    <row r="172">
      <c r="A172" s="772" t="n"/>
      <c r="B172" s="772" t="n"/>
      <c r="C172" s="772" t="n"/>
      <c r="D172" s="772" t="n"/>
      <c r="E172" s="772" t="n"/>
      <c r="F172" s="772" t="n"/>
      <c r="G172" s="772" t="n"/>
      <c r="H172" s="772" t="n"/>
      <c r="I172" s="772" t="n"/>
      <c r="J172" s="772" t="n"/>
      <c r="K172" s="772" t="n"/>
      <c r="L172" s="772" t="n"/>
      <c r="M172" s="772" t="n"/>
      <c r="N172" s="772" t="n"/>
      <c r="O172" s="772" t="n"/>
      <c r="P172" s="772" t="n"/>
      <c r="Q172" s="772" t="n"/>
      <c r="R172" s="772" t="n"/>
      <c r="S172" s="772" t="n"/>
      <c r="T172" s="772" t="n"/>
      <c r="U172" s="772" t="n"/>
      <c r="V172" s="772" t="n"/>
      <c r="W172" s="772" t="n"/>
      <c r="X172" s="772" t="n"/>
      <c r="Y172" s="772" t="n"/>
      <c r="Z172" s="772" t="n"/>
      <c r="AA172" s="772" t="n"/>
      <c r="AB172" s="772" t="n"/>
      <c r="AC172" s="731" t="n"/>
      <c r="AD172" s="731" t="n"/>
      <c r="AE172" s="731" t="n"/>
    </row>
    <row r="173">
      <c r="A173" s="772" t="n"/>
      <c r="B173" s="772" t="n"/>
      <c r="C173" s="772" t="n"/>
      <c r="D173" s="772" t="n"/>
      <c r="E173" s="772" t="n"/>
      <c r="F173" s="772" t="n"/>
      <c r="G173" s="772" t="n"/>
      <c r="H173" s="772" t="n"/>
      <c r="I173" s="772" t="n"/>
      <c r="J173" s="772" t="n"/>
      <c r="K173" s="772" t="n"/>
      <c r="L173" s="772" t="n"/>
      <c r="M173" s="772" t="n"/>
      <c r="N173" s="772" t="n"/>
      <c r="O173" s="772" t="n"/>
      <c r="P173" s="772" t="n"/>
      <c r="Q173" s="772" t="n"/>
      <c r="R173" s="772" t="n"/>
      <c r="S173" s="772" t="n"/>
      <c r="T173" s="772" t="n"/>
      <c r="U173" s="772" t="n"/>
      <c r="V173" s="772" t="n"/>
      <c r="W173" s="772" t="n"/>
      <c r="X173" s="772" t="n"/>
      <c r="Y173" s="772" t="n"/>
      <c r="Z173" s="772" t="n"/>
      <c r="AA173" s="772" t="n"/>
      <c r="AB173" s="772" t="n"/>
      <c r="AC173" s="731" t="n"/>
      <c r="AD173" s="731" t="n"/>
      <c r="AE173" s="731" t="n"/>
    </row>
    <row r="174">
      <c r="A174" s="772" t="n"/>
      <c r="B174" s="772" t="n"/>
      <c r="C174" s="772" t="n"/>
      <c r="D174" s="772" t="n"/>
      <c r="E174" s="772" t="n"/>
      <c r="F174" s="772" t="n"/>
      <c r="G174" s="772" t="n"/>
      <c r="H174" s="772" t="n"/>
      <c r="I174" s="772" t="n"/>
      <c r="J174" s="772" t="n"/>
      <c r="K174" s="772" t="n"/>
      <c r="L174" s="772" t="n"/>
      <c r="M174" s="772" t="n"/>
      <c r="N174" s="772" t="n"/>
      <c r="O174" s="772" t="n"/>
      <c r="P174" s="772" t="n"/>
      <c r="Q174" s="772" t="n"/>
      <c r="R174" s="772" t="n"/>
      <c r="S174" s="772" t="n"/>
      <c r="T174" s="772" t="n"/>
      <c r="U174" s="772" t="n"/>
      <c r="V174" s="772" t="n"/>
      <c r="W174" s="772" t="n"/>
      <c r="X174" s="772" t="n"/>
      <c r="Y174" s="772" t="n"/>
      <c r="Z174" s="772" t="n"/>
      <c r="AA174" s="772" t="n"/>
      <c r="AB174" s="772" t="n"/>
      <c r="AC174" s="731" t="n"/>
      <c r="AD174" s="731" t="n"/>
      <c r="AE174" s="731" t="n"/>
    </row>
    <row r="175">
      <c r="A175" s="772" t="n"/>
      <c r="B175" s="772" t="n"/>
      <c r="C175" s="772" t="n"/>
      <c r="D175" s="772" t="n"/>
      <c r="E175" s="772" t="n"/>
      <c r="F175" s="772" t="n"/>
      <c r="G175" s="772" t="n"/>
      <c r="H175" s="772" t="n"/>
      <c r="I175" s="772" t="n"/>
      <c r="J175" s="772" t="n"/>
      <c r="K175" s="772" t="n"/>
      <c r="L175" s="772" t="n"/>
      <c r="M175" s="772" t="n"/>
      <c r="N175" s="772" t="n"/>
      <c r="O175" s="772" t="n"/>
      <c r="P175" s="772" t="n"/>
      <c r="Q175" s="772" t="n"/>
      <c r="R175" s="772" t="n"/>
      <c r="S175" s="772" t="n"/>
      <c r="T175" s="772" t="n"/>
      <c r="U175" s="772" t="n"/>
      <c r="V175" s="772" t="n"/>
      <c r="W175" s="772" t="n"/>
      <c r="X175" s="772" t="n"/>
      <c r="Y175" s="772" t="n"/>
      <c r="Z175" s="772" t="n"/>
      <c r="AA175" s="772" t="n"/>
      <c r="AB175" s="772" t="n"/>
      <c r="AC175" s="731" t="n"/>
      <c r="AD175" s="731" t="n"/>
      <c r="AE175" s="731" t="n"/>
    </row>
    <row r="176">
      <c r="A176" s="772" t="n"/>
      <c r="B176" s="772" t="n"/>
      <c r="C176" s="772" t="n"/>
      <c r="D176" s="772" t="n"/>
      <c r="E176" s="772" t="n"/>
      <c r="F176" s="772" t="n"/>
      <c r="G176" s="772" t="n"/>
      <c r="H176" s="772" t="n"/>
      <c r="I176" s="772" t="n"/>
      <c r="J176" s="772" t="n"/>
      <c r="K176" s="772" t="n"/>
      <c r="L176" s="772" t="n"/>
      <c r="M176" s="772" t="n"/>
      <c r="N176" s="772" t="n"/>
      <c r="O176" s="772" t="n"/>
      <c r="P176" s="772" t="n"/>
      <c r="Q176" s="772" t="n"/>
      <c r="R176" s="772" t="n"/>
      <c r="S176" s="772" t="n"/>
      <c r="T176" s="772" t="n"/>
      <c r="U176" s="772" t="n"/>
      <c r="V176" s="772" t="n"/>
      <c r="W176" s="772" t="n"/>
      <c r="X176" s="772" t="n"/>
      <c r="Y176" s="772" t="n"/>
      <c r="Z176" s="772" t="n"/>
      <c r="AA176" s="772" t="n"/>
      <c r="AB176" s="772" t="n"/>
      <c r="AC176" s="731" t="n"/>
      <c r="AD176" s="731" t="n"/>
      <c r="AE176" s="731" t="n"/>
    </row>
    <row r="177">
      <c r="A177" s="772" t="n"/>
      <c r="B177" s="772" t="n"/>
      <c r="C177" s="772" t="n"/>
      <c r="D177" s="772" t="n"/>
      <c r="E177" s="772" t="n"/>
      <c r="F177" s="772" t="n"/>
      <c r="G177" s="772" t="n"/>
      <c r="H177" s="772" t="n"/>
      <c r="I177" s="772" t="n"/>
      <c r="J177" s="772" t="n"/>
      <c r="K177" s="772" t="n"/>
      <c r="L177" s="772" t="n"/>
      <c r="M177" s="772" t="n"/>
      <c r="N177" s="772" t="n"/>
      <c r="O177" s="772" t="n"/>
      <c r="P177" s="772" t="n"/>
      <c r="Q177" s="772" t="n"/>
      <c r="R177" s="772" t="n"/>
      <c r="S177" s="772" t="n"/>
      <c r="T177" s="772" t="n"/>
      <c r="U177" s="772" t="n"/>
      <c r="V177" s="772" t="n"/>
      <c r="W177" s="772" t="n"/>
      <c r="X177" s="772" t="n"/>
      <c r="Y177" s="772" t="n"/>
      <c r="Z177" s="772" t="n"/>
      <c r="AA177" s="772" t="n"/>
      <c r="AB177" s="772" t="n"/>
      <c r="AC177" s="731" t="n"/>
      <c r="AD177" s="731" t="n"/>
      <c r="AE177" s="731" t="n"/>
    </row>
    <row r="178">
      <c r="AC178" s="732" t="n"/>
      <c r="AD178" s="732" t="n"/>
      <c r="AE178" s="732" t="n"/>
    </row>
    <row r="179">
      <c r="AC179" s="732" t="n"/>
      <c r="AD179" s="732" t="n"/>
      <c r="AE179" s="732" t="n"/>
    </row>
    <row r="180">
      <c r="AC180" s="732" t="n"/>
      <c r="AD180" s="732" t="n"/>
      <c r="AE180" s="732" t="n"/>
    </row>
    <row r="181">
      <c r="AC181" s="732" t="n"/>
      <c r="AD181" s="732" t="n"/>
      <c r="AE181" s="732" t="n"/>
    </row>
    <row r="182">
      <c r="AC182" s="732" t="n"/>
      <c r="AD182" s="732" t="n"/>
      <c r="AE182" s="732" t="n"/>
    </row>
    <row r="183">
      <c r="AC183" s="732" t="n"/>
      <c r="AD183" s="732" t="n"/>
      <c r="AE183" s="732" t="n"/>
    </row>
    <row r="184">
      <c r="AC184" s="732" t="n"/>
      <c r="AD184" s="732" t="n"/>
      <c r="AE184" s="732" t="n"/>
    </row>
    <row r="185">
      <c r="AC185" s="732" t="n"/>
      <c r="AD185" s="732" t="n"/>
      <c r="AE185" s="732" t="n"/>
    </row>
    <row r="186">
      <c r="AC186" s="732" t="n"/>
      <c r="AD186" s="732" t="n"/>
      <c r="AE186" s="732" t="n"/>
    </row>
    <row r="187">
      <c r="AC187" s="732" t="n"/>
      <c r="AD187" s="732" t="n"/>
      <c r="AE187" s="732" t="n"/>
    </row>
    <row r="188">
      <c r="AC188" s="732" t="n"/>
      <c r="AD188" s="732" t="n"/>
      <c r="AE188" s="732" t="n"/>
    </row>
    <row r="189">
      <c r="AC189" s="732" t="n"/>
      <c r="AD189" s="732" t="n"/>
      <c r="AE189" s="732" t="n"/>
    </row>
    <row r="190">
      <c r="AC190" s="732" t="n"/>
      <c r="AD190" s="732" t="n"/>
      <c r="AE190" s="732" t="n"/>
    </row>
    <row r="191">
      <c r="AC191" s="732" t="n"/>
      <c r="AD191" s="732" t="n"/>
      <c r="AE191" s="732" t="n"/>
    </row>
    <row r="192">
      <c r="AC192" s="732" t="n"/>
      <c r="AD192" s="732" t="n"/>
      <c r="AE192" s="732" t="n"/>
    </row>
    <row r="193">
      <c r="AC193" s="732" t="n"/>
      <c r="AD193" s="732" t="n"/>
      <c r="AE193" s="732" t="n"/>
    </row>
    <row r="194">
      <c r="AC194" s="732" t="n"/>
      <c r="AD194" s="732" t="n"/>
      <c r="AE194" s="732" t="n"/>
    </row>
    <row r="195">
      <c r="AC195" s="732" t="n"/>
      <c r="AD195" s="732" t="n"/>
      <c r="AE195" s="732" t="n"/>
    </row>
    <row r="196">
      <c r="AC196" s="732" t="n"/>
      <c r="AD196" s="732" t="n"/>
      <c r="AE196" s="732" t="n"/>
    </row>
    <row r="197">
      <c r="AC197" s="732" t="n"/>
      <c r="AD197" s="732" t="n"/>
      <c r="AE197" s="732" t="n"/>
    </row>
    <row r="198">
      <c r="AC198" s="732" t="n"/>
      <c r="AD198" s="732" t="n"/>
      <c r="AE198" s="732" t="n"/>
    </row>
    <row r="199">
      <c r="AC199" s="732" t="n"/>
      <c r="AD199" s="732" t="n"/>
      <c r="AE199" s="732" t="n"/>
    </row>
    <row r="200">
      <c r="AC200" s="732" t="n"/>
      <c r="AD200" s="732" t="n"/>
      <c r="AE200" s="732" t="n"/>
    </row>
    <row r="201">
      <c r="AC201" s="732" t="n"/>
      <c r="AD201" s="732" t="n"/>
      <c r="AE201" s="732" t="n"/>
    </row>
    <row r="202">
      <c r="AC202" s="732" t="n"/>
      <c r="AD202" s="732" t="n"/>
      <c r="AE202" s="732" t="n"/>
    </row>
    <row r="203">
      <c r="AC203" s="732" t="n"/>
      <c r="AD203" s="732" t="n"/>
      <c r="AE203" s="732" t="n"/>
    </row>
    <row r="204">
      <c r="AC204" s="732" t="n"/>
      <c r="AD204" s="732" t="n"/>
      <c r="AE204" s="732" t="n"/>
    </row>
    <row r="205">
      <c r="AC205" s="732" t="n"/>
      <c r="AD205" s="732" t="n"/>
      <c r="AE205" s="732" t="n"/>
    </row>
    <row r="206">
      <c r="AC206" s="732" t="n"/>
      <c r="AD206" s="732" t="n"/>
      <c r="AE206" s="732" t="n"/>
    </row>
    <row r="207">
      <c r="AC207" s="732" t="n"/>
      <c r="AD207" s="732" t="n"/>
      <c r="AE207" s="732" t="n"/>
    </row>
    <row r="208">
      <c r="AC208" s="732" t="n"/>
      <c r="AD208" s="732" t="n"/>
      <c r="AE208" s="732" t="n"/>
    </row>
    <row r="209">
      <c r="AC209" s="732" t="n"/>
      <c r="AD209" s="732" t="n"/>
      <c r="AE209" s="732" t="n"/>
    </row>
    <row r="210">
      <c r="AC210" s="732" t="n"/>
      <c r="AD210" s="732" t="n"/>
      <c r="AE210" s="732" t="n"/>
    </row>
    <row r="211">
      <c r="AC211" s="732" t="n"/>
      <c r="AD211" s="732" t="n"/>
      <c r="AE211" s="732" t="n"/>
    </row>
    <row r="212">
      <c r="AC212" s="732" t="n"/>
      <c r="AD212" s="732" t="n"/>
      <c r="AE212" s="732" t="n"/>
    </row>
    <row r="213">
      <c r="AC213" s="732" t="n"/>
      <c r="AD213" s="732" t="n"/>
      <c r="AE213" s="732" t="n"/>
    </row>
    <row r="214">
      <c r="AC214" s="732" t="n"/>
      <c r="AD214" s="732" t="n"/>
      <c r="AE214" s="732" t="n"/>
    </row>
    <row r="215">
      <c r="AC215" s="732" t="n"/>
      <c r="AD215" s="732" t="n"/>
      <c r="AE215" s="732" t="n"/>
    </row>
    <row r="216">
      <c r="AC216" s="732" t="n"/>
      <c r="AD216" s="732" t="n"/>
      <c r="AE216" s="732" t="n"/>
    </row>
    <row r="217">
      <c r="AC217" s="732" t="n"/>
      <c r="AD217" s="732" t="n"/>
      <c r="AE217" s="732" t="n"/>
    </row>
    <row r="218">
      <c r="AC218" s="732" t="n"/>
      <c r="AD218" s="732" t="n"/>
      <c r="AE218" s="732" t="n"/>
    </row>
    <row r="219">
      <c r="AC219" s="732" t="n"/>
      <c r="AD219" s="732" t="n"/>
      <c r="AE219" s="732" t="n"/>
    </row>
    <row r="220">
      <c r="AC220" s="732" t="n"/>
      <c r="AD220" s="732" t="n"/>
      <c r="AE220" s="732" t="n"/>
    </row>
    <row r="221">
      <c r="AC221" s="732" t="n"/>
      <c r="AD221" s="732" t="n"/>
      <c r="AE221" s="732" t="n"/>
    </row>
    <row r="222">
      <c r="AC222" s="732" t="n"/>
      <c r="AD222" s="732" t="n"/>
      <c r="AE222" s="732" t="n"/>
    </row>
    <row r="223">
      <c r="AC223" s="732" t="n"/>
      <c r="AD223" s="732" t="n"/>
      <c r="AE223" s="732" t="n"/>
    </row>
    <row r="224">
      <c r="AC224" s="732" t="n"/>
      <c r="AD224" s="732" t="n"/>
      <c r="AE224" s="732" t="n"/>
    </row>
    <row r="225">
      <c r="AC225" s="732" t="n"/>
      <c r="AD225" s="732" t="n"/>
      <c r="AE225" s="732" t="n"/>
    </row>
    <row r="226">
      <c r="AC226" s="732" t="n"/>
      <c r="AD226" s="732" t="n"/>
      <c r="AE226" s="732" t="n"/>
    </row>
    <row r="227">
      <c r="AC227" s="732" t="n"/>
      <c r="AD227" s="732" t="n"/>
      <c r="AE227" s="732" t="n"/>
    </row>
    <row r="228">
      <c r="AC228" s="732" t="n"/>
      <c r="AD228" s="732" t="n"/>
      <c r="AE228" s="732" t="n"/>
    </row>
    <row r="229">
      <c r="AC229" s="732" t="n"/>
      <c r="AD229" s="732" t="n"/>
      <c r="AE229" s="732" t="n"/>
    </row>
    <row r="230">
      <c r="AC230" s="732" t="n"/>
      <c r="AD230" s="732" t="n"/>
      <c r="AE230" s="732" t="n"/>
    </row>
    <row r="231">
      <c r="AC231" s="732" t="n"/>
      <c r="AD231" s="732" t="n"/>
      <c r="AE231" s="732" t="n"/>
    </row>
    <row r="232">
      <c r="AC232" s="732" t="n"/>
      <c r="AD232" s="732" t="n"/>
      <c r="AE232" s="732" t="n"/>
    </row>
    <row r="233">
      <c r="AC233" s="732" t="n"/>
      <c r="AD233" s="732" t="n"/>
      <c r="AE233" s="732" t="n"/>
    </row>
    <row r="234">
      <c r="AC234" s="732" t="n"/>
      <c r="AD234" s="732" t="n"/>
      <c r="AE234" s="732" t="n"/>
    </row>
    <row r="235">
      <c r="AC235" s="732" t="n"/>
      <c r="AD235" s="732" t="n"/>
      <c r="AE235" s="732" t="n"/>
    </row>
    <row r="236">
      <c r="AC236" s="732" t="n"/>
      <c r="AD236" s="732" t="n"/>
      <c r="AE236" s="732" t="n"/>
    </row>
    <row r="237">
      <c r="AC237" s="732" t="n"/>
      <c r="AD237" s="732" t="n"/>
      <c r="AE237" s="732" t="n"/>
    </row>
    <row r="238">
      <c r="AC238" s="732" t="n"/>
      <c r="AD238" s="732" t="n"/>
      <c r="AE238" s="732" t="n"/>
    </row>
    <row r="239">
      <c r="AC239" s="732" t="n"/>
      <c r="AD239" s="732" t="n"/>
      <c r="AE239" s="732" t="n"/>
    </row>
    <row r="240">
      <c r="AC240" s="732" t="n"/>
      <c r="AD240" s="732" t="n"/>
      <c r="AE240" s="732" t="n"/>
    </row>
    <row r="241">
      <c r="AC241" s="732" t="n"/>
      <c r="AD241" s="732" t="n"/>
      <c r="AE241" s="732" t="n"/>
    </row>
    <row r="242">
      <c r="AC242" s="732" t="n"/>
      <c r="AD242" s="732" t="n"/>
      <c r="AE242" s="732" t="n"/>
    </row>
    <row r="243">
      <c r="AC243" s="732" t="n"/>
      <c r="AD243" s="732" t="n"/>
      <c r="AE243" s="732" t="n"/>
    </row>
    <row r="244">
      <c r="AC244" s="732" t="n"/>
      <c r="AD244" s="732" t="n"/>
      <c r="AE244" s="732" t="n"/>
    </row>
    <row r="245">
      <c r="AC245" s="732" t="n"/>
      <c r="AD245" s="732" t="n"/>
      <c r="AE245" s="732" t="n"/>
    </row>
    <row r="246">
      <c r="AC246" s="732" t="n"/>
      <c r="AD246" s="732" t="n"/>
      <c r="AE246" s="732" t="n"/>
    </row>
    <row r="247">
      <c r="AC247" s="732" t="n"/>
      <c r="AD247" s="732" t="n"/>
      <c r="AE247" s="732" t="n"/>
    </row>
    <row r="248">
      <c r="AC248" s="732" t="n"/>
      <c r="AD248" s="732" t="n"/>
      <c r="AE248" s="732" t="n"/>
    </row>
    <row r="249">
      <c r="AC249" s="732" t="n"/>
      <c r="AD249" s="732" t="n"/>
      <c r="AE249" s="732" t="n"/>
    </row>
    <row r="250">
      <c r="AC250" s="732" t="n"/>
      <c r="AD250" s="732" t="n"/>
      <c r="AE250" s="732" t="n"/>
    </row>
    <row r="251">
      <c r="AC251" s="732" t="n"/>
      <c r="AD251" s="732" t="n"/>
      <c r="AE251" s="732" t="n"/>
    </row>
    <row r="252">
      <c r="AC252" s="732" t="n"/>
      <c r="AD252" s="732" t="n"/>
      <c r="AE252" s="732" t="n"/>
    </row>
    <row r="253">
      <c r="AC253" s="732" t="n"/>
      <c r="AD253" s="732" t="n"/>
      <c r="AE253" s="732" t="n"/>
    </row>
    <row r="254">
      <c r="AC254" s="732" t="n"/>
      <c r="AD254" s="732" t="n"/>
      <c r="AE254" s="732" t="n"/>
    </row>
    <row r="255">
      <c r="AC255" s="732" t="n"/>
      <c r="AD255" s="732" t="n"/>
      <c r="AE255" s="732" t="n"/>
    </row>
    <row r="256">
      <c r="AC256" s="732" t="n"/>
      <c r="AD256" s="732" t="n"/>
      <c r="AE256" s="732" t="n"/>
    </row>
    <row r="257">
      <c r="AC257" s="732" t="n"/>
      <c r="AD257" s="732" t="n"/>
      <c r="AE257" s="732" t="n"/>
    </row>
    <row r="258">
      <c r="AC258" s="732" t="n"/>
      <c r="AD258" s="732" t="n"/>
      <c r="AE258" s="732" t="n"/>
    </row>
    <row r="259">
      <c r="AC259" s="732" t="n"/>
      <c r="AD259" s="732" t="n"/>
      <c r="AE259" s="732" t="n"/>
    </row>
    <row r="260">
      <c r="AC260" s="732" t="n"/>
      <c r="AD260" s="732" t="n"/>
      <c r="AE260" s="732" t="n"/>
    </row>
    <row r="261">
      <c r="AC261" s="732" t="n"/>
      <c r="AD261" s="732" t="n"/>
      <c r="AE261" s="732" t="n"/>
    </row>
    <row r="262">
      <c r="AC262" s="732" t="n"/>
      <c r="AD262" s="732" t="n"/>
      <c r="AE262" s="732" t="n"/>
    </row>
    <row r="263">
      <c r="AC263" s="732" t="n"/>
      <c r="AD263" s="732" t="n"/>
      <c r="AE263" s="732" t="n"/>
    </row>
    <row r="264">
      <c r="AC264" s="732" t="n"/>
      <c r="AD264" s="732" t="n"/>
      <c r="AE264" s="732" t="n"/>
    </row>
    <row r="265">
      <c r="AC265" s="732" t="n"/>
      <c r="AD265" s="732" t="n"/>
      <c r="AE265" s="732" t="n"/>
    </row>
    <row r="266">
      <c r="AC266" s="732" t="n"/>
      <c r="AD266" s="732" t="n"/>
      <c r="AE266" s="732" t="n"/>
    </row>
    <row r="267">
      <c r="AC267" s="732" t="n"/>
      <c r="AD267" s="732" t="n"/>
      <c r="AE267" s="732" t="n"/>
    </row>
    <row r="268">
      <c r="AC268" s="732" t="n"/>
      <c r="AD268" s="732" t="n"/>
      <c r="AE268" s="732" t="n"/>
    </row>
    <row r="269">
      <c r="AC269" s="732" t="n"/>
      <c r="AD269" s="732" t="n"/>
      <c r="AE269" s="732" t="n"/>
    </row>
    <row r="270">
      <c r="AC270" s="732" t="n"/>
      <c r="AD270" s="732" t="n"/>
      <c r="AE270" s="732" t="n"/>
    </row>
    <row r="271">
      <c r="AC271" s="732" t="n"/>
      <c r="AD271" s="732" t="n"/>
      <c r="AE271" s="732" t="n"/>
    </row>
    <row r="272">
      <c r="AC272" s="732" t="n"/>
      <c r="AD272" s="732" t="n"/>
      <c r="AE272" s="732" t="n"/>
    </row>
    <row r="273">
      <c r="AC273" s="732" t="n"/>
      <c r="AD273" s="732" t="n"/>
      <c r="AE273" s="732" t="n"/>
    </row>
    <row r="274">
      <c r="AC274" s="732" t="n"/>
      <c r="AD274" s="732" t="n"/>
      <c r="AE274" s="732" t="n"/>
    </row>
    <row r="275">
      <c r="AC275" s="732" t="n"/>
      <c r="AD275" s="732" t="n"/>
      <c r="AE275" s="732" t="n"/>
    </row>
    <row r="276">
      <c r="AC276" s="732" t="n"/>
      <c r="AD276" s="732" t="n"/>
      <c r="AE276" s="732" t="n"/>
    </row>
    <row r="277">
      <c r="AC277" s="732" t="n"/>
      <c r="AD277" s="732" t="n"/>
      <c r="AE277" s="732" t="n"/>
    </row>
    <row r="278">
      <c r="AC278" s="732" t="n"/>
      <c r="AD278" s="732" t="n"/>
      <c r="AE278" s="732" t="n"/>
    </row>
    <row r="279">
      <c r="AC279" s="732" t="n"/>
      <c r="AD279" s="732" t="n"/>
      <c r="AE279" s="732" t="n"/>
    </row>
    <row r="280">
      <c r="AC280" s="732" t="n"/>
      <c r="AD280" s="732" t="n"/>
      <c r="AE280" s="732" t="n"/>
    </row>
    <row r="281">
      <c r="AC281" s="732" t="n"/>
      <c r="AD281" s="732" t="n"/>
      <c r="AE281" s="732" t="n"/>
    </row>
    <row r="282">
      <c r="AC282" s="732" t="n"/>
      <c r="AD282" s="732" t="n"/>
      <c r="AE282" s="732" t="n"/>
    </row>
    <row r="283">
      <c r="AC283" s="732" t="n"/>
      <c r="AD283" s="732" t="n"/>
      <c r="AE283" s="732" t="n"/>
    </row>
    <row r="284">
      <c r="AC284" s="732" t="n"/>
      <c r="AD284" s="732" t="n"/>
      <c r="AE284" s="732" t="n"/>
    </row>
    <row r="285">
      <c r="AC285" s="732" t="n"/>
      <c r="AD285" s="732" t="n"/>
      <c r="AE285" s="732" t="n"/>
    </row>
    <row r="286">
      <c r="AC286" s="732" t="n"/>
      <c r="AD286" s="732" t="n"/>
      <c r="AE286" s="732" t="n"/>
    </row>
    <row r="287">
      <c r="AC287" s="732" t="n"/>
      <c r="AD287" s="732" t="n"/>
      <c r="AE287" s="732" t="n"/>
    </row>
    <row r="288">
      <c r="AC288" s="732" t="n"/>
      <c r="AD288" s="732" t="n"/>
      <c r="AE288" s="732" t="n"/>
    </row>
    <row r="289">
      <c r="AC289" s="732" t="n"/>
      <c r="AD289" s="732" t="n"/>
      <c r="AE289" s="732" t="n"/>
    </row>
    <row r="290">
      <c r="AC290" s="732" t="n"/>
      <c r="AD290" s="732" t="n"/>
      <c r="AE290" s="732" t="n"/>
    </row>
    <row r="291">
      <c r="AC291" s="732" t="n"/>
      <c r="AD291" s="732" t="n"/>
      <c r="AE291" s="732" t="n"/>
    </row>
    <row r="292">
      <c r="AC292" s="732" t="n"/>
      <c r="AD292" s="732" t="n"/>
      <c r="AE292" s="732" t="n"/>
    </row>
    <row r="293">
      <c r="AC293" s="732" t="n"/>
      <c r="AD293" s="732" t="n"/>
      <c r="AE293" s="732" t="n"/>
    </row>
    <row r="294">
      <c r="AC294" s="732" t="n"/>
      <c r="AD294" s="732" t="n"/>
      <c r="AE294" s="732" t="n"/>
    </row>
    <row r="295">
      <c r="AC295" s="732" t="n"/>
      <c r="AD295" s="732" t="n"/>
      <c r="AE295" s="732" t="n"/>
    </row>
    <row r="296">
      <c r="AC296" s="732" t="n"/>
      <c r="AD296" s="732" t="n"/>
      <c r="AE296" s="732" t="n"/>
    </row>
    <row r="297">
      <c r="AC297" s="732" t="n"/>
      <c r="AD297" s="732" t="n"/>
      <c r="AE297" s="732" t="n"/>
    </row>
    <row r="298">
      <c r="AC298" s="732" t="n"/>
      <c r="AD298" s="732" t="n"/>
      <c r="AE298" s="732" t="n"/>
    </row>
    <row r="299">
      <c r="AC299" s="732" t="n"/>
      <c r="AD299" s="732" t="n"/>
      <c r="AE299" s="732" t="n"/>
    </row>
    <row r="300">
      <c r="AC300" s="732" t="n"/>
      <c r="AD300" s="732" t="n"/>
      <c r="AE300" s="732" t="n"/>
    </row>
    <row r="301">
      <c r="AC301" s="732" t="n"/>
      <c r="AD301" s="732" t="n"/>
      <c r="AE301" s="732" t="n"/>
    </row>
    <row r="302">
      <c r="AC302" s="732" t="n"/>
      <c r="AD302" s="732" t="n"/>
      <c r="AE302" s="732" t="n"/>
    </row>
    <row r="303">
      <c r="AC303" s="732" t="n"/>
      <c r="AD303" s="732" t="n"/>
      <c r="AE303" s="732" t="n"/>
    </row>
    <row r="304">
      <c r="AC304" s="732" t="n"/>
      <c r="AD304" s="732" t="n"/>
      <c r="AE304" s="732" t="n"/>
    </row>
    <row r="305">
      <c r="AC305" s="732" t="n"/>
      <c r="AD305" s="732" t="n"/>
      <c r="AE305" s="732" t="n"/>
    </row>
    <row r="306">
      <c r="AC306" s="732" t="n"/>
      <c r="AD306" s="732" t="n"/>
      <c r="AE306" s="732" t="n"/>
    </row>
    <row r="307">
      <c r="AC307" s="732" t="n"/>
      <c r="AD307" s="732" t="n"/>
      <c r="AE307" s="732" t="n"/>
    </row>
    <row r="308">
      <c r="AC308" s="732" t="n"/>
      <c r="AD308" s="732" t="n"/>
      <c r="AE308" s="732" t="n"/>
    </row>
    <row r="309">
      <c r="AC309" s="732" t="n"/>
      <c r="AD309" s="732" t="n"/>
      <c r="AE309" s="732" t="n"/>
    </row>
    <row r="310">
      <c r="AC310" s="732" t="n"/>
      <c r="AD310" s="732" t="n"/>
      <c r="AE310" s="732" t="n"/>
    </row>
    <row r="311">
      <c r="AC311" s="732" t="n"/>
      <c r="AD311" s="732" t="n"/>
      <c r="AE311" s="732" t="n"/>
    </row>
    <row r="312">
      <c r="AC312" s="732" t="n"/>
      <c r="AD312" s="732" t="n"/>
      <c r="AE312" s="732" t="n"/>
    </row>
    <row r="313">
      <c r="AC313" s="732" t="n"/>
      <c r="AD313" s="732" t="n"/>
      <c r="AE313" s="732" t="n"/>
    </row>
    <row r="314">
      <c r="AC314" s="732" t="n"/>
      <c r="AD314" s="732" t="n"/>
      <c r="AE314" s="732" t="n"/>
    </row>
    <row r="315">
      <c r="AC315" s="732" t="n"/>
      <c r="AD315" s="732" t="n"/>
      <c r="AE315" s="732" t="n"/>
    </row>
    <row r="316">
      <c r="AC316" s="732" t="n"/>
      <c r="AD316" s="732" t="n"/>
      <c r="AE316" s="732" t="n"/>
    </row>
    <row r="317">
      <c r="AC317" s="732" t="n"/>
      <c r="AD317" s="732" t="n"/>
      <c r="AE317" s="732" t="n"/>
    </row>
    <row r="318">
      <c r="AC318" s="732" t="n"/>
      <c r="AD318" s="732" t="n"/>
      <c r="AE318" s="732" t="n"/>
    </row>
    <row r="319">
      <c r="AC319" s="732" t="n"/>
      <c r="AD319" s="732" t="n"/>
      <c r="AE319" s="732" t="n"/>
    </row>
    <row r="320">
      <c r="AC320" s="732" t="n"/>
      <c r="AD320" s="732" t="n"/>
      <c r="AE320" s="732" t="n"/>
    </row>
    <row r="321">
      <c r="AC321" s="732" t="n"/>
      <c r="AD321" s="732" t="n"/>
      <c r="AE321" s="732" t="n"/>
    </row>
    <row r="322">
      <c r="AC322" s="732" t="n"/>
      <c r="AD322" s="732" t="n"/>
      <c r="AE322" s="732" t="n"/>
    </row>
    <row r="323">
      <c r="AC323" s="732" t="n"/>
      <c r="AD323" s="732" t="n"/>
      <c r="AE323" s="732" t="n"/>
    </row>
    <row r="324">
      <c r="AC324" s="732" t="n"/>
      <c r="AD324" s="732" t="n"/>
      <c r="AE324" s="732" t="n"/>
    </row>
    <row r="325">
      <c r="AC325" s="732" t="n"/>
      <c r="AD325" s="732" t="n"/>
      <c r="AE325" s="732" t="n"/>
    </row>
    <row r="326">
      <c r="AC326" s="732" t="n"/>
      <c r="AD326" s="732" t="n"/>
      <c r="AE326" s="732" t="n"/>
    </row>
    <row r="327">
      <c r="AC327" s="732" t="n"/>
      <c r="AD327" s="732" t="n"/>
      <c r="AE327" s="732" t="n"/>
    </row>
    <row r="328">
      <c r="AC328" s="732" t="n"/>
      <c r="AD328" s="732" t="n"/>
      <c r="AE328" s="732" t="n"/>
    </row>
    <row r="329">
      <c r="AC329" s="732" t="n"/>
      <c r="AD329" s="732" t="n"/>
      <c r="AE329" s="732" t="n"/>
    </row>
    <row r="330">
      <c r="AC330" s="732" t="n"/>
      <c r="AD330" s="732" t="n"/>
      <c r="AE330" s="732" t="n"/>
    </row>
    <row r="331">
      <c r="AC331" s="732" t="n"/>
      <c r="AD331" s="732" t="n"/>
      <c r="AE331" s="732" t="n"/>
    </row>
    <row r="332">
      <c r="AC332" s="732" t="n"/>
      <c r="AD332" s="732" t="n"/>
      <c r="AE332" s="732" t="n"/>
    </row>
    <row r="333">
      <c r="AC333" s="732" t="n"/>
      <c r="AD333" s="732" t="n"/>
      <c r="AE333" s="732" t="n"/>
    </row>
    <row r="334">
      <c r="AC334" s="732" t="n"/>
      <c r="AD334" s="732" t="n"/>
      <c r="AE334" s="732" t="n"/>
    </row>
    <row r="335">
      <c r="AC335" s="732" t="n"/>
      <c r="AD335" s="732" t="n"/>
      <c r="AE335" s="732" t="n"/>
    </row>
    <row r="336">
      <c r="AC336" s="732" t="n"/>
      <c r="AD336" s="732" t="n"/>
      <c r="AE336" s="732" t="n"/>
    </row>
    <row r="337">
      <c r="AC337" s="732" t="n"/>
      <c r="AD337" s="732" t="n"/>
      <c r="AE337" s="732" t="n"/>
    </row>
    <row r="338">
      <c r="AC338" s="732" t="n"/>
      <c r="AD338" s="732" t="n"/>
      <c r="AE338" s="732" t="n"/>
    </row>
    <row r="339">
      <c r="AC339" s="732" t="n"/>
      <c r="AD339" s="732" t="n"/>
      <c r="AE339" s="732" t="n"/>
    </row>
    <row r="340">
      <c r="AC340" s="732" t="n"/>
      <c r="AD340" s="732" t="n"/>
      <c r="AE340" s="732" t="n"/>
    </row>
    <row r="341">
      <c r="AC341" s="732" t="n"/>
      <c r="AD341" s="732" t="n"/>
      <c r="AE341" s="732" t="n"/>
    </row>
    <row r="342">
      <c r="AC342" s="732" t="n"/>
      <c r="AD342" s="732" t="n"/>
      <c r="AE342" s="732" t="n"/>
    </row>
    <row r="343">
      <c r="AC343" s="732" t="n"/>
      <c r="AD343" s="732" t="n"/>
      <c r="AE343" s="732" t="n"/>
    </row>
    <row r="344">
      <c r="AC344" s="732" t="n"/>
      <c r="AD344" s="732" t="n"/>
      <c r="AE344" s="732" t="n"/>
    </row>
    <row r="345">
      <c r="AC345" s="732" t="n"/>
      <c r="AD345" s="732" t="n"/>
      <c r="AE345" s="732" t="n"/>
    </row>
    <row r="346">
      <c r="AC346" s="732" t="n"/>
      <c r="AD346" s="732" t="n"/>
      <c r="AE346" s="732" t="n"/>
    </row>
    <row r="347">
      <c r="AC347" s="732" t="n"/>
      <c r="AD347" s="732" t="n"/>
      <c r="AE347" s="732" t="n"/>
    </row>
    <row r="348">
      <c r="AC348" s="732" t="n"/>
      <c r="AD348" s="732" t="n"/>
      <c r="AE348" s="732" t="n"/>
    </row>
    <row r="349">
      <c r="AC349" s="732" t="n"/>
      <c r="AD349" s="732" t="n"/>
      <c r="AE349" s="732" t="n"/>
    </row>
    <row r="350">
      <c r="AC350" s="732" t="n"/>
      <c r="AD350" s="732" t="n"/>
      <c r="AE350" s="732" t="n"/>
    </row>
    <row r="351">
      <c r="AC351" s="732" t="n"/>
      <c r="AD351" s="732" t="n"/>
      <c r="AE351" s="732" t="n"/>
    </row>
    <row r="352">
      <c r="AC352" s="732" t="n"/>
      <c r="AD352" s="732" t="n"/>
      <c r="AE352" s="732" t="n"/>
    </row>
    <row r="353">
      <c r="AC353" s="732" t="n"/>
      <c r="AD353" s="732" t="n"/>
      <c r="AE353" s="732" t="n"/>
    </row>
    <row r="354">
      <c r="AC354" s="732" t="n"/>
      <c r="AD354" s="732" t="n"/>
      <c r="AE354" s="732" t="n"/>
    </row>
    <row r="355">
      <c r="AC355" s="732" t="n"/>
      <c r="AD355" s="732" t="n"/>
      <c r="AE355" s="732" t="n"/>
    </row>
    <row r="356">
      <c r="AC356" s="732" t="n"/>
      <c r="AD356" s="732" t="n"/>
      <c r="AE356" s="732" t="n"/>
    </row>
    <row r="357">
      <c r="AC357" s="732" t="n"/>
      <c r="AD357" s="732" t="n"/>
      <c r="AE357" s="732" t="n"/>
    </row>
    <row r="358">
      <c r="AC358" s="732" t="n"/>
      <c r="AD358" s="732" t="n"/>
      <c r="AE358" s="732" t="n"/>
    </row>
    <row r="359">
      <c r="AC359" s="732" t="n"/>
      <c r="AD359" s="732" t="n"/>
      <c r="AE359" s="732" t="n"/>
    </row>
    <row r="360">
      <c r="AC360" s="732" t="n"/>
      <c r="AD360" s="732" t="n"/>
      <c r="AE360" s="732" t="n"/>
    </row>
    <row r="361">
      <c r="AC361" s="732" t="n"/>
      <c r="AD361" s="732" t="n"/>
      <c r="AE361" s="732" t="n"/>
    </row>
    <row r="362">
      <c r="AC362" s="732" t="n"/>
      <c r="AD362" s="732" t="n"/>
      <c r="AE362" s="732" t="n"/>
    </row>
    <row r="363">
      <c r="AC363" s="732" t="n"/>
      <c r="AD363" s="732" t="n"/>
      <c r="AE363" s="732" t="n"/>
    </row>
    <row r="364">
      <c r="AC364" s="732" t="n"/>
      <c r="AD364" s="732" t="n"/>
      <c r="AE364" s="732" t="n"/>
    </row>
    <row r="365">
      <c r="AC365" s="732" t="n"/>
      <c r="AD365" s="732" t="n"/>
      <c r="AE365" s="732" t="n"/>
    </row>
    <row r="366">
      <c r="AC366" s="732" t="n"/>
      <c r="AD366" s="732" t="n"/>
      <c r="AE366" s="732" t="n"/>
    </row>
    <row r="367">
      <c r="AC367" s="732" t="n"/>
      <c r="AD367" s="732" t="n"/>
      <c r="AE367" s="732" t="n"/>
    </row>
    <row r="368">
      <c r="AC368" s="732" t="n"/>
      <c r="AD368" s="732" t="n"/>
      <c r="AE368" s="732" t="n"/>
    </row>
    <row r="369">
      <c r="AC369" s="732" t="n"/>
      <c r="AD369" s="732" t="n"/>
      <c r="AE369" s="732" t="n"/>
    </row>
    <row r="370">
      <c r="AC370" s="732" t="n"/>
      <c r="AD370" s="732" t="n"/>
      <c r="AE370" s="732" t="n"/>
    </row>
    <row r="371">
      <c r="AC371" s="732" t="n"/>
      <c r="AD371" s="732" t="n"/>
      <c r="AE371" s="732" t="n"/>
    </row>
    <row r="372">
      <c r="AC372" s="732" t="n"/>
      <c r="AD372" s="732" t="n"/>
      <c r="AE372" s="732" t="n"/>
    </row>
    <row r="373">
      <c r="AC373" s="732" t="n"/>
      <c r="AD373" s="732" t="n"/>
      <c r="AE373" s="732" t="n"/>
    </row>
    <row r="374">
      <c r="AC374" s="732" t="n"/>
      <c r="AD374" s="732" t="n"/>
      <c r="AE374" s="732" t="n"/>
    </row>
    <row r="375">
      <c r="AC375" s="732" t="n"/>
      <c r="AD375" s="732" t="n"/>
      <c r="AE375" s="732" t="n"/>
    </row>
    <row r="376">
      <c r="AC376" s="732" t="n"/>
      <c r="AD376" s="732" t="n"/>
      <c r="AE376" s="732" t="n"/>
    </row>
    <row r="377">
      <c r="AC377" s="732" t="n"/>
      <c r="AD377" s="732" t="n"/>
      <c r="AE377" s="732" t="n"/>
    </row>
    <row r="378">
      <c r="AC378" s="732" t="n"/>
      <c r="AD378" s="732" t="n"/>
      <c r="AE378" s="732" t="n"/>
    </row>
    <row r="379">
      <c r="AC379" s="732" t="n"/>
      <c r="AD379" s="732" t="n"/>
      <c r="AE379" s="732" t="n"/>
    </row>
    <row r="380">
      <c r="AC380" s="732" t="n"/>
      <c r="AD380" s="732" t="n"/>
      <c r="AE380" s="732" t="n"/>
    </row>
    <row r="381">
      <c r="AC381" s="732" t="n"/>
      <c r="AD381" s="732" t="n"/>
      <c r="AE381" s="732" t="n"/>
    </row>
    <row r="382">
      <c r="AC382" s="732" t="n"/>
      <c r="AD382" s="732" t="n"/>
      <c r="AE382" s="732" t="n"/>
    </row>
    <row r="383">
      <c r="AC383" s="732" t="n"/>
      <c r="AD383" s="732" t="n"/>
      <c r="AE383" s="732" t="n"/>
    </row>
    <row r="384">
      <c r="AC384" s="732" t="n"/>
      <c r="AD384" s="732" t="n"/>
      <c r="AE384" s="732" t="n"/>
    </row>
    <row r="385">
      <c r="AC385" s="732" t="n"/>
      <c r="AD385" s="732" t="n"/>
      <c r="AE385" s="732" t="n"/>
    </row>
    <row r="386">
      <c r="AC386" s="732" t="n"/>
      <c r="AD386" s="732" t="n"/>
      <c r="AE386" s="732" t="n"/>
    </row>
    <row r="387">
      <c r="AC387" s="732" t="n"/>
      <c r="AD387" s="732" t="n"/>
      <c r="AE387" s="732" t="n"/>
    </row>
    <row r="388">
      <c r="AC388" s="732" t="n"/>
      <c r="AD388" s="732" t="n"/>
      <c r="AE388" s="732" t="n"/>
    </row>
    <row r="389">
      <c r="AC389" s="732" t="n"/>
      <c r="AD389" s="732" t="n"/>
      <c r="AE389" s="732" t="n"/>
    </row>
    <row r="390">
      <c r="AC390" s="732" t="n"/>
      <c r="AD390" s="732" t="n"/>
      <c r="AE390" s="732" t="n"/>
    </row>
    <row r="391">
      <c r="AC391" s="732" t="n"/>
      <c r="AD391" s="732" t="n"/>
      <c r="AE391" s="732" t="n"/>
    </row>
    <row r="392">
      <c r="AC392" s="732" t="n"/>
      <c r="AD392" s="732" t="n"/>
      <c r="AE392" s="732" t="n"/>
    </row>
    <row r="393">
      <c r="AC393" s="732" t="n"/>
      <c r="AD393" s="732" t="n"/>
      <c r="AE393" s="732" t="n"/>
    </row>
    <row r="394">
      <c r="AC394" s="732" t="n"/>
      <c r="AD394" s="732" t="n"/>
      <c r="AE394" s="732" t="n"/>
    </row>
    <row r="395">
      <c r="AC395" s="732" t="n"/>
      <c r="AD395" s="732" t="n"/>
      <c r="AE395" s="732" t="n"/>
    </row>
    <row r="396">
      <c r="AC396" s="732" t="n"/>
      <c r="AD396" s="732" t="n"/>
      <c r="AE396" s="732" t="n"/>
    </row>
    <row r="397">
      <c r="AC397" s="732" t="n"/>
      <c r="AD397" s="732" t="n"/>
      <c r="AE397" s="732" t="n"/>
    </row>
    <row r="398">
      <c r="AC398" s="732" t="n"/>
      <c r="AD398" s="732" t="n"/>
      <c r="AE398" s="732" t="n"/>
    </row>
    <row r="399">
      <c r="AC399" s="732" t="n"/>
      <c r="AD399" s="732" t="n"/>
      <c r="AE399" s="732" t="n"/>
    </row>
    <row r="400">
      <c r="AC400" s="732" t="n"/>
      <c r="AD400" s="732" t="n"/>
      <c r="AE400" s="732" t="n"/>
    </row>
    <row r="401">
      <c r="AC401" s="732" t="n"/>
      <c r="AD401" s="732" t="n"/>
      <c r="AE401" s="732" t="n"/>
    </row>
    <row r="402">
      <c r="AC402" s="732" t="n"/>
      <c r="AD402" s="732" t="n"/>
      <c r="AE402" s="732" t="n"/>
    </row>
    <row r="403">
      <c r="AC403" s="732" t="n"/>
      <c r="AD403" s="732" t="n"/>
      <c r="AE403" s="732" t="n"/>
    </row>
    <row r="404">
      <c r="AC404" s="732" t="n"/>
      <c r="AD404" s="732" t="n"/>
      <c r="AE404" s="732" t="n"/>
    </row>
    <row r="405">
      <c r="AC405" s="732" t="n"/>
      <c r="AD405" s="732" t="n"/>
      <c r="AE405" s="732" t="n"/>
    </row>
    <row r="406">
      <c r="AC406" s="732" t="n"/>
      <c r="AD406" s="732" t="n"/>
      <c r="AE406" s="732" t="n"/>
    </row>
    <row r="407">
      <c r="AC407" s="732" t="n"/>
      <c r="AD407" s="732" t="n"/>
      <c r="AE407" s="732" t="n"/>
    </row>
    <row r="408">
      <c r="AC408" s="732" t="n"/>
      <c r="AD408" s="732" t="n"/>
      <c r="AE408" s="732" t="n"/>
    </row>
    <row r="409">
      <c r="AC409" s="732" t="n"/>
      <c r="AD409" s="732" t="n"/>
      <c r="AE409" s="732" t="n"/>
    </row>
    <row r="410">
      <c r="AC410" s="732" t="n"/>
      <c r="AD410" s="732" t="n"/>
      <c r="AE410" s="732" t="n"/>
    </row>
    <row r="411">
      <c r="AC411" s="732" t="n"/>
      <c r="AD411" s="732" t="n"/>
      <c r="AE411" s="732" t="n"/>
    </row>
    <row r="412">
      <c r="AC412" s="732" t="n"/>
      <c r="AD412" s="732" t="n"/>
      <c r="AE412" s="732" t="n"/>
    </row>
    <row r="413">
      <c r="AC413" s="732" t="n"/>
      <c r="AD413" s="732" t="n"/>
      <c r="AE413" s="732" t="n"/>
    </row>
    <row r="414">
      <c r="AC414" s="732" t="n"/>
      <c r="AD414" s="732" t="n"/>
      <c r="AE414" s="732" t="n"/>
    </row>
    <row r="415">
      <c r="AC415" s="732" t="n"/>
      <c r="AD415" s="732" t="n"/>
      <c r="AE415" s="732" t="n"/>
    </row>
    <row r="416">
      <c r="AC416" s="732" t="n"/>
      <c r="AD416" s="732" t="n"/>
      <c r="AE416" s="732" t="n"/>
    </row>
    <row r="417">
      <c r="AC417" s="732" t="n"/>
      <c r="AD417" s="732" t="n"/>
      <c r="AE417" s="732" t="n"/>
    </row>
    <row r="418">
      <c r="AC418" s="732" t="n"/>
      <c r="AD418" s="732" t="n"/>
      <c r="AE418" s="732" t="n"/>
    </row>
    <row r="419">
      <c r="AC419" s="732" t="n"/>
      <c r="AD419" s="732" t="n"/>
      <c r="AE419" s="732" t="n"/>
    </row>
    <row r="420">
      <c r="AC420" s="732" t="n"/>
      <c r="AD420" s="732" t="n"/>
      <c r="AE420" s="732" t="n"/>
    </row>
    <row r="421">
      <c r="AC421" s="732" t="n"/>
      <c r="AD421" s="732" t="n"/>
      <c r="AE421" s="732" t="n"/>
    </row>
    <row r="422">
      <c r="AC422" s="732" t="n"/>
      <c r="AD422" s="732" t="n"/>
      <c r="AE422" s="732" t="n"/>
    </row>
    <row r="423">
      <c r="AC423" s="732" t="n"/>
      <c r="AD423" s="732" t="n"/>
      <c r="AE423" s="732" t="n"/>
    </row>
    <row r="424">
      <c r="AC424" s="732" t="n"/>
      <c r="AD424" s="732" t="n"/>
      <c r="AE424" s="732" t="n"/>
    </row>
    <row r="425">
      <c r="AC425" s="732" t="n"/>
      <c r="AD425" s="732" t="n"/>
      <c r="AE425" s="732" t="n"/>
    </row>
    <row r="426">
      <c r="AC426" s="732" t="n"/>
      <c r="AD426" s="732" t="n"/>
      <c r="AE426" s="732" t="n"/>
    </row>
    <row r="427">
      <c r="AC427" s="732" t="n"/>
      <c r="AD427" s="732" t="n"/>
      <c r="AE427" s="732" t="n"/>
    </row>
    <row r="428">
      <c r="AC428" s="732" t="n"/>
      <c r="AD428" s="732" t="n"/>
      <c r="AE428" s="732" t="n"/>
    </row>
    <row r="429">
      <c r="AC429" s="732" t="n"/>
      <c r="AD429" s="732" t="n"/>
      <c r="AE429" s="732" t="n"/>
    </row>
    <row r="430">
      <c r="AC430" s="732" t="n"/>
      <c r="AD430" s="732" t="n"/>
      <c r="AE430" s="732" t="n"/>
    </row>
    <row r="431">
      <c r="AC431" s="732" t="n"/>
      <c r="AD431" s="732" t="n"/>
      <c r="AE431" s="732" t="n"/>
    </row>
    <row r="432">
      <c r="AC432" s="732" t="n"/>
      <c r="AD432" s="732" t="n"/>
      <c r="AE432" s="732" t="n"/>
    </row>
    <row r="433">
      <c r="AC433" s="732" t="n"/>
      <c r="AD433" s="732" t="n"/>
      <c r="AE433" s="732" t="n"/>
    </row>
    <row r="434">
      <c r="AC434" s="732" t="n"/>
      <c r="AD434" s="732" t="n"/>
      <c r="AE434" s="732" t="n"/>
    </row>
    <row r="435">
      <c r="AC435" s="732" t="n"/>
      <c r="AD435" s="732" t="n"/>
      <c r="AE435" s="732" t="n"/>
    </row>
    <row r="436">
      <c r="AC436" s="732" t="n"/>
      <c r="AD436" s="732" t="n"/>
      <c r="AE436" s="732" t="n"/>
    </row>
    <row r="437">
      <c r="AC437" s="732" t="n"/>
      <c r="AD437" s="732" t="n"/>
      <c r="AE437" s="732" t="n"/>
    </row>
    <row r="438">
      <c r="AC438" s="732" t="n"/>
      <c r="AD438" s="732" t="n"/>
      <c r="AE438" s="732" t="n"/>
    </row>
    <row r="439">
      <c r="AC439" s="732" t="n"/>
      <c r="AD439" s="732" t="n"/>
      <c r="AE439" s="732" t="n"/>
    </row>
    <row r="440">
      <c r="AC440" s="732" t="n"/>
      <c r="AD440" s="732" t="n"/>
      <c r="AE440" s="732" t="n"/>
    </row>
    <row r="441">
      <c r="AC441" s="732" t="n"/>
      <c r="AD441" s="732" t="n"/>
      <c r="AE441" s="732" t="n"/>
    </row>
    <row r="442">
      <c r="AC442" s="732" t="n"/>
      <c r="AD442" s="732" t="n"/>
      <c r="AE442" s="732" t="n"/>
    </row>
    <row r="443">
      <c r="AC443" s="732" t="n"/>
      <c r="AD443" s="732" t="n"/>
      <c r="AE443" s="732" t="n"/>
    </row>
    <row r="444">
      <c r="AC444" s="732" t="n"/>
      <c r="AD444" s="732" t="n"/>
      <c r="AE444" s="732" t="n"/>
    </row>
    <row r="445">
      <c r="AC445" s="732" t="n"/>
      <c r="AD445" s="732" t="n"/>
      <c r="AE445" s="732" t="n"/>
    </row>
    <row r="446">
      <c r="AC446" s="732" t="n"/>
      <c r="AD446" s="732" t="n"/>
      <c r="AE446" s="732" t="n"/>
    </row>
    <row r="447">
      <c r="AC447" s="732" t="n"/>
      <c r="AD447" s="732" t="n"/>
      <c r="AE447" s="732" t="n"/>
    </row>
    <row r="448">
      <c r="AC448" s="732" t="n"/>
      <c r="AD448" s="732" t="n"/>
      <c r="AE448" s="732" t="n"/>
    </row>
    <row r="449">
      <c r="AC449" s="732" t="n"/>
      <c r="AD449" s="732" t="n"/>
      <c r="AE449" s="732" t="n"/>
    </row>
    <row r="450">
      <c r="AC450" s="732" t="n"/>
      <c r="AD450" s="732" t="n"/>
      <c r="AE450" s="732" t="n"/>
    </row>
    <row r="451">
      <c r="AC451" s="732" t="n"/>
      <c r="AD451" s="732" t="n"/>
      <c r="AE451" s="732" t="n"/>
    </row>
    <row r="452">
      <c r="AC452" s="732" t="n"/>
      <c r="AD452" s="732" t="n"/>
      <c r="AE452" s="732" t="n"/>
    </row>
    <row r="453">
      <c r="AC453" s="732" t="n"/>
      <c r="AD453" s="732" t="n"/>
      <c r="AE453" s="732" t="n"/>
    </row>
    <row r="454">
      <c r="AC454" s="732" t="n"/>
      <c r="AD454" s="732" t="n"/>
      <c r="AE454" s="732" t="n"/>
    </row>
    <row r="455">
      <c r="AC455" s="732" t="n"/>
      <c r="AD455" s="732" t="n"/>
      <c r="AE455" s="732" t="n"/>
    </row>
    <row r="456">
      <c r="AC456" s="732" t="n"/>
      <c r="AD456" s="732" t="n"/>
      <c r="AE456" s="732" t="n"/>
    </row>
    <row r="457">
      <c r="AC457" s="732" t="n"/>
      <c r="AD457" s="732" t="n"/>
      <c r="AE457" s="732" t="n"/>
    </row>
    <row r="458">
      <c r="AC458" s="732" t="n"/>
      <c r="AD458" s="732" t="n"/>
      <c r="AE458" s="732" t="n"/>
    </row>
    <row r="459">
      <c r="AC459" s="732" t="n"/>
      <c r="AD459" s="732" t="n"/>
      <c r="AE459" s="732" t="n"/>
    </row>
    <row r="460">
      <c r="AC460" s="732" t="n"/>
      <c r="AD460" s="732" t="n"/>
      <c r="AE460" s="732" t="n"/>
    </row>
    <row r="461">
      <c r="AC461" s="732" t="n"/>
      <c r="AD461" s="732" t="n"/>
      <c r="AE461" s="732" t="n"/>
    </row>
    <row r="462">
      <c r="AC462" s="732" t="n"/>
      <c r="AD462" s="732" t="n"/>
      <c r="AE462" s="732" t="n"/>
    </row>
    <row r="463">
      <c r="AC463" s="732" t="n"/>
      <c r="AD463" s="732" t="n"/>
      <c r="AE463" s="732" t="n"/>
    </row>
    <row r="464">
      <c r="AC464" s="732" t="n"/>
      <c r="AD464" s="732" t="n"/>
      <c r="AE464" s="732" t="n"/>
    </row>
    <row r="465">
      <c r="AC465" s="732" t="n"/>
      <c r="AD465" s="732" t="n"/>
      <c r="AE465" s="732" t="n"/>
    </row>
    <row r="466">
      <c r="AC466" s="732" t="n"/>
      <c r="AD466" s="732" t="n"/>
      <c r="AE466" s="732" t="n"/>
    </row>
    <row r="467">
      <c r="AC467" s="732" t="n"/>
      <c r="AD467" s="732" t="n"/>
      <c r="AE467" s="732" t="n"/>
    </row>
    <row r="468">
      <c r="AC468" s="732" t="n"/>
      <c r="AD468" s="732" t="n"/>
      <c r="AE468" s="732" t="n"/>
    </row>
    <row r="469">
      <c r="AC469" s="732" t="n"/>
      <c r="AD469" s="732" t="n"/>
      <c r="AE469" s="732" t="n"/>
    </row>
    <row r="470">
      <c r="AC470" s="732" t="n"/>
      <c r="AD470" s="732" t="n"/>
      <c r="AE470" s="732" t="n"/>
    </row>
    <row r="471">
      <c r="AC471" s="732" t="n"/>
      <c r="AD471" s="732" t="n"/>
      <c r="AE471" s="732" t="n"/>
    </row>
    <row r="472">
      <c r="AC472" s="732" t="n"/>
      <c r="AD472" s="732" t="n"/>
      <c r="AE472" s="732" t="n"/>
    </row>
    <row r="473">
      <c r="AC473" s="732" t="n"/>
      <c r="AD473" s="732" t="n"/>
      <c r="AE473" s="732" t="n"/>
    </row>
    <row r="474">
      <c r="AC474" s="732" t="n"/>
      <c r="AD474" s="732" t="n"/>
      <c r="AE474" s="732" t="n"/>
    </row>
    <row r="475">
      <c r="AC475" s="732" t="n"/>
      <c r="AD475" s="732" t="n"/>
      <c r="AE475" s="732" t="n"/>
    </row>
    <row r="476">
      <c r="AC476" s="732" t="n"/>
      <c r="AD476" s="732" t="n"/>
      <c r="AE476" s="732" t="n"/>
    </row>
    <row r="477">
      <c r="AC477" s="732" t="n"/>
      <c r="AD477" s="732" t="n"/>
      <c r="AE477" s="732" t="n"/>
    </row>
    <row r="478">
      <c r="AC478" s="732" t="n"/>
      <c r="AD478" s="732" t="n"/>
      <c r="AE478" s="732" t="n"/>
    </row>
    <row r="479">
      <c r="AC479" s="732" t="n"/>
      <c r="AD479" s="732" t="n"/>
      <c r="AE479" s="732" t="n"/>
    </row>
    <row r="480">
      <c r="AC480" s="732" t="n"/>
      <c r="AD480" s="732" t="n"/>
      <c r="AE480" s="732" t="n"/>
    </row>
    <row r="481">
      <c r="AC481" s="732" t="n"/>
      <c r="AD481" s="732" t="n"/>
      <c r="AE481" s="732" t="n"/>
    </row>
    <row r="482">
      <c r="AC482" s="732" t="n"/>
      <c r="AD482" s="732" t="n"/>
      <c r="AE482" s="732" t="n"/>
    </row>
    <row r="483">
      <c r="AC483" s="732" t="n"/>
      <c r="AD483" s="732" t="n"/>
      <c r="AE483" s="732" t="n"/>
    </row>
    <row r="484">
      <c r="AC484" s="732" t="n"/>
      <c r="AD484" s="732" t="n"/>
      <c r="AE484" s="732" t="n"/>
    </row>
    <row r="485">
      <c r="AC485" s="732" t="n"/>
      <c r="AD485" s="732" t="n"/>
      <c r="AE485" s="732" t="n"/>
    </row>
    <row r="486">
      <c r="AC486" s="732" t="n"/>
      <c r="AD486" s="732" t="n"/>
      <c r="AE486" s="732" t="n"/>
    </row>
    <row r="487">
      <c r="AC487" s="732" t="n"/>
      <c r="AD487" s="732" t="n"/>
      <c r="AE487" s="732" t="n"/>
    </row>
    <row r="488">
      <c r="AC488" s="732" t="n"/>
      <c r="AD488" s="732" t="n"/>
      <c r="AE488" s="732" t="n"/>
    </row>
    <row r="489">
      <c r="AC489" s="732" t="n"/>
      <c r="AD489" s="732" t="n"/>
      <c r="AE489" s="732" t="n"/>
    </row>
    <row r="490">
      <c r="AC490" s="732" t="n"/>
      <c r="AD490" s="732" t="n"/>
      <c r="AE490" s="732" t="n"/>
    </row>
    <row r="491">
      <c r="AC491" s="732" t="n"/>
      <c r="AD491" s="732" t="n"/>
      <c r="AE491" s="732" t="n"/>
    </row>
    <row r="492">
      <c r="AC492" s="732" t="n"/>
      <c r="AD492" s="732" t="n"/>
      <c r="AE492" s="732" t="n"/>
    </row>
    <row r="493">
      <c r="AC493" s="732" t="n"/>
      <c r="AD493" s="732" t="n"/>
      <c r="AE493" s="732" t="n"/>
    </row>
    <row r="494">
      <c r="AC494" s="732" t="n"/>
      <c r="AD494" s="732" t="n"/>
      <c r="AE494" s="732" t="n"/>
    </row>
    <row r="495">
      <c r="AC495" s="732" t="n"/>
      <c r="AD495" s="732" t="n"/>
      <c r="AE495" s="732" t="n"/>
    </row>
    <row r="496">
      <c r="AC496" s="732" t="n"/>
      <c r="AD496" s="732" t="n"/>
      <c r="AE496" s="732" t="n"/>
    </row>
    <row r="497">
      <c r="AC497" s="732" t="n"/>
      <c r="AD497" s="732" t="n"/>
      <c r="AE497" s="732" t="n"/>
    </row>
    <row r="498">
      <c r="AC498" s="732" t="n"/>
      <c r="AD498" s="732" t="n"/>
      <c r="AE498" s="732" t="n"/>
    </row>
    <row r="499">
      <c r="AC499" s="732" t="n"/>
      <c r="AD499" s="732" t="n"/>
      <c r="AE499" s="732" t="n"/>
    </row>
    <row r="500">
      <c r="AC500" s="732" t="n"/>
      <c r="AD500" s="732" t="n"/>
      <c r="AE500" s="732" t="n"/>
    </row>
    <row r="501">
      <c r="AC501" s="732" t="n"/>
      <c r="AD501" s="732" t="n"/>
      <c r="AE501" s="732" t="n"/>
    </row>
    <row r="502">
      <c r="AC502" s="732" t="n"/>
      <c r="AD502" s="732" t="n"/>
      <c r="AE502" s="732" t="n"/>
    </row>
    <row r="503">
      <c r="AC503" s="732" t="n"/>
      <c r="AD503" s="732" t="n"/>
      <c r="AE503" s="732" t="n"/>
    </row>
    <row r="504">
      <c r="AC504" s="732" t="n"/>
      <c r="AD504" s="732" t="n"/>
      <c r="AE504" s="732" t="n"/>
    </row>
    <row r="505">
      <c r="AC505" s="732" t="n"/>
      <c r="AD505" s="732" t="n"/>
      <c r="AE505" s="732" t="n"/>
    </row>
    <row r="506">
      <c r="AC506" s="732" t="n"/>
      <c r="AD506" s="732" t="n"/>
      <c r="AE506" s="732" t="n"/>
    </row>
    <row r="507">
      <c r="AC507" s="732" t="n"/>
      <c r="AD507" s="732" t="n"/>
      <c r="AE507" s="732" t="n"/>
    </row>
    <row r="508">
      <c r="AC508" s="732" t="n"/>
      <c r="AD508" s="732" t="n"/>
      <c r="AE508" s="732" t="n"/>
    </row>
    <row r="509">
      <c r="AC509" s="732" t="n"/>
      <c r="AD509" s="732" t="n"/>
      <c r="AE509" s="732" t="n"/>
    </row>
    <row r="510">
      <c r="AC510" s="732" t="n"/>
      <c r="AD510" s="732" t="n"/>
      <c r="AE510" s="732" t="n"/>
    </row>
    <row r="511">
      <c r="AC511" s="732" t="n"/>
      <c r="AD511" s="732" t="n"/>
      <c r="AE511" s="732" t="n"/>
    </row>
    <row r="512">
      <c r="AC512" s="732" t="n"/>
      <c r="AD512" s="732" t="n"/>
      <c r="AE512" s="732" t="n"/>
    </row>
    <row r="513">
      <c r="AC513" s="732" t="n"/>
      <c r="AD513" s="732" t="n"/>
      <c r="AE513" s="732" t="n"/>
    </row>
    <row r="514">
      <c r="AC514" s="732" t="n"/>
      <c r="AD514" s="732" t="n"/>
      <c r="AE514" s="732" t="n"/>
    </row>
    <row r="515">
      <c r="AC515" s="732" t="n"/>
      <c r="AD515" s="732" t="n"/>
      <c r="AE515" s="732" t="n"/>
    </row>
    <row r="516">
      <c r="AC516" s="732" t="n"/>
      <c r="AD516" s="732" t="n"/>
      <c r="AE516" s="732" t="n"/>
    </row>
    <row r="517">
      <c r="AC517" s="732" t="n"/>
      <c r="AD517" s="732" t="n"/>
      <c r="AE517" s="732" t="n"/>
    </row>
    <row r="518">
      <c r="AC518" s="732" t="n"/>
      <c r="AD518" s="732" t="n"/>
      <c r="AE518" s="732" t="n"/>
    </row>
    <row r="519">
      <c r="AC519" s="732" t="n"/>
      <c r="AD519" s="732" t="n"/>
      <c r="AE519" s="732" t="n"/>
    </row>
    <row r="520">
      <c r="AC520" s="732" t="n"/>
      <c r="AD520" s="732" t="n"/>
      <c r="AE520" s="732" t="n"/>
    </row>
    <row r="521">
      <c r="AC521" s="732" t="n"/>
      <c r="AD521" s="732" t="n"/>
      <c r="AE521" s="732" t="n"/>
    </row>
    <row r="522">
      <c r="AC522" s="732" t="n"/>
      <c r="AD522" s="732" t="n"/>
      <c r="AE522" s="732" t="n"/>
    </row>
    <row r="523">
      <c r="AC523" s="732" t="n"/>
      <c r="AD523" s="732" t="n"/>
      <c r="AE523" s="732" t="n"/>
    </row>
    <row r="524">
      <c r="AC524" s="732" t="n"/>
      <c r="AD524" s="732" t="n"/>
      <c r="AE524" s="732" t="n"/>
    </row>
    <row r="525">
      <c r="AC525" s="732" t="n"/>
      <c r="AD525" s="732" t="n"/>
      <c r="AE525" s="732" t="n"/>
    </row>
    <row r="526">
      <c r="AC526" s="732" t="n"/>
      <c r="AD526" s="732" t="n"/>
      <c r="AE526" s="732" t="n"/>
    </row>
    <row r="527">
      <c r="AC527" s="732" t="n"/>
      <c r="AD527" s="732" t="n"/>
      <c r="AE527" s="732" t="n"/>
    </row>
    <row r="528">
      <c r="AC528" s="732" t="n"/>
      <c r="AD528" s="732" t="n"/>
      <c r="AE528" s="732" t="n"/>
    </row>
    <row r="529">
      <c r="AC529" s="732" t="n"/>
      <c r="AD529" s="732" t="n"/>
      <c r="AE529" s="732" t="n"/>
    </row>
    <row r="530">
      <c r="AC530" s="732" t="n"/>
      <c r="AD530" s="732" t="n"/>
      <c r="AE530" s="732" t="n"/>
    </row>
    <row r="531">
      <c r="AC531" s="732" t="n"/>
      <c r="AD531" s="732" t="n"/>
      <c r="AE531" s="732" t="n"/>
    </row>
    <row r="532">
      <c r="AC532" s="732" t="n"/>
      <c r="AD532" s="732" t="n"/>
      <c r="AE532" s="732" t="n"/>
    </row>
    <row r="533">
      <c r="AC533" s="732" t="n"/>
      <c r="AD533" s="732" t="n"/>
      <c r="AE533" s="732" t="n"/>
    </row>
    <row r="534">
      <c r="AC534" s="732" t="n"/>
      <c r="AD534" s="732" t="n"/>
      <c r="AE534" s="732" t="n"/>
    </row>
    <row r="535">
      <c r="AC535" s="732" t="n"/>
      <c r="AD535" s="732" t="n"/>
      <c r="AE535" s="732" t="n"/>
    </row>
    <row r="536">
      <c r="AC536" s="732" t="n"/>
      <c r="AD536" s="732" t="n"/>
      <c r="AE536" s="732" t="n"/>
    </row>
    <row r="537">
      <c r="AC537" s="732" t="n"/>
      <c r="AD537" s="732" t="n"/>
      <c r="AE537" s="732" t="n"/>
    </row>
    <row r="538">
      <c r="AC538" s="732" t="n"/>
      <c r="AD538" s="732" t="n"/>
      <c r="AE538" s="732" t="n"/>
    </row>
    <row r="539">
      <c r="AC539" s="732" t="n"/>
      <c r="AD539" s="732" t="n"/>
      <c r="AE539" s="732" t="n"/>
    </row>
    <row r="540">
      <c r="AC540" s="732" t="n"/>
      <c r="AD540" s="732" t="n"/>
      <c r="AE540" s="732" t="n"/>
    </row>
    <row r="541">
      <c r="AC541" s="732" t="n"/>
      <c r="AD541" s="732" t="n"/>
      <c r="AE541" s="732" t="n"/>
    </row>
    <row r="542">
      <c r="AC542" s="732" t="n"/>
      <c r="AD542" s="732" t="n"/>
      <c r="AE542" s="732" t="n"/>
    </row>
    <row r="543">
      <c r="AC543" s="732" t="n"/>
      <c r="AD543" s="732" t="n"/>
      <c r="AE543" s="732" t="n"/>
    </row>
    <row r="544">
      <c r="AC544" s="732" t="n"/>
      <c r="AD544" s="732" t="n"/>
      <c r="AE544" s="732" t="n"/>
    </row>
    <row r="545">
      <c r="AC545" s="732" t="n"/>
      <c r="AD545" s="732" t="n"/>
      <c r="AE545" s="732" t="n"/>
    </row>
    <row r="546">
      <c r="AC546" s="732" t="n"/>
      <c r="AD546" s="732" t="n"/>
      <c r="AE546" s="732" t="n"/>
    </row>
    <row r="547">
      <c r="AC547" s="732" t="n"/>
      <c r="AD547" s="732" t="n"/>
      <c r="AE547" s="732" t="n"/>
    </row>
    <row r="548">
      <c r="AC548" s="732" t="n"/>
      <c r="AD548" s="732" t="n"/>
      <c r="AE548" s="732" t="n"/>
    </row>
    <row r="549">
      <c r="AC549" s="732" t="n"/>
      <c r="AD549" s="732" t="n"/>
      <c r="AE549" s="732" t="n"/>
    </row>
    <row r="550">
      <c r="AC550" s="732" t="n"/>
      <c r="AD550" s="732" t="n"/>
      <c r="AE550" s="732" t="n"/>
    </row>
    <row r="551">
      <c r="AC551" s="732" t="n"/>
      <c r="AD551" s="732" t="n"/>
      <c r="AE551" s="732" t="n"/>
    </row>
    <row r="552">
      <c r="AC552" s="732" t="n"/>
      <c r="AD552" s="732" t="n"/>
      <c r="AE552" s="732" t="n"/>
    </row>
    <row r="553">
      <c r="AC553" s="732" t="n"/>
      <c r="AD553" s="732" t="n"/>
      <c r="AE553" s="732" t="n"/>
    </row>
    <row r="554">
      <c r="AC554" s="732" t="n"/>
      <c r="AD554" s="732" t="n"/>
      <c r="AE554" s="732" t="n"/>
    </row>
    <row r="555">
      <c r="AC555" s="732" t="n"/>
      <c r="AD555" s="732" t="n"/>
      <c r="AE555" s="732" t="n"/>
    </row>
    <row r="556">
      <c r="AC556" s="732" t="n"/>
      <c r="AD556" s="732" t="n"/>
      <c r="AE556" s="732" t="n"/>
    </row>
    <row r="557">
      <c r="AC557" s="732" t="n"/>
      <c r="AD557" s="732" t="n"/>
      <c r="AE557" s="732" t="n"/>
    </row>
    <row r="558">
      <c r="AC558" s="732" t="n"/>
      <c r="AD558" s="732" t="n"/>
      <c r="AE558" s="732" t="n"/>
    </row>
    <row r="559">
      <c r="AC559" s="732" t="n"/>
      <c r="AD559" s="732" t="n"/>
      <c r="AE559" s="732" t="n"/>
    </row>
    <row r="560">
      <c r="AC560" s="732" t="n"/>
      <c r="AD560" s="732" t="n"/>
      <c r="AE560" s="732" t="n"/>
    </row>
    <row r="561">
      <c r="AC561" s="732" t="n"/>
      <c r="AD561" s="732" t="n"/>
      <c r="AE561" s="732" t="n"/>
    </row>
    <row r="562">
      <c r="AC562" s="732" t="n"/>
      <c r="AD562" s="732" t="n"/>
      <c r="AE562" s="732" t="n"/>
    </row>
    <row r="563">
      <c r="AC563" s="732" t="n"/>
      <c r="AD563" s="732" t="n"/>
      <c r="AE563" s="732" t="n"/>
    </row>
    <row r="564">
      <c r="AC564" s="732" t="n"/>
      <c r="AD564" s="732" t="n"/>
      <c r="AE564" s="732" t="n"/>
    </row>
    <row r="565">
      <c r="AC565" s="732" t="n"/>
      <c r="AD565" s="732" t="n"/>
      <c r="AE565" s="732" t="n"/>
    </row>
    <row r="566">
      <c r="AC566" s="732" t="n"/>
      <c r="AD566" s="732" t="n"/>
      <c r="AE566" s="732" t="n"/>
    </row>
    <row r="567">
      <c r="AC567" s="732" t="n"/>
      <c r="AD567" s="732" t="n"/>
      <c r="AE567" s="732" t="n"/>
    </row>
    <row r="568">
      <c r="AC568" s="732" t="n"/>
      <c r="AD568" s="732" t="n"/>
      <c r="AE568" s="732" t="n"/>
    </row>
    <row r="569">
      <c r="AC569" s="732" t="n"/>
      <c r="AD569" s="732" t="n"/>
      <c r="AE569" s="732" t="n"/>
    </row>
    <row r="570">
      <c r="AC570" s="732" t="n"/>
      <c r="AD570" s="732" t="n"/>
      <c r="AE570" s="732" t="n"/>
    </row>
    <row r="571">
      <c r="AC571" s="732" t="n"/>
      <c r="AD571" s="732" t="n"/>
      <c r="AE571" s="732" t="n"/>
    </row>
    <row r="572">
      <c r="AC572" s="732" t="n"/>
      <c r="AD572" s="732" t="n"/>
      <c r="AE572" s="732" t="n"/>
    </row>
    <row r="573">
      <c r="AC573" s="732" t="n"/>
      <c r="AD573" s="732" t="n"/>
      <c r="AE573" s="732" t="n"/>
    </row>
    <row r="574">
      <c r="AC574" s="732" t="n"/>
      <c r="AD574" s="732" t="n"/>
      <c r="AE574" s="732" t="n"/>
    </row>
    <row r="575">
      <c r="AC575" s="732" t="n"/>
      <c r="AD575" s="732" t="n"/>
      <c r="AE575" s="732" t="n"/>
    </row>
    <row r="576">
      <c r="AC576" s="732" t="n"/>
      <c r="AD576" s="732" t="n"/>
      <c r="AE576" s="732" t="n"/>
    </row>
    <row r="577">
      <c r="AC577" s="732" t="n"/>
      <c r="AD577" s="732" t="n"/>
      <c r="AE577" s="732" t="n"/>
    </row>
    <row r="578">
      <c r="AC578" s="732" t="n"/>
      <c r="AD578" s="732" t="n"/>
      <c r="AE578" s="732" t="n"/>
    </row>
    <row r="579">
      <c r="AC579" s="732" t="n"/>
      <c r="AD579" s="732" t="n"/>
      <c r="AE579" s="732" t="n"/>
    </row>
    <row r="580">
      <c r="AC580" s="732" t="n"/>
      <c r="AD580" s="732" t="n"/>
      <c r="AE580" s="732" t="n"/>
    </row>
    <row r="581">
      <c r="AC581" s="732" t="n"/>
      <c r="AD581" s="732" t="n"/>
      <c r="AE581" s="732" t="n"/>
    </row>
    <row r="582">
      <c r="AC582" s="732" t="n"/>
      <c r="AD582" s="732" t="n"/>
      <c r="AE582" s="732" t="n"/>
    </row>
    <row r="583">
      <c r="AC583" s="732" t="n"/>
      <c r="AD583" s="732" t="n"/>
      <c r="AE583" s="732" t="n"/>
    </row>
    <row r="584">
      <c r="AC584" s="732" t="n"/>
      <c r="AD584" s="732" t="n"/>
      <c r="AE584" s="732" t="n"/>
    </row>
    <row r="585">
      <c r="AC585" s="732" t="n"/>
      <c r="AD585" s="732" t="n"/>
      <c r="AE585" s="732" t="n"/>
    </row>
    <row r="586">
      <c r="AC586" s="732" t="n"/>
      <c r="AD586" s="732" t="n"/>
      <c r="AE586" s="732" t="n"/>
    </row>
    <row r="587">
      <c r="AC587" s="732" t="n"/>
      <c r="AD587" s="732" t="n"/>
      <c r="AE587" s="732" t="n"/>
    </row>
    <row r="588">
      <c r="AC588" s="732" t="n"/>
      <c r="AD588" s="732" t="n"/>
      <c r="AE588" s="732" t="n"/>
    </row>
    <row r="589">
      <c r="AC589" s="732" t="n"/>
      <c r="AD589" s="732" t="n"/>
      <c r="AE589" s="732" t="n"/>
    </row>
    <row r="590">
      <c r="AC590" s="732" t="n"/>
      <c r="AD590" s="732" t="n"/>
      <c r="AE590" s="732" t="n"/>
    </row>
    <row r="591">
      <c r="AC591" s="732" t="n"/>
      <c r="AD591" s="732" t="n"/>
      <c r="AE591" s="732" t="n"/>
    </row>
    <row r="592">
      <c r="AC592" s="732" t="n"/>
      <c r="AD592" s="732" t="n"/>
      <c r="AE592" s="732" t="n"/>
    </row>
    <row r="593">
      <c r="AC593" s="732" t="n"/>
      <c r="AD593" s="732" t="n"/>
      <c r="AE593" s="732" t="n"/>
    </row>
    <row r="594">
      <c r="AC594" s="732" t="n"/>
      <c r="AD594" s="732" t="n"/>
      <c r="AE594" s="732" t="n"/>
    </row>
    <row r="595">
      <c r="AC595" s="732" t="n"/>
      <c r="AD595" s="732" t="n"/>
      <c r="AE595" s="732" t="n"/>
    </row>
    <row r="596">
      <c r="AC596" s="732" t="n"/>
      <c r="AD596" s="732" t="n"/>
      <c r="AE596" s="732" t="n"/>
    </row>
    <row r="597">
      <c r="AC597" s="732" t="n"/>
      <c r="AD597" s="732" t="n"/>
      <c r="AE597" s="732" t="n"/>
    </row>
    <row r="598">
      <c r="AC598" s="732" t="n"/>
      <c r="AD598" s="732" t="n"/>
      <c r="AE598" s="732" t="n"/>
    </row>
    <row r="599">
      <c r="AC599" s="732" t="n"/>
      <c r="AD599" s="732" t="n"/>
      <c r="AE599" s="732" t="n"/>
    </row>
    <row r="600">
      <c r="AC600" s="732" t="n"/>
      <c r="AD600" s="732" t="n"/>
      <c r="AE600" s="732" t="n"/>
    </row>
    <row r="601">
      <c r="AC601" s="732" t="n"/>
      <c r="AD601" s="732" t="n"/>
      <c r="AE601" s="732" t="n"/>
    </row>
    <row r="602">
      <c r="AC602" s="732" t="n"/>
      <c r="AD602" s="732" t="n"/>
      <c r="AE602" s="732" t="n"/>
    </row>
    <row r="603">
      <c r="AC603" s="732" t="n"/>
      <c r="AD603" s="732" t="n"/>
      <c r="AE603" s="732" t="n"/>
    </row>
    <row r="604">
      <c r="AC604" s="732" t="n"/>
      <c r="AD604" s="732" t="n"/>
      <c r="AE604" s="732" t="n"/>
    </row>
    <row r="605">
      <c r="AC605" s="732" t="n"/>
      <c r="AD605" s="732" t="n"/>
      <c r="AE605" s="732" t="n"/>
    </row>
    <row r="606">
      <c r="AC606" s="732" t="n"/>
      <c r="AD606" s="732" t="n"/>
      <c r="AE606" s="732" t="n"/>
    </row>
    <row r="607">
      <c r="AC607" s="732" t="n"/>
      <c r="AD607" s="732" t="n"/>
      <c r="AE607" s="732" t="n"/>
    </row>
    <row r="608">
      <c r="AC608" s="732" t="n"/>
      <c r="AD608" s="732" t="n"/>
      <c r="AE608" s="732" t="n"/>
    </row>
    <row r="609">
      <c r="AC609" s="732" t="n"/>
      <c r="AD609" s="732" t="n"/>
      <c r="AE609" s="732" t="n"/>
    </row>
    <row r="610">
      <c r="AC610" s="732" t="n"/>
      <c r="AD610" s="732" t="n"/>
      <c r="AE610" s="732" t="n"/>
    </row>
    <row r="611">
      <c r="AC611" s="732" t="n"/>
      <c r="AD611" s="732" t="n"/>
      <c r="AE611" s="732" t="n"/>
    </row>
    <row r="612">
      <c r="AC612" s="732" t="n"/>
      <c r="AD612" s="732" t="n"/>
      <c r="AE612" s="732" t="n"/>
    </row>
    <row r="613">
      <c r="AC613" s="732" t="n"/>
      <c r="AD613" s="732" t="n"/>
      <c r="AE613" s="732" t="n"/>
    </row>
    <row r="614">
      <c r="AC614" s="732" t="n"/>
      <c r="AD614" s="732" t="n"/>
      <c r="AE614" s="732" t="n"/>
    </row>
    <row r="615">
      <c r="AC615" s="732" t="n"/>
      <c r="AD615" s="732" t="n"/>
      <c r="AE615" s="732" t="n"/>
    </row>
    <row r="616">
      <c r="AC616" s="732" t="n"/>
      <c r="AD616" s="732" t="n"/>
      <c r="AE616" s="732" t="n"/>
    </row>
    <row r="617">
      <c r="AC617" s="732" t="n"/>
      <c r="AD617" s="732" t="n"/>
      <c r="AE617" s="732" t="n"/>
    </row>
    <row r="618">
      <c r="AC618" s="732" t="n"/>
      <c r="AD618" s="732" t="n"/>
      <c r="AE618" s="732" t="n"/>
    </row>
    <row r="619">
      <c r="AC619" s="732" t="n"/>
      <c r="AD619" s="732" t="n"/>
      <c r="AE619" s="732" t="n"/>
    </row>
    <row r="620">
      <c r="AC620" s="732" t="n"/>
      <c r="AD620" s="732" t="n"/>
      <c r="AE620" s="732" t="n"/>
    </row>
    <row r="621">
      <c r="AC621" s="732" t="n"/>
      <c r="AD621" s="732" t="n"/>
      <c r="AE621" s="732" t="n"/>
    </row>
    <row r="622">
      <c r="AC622" s="732" t="n"/>
      <c r="AD622" s="732" t="n"/>
      <c r="AE622" s="732" t="n"/>
    </row>
    <row r="623">
      <c r="AC623" s="732" t="n"/>
      <c r="AD623" s="732" t="n"/>
      <c r="AE623" s="732" t="n"/>
    </row>
    <row r="624">
      <c r="AC624" s="732" t="n"/>
      <c r="AD624" s="732" t="n"/>
      <c r="AE624" s="732" t="n"/>
    </row>
    <row r="625">
      <c r="AC625" s="732" t="n"/>
      <c r="AD625" s="732" t="n"/>
      <c r="AE625" s="732" t="n"/>
    </row>
    <row r="626">
      <c r="AC626" s="732" t="n"/>
      <c r="AD626" s="732" t="n"/>
      <c r="AE626" s="732" t="n"/>
    </row>
    <row r="627">
      <c r="AC627" s="732" t="n"/>
      <c r="AD627" s="732" t="n"/>
      <c r="AE627" s="732" t="n"/>
    </row>
    <row r="628">
      <c r="AC628" s="732" t="n"/>
      <c r="AD628" s="732" t="n"/>
      <c r="AE628" s="732" t="n"/>
    </row>
    <row r="629">
      <c r="AC629" s="732" t="n"/>
      <c r="AD629" s="732" t="n"/>
      <c r="AE629" s="732" t="n"/>
    </row>
    <row r="630">
      <c r="AC630" s="732" t="n"/>
      <c r="AD630" s="732" t="n"/>
      <c r="AE630" s="732" t="n"/>
    </row>
    <row r="631">
      <c r="AC631" s="732" t="n"/>
      <c r="AD631" s="732" t="n"/>
      <c r="AE631" s="732" t="n"/>
    </row>
    <row r="632">
      <c r="AC632" s="732" t="n"/>
      <c r="AD632" s="732" t="n"/>
      <c r="AE632" s="732" t="n"/>
    </row>
    <row r="633">
      <c r="AC633" s="732" t="n"/>
      <c r="AD633" s="732" t="n"/>
      <c r="AE633" s="732" t="n"/>
    </row>
    <row r="634">
      <c r="AC634" s="732" t="n"/>
      <c r="AD634" s="732" t="n"/>
      <c r="AE634" s="732" t="n"/>
    </row>
    <row r="635">
      <c r="AC635" s="732" t="n"/>
      <c r="AD635" s="732" t="n"/>
      <c r="AE635" s="732" t="n"/>
    </row>
    <row r="636">
      <c r="AC636" s="732" t="n"/>
      <c r="AD636" s="732" t="n"/>
      <c r="AE636" s="732" t="n"/>
    </row>
    <row r="637">
      <c r="AC637" s="732" t="n"/>
      <c r="AD637" s="732" t="n"/>
      <c r="AE637" s="732" t="n"/>
    </row>
    <row r="638">
      <c r="AC638" s="732" t="n"/>
      <c r="AD638" s="732" t="n"/>
      <c r="AE638" s="732" t="n"/>
    </row>
    <row r="639">
      <c r="AC639" s="732" t="n"/>
      <c r="AD639" s="732" t="n"/>
      <c r="AE639" s="732" t="n"/>
    </row>
    <row r="640">
      <c r="AC640" s="732" t="n"/>
      <c r="AD640" s="732" t="n"/>
      <c r="AE640" s="732" t="n"/>
    </row>
    <row r="641">
      <c r="AC641" s="732" t="n"/>
      <c r="AD641" s="732" t="n"/>
      <c r="AE641" s="732" t="n"/>
    </row>
    <row r="642">
      <c r="AC642" s="732" t="n"/>
      <c r="AD642" s="732" t="n"/>
      <c r="AE642" s="732" t="n"/>
    </row>
    <row r="643">
      <c r="AC643" s="732" t="n"/>
      <c r="AD643" s="732" t="n"/>
      <c r="AE643" s="732" t="n"/>
    </row>
    <row r="644">
      <c r="AC644" s="732" t="n"/>
      <c r="AD644" s="732" t="n"/>
      <c r="AE644" s="732" t="n"/>
    </row>
    <row r="645">
      <c r="AC645" s="732" t="n"/>
      <c r="AD645" s="732" t="n"/>
      <c r="AE645" s="732" t="n"/>
    </row>
    <row r="646">
      <c r="AC646" s="732" t="n"/>
      <c r="AD646" s="732" t="n"/>
      <c r="AE646" s="732" t="n"/>
    </row>
    <row r="647">
      <c r="AC647" s="732" t="n"/>
      <c r="AD647" s="732" t="n"/>
      <c r="AE647" s="732" t="n"/>
    </row>
    <row r="648">
      <c r="AC648" s="732" t="n"/>
      <c r="AD648" s="732" t="n"/>
      <c r="AE648" s="732" t="n"/>
    </row>
    <row r="649">
      <c r="AC649" s="732" t="n"/>
      <c r="AD649" s="732" t="n"/>
      <c r="AE649" s="732" t="n"/>
    </row>
    <row r="650">
      <c r="AC650" s="732" t="n"/>
      <c r="AD650" s="732" t="n"/>
      <c r="AE650" s="732" t="n"/>
    </row>
    <row r="651">
      <c r="AC651" s="732" t="n"/>
      <c r="AD651" s="732" t="n"/>
      <c r="AE651" s="732" t="n"/>
    </row>
    <row r="652">
      <c r="AC652" s="732" t="n"/>
      <c r="AD652" s="732" t="n"/>
      <c r="AE652" s="732" t="n"/>
    </row>
    <row r="653">
      <c r="AC653" s="732" t="n"/>
      <c r="AD653" s="732" t="n"/>
      <c r="AE653" s="732" t="n"/>
    </row>
    <row r="654">
      <c r="AC654" s="732" t="n"/>
      <c r="AD654" s="732" t="n"/>
      <c r="AE654" s="732" t="n"/>
    </row>
    <row r="655">
      <c r="AC655" s="732" t="n"/>
      <c r="AD655" s="732" t="n"/>
      <c r="AE655" s="732" t="n"/>
    </row>
    <row r="656">
      <c r="AC656" s="732" t="n"/>
      <c r="AD656" s="732" t="n"/>
      <c r="AE656" s="732" t="n"/>
    </row>
    <row r="657">
      <c r="AC657" s="732" t="n"/>
      <c r="AD657" s="732" t="n"/>
      <c r="AE657" s="732" t="n"/>
    </row>
    <row r="658">
      <c r="AC658" s="732" t="n"/>
      <c r="AD658" s="732" t="n"/>
      <c r="AE658" s="732" t="n"/>
    </row>
    <row r="659">
      <c r="AC659" s="732" t="n"/>
      <c r="AD659" s="732" t="n"/>
      <c r="AE659" s="732" t="n"/>
    </row>
    <row r="660">
      <c r="AC660" s="732" t="n"/>
      <c r="AD660" s="732" t="n"/>
      <c r="AE660" s="732" t="n"/>
    </row>
    <row r="661">
      <c r="AC661" s="732" t="n"/>
      <c r="AD661" s="732" t="n"/>
      <c r="AE661" s="732" t="n"/>
    </row>
    <row r="662">
      <c r="AC662" s="732" t="n"/>
      <c r="AD662" s="732" t="n"/>
      <c r="AE662" s="732" t="n"/>
    </row>
    <row r="663">
      <c r="AC663" s="732" t="n"/>
      <c r="AD663" s="732" t="n"/>
      <c r="AE663" s="732" t="n"/>
    </row>
    <row r="664">
      <c r="AC664" s="732" t="n"/>
      <c r="AD664" s="732" t="n"/>
      <c r="AE664" s="732" t="n"/>
    </row>
    <row r="665">
      <c r="AC665" s="732" t="n"/>
      <c r="AD665" s="732" t="n"/>
      <c r="AE665" s="732" t="n"/>
    </row>
    <row r="666">
      <c r="AC666" s="732" t="n"/>
      <c r="AD666" s="732" t="n"/>
      <c r="AE666" s="732" t="n"/>
    </row>
    <row r="667">
      <c r="AC667" s="732" t="n"/>
      <c r="AD667" s="732" t="n"/>
      <c r="AE667" s="732" t="n"/>
    </row>
    <row r="668">
      <c r="AC668" s="732" t="n"/>
      <c r="AD668" s="732" t="n"/>
      <c r="AE668" s="732" t="n"/>
    </row>
    <row r="669">
      <c r="AC669" s="732" t="n"/>
      <c r="AD669" s="732" t="n"/>
      <c r="AE669" s="732" t="n"/>
    </row>
    <row r="670">
      <c r="AC670" s="732" t="n"/>
      <c r="AD670" s="732" t="n"/>
      <c r="AE670" s="732" t="n"/>
    </row>
    <row r="671">
      <c r="AC671" s="732" t="n"/>
      <c r="AD671" s="732" t="n"/>
      <c r="AE671" s="732" t="n"/>
    </row>
    <row r="672">
      <c r="AC672" s="732" t="n"/>
      <c r="AD672" s="732" t="n"/>
      <c r="AE672" s="732" t="n"/>
    </row>
    <row r="673">
      <c r="AC673" s="732" t="n"/>
      <c r="AD673" s="732" t="n"/>
      <c r="AE673" s="732" t="n"/>
    </row>
    <row r="674">
      <c r="AC674" s="732" t="n"/>
      <c r="AD674" s="732" t="n"/>
      <c r="AE674" s="732" t="n"/>
    </row>
    <row r="675">
      <c r="AC675" s="732" t="n"/>
      <c r="AD675" s="732" t="n"/>
      <c r="AE675" s="732" t="n"/>
    </row>
    <row r="676">
      <c r="AC676" s="732" t="n"/>
      <c r="AD676" s="732" t="n"/>
      <c r="AE676" s="732" t="n"/>
    </row>
    <row r="677">
      <c r="AC677" s="732" t="n"/>
      <c r="AD677" s="732" t="n"/>
      <c r="AE677" s="732" t="n"/>
    </row>
    <row r="678">
      <c r="AC678" s="732" t="n"/>
      <c r="AD678" s="732" t="n"/>
      <c r="AE678" s="732" t="n"/>
    </row>
    <row r="679">
      <c r="AC679" s="732" t="n"/>
      <c r="AD679" s="732" t="n"/>
      <c r="AE679" s="732" t="n"/>
    </row>
    <row r="680">
      <c r="AC680" s="732" t="n"/>
      <c r="AD680" s="732" t="n"/>
      <c r="AE680" s="732" t="n"/>
    </row>
    <row r="681">
      <c r="AC681" s="732" t="n"/>
      <c r="AD681" s="732" t="n"/>
      <c r="AE681" s="732" t="n"/>
    </row>
    <row r="682">
      <c r="AC682" s="732" t="n"/>
      <c r="AD682" s="732" t="n"/>
      <c r="AE682" s="732" t="n"/>
    </row>
    <row r="683">
      <c r="AC683" s="732" t="n"/>
      <c r="AD683" s="732" t="n"/>
      <c r="AE683" s="732" t="n"/>
    </row>
    <row r="684">
      <c r="AC684" s="732" t="n"/>
      <c r="AD684" s="732" t="n"/>
      <c r="AE684" s="732" t="n"/>
    </row>
    <row r="685">
      <c r="AC685" s="732" t="n"/>
      <c r="AD685" s="732" t="n"/>
      <c r="AE685" s="732" t="n"/>
    </row>
    <row r="686">
      <c r="AC686" s="732" t="n"/>
      <c r="AD686" s="732" t="n"/>
      <c r="AE686" s="732" t="n"/>
    </row>
    <row r="687">
      <c r="AC687" s="732" t="n"/>
      <c r="AD687" s="732" t="n"/>
      <c r="AE687" s="732" t="n"/>
    </row>
    <row r="688">
      <c r="AC688" s="732" t="n"/>
      <c r="AD688" s="732" t="n"/>
      <c r="AE688" s="732" t="n"/>
    </row>
    <row r="689">
      <c r="AC689" s="732" t="n"/>
      <c r="AD689" s="732" t="n"/>
      <c r="AE689" s="732" t="n"/>
    </row>
    <row r="690">
      <c r="AC690" s="732" t="n"/>
      <c r="AD690" s="732" t="n"/>
      <c r="AE690" s="732" t="n"/>
    </row>
    <row r="691">
      <c r="AC691" s="732" t="n"/>
      <c r="AD691" s="732" t="n"/>
      <c r="AE691" s="732" t="n"/>
    </row>
    <row r="692">
      <c r="AC692" s="732" t="n"/>
      <c r="AD692" s="732" t="n"/>
      <c r="AE692" s="732" t="n"/>
    </row>
    <row r="693">
      <c r="AC693" s="732" t="n"/>
      <c r="AD693" s="732" t="n"/>
      <c r="AE693" s="732" t="n"/>
    </row>
    <row r="694">
      <c r="AC694" s="732" t="n"/>
      <c r="AD694" s="732" t="n"/>
      <c r="AE694" s="732" t="n"/>
    </row>
    <row r="695">
      <c r="AC695" s="732" t="n"/>
      <c r="AD695" s="732" t="n"/>
      <c r="AE695" s="732" t="n"/>
    </row>
    <row r="696">
      <c r="AC696" s="732" t="n"/>
      <c r="AD696" s="732" t="n"/>
      <c r="AE696" s="732" t="n"/>
    </row>
    <row r="697">
      <c r="AC697" s="732" t="n"/>
      <c r="AD697" s="732" t="n"/>
      <c r="AE697" s="732" t="n"/>
    </row>
    <row r="698">
      <c r="AC698" s="732" t="n"/>
      <c r="AD698" s="732" t="n"/>
      <c r="AE698" s="732" t="n"/>
    </row>
    <row r="699">
      <c r="AC699" s="732" t="n"/>
      <c r="AD699" s="732" t="n"/>
      <c r="AE699" s="732" t="n"/>
    </row>
    <row r="700">
      <c r="AC700" s="732" t="n"/>
      <c r="AD700" s="732" t="n"/>
      <c r="AE700" s="732" t="n"/>
    </row>
    <row r="701">
      <c r="AC701" s="732" t="n"/>
      <c r="AD701" s="732" t="n"/>
      <c r="AE701" s="732" t="n"/>
    </row>
    <row r="702">
      <c r="AC702" s="732" t="n"/>
      <c r="AD702" s="732" t="n"/>
      <c r="AE702" s="732" t="n"/>
    </row>
    <row r="703">
      <c r="AC703" s="732" t="n"/>
      <c r="AD703" s="732" t="n"/>
      <c r="AE703" s="732" t="n"/>
    </row>
    <row r="704">
      <c r="AC704" s="732" t="n"/>
      <c r="AD704" s="732" t="n"/>
      <c r="AE704" s="732" t="n"/>
    </row>
    <row r="705">
      <c r="AC705" s="732" t="n"/>
      <c r="AD705" s="732" t="n"/>
      <c r="AE705" s="732" t="n"/>
    </row>
    <row r="706">
      <c r="AC706" s="732" t="n"/>
      <c r="AD706" s="732" t="n"/>
      <c r="AE706" s="732" t="n"/>
    </row>
    <row r="707">
      <c r="AC707" s="732" t="n"/>
      <c r="AD707" s="732" t="n"/>
      <c r="AE707" s="732" t="n"/>
    </row>
    <row r="708">
      <c r="AC708" s="732" t="n"/>
      <c r="AD708" s="732" t="n"/>
      <c r="AE708" s="732" t="n"/>
    </row>
    <row r="709">
      <c r="AC709" s="732" t="n"/>
      <c r="AD709" s="732" t="n"/>
      <c r="AE709" s="732" t="n"/>
    </row>
    <row r="710">
      <c r="AC710" s="732" t="n"/>
      <c r="AD710" s="732" t="n"/>
      <c r="AE710" s="732" t="n"/>
    </row>
    <row r="711">
      <c r="AC711" s="732" t="n"/>
      <c r="AD711" s="732" t="n"/>
      <c r="AE711" s="732" t="n"/>
    </row>
    <row r="712">
      <c r="AC712" s="732" t="n"/>
      <c r="AD712" s="732" t="n"/>
      <c r="AE712" s="732" t="n"/>
    </row>
    <row r="713">
      <c r="AC713" s="732" t="n"/>
      <c r="AD713" s="732" t="n"/>
      <c r="AE713" s="732" t="n"/>
    </row>
    <row r="714">
      <c r="AC714" s="732" t="n"/>
      <c r="AD714" s="732" t="n"/>
      <c r="AE714" s="732" t="n"/>
    </row>
    <row r="715">
      <c r="AC715" s="732" t="n"/>
      <c r="AD715" s="732" t="n"/>
      <c r="AE715" s="732" t="n"/>
    </row>
    <row r="716">
      <c r="AC716" s="732" t="n"/>
      <c r="AD716" s="732" t="n"/>
      <c r="AE716" s="732" t="n"/>
    </row>
    <row r="717">
      <c r="AC717" s="732" t="n"/>
      <c r="AD717" s="732" t="n"/>
      <c r="AE717" s="732" t="n"/>
    </row>
    <row r="718">
      <c r="AC718" s="732" t="n"/>
      <c r="AD718" s="732" t="n"/>
      <c r="AE718" s="732" t="n"/>
    </row>
    <row r="719">
      <c r="AC719" s="732" t="n"/>
      <c r="AD719" s="732" t="n"/>
      <c r="AE719" s="732" t="n"/>
    </row>
    <row r="720">
      <c r="AC720" s="732" t="n"/>
      <c r="AD720" s="732" t="n"/>
      <c r="AE720" s="732" t="n"/>
    </row>
    <row r="721">
      <c r="AC721" s="732" t="n"/>
      <c r="AD721" s="732" t="n"/>
      <c r="AE721" s="732" t="n"/>
    </row>
    <row r="722">
      <c r="AC722" s="732" t="n"/>
      <c r="AD722" s="732" t="n"/>
      <c r="AE722" s="732" t="n"/>
    </row>
    <row r="723">
      <c r="AC723" s="732" t="n"/>
      <c r="AD723" s="732" t="n"/>
      <c r="AE723" s="732" t="n"/>
    </row>
    <row r="724">
      <c r="AC724" s="732" t="n"/>
      <c r="AD724" s="732" t="n"/>
      <c r="AE724" s="732" t="n"/>
    </row>
    <row r="725">
      <c r="AC725" s="732" t="n"/>
      <c r="AD725" s="732" t="n"/>
      <c r="AE725" s="732" t="n"/>
    </row>
    <row r="726">
      <c r="AC726" s="732" t="n"/>
      <c r="AD726" s="732" t="n"/>
      <c r="AE726" s="732" t="n"/>
    </row>
    <row r="727">
      <c r="AC727" s="732" t="n"/>
      <c r="AD727" s="732" t="n"/>
      <c r="AE727" s="732" t="n"/>
    </row>
    <row r="728">
      <c r="AC728" s="732" t="n"/>
      <c r="AD728" s="732" t="n"/>
      <c r="AE728" s="732" t="n"/>
    </row>
    <row r="729">
      <c r="AC729" s="732" t="n"/>
      <c r="AD729" s="732" t="n"/>
      <c r="AE729" s="732" t="n"/>
    </row>
    <row r="730">
      <c r="AC730" s="732" t="n"/>
      <c r="AD730" s="732" t="n"/>
      <c r="AE730" s="732" t="n"/>
    </row>
    <row r="731">
      <c r="AC731" s="732" t="n"/>
      <c r="AD731" s="732" t="n"/>
      <c r="AE731" s="732" t="n"/>
    </row>
    <row r="732">
      <c r="AC732" s="732" t="n"/>
      <c r="AD732" s="732" t="n"/>
      <c r="AE732" s="732" t="n"/>
    </row>
    <row r="733">
      <c r="AC733" s="732" t="n"/>
      <c r="AD733" s="732" t="n"/>
      <c r="AE733" s="732" t="n"/>
    </row>
    <row r="734">
      <c r="AC734" s="732" t="n"/>
      <c r="AD734" s="732" t="n"/>
      <c r="AE734" s="732" t="n"/>
    </row>
    <row r="735">
      <c r="AC735" s="732" t="n"/>
      <c r="AD735" s="732" t="n"/>
      <c r="AE735" s="732" t="n"/>
    </row>
    <row r="736">
      <c r="AC736" s="732" t="n"/>
      <c r="AD736" s="732" t="n"/>
      <c r="AE736" s="732" t="n"/>
    </row>
    <row r="737">
      <c r="AC737" s="732" t="n"/>
      <c r="AD737" s="732" t="n"/>
      <c r="AE737" s="732" t="n"/>
    </row>
    <row r="738">
      <c r="AC738" s="732" t="n"/>
      <c r="AD738" s="732" t="n"/>
      <c r="AE738" s="732" t="n"/>
    </row>
    <row r="739">
      <c r="AC739" s="732" t="n"/>
      <c r="AD739" s="732" t="n"/>
      <c r="AE739" s="732" t="n"/>
    </row>
    <row r="740">
      <c r="AC740" s="732" t="n"/>
      <c r="AD740" s="732" t="n"/>
      <c r="AE740" s="732" t="n"/>
    </row>
    <row r="741">
      <c r="AC741" s="732" t="n"/>
      <c r="AD741" s="732" t="n"/>
      <c r="AE741" s="732" t="n"/>
    </row>
    <row r="742">
      <c r="AC742" s="732" t="n"/>
      <c r="AD742" s="732" t="n"/>
      <c r="AE742" s="732" t="n"/>
    </row>
    <row r="743">
      <c r="AC743" s="732" t="n"/>
      <c r="AD743" s="732" t="n"/>
      <c r="AE743" s="732" t="n"/>
    </row>
    <row r="744">
      <c r="AC744" s="732" t="n"/>
      <c r="AD744" s="732" t="n"/>
      <c r="AE744" s="732" t="n"/>
    </row>
    <row r="745">
      <c r="AC745" s="732" t="n"/>
      <c r="AD745" s="732" t="n"/>
      <c r="AE745" s="732" t="n"/>
    </row>
    <row r="746">
      <c r="AC746" s="732" t="n"/>
      <c r="AD746" s="732" t="n"/>
      <c r="AE746" s="732" t="n"/>
    </row>
    <row r="747">
      <c r="AC747" s="732" t="n"/>
      <c r="AD747" s="732" t="n"/>
      <c r="AE747" s="732" t="n"/>
    </row>
    <row r="748">
      <c r="AC748" s="732" t="n"/>
      <c r="AD748" s="732" t="n"/>
      <c r="AE748" s="732" t="n"/>
    </row>
    <row r="749">
      <c r="AC749" s="732" t="n"/>
      <c r="AD749" s="732" t="n"/>
      <c r="AE749" s="732" t="n"/>
    </row>
    <row r="750">
      <c r="AC750" s="732" t="n"/>
      <c r="AD750" s="732" t="n"/>
      <c r="AE750" s="732" t="n"/>
    </row>
    <row r="751">
      <c r="AC751" s="732" t="n"/>
      <c r="AD751" s="732" t="n"/>
      <c r="AE751" s="732" t="n"/>
    </row>
    <row r="752">
      <c r="AC752" s="732" t="n"/>
      <c r="AD752" s="732" t="n"/>
      <c r="AE752" s="732" t="n"/>
    </row>
    <row r="753">
      <c r="AC753" s="732" t="n"/>
      <c r="AD753" s="732" t="n"/>
      <c r="AE753" s="732" t="n"/>
    </row>
    <row r="754">
      <c r="AC754" s="732" t="n"/>
      <c r="AD754" s="732" t="n"/>
      <c r="AE754" s="732" t="n"/>
    </row>
    <row r="755">
      <c r="AC755" s="732" t="n"/>
      <c r="AD755" s="732" t="n"/>
      <c r="AE755" s="732" t="n"/>
    </row>
    <row r="756">
      <c r="AC756" s="732" t="n"/>
      <c r="AD756" s="732" t="n"/>
      <c r="AE756" s="732" t="n"/>
    </row>
    <row r="757">
      <c r="AC757" s="732" t="n"/>
      <c r="AD757" s="732" t="n"/>
      <c r="AE757" s="732" t="n"/>
    </row>
    <row r="758">
      <c r="AC758" s="732" t="n"/>
      <c r="AD758" s="732" t="n"/>
      <c r="AE758" s="732" t="n"/>
    </row>
    <row r="759">
      <c r="AC759" s="732" t="n"/>
      <c r="AD759" s="732" t="n"/>
      <c r="AE759" s="732" t="n"/>
    </row>
    <row r="760">
      <c r="AC760" s="732" t="n"/>
      <c r="AD760" s="732" t="n"/>
      <c r="AE760" s="732" t="n"/>
    </row>
    <row r="761">
      <c r="AC761" s="732" t="n"/>
      <c r="AD761" s="732" t="n"/>
      <c r="AE761" s="732" t="n"/>
    </row>
    <row r="762">
      <c r="AC762" s="732" t="n"/>
      <c r="AD762" s="732" t="n"/>
      <c r="AE762" s="732" t="n"/>
    </row>
    <row r="763">
      <c r="AC763" s="732" t="n"/>
      <c r="AD763" s="732" t="n"/>
      <c r="AE763" s="732" t="n"/>
    </row>
    <row r="764">
      <c r="AC764" s="732" t="n"/>
      <c r="AD764" s="732" t="n"/>
      <c r="AE764" s="732" t="n"/>
    </row>
    <row r="765">
      <c r="AC765" s="732" t="n"/>
      <c r="AD765" s="732" t="n"/>
      <c r="AE765" s="732" t="n"/>
    </row>
    <row r="766">
      <c r="AC766" s="732" t="n"/>
      <c r="AD766" s="732" t="n"/>
      <c r="AE766" s="732" t="n"/>
    </row>
    <row r="767">
      <c r="AC767" s="732" t="n"/>
      <c r="AD767" s="732" t="n"/>
      <c r="AE767" s="732" t="n"/>
    </row>
    <row r="768">
      <c r="AC768" s="732" t="n"/>
      <c r="AD768" s="732" t="n"/>
      <c r="AE768" s="732" t="n"/>
    </row>
    <row r="769">
      <c r="AC769" s="732" t="n"/>
      <c r="AD769" s="732" t="n"/>
      <c r="AE769" s="732" t="n"/>
    </row>
    <row r="770">
      <c r="AC770" s="732" t="n"/>
      <c r="AD770" s="732" t="n"/>
      <c r="AE770" s="732" t="n"/>
    </row>
    <row r="771">
      <c r="AC771" s="732" t="n"/>
      <c r="AD771" s="732" t="n"/>
      <c r="AE771" s="732" t="n"/>
    </row>
    <row r="772">
      <c r="AC772" s="732" t="n"/>
      <c r="AD772" s="732" t="n"/>
      <c r="AE772" s="732" t="n"/>
    </row>
    <row r="773">
      <c r="AC773" s="732" t="n"/>
      <c r="AD773" s="732" t="n"/>
      <c r="AE773" s="732" t="n"/>
    </row>
    <row r="774">
      <c r="AC774" s="732" t="n"/>
      <c r="AD774" s="732" t="n"/>
      <c r="AE774" s="732" t="n"/>
    </row>
    <row r="775">
      <c r="AC775" s="732" t="n"/>
      <c r="AD775" s="732" t="n"/>
      <c r="AE775" s="732" t="n"/>
    </row>
    <row r="776">
      <c r="AC776" s="732" t="n"/>
      <c r="AD776" s="732" t="n"/>
      <c r="AE776" s="732" t="n"/>
    </row>
    <row r="777">
      <c r="AC777" s="732" t="n"/>
      <c r="AD777" s="732" t="n"/>
      <c r="AE777" s="732" t="n"/>
    </row>
    <row r="778">
      <c r="AC778" s="732" t="n"/>
      <c r="AD778" s="732" t="n"/>
      <c r="AE778" s="732" t="n"/>
    </row>
    <row r="779">
      <c r="AC779" s="732" t="n"/>
      <c r="AD779" s="732" t="n"/>
      <c r="AE779" s="732" t="n"/>
    </row>
    <row r="780">
      <c r="AC780" s="732" t="n"/>
      <c r="AD780" s="732" t="n"/>
      <c r="AE780" s="732" t="n"/>
    </row>
    <row r="781">
      <c r="AC781" s="732" t="n"/>
      <c r="AD781" s="732" t="n"/>
      <c r="AE781" s="732" t="n"/>
    </row>
    <row r="782">
      <c r="AC782" s="732" t="n"/>
      <c r="AD782" s="732" t="n"/>
      <c r="AE782" s="732" t="n"/>
    </row>
    <row r="783">
      <c r="AC783" s="732" t="n"/>
      <c r="AD783" s="732" t="n"/>
      <c r="AE783" s="732" t="n"/>
    </row>
    <row r="784">
      <c r="AC784" s="732" t="n"/>
      <c r="AD784" s="732" t="n"/>
      <c r="AE784" s="732" t="n"/>
    </row>
    <row r="785">
      <c r="AC785" s="732" t="n"/>
      <c r="AD785" s="732" t="n"/>
      <c r="AE785" s="732" t="n"/>
    </row>
    <row r="786">
      <c r="AC786" s="732" t="n"/>
      <c r="AD786" s="732" t="n"/>
      <c r="AE786" s="732" t="n"/>
    </row>
    <row r="787">
      <c r="AC787" s="732" t="n"/>
      <c r="AD787" s="732" t="n"/>
      <c r="AE787" s="732" t="n"/>
    </row>
    <row r="788">
      <c r="AC788" s="732" t="n"/>
      <c r="AD788" s="732" t="n"/>
      <c r="AE788" s="732" t="n"/>
    </row>
    <row r="789">
      <c r="AC789" s="732" t="n"/>
      <c r="AD789" s="732" t="n"/>
      <c r="AE789" s="732" t="n"/>
    </row>
    <row r="790">
      <c r="AC790" s="732" t="n"/>
      <c r="AD790" s="732" t="n"/>
      <c r="AE790" s="732" t="n"/>
    </row>
    <row r="791">
      <c r="AC791" s="732" t="n"/>
      <c r="AD791" s="732" t="n"/>
      <c r="AE791" s="732" t="n"/>
    </row>
    <row r="792">
      <c r="AC792" s="732" t="n"/>
      <c r="AD792" s="732" t="n"/>
      <c r="AE792" s="732" t="n"/>
    </row>
    <row r="793">
      <c r="AC793" s="732" t="n"/>
      <c r="AD793" s="732" t="n"/>
      <c r="AE793" s="732" t="n"/>
    </row>
    <row r="794">
      <c r="AC794" s="732" t="n"/>
      <c r="AD794" s="732" t="n"/>
      <c r="AE794" s="732" t="n"/>
    </row>
    <row r="795">
      <c r="AC795" s="732" t="n"/>
      <c r="AD795" s="732" t="n"/>
      <c r="AE795" s="732" t="n"/>
    </row>
    <row r="796">
      <c r="AC796" s="732" t="n"/>
      <c r="AD796" s="732" t="n"/>
      <c r="AE796" s="732" t="n"/>
    </row>
    <row r="797">
      <c r="AC797" s="732" t="n"/>
      <c r="AD797" s="732" t="n"/>
      <c r="AE797" s="732" t="n"/>
    </row>
    <row r="798">
      <c r="AC798" s="732" t="n"/>
      <c r="AD798" s="732" t="n"/>
      <c r="AE798" s="732" t="n"/>
    </row>
    <row r="799">
      <c r="AC799" s="732" t="n"/>
      <c r="AD799" s="732" t="n"/>
      <c r="AE799" s="732" t="n"/>
    </row>
    <row r="800">
      <c r="AC800" s="732" t="n"/>
      <c r="AD800" s="732" t="n"/>
      <c r="AE800" s="732" t="n"/>
    </row>
    <row r="801">
      <c r="AC801" s="732" t="n"/>
      <c r="AD801" s="732" t="n"/>
      <c r="AE801" s="732" t="n"/>
    </row>
    <row r="802">
      <c r="AC802" s="732" t="n"/>
      <c r="AD802" s="732" t="n"/>
      <c r="AE802" s="732" t="n"/>
    </row>
    <row r="803">
      <c r="AC803" s="732" t="n"/>
      <c r="AD803" s="732" t="n"/>
      <c r="AE803" s="732" t="n"/>
    </row>
    <row r="804">
      <c r="AC804" s="732" t="n"/>
      <c r="AD804" s="732" t="n"/>
      <c r="AE804" s="732" t="n"/>
    </row>
    <row r="805">
      <c r="AC805" s="732" t="n"/>
      <c r="AD805" s="732" t="n"/>
      <c r="AE805" s="732" t="n"/>
    </row>
    <row r="806">
      <c r="AC806" s="732" t="n"/>
      <c r="AD806" s="732" t="n"/>
      <c r="AE806" s="732" t="n"/>
    </row>
    <row r="807">
      <c r="AC807" s="732" t="n"/>
      <c r="AD807" s="732" t="n"/>
      <c r="AE807" s="732" t="n"/>
    </row>
    <row r="808">
      <c r="AC808" s="732" t="n"/>
      <c r="AD808" s="732" t="n"/>
      <c r="AE808" s="732" t="n"/>
    </row>
    <row r="809">
      <c r="AC809" s="732" t="n"/>
      <c r="AD809" s="732" t="n"/>
      <c r="AE809" s="732" t="n"/>
    </row>
    <row r="810">
      <c r="AC810" s="732" t="n"/>
      <c r="AD810" s="732" t="n"/>
      <c r="AE810" s="732" t="n"/>
    </row>
    <row r="811">
      <c r="AC811" s="732" t="n"/>
      <c r="AD811" s="732" t="n"/>
      <c r="AE811" s="732" t="n"/>
    </row>
    <row r="812">
      <c r="AC812" s="732" t="n"/>
      <c r="AD812" s="732" t="n"/>
      <c r="AE812" s="732" t="n"/>
    </row>
    <row r="813">
      <c r="AC813" s="732" t="n"/>
      <c r="AD813" s="732" t="n"/>
      <c r="AE813" s="732" t="n"/>
    </row>
    <row r="814">
      <c r="AC814" s="732" t="n"/>
      <c r="AD814" s="732" t="n"/>
      <c r="AE814" s="732" t="n"/>
    </row>
    <row r="815">
      <c r="AC815" s="732" t="n"/>
      <c r="AD815" s="732" t="n"/>
      <c r="AE815" s="732" t="n"/>
    </row>
    <row r="816">
      <c r="AC816" s="732" t="n"/>
      <c r="AD816" s="732" t="n"/>
      <c r="AE816" s="732" t="n"/>
    </row>
    <row r="817">
      <c r="AC817" s="732" t="n"/>
      <c r="AD817" s="732" t="n"/>
      <c r="AE817" s="732" t="n"/>
    </row>
    <row r="818">
      <c r="AC818" s="732" t="n"/>
      <c r="AD818" s="732" t="n"/>
      <c r="AE818" s="732" t="n"/>
    </row>
    <row r="819">
      <c r="AC819" s="732" t="n"/>
      <c r="AD819" s="732" t="n"/>
      <c r="AE819" s="732" t="n"/>
    </row>
    <row r="820">
      <c r="AC820" s="732" t="n"/>
      <c r="AD820" s="732" t="n"/>
      <c r="AE820" s="732" t="n"/>
    </row>
    <row r="821">
      <c r="AC821" s="732" t="n"/>
      <c r="AD821" s="732" t="n"/>
      <c r="AE821" s="732" t="n"/>
    </row>
    <row r="822">
      <c r="AC822" s="732" t="n"/>
      <c r="AD822" s="732" t="n"/>
      <c r="AE822" s="732" t="n"/>
    </row>
    <row r="823">
      <c r="AC823" s="732" t="n"/>
      <c r="AD823" s="732" t="n"/>
      <c r="AE823" s="732" t="n"/>
    </row>
    <row r="824">
      <c r="AC824" s="732" t="n"/>
      <c r="AD824" s="732" t="n"/>
      <c r="AE824" s="732" t="n"/>
    </row>
    <row r="825">
      <c r="AC825" s="732" t="n"/>
      <c r="AD825" s="732" t="n"/>
      <c r="AE825" s="732" t="n"/>
    </row>
    <row r="826">
      <c r="AC826" s="732" t="n"/>
      <c r="AD826" s="732" t="n"/>
      <c r="AE826" s="732" t="n"/>
    </row>
    <row r="827">
      <c r="AC827" s="732" t="n"/>
      <c r="AD827" s="732" t="n"/>
      <c r="AE827" s="732" t="n"/>
    </row>
    <row r="828">
      <c r="AC828" s="732" t="n"/>
      <c r="AD828" s="732" t="n"/>
      <c r="AE828" s="732" t="n"/>
    </row>
    <row r="829">
      <c r="AC829" s="732" t="n"/>
      <c r="AD829" s="732" t="n"/>
      <c r="AE829" s="732" t="n"/>
    </row>
    <row r="830">
      <c r="AC830" s="732" t="n"/>
      <c r="AD830" s="732" t="n"/>
      <c r="AE830" s="732" t="n"/>
    </row>
    <row r="831">
      <c r="AC831" s="732" t="n"/>
      <c r="AD831" s="732" t="n"/>
      <c r="AE831" s="732" t="n"/>
    </row>
    <row r="832">
      <c r="AC832" s="732" t="n"/>
      <c r="AD832" s="732" t="n"/>
      <c r="AE832" s="732" t="n"/>
    </row>
    <row r="833">
      <c r="AC833" s="732" t="n"/>
      <c r="AD833" s="732" t="n"/>
      <c r="AE833" s="732" t="n"/>
    </row>
    <row r="834">
      <c r="AC834" s="732" t="n"/>
      <c r="AD834" s="732" t="n"/>
      <c r="AE834" s="732" t="n"/>
    </row>
    <row r="835">
      <c r="AC835" s="732" t="n"/>
      <c r="AD835" s="732" t="n"/>
      <c r="AE835" s="732" t="n"/>
    </row>
    <row r="836">
      <c r="AC836" s="732" t="n"/>
      <c r="AD836" s="732" t="n"/>
      <c r="AE836" s="732" t="n"/>
    </row>
    <row r="837">
      <c r="AC837" s="732" t="n"/>
      <c r="AD837" s="732" t="n"/>
      <c r="AE837" s="732" t="n"/>
    </row>
    <row r="838">
      <c r="AC838" s="732" t="n"/>
      <c r="AD838" s="732" t="n"/>
      <c r="AE838" s="732" t="n"/>
    </row>
    <row r="839">
      <c r="AC839" s="732" t="n"/>
      <c r="AD839" s="732" t="n"/>
      <c r="AE839" s="732" t="n"/>
    </row>
    <row r="840">
      <c r="AC840" s="732" t="n"/>
      <c r="AD840" s="732" t="n"/>
      <c r="AE840" s="732" t="n"/>
    </row>
    <row r="841">
      <c r="AC841" s="732" t="n"/>
      <c r="AD841" s="732" t="n"/>
      <c r="AE841" s="732" t="n"/>
    </row>
    <row r="842">
      <c r="AC842" s="732" t="n"/>
      <c r="AD842" s="732" t="n"/>
      <c r="AE842" s="732" t="n"/>
    </row>
    <row r="843">
      <c r="AC843" s="732" t="n"/>
      <c r="AD843" s="732" t="n"/>
      <c r="AE843" s="732" t="n"/>
    </row>
    <row r="844">
      <c r="AC844" s="732" t="n"/>
      <c r="AD844" s="732" t="n"/>
      <c r="AE844" s="732" t="n"/>
    </row>
    <row r="845">
      <c r="AC845" s="732" t="n"/>
      <c r="AD845" s="732" t="n"/>
      <c r="AE845" s="732" t="n"/>
    </row>
    <row r="846">
      <c r="AC846" s="732" t="n"/>
      <c r="AD846" s="732" t="n"/>
      <c r="AE846" s="732" t="n"/>
    </row>
    <row r="847">
      <c r="AC847" s="732" t="n"/>
      <c r="AD847" s="732" t="n"/>
      <c r="AE847" s="732" t="n"/>
    </row>
    <row r="848">
      <c r="AC848" s="732" t="n"/>
      <c r="AD848" s="732" t="n"/>
      <c r="AE848" s="732" t="n"/>
    </row>
    <row r="849">
      <c r="AC849" s="732" t="n"/>
      <c r="AD849" s="732" t="n"/>
      <c r="AE849" s="732" t="n"/>
    </row>
    <row r="850">
      <c r="AC850" s="732" t="n"/>
      <c r="AD850" s="732" t="n"/>
      <c r="AE850" s="732" t="n"/>
    </row>
    <row r="851">
      <c r="AC851" s="732" t="n"/>
      <c r="AD851" s="732" t="n"/>
      <c r="AE851" s="732" t="n"/>
    </row>
    <row r="852">
      <c r="AC852" s="732" t="n"/>
      <c r="AD852" s="732" t="n"/>
      <c r="AE852" s="732" t="n"/>
    </row>
    <row r="853">
      <c r="AC853" s="732" t="n"/>
      <c r="AD853" s="732" t="n"/>
      <c r="AE853" s="732" t="n"/>
    </row>
    <row r="854">
      <c r="AC854" s="732" t="n"/>
      <c r="AD854" s="732" t="n"/>
      <c r="AE854" s="732" t="n"/>
    </row>
    <row r="855">
      <c r="AC855" s="732" t="n"/>
      <c r="AD855" s="732" t="n"/>
      <c r="AE855" s="732" t="n"/>
    </row>
    <row r="856">
      <c r="AC856" s="732" t="n"/>
      <c r="AD856" s="732" t="n"/>
      <c r="AE856" s="732" t="n"/>
    </row>
    <row r="857">
      <c r="AC857" s="732" t="n"/>
      <c r="AD857" s="732" t="n"/>
      <c r="AE857" s="732" t="n"/>
    </row>
    <row r="858">
      <c r="AC858" s="732" t="n"/>
      <c r="AD858" s="732" t="n"/>
      <c r="AE858" s="732" t="n"/>
    </row>
    <row r="859">
      <c r="AC859" s="732" t="n"/>
      <c r="AD859" s="732" t="n"/>
      <c r="AE859" s="732" t="n"/>
    </row>
    <row r="860">
      <c r="AC860" s="732" t="n"/>
      <c r="AD860" s="732" t="n"/>
      <c r="AE860" s="732" t="n"/>
    </row>
    <row r="861">
      <c r="AC861" s="732" t="n"/>
      <c r="AD861" s="732" t="n"/>
      <c r="AE861" s="732" t="n"/>
    </row>
    <row r="862">
      <c r="AC862" s="732" t="n"/>
      <c r="AD862" s="732" t="n"/>
      <c r="AE862" s="732" t="n"/>
    </row>
    <row r="863">
      <c r="AC863" s="732" t="n"/>
      <c r="AD863" s="732" t="n"/>
      <c r="AE863" s="732" t="n"/>
    </row>
    <row r="864">
      <c r="AC864" s="732" t="n"/>
      <c r="AD864" s="732" t="n"/>
      <c r="AE864" s="732" t="n"/>
    </row>
    <row r="865">
      <c r="AC865" s="732" t="n"/>
      <c r="AD865" s="732" t="n"/>
      <c r="AE865" s="732" t="n"/>
    </row>
    <row r="866">
      <c r="AC866" s="732" t="n"/>
      <c r="AD866" s="732" t="n"/>
      <c r="AE866" s="732" t="n"/>
    </row>
    <row r="867">
      <c r="AC867" s="732" t="n"/>
      <c r="AD867" s="732" t="n"/>
      <c r="AE867" s="732" t="n"/>
    </row>
    <row r="868">
      <c r="AC868" s="732" t="n"/>
      <c r="AD868" s="732" t="n"/>
      <c r="AE868" s="732" t="n"/>
    </row>
    <row r="869">
      <c r="AC869" s="732" t="n"/>
      <c r="AD869" s="732" t="n"/>
      <c r="AE869" s="732" t="n"/>
    </row>
    <row r="870">
      <c r="AC870" s="732" t="n"/>
      <c r="AD870" s="732" t="n"/>
      <c r="AE870" s="732" t="n"/>
    </row>
    <row r="871">
      <c r="AC871" s="732" t="n"/>
      <c r="AD871" s="732" t="n"/>
      <c r="AE871" s="732" t="n"/>
    </row>
    <row r="872">
      <c r="AC872" s="732" t="n"/>
      <c r="AD872" s="732" t="n"/>
      <c r="AE872" s="732" t="n"/>
    </row>
    <row r="873">
      <c r="AC873" s="732" t="n"/>
      <c r="AD873" s="732" t="n"/>
      <c r="AE873" s="732" t="n"/>
    </row>
    <row r="874">
      <c r="AC874" s="732" t="n"/>
      <c r="AD874" s="732" t="n"/>
      <c r="AE874" s="732" t="n"/>
    </row>
    <row r="875">
      <c r="AC875" s="732" t="n"/>
      <c r="AD875" s="732" t="n"/>
      <c r="AE875" s="732" t="n"/>
    </row>
    <row r="876">
      <c r="AC876" s="732" t="n"/>
      <c r="AD876" s="732" t="n"/>
      <c r="AE876" s="732" t="n"/>
    </row>
    <row r="877">
      <c r="AC877" s="732" t="n"/>
      <c r="AD877" s="732" t="n"/>
      <c r="AE877" s="732" t="n"/>
    </row>
    <row r="878">
      <c r="AC878" s="732" t="n"/>
      <c r="AD878" s="732" t="n"/>
      <c r="AE878" s="732" t="n"/>
    </row>
    <row r="879">
      <c r="AC879" s="732" t="n"/>
      <c r="AD879" s="732" t="n"/>
      <c r="AE879" s="732" t="n"/>
    </row>
    <row r="880">
      <c r="AC880" s="732" t="n"/>
      <c r="AD880" s="732" t="n"/>
      <c r="AE880" s="732" t="n"/>
    </row>
    <row r="881">
      <c r="AC881" s="732" t="n"/>
      <c r="AD881" s="732" t="n"/>
      <c r="AE881" s="732" t="n"/>
    </row>
    <row r="882">
      <c r="AC882" s="732" t="n"/>
      <c r="AD882" s="732" t="n"/>
      <c r="AE882" s="732" t="n"/>
    </row>
    <row r="883">
      <c r="AC883" s="732" t="n"/>
      <c r="AD883" s="732" t="n"/>
      <c r="AE883" s="732" t="n"/>
    </row>
    <row r="884">
      <c r="AC884" s="732" t="n"/>
      <c r="AD884" s="732" t="n"/>
      <c r="AE884" s="732" t="n"/>
    </row>
    <row r="885">
      <c r="AC885" s="732" t="n"/>
      <c r="AD885" s="732" t="n"/>
      <c r="AE885" s="732" t="n"/>
    </row>
    <row r="886">
      <c r="AC886" s="732" t="n"/>
      <c r="AD886" s="732" t="n"/>
      <c r="AE886" s="732" t="n"/>
    </row>
    <row r="887">
      <c r="AC887" s="732" t="n"/>
      <c r="AD887" s="732" t="n"/>
      <c r="AE887" s="732" t="n"/>
    </row>
    <row r="888">
      <c r="AC888" s="732" t="n"/>
      <c r="AD888" s="732" t="n"/>
      <c r="AE888" s="732" t="n"/>
    </row>
    <row r="889">
      <c r="AC889" s="732" t="n"/>
      <c r="AD889" s="732" t="n"/>
      <c r="AE889" s="732" t="n"/>
    </row>
    <row r="890">
      <c r="AC890" s="732" t="n"/>
      <c r="AD890" s="732" t="n"/>
      <c r="AE890" s="732" t="n"/>
    </row>
    <row r="891">
      <c r="AC891" s="732" t="n"/>
      <c r="AD891" s="732" t="n"/>
      <c r="AE891" s="732" t="n"/>
    </row>
    <row r="892">
      <c r="AC892" s="732" t="n"/>
      <c r="AD892" s="732" t="n"/>
      <c r="AE892" s="732" t="n"/>
    </row>
    <row r="893">
      <c r="AC893" s="732" t="n"/>
      <c r="AD893" s="732" t="n"/>
      <c r="AE893" s="732" t="n"/>
    </row>
    <row r="894">
      <c r="AC894" s="732" t="n"/>
      <c r="AD894" s="732" t="n"/>
      <c r="AE894" s="732" t="n"/>
    </row>
    <row r="895">
      <c r="AC895" s="732" t="n"/>
      <c r="AD895" s="732" t="n"/>
      <c r="AE895" s="732" t="n"/>
    </row>
    <row r="896">
      <c r="AC896" s="732" t="n"/>
      <c r="AD896" s="732" t="n"/>
      <c r="AE896" s="732" t="n"/>
    </row>
    <row r="897">
      <c r="AC897" s="732" t="n"/>
      <c r="AD897" s="732" t="n"/>
      <c r="AE897" s="732" t="n"/>
    </row>
    <row r="898">
      <c r="AC898" s="732" t="n"/>
      <c r="AD898" s="732" t="n"/>
      <c r="AE898" s="732" t="n"/>
    </row>
    <row r="899">
      <c r="AC899" s="732" t="n"/>
      <c r="AD899" s="732" t="n"/>
      <c r="AE899" s="732" t="n"/>
    </row>
    <row r="900">
      <c r="AC900" s="732" t="n"/>
      <c r="AD900" s="732" t="n"/>
      <c r="AE900" s="732" t="n"/>
    </row>
    <row r="901">
      <c r="AC901" s="732" t="n"/>
      <c r="AD901" s="732" t="n"/>
      <c r="AE901" s="732" t="n"/>
    </row>
    <row r="902">
      <c r="AC902" s="732" t="n"/>
      <c r="AD902" s="732" t="n"/>
      <c r="AE902" s="732" t="n"/>
    </row>
    <row r="903">
      <c r="AC903" s="732" t="n"/>
      <c r="AD903" s="732" t="n"/>
      <c r="AE903" s="732" t="n"/>
    </row>
    <row r="904">
      <c r="AC904" s="732" t="n"/>
      <c r="AD904" s="732" t="n"/>
      <c r="AE904" s="732" t="n"/>
    </row>
    <row r="905">
      <c r="AC905" s="732" t="n"/>
      <c r="AD905" s="732" t="n"/>
      <c r="AE905" s="732" t="n"/>
    </row>
    <row r="906">
      <c r="AC906" s="732" t="n"/>
      <c r="AD906" s="732" t="n"/>
      <c r="AE906" s="732" t="n"/>
    </row>
    <row r="907">
      <c r="AC907" s="732" t="n"/>
      <c r="AD907" s="732" t="n"/>
      <c r="AE907" s="732" t="n"/>
    </row>
    <row r="908">
      <c r="AC908" s="732" t="n"/>
      <c r="AD908" s="732" t="n"/>
      <c r="AE908" s="732" t="n"/>
    </row>
    <row r="909">
      <c r="AC909" s="732" t="n"/>
      <c r="AD909" s="732" t="n"/>
      <c r="AE909" s="732" t="n"/>
    </row>
    <row r="910">
      <c r="AC910" s="732" t="n"/>
      <c r="AD910" s="732" t="n"/>
      <c r="AE910" s="732" t="n"/>
    </row>
    <row r="911">
      <c r="AC911" s="732" t="n"/>
      <c r="AD911" s="732" t="n"/>
      <c r="AE911" s="732" t="n"/>
    </row>
    <row r="912">
      <c r="AC912" s="732" t="n"/>
      <c r="AD912" s="732" t="n"/>
      <c r="AE912" s="732" t="n"/>
    </row>
    <row r="913">
      <c r="AC913" s="732" t="n"/>
      <c r="AD913" s="732" t="n"/>
      <c r="AE913" s="732" t="n"/>
    </row>
    <row r="914">
      <c r="AC914" s="732" t="n"/>
      <c r="AD914" s="732" t="n"/>
      <c r="AE914" s="732" t="n"/>
    </row>
    <row r="915">
      <c r="AC915" s="732" t="n"/>
      <c r="AD915" s="732" t="n"/>
      <c r="AE915" s="732" t="n"/>
    </row>
    <row r="916">
      <c r="AC916" s="732" t="n"/>
      <c r="AD916" s="732" t="n"/>
      <c r="AE916" s="732" t="n"/>
    </row>
    <row r="917">
      <c r="AC917" s="732" t="n"/>
      <c r="AD917" s="732" t="n"/>
      <c r="AE917" s="732" t="n"/>
    </row>
    <row r="918">
      <c r="AC918" s="732" t="n"/>
      <c r="AD918" s="732" t="n"/>
      <c r="AE918" s="732" t="n"/>
    </row>
    <row r="919">
      <c r="AC919" s="732" t="n"/>
      <c r="AD919" s="732" t="n"/>
      <c r="AE919" s="732" t="n"/>
    </row>
    <row r="920">
      <c r="AC920" s="732" t="n"/>
      <c r="AD920" s="732" t="n"/>
      <c r="AE920" s="732" t="n"/>
    </row>
    <row r="921">
      <c r="AC921" s="732" t="n"/>
      <c r="AD921" s="732" t="n"/>
      <c r="AE921" s="732" t="n"/>
    </row>
    <row r="922">
      <c r="AC922" s="732" t="n"/>
      <c r="AD922" s="732" t="n"/>
      <c r="AE922" s="732" t="n"/>
    </row>
    <row r="923">
      <c r="AC923" s="732" t="n"/>
      <c r="AD923" s="732" t="n"/>
      <c r="AE923" s="732" t="n"/>
    </row>
    <row r="924">
      <c r="AC924" s="732" t="n"/>
      <c r="AD924" s="732" t="n"/>
      <c r="AE924" s="732" t="n"/>
    </row>
    <row r="925">
      <c r="AC925" s="732" t="n"/>
      <c r="AD925" s="732" t="n"/>
      <c r="AE925" s="732" t="n"/>
    </row>
    <row r="926">
      <c r="AC926" s="732" t="n"/>
      <c r="AD926" s="732" t="n"/>
      <c r="AE926" s="732" t="n"/>
    </row>
    <row r="927">
      <c r="AC927" s="732" t="n"/>
      <c r="AD927" s="732" t="n"/>
      <c r="AE927" s="732" t="n"/>
    </row>
    <row r="928">
      <c r="AC928" s="732" t="n"/>
      <c r="AD928" s="732" t="n"/>
      <c r="AE928" s="732" t="n"/>
    </row>
    <row r="929">
      <c r="AC929" s="732" t="n"/>
      <c r="AD929" s="732" t="n"/>
      <c r="AE929" s="732" t="n"/>
    </row>
    <row r="930">
      <c r="AC930" s="732" t="n"/>
      <c r="AD930" s="732" t="n"/>
      <c r="AE930" s="732" t="n"/>
    </row>
    <row r="931">
      <c r="AC931" s="732" t="n"/>
      <c r="AD931" s="732" t="n"/>
      <c r="AE931" s="732" t="n"/>
    </row>
    <row r="932">
      <c r="AC932" s="732" t="n"/>
      <c r="AD932" s="732" t="n"/>
      <c r="AE932" s="732" t="n"/>
    </row>
    <row r="933">
      <c r="AC933" s="732" t="n"/>
      <c r="AD933" s="732" t="n"/>
      <c r="AE933" s="732" t="n"/>
    </row>
    <row r="934">
      <c r="AC934" s="732" t="n"/>
      <c r="AD934" s="732" t="n"/>
      <c r="AE934" s="732" t="n"/>
    </row>
    <row r="935">
      <c r="AC935" s="732" t="n"/>
      <c r="AD935" s="732" t="n"/>
      <c r="AE935" s="732" t="n"/>
    </row>
    <row r="936">
      <c r="AC936" s="732" t="n"/>
      <c r="AD936" s="732" t="n"/>
      <c r="AE936" s="732" t="n"/>
    </row>
    <row r="937">
      <c r="AC937" s="732" t="n"/>
      <c r="AD937" s="732" t="n"/>
      <c r="AE937" s="732" t="n"/>
    </row>
    <row r="938">
      <c r="AC938" s="732" t="n"/>
      <c r="AD938" s="732" t="n"/>
      <c r="AE938" s="732" t="n"/>
    </row>
    <row r="939">
      <c r="AC939" s="732" t="n"/>
      <c r="AD939" s="732" t="n"/>
      <c r="AE939" s="732" t="n"/>
    </row>
    <row r="940">
      <c r="AC940" s="732" t="n"/>
      <c r="AD940" s="732" t="n"/>
      <c r="AE940" s="732" t="n"/>
    </row>
    <row r="941">
      <c r="AC941" s="732" t="n"/>
      <c r="AD941" s="732" t="n"/>
      <c r="AE941" s="732" t="n"/>
    </row>
    <row r="942">
      <c r="AC942" s="732" t="n"/>
      <c r="AD942" s="732" t="n"/>
      <c r="AE942" s="732" t="n"/>
    </row>
    <row r="943">
      <c r="AC943" s="732" t="n"/>
      <c r="AD943" s="732" t="n"/>
      <c r="AE943" s="732" t="n"/>
    </row>
    <row r="944">
      <c r="AC944" s="732" t="n"/>
      <c r="AD944" s="732" t="n"/>
      <c r="AE944" s="732" t="n"/>
    </row>
    <row r="945">
      <c r="AC945" s="732" t="n"/>
      <c r="AD945" s="732" t="n"/>
      <c r="AE945" s="732" t="n"/>
    </row>
    <row r="946">
      <c r="AC946" s="732" t="n"/>
      <c r="AD946" s="732" t="n"/>
      <c r="AE946" s="732" t="n"/>
    </row>
    <row r="947">
      <c r="AC947" s="732" t="n"/>
      <c r="AD947" s="732" t="n"/>
      <c r="AE947" s="732" t="n"/>
    </row>
    <row r="948">
      <c r="AC948" s="732" t="n"/>
      <c r="AD948" s="732" t="n"/>
      <c r="AE948" s="732" t="n"/>
    </row>
    <row r="949">
      <c r="AC949" s="732" t="n"/>
      <c r="AD949" s="732" t="n"/>
      <c r="AE949" s="732" t="n"/>
    </row>
    <row r="950">
      <c r="AC950" s="732" t="n"/>
      <c r="AD950" s="732" t="n"/>
      <c r="AE950" s="732" t="n"/>
    </row>
    <row r="951">
      <c r="AC951" s="732" t="n"/>
      <c r="AD951" s="732" t="n"/>
      <c r="AE951" s="732" t="n"/>
    </row>
    <row r="952">
      <c r="AC952" s="732" t="n"/>
      <c r="AD952" s="732" t="n"/>
      <c r="AE952" s="732" t="n"/>
    </row>
    <row r="953">
      <c r="AC953" s="732" t="n"/>
      <c r="AD953" s="732" t="n"/>
      <c r="AE953" s="732" t="n"/>
    </row>
    <row r="954">
      <c r="AC954" s="732" t="n"/>
      <c r="AD954" s="732" t="n"/>
      <c r="AE954" s="732" t="n"/>
    </row>
    <row r="955">
      <c r="AC955" s="732" t="n"/>
      <c r="AD955" s="732" t="n"/>
      <c r="AE955" s="732" t="n"/>
    </row>
    <row r="956">
      <c r="AC956" s="732" t="n"/>
      <c r="AD956" s="732" t="n"/>
      <c r="AE956" s="732" t="n"/>
    </row>
    <row r="957">
      <c r="AC957" s="732" t="n"/>
      <c r="AD957" s="732" t="n"/>
      <c r="AE957" s="732" t="n"/>
    </row>
    <row r="958">
      <c r="AC958" s="732" t="n"/>
      <c r="AD958" s="732" t="n"/>
      <c r="AE958" s="732" t="n"/>
    </row>
    <row r="959">
      <c r="AC959" s="732" t="n"/>
      <c r="AD959" s="732" t="n"/>
      <c r="AE959" s="732" t="n"/>
    </row>
    <row r="960">
      <c r="AC960" s="732" t="n"/>
      <c r="AD960" s="732" t="n"/>
      <c r="AE960" s="732" t="n"/>
    </row>
    <row r="961">
      <c r="AC961" s="732" t="n"/>
      <c r="AD961" s="732" t="n"/>
      <c r="AE961" s="732" t="n"/>
    </row>
    <row r="962">
      <c r="AC962" s="732" t="n"/>
      <c r="AD962" s="732" t="n"/>
      <c r="AE962" s="732" t="n"/>
    </row>
    <row r="963">
      <c r="AC963" s="732" t="n"/>
      <c r="AD963" s="732" t="n"/>
      <c r="AE963" s="732" t="n"/>
    </row>
    <row r="964">
      <c r="AC964" s="732" t="n"/>
      <c r="AD964" s="732" t="n"/>
      <c r="AE964" s="732" t="n"/>
    </row>
    <row r="965">
      <c r="AC965" s="732" t="n"/>
      <c r="AD965" s="732" t="n"/>
      <c r="AE965" s="732" t="n"/>
    </row>
    <row r="966">
      <c r="AC966" s="732" t="n"/>
      <c r="AD966" s="732" t="n"/>
      <c r="AE966" s="732" t="n"/>
    </row>
    <row r="967">
      <c r="AC967" s="732" t="n"/>
      <c r="AD967" s="732" t="n"/>
      <c r="AE967" s="732" t="n"/>
    </row>
    <row r="968">
      <c r="AC968" s="732" t="n"/>
      <c r="AD968" s="732" t="n"/>
      <c r="AE968" s="732" t="n"/>
    </row>
    <row r="969">
      <c r="AC969" s="732" t="n"/>
      <c r="AD969" s="732" t="n"/>
      <c r="AE969" s="732" t="n"/>
    </row>
    <row r="970">
      <c r="AC970" s="732" t="n"/>
      <c r="AD970" s="732" t="n"/>
      <c r="AE970" s="732" t="n"/>
    </row>
    <row r="971">
      <c r="AC971" s="732" t="n"/>
      <c r="AD971" s="732" t="n"/>
      <c r="AE971" s="732" t="n"/>
    </row>
    <row r="972">
      <c r="AC972" s="732" t="n"/>
      <c r="AD972" s="732" t="n"/>
      <c r="AE972" s="732" t="n"/>
    </row>
    <row r="973">
      <c r="AC973" s="732" t="n"/>
      <c r="AD973" s="732" t="n"/>
      <c r="AE973" s="732" t="n"/>
    </row>
    <row r="974">
      <c r="AC974" s="732" t="n"/>
      <c r="AD974" s="732" t="n"/>
      <c r="AE974" s="732" t="n"/>
    </row>
    <row r="975">
      <c r="AC975" s="732" t="n"/>
      <c r="AD975" s="732" t="n"/>
      <c r="AE975" s="732" t="n"/>
    </row>
    <row r="976">
      <c r="AC976" s="732" t="n"/>
      <c r="AD976" s="732" t="n"/>
      <c r="AE976" s="732" t="n"/>
    </row>
    <row r="977">
      <c r="AC977" s="732" t="n"/>
      <c r="AD977" s="732" t="n"/>
      <c r="AE977" s="732" t="n"/>
    </row>
    <row r="978">
      <c r="AC978" s="732" t="n"/>
      <c r="AD978" s="732" t="n"/>
      <c r="AE978" s="732" t="n"/>
    </row>
    <row r="979">
      <c r="AC979" s="732" t="n"/>
      <c r="AD979" s="732" t="n"/>
      <c r="AE979" s="732" t="n"/>
    </row>
    <row r="980">
      <c r="AC980" s="732" t="n"/>
      <c r="AD980" s="732" t="n"/>
      <c r="AE980" s="732" t="n"/>
    </row>
    <row r="981">
      <c r="AC981" s="732" t="n"/>
      <c r="AD981" s="732" t="n"/>
      <c r="AE981" s="732" t="n"/>
    </row>
    <row r="982">
      <c r="AC982" s="732" t="n"/>
      <c r="AD982" s="732" t="n"/>
      <c r="AE982" s="732" t="n"/>
    </row>
    <row r="983">
      <c r="AC983" s="732" t="n"/>
      <c r="AD983" s="732" t="n"/>
      <c r="AE983" s="732" t="n"/>
    </row>
    <row r="984">
      <c r="AC984" s="732" t="n"/>
      <c r="AD984" s="732" t="n"/>
      <c r="AE984" s="732" t="n"/>
    </row>
    <row r="985">
      <c r="AC985" s="732" t="n"/>
      <c r="AD985" s="732" t="n"/>
      <c r="AE985" s="732" t="n"/>
    </row>
    <row r="986">
      <c r="AC986" s="732" t="n"/>
      <c r="AD986" s="732" t="n"/>
      <c r="AE986" s="732" t="n"/>
    </row>
    <row r="987">
      <c r="AC987" s="732" t="n"/>
      <c r="AD987" s="732" t="n"/>
      <c r="AE987" s="732" t="n"/>
    </row>
    <row r="988">
      <c r="AC988" s="732" t="n"/>
      <c r="AD988" s="732" t="n"/>
      <c r="AE988" s="732" t="n"/>
    </row>
    <row r="989">
      <c r="AC989" s="732" t="n"/>
      <c r="AD989" s="732" t="n"/>
      <c r="AE989" s="732" t="n"/>
    </row>
    <row r="990">
      <c r="AC990" s="732" t="n"/>
      <c r="AD990" s="732" t="n"/>
      <c r="AE990" s="732" t="n"/>
    </row>
    <row r="991">
      <c r="AC991" s="732" t="n"/>
      <c r="AD991" s="732" t="n"/>
      <c r="AE991" s="732" t="n"/>
    </row>
    <row r="992">
      <c r="AC992" s="732" t="n"/>
      <c r="AD992" s="732" t="n"/>
      <c r="AE992" s="732" t="n"/>
    </row>
    <row r="993">
      <c r="AC993" s="732" t="n"/>
      <c r="AD993" s="732" t="n"/>
      <c r="AE993" s="732" t="n"/>
    </row>
    <row r="994">
      <c r="AC994" s="732" t="n"/>
      <c r="AD994" s="732" t="n"/>
      <c r="AE994" s="732" t="n"/>
    </row>
    <row r="995">
      <c r="AC995" s="732" t="n"/>
      <c r="AD995" s="732" t="n"/>
      <c r="AE995" s="732" t="n"/>
    </row>
    <row r="996">
      <c r="AC996" s="732" t="n"/>
      <c r="AD996" s="732" t="n"/>
      <c r="AE996" s="732" t="n"/>
    </row>
    <row r="997">
      <c r="AC997" s="732" t="n"/>
      <c r="AD997" s="732" t="n"/>
      <c r="AE997" s="732" t="n"/>
    </row>
    <row r="998">
      <c r="AC998" s="732" t="n"/>
      <c r="AD998" s="732" t="n"/>
      <c r="AE998" s="732" t="n"/>
    </row>
  </sheetData>
  <mergeCells count="5">
    <mergeCell ref="AC3:AC4"/>
    <mergeCell ref="AE3:AE4"/>
    <mergeCell ref="A77:A78"/>
    <mergeCell ref="AD3:AD4"/>
    <mergeCell ref="AC84:AD84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D6"/>
  <sheetViews>
    <sheetView workbookViewId="0">
      <selection activeCell="A1" sqref="A1"/>
    </sheetView>
  </sheetViews>
  <sheetFormatPr baseColWidth="8" defaultColWidth="12.6640625" defaultRowHeight="15.75" customHeight="1"/>
  <sheetData>
    <row r="2">
      <c r="A2" s="543" t="n"/>
      <c r="B2" s="543" t="inlineStr">
        <is>
          <t>реализация</t>
        </is>
      </c>
      <c r="C2" s="543" t="inlineStr">
        <is>
          <t>возвраты</t>
        </is>
      </c>
      <c r="D2" s="68" t="inlineStr">
        <is>
          <t xml:space="preserve">% </t>
        </is>
      </c>
    </row>
    <row r="3" ht="15.75" customHeight="1" s="1127">
      <c r="A3" s="733" t="inlineStr">
        <is>
          <t>январь</t>
        </is>
      </c>
      <c r="B3" s="734" t="n">
        <v>11770526</v>
      </c>
      <c r="C3" s="735" t="n">
        <v>1232140</v>
      </c>
      <c r="D3" s="736">
        <f>C3/B3*100%</f>
        <v/>
      </c>
    </row>
    <row r="4" ht="15.75" customHeight="1" s="1127">
      <c r="A4" s="733" t="inlineStr">
        <is>
          <t>февраль</t>
        </is>
      </c>
      <c r="B4" s="734" t="n">
        <v>14039988</v>
      </c>
      <c r="C4" s="735" t="n">
        <v>1973959</v>
      </c>
      <c r="D4" s="736">
        <f>C4/B4*100%</f>
        <v/>
      </c>
    </row>
    <row r="5" ht="15.75" customHeight="1" s="1127">
      <c r="A5" s="733" t="inlineStr">
        <is>
          <t>март</t>
        </is>
      </c>
      <c r="B5" s="734" t="n">
        <v>15399728</v>
      </c>
      <c r="C5" s="735" t="n">
        <v>2054000</v>
      </c>
      <c r="D5" s="736">
        <f>C5/B5*100%</f>
        <v/>
      </c>
    </row>
    <row r="6" ht="15.75" customHeight="1" s="1127">
      <c r="A6" s="733" t="inlineStr">
        <is>
          <t>апрель</t>
        </is>
      </c>
      <c r="B6" s="734" t="n">
        <v>21349838</v>
      </c>
      <c r="C6" s="735" t="n">
        <v>2168666</v>
      </c>
      <c r="D6" s="736">
        <f>C6/B6*100%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S1003"/>
  <sheetViews>
    <sheetView workbookViewId="0">
      <selection activeCell="A1" sqref="A1"/>
    </sheetView>
  </sheetViews>
  <sheetFormatPr baseColWidth="8" defaultColWidth="12.6640625" defaultRowHeight="15.75" customHeight="1" outlineLevelRow="1"/>
  <cols>
    <col width="21.109375" customWidth="1" style="1127" min="1" max="1"/>
    <col width="25.21875" customWidth="1" style="1127" min="2" max="2"/>
    <col width="41.33203125" customWidth="1" style="1127" min="3" max="4"/>
    <col width="25.44140625" customWidth="1" style="1127" min="5" max="5"/>
    <col width="32.33203125" customWidth="1" style="1127" min="6" max="6"/>
    <col width="28.109375" customWidth="1" style="1127" min="7" max="7"/>
    <col width="23.77734375" customWidth="1" style="1127" min="8" max="8"/>
  </cols>
  <sheetData>
    <row r="1" ht="17.4" customHeight="1" s="1127">
      <c r="A1" s="1221" t="inlineStr">
        <is>
          <t>счёт 3.3.5 комиссия банка</t>
        </is>
      </c>
      <c r="F1" s="57" t="n"/>
    </row>
    <row r="2" collapsed="1" ht="13.2" customHeight="1" s="1127">
      <c r="B2" s="194" t="n"/>
      <c r="F2" s="57" t="n"/>
    </row>
    <row r="3" hidden="1" outlineLevel="1" ht="13.2" customHeight="1" s="1127">
      <c r="A3" s="456" t="inlineStr">
        <is>
          <t>апрель</t>
        </is>
      </c>
      <c r="B3" s="194" t="n"/>
      <c r="F3" s="1222" t="inlineStr">
        <is>
          <t>Алгоритм: снятие по Фуд заводу, только через Жусан Банк. 5 000 000 через карту, 15 000 000 через Банк. Карту оставить в кассе, снимает Акерке. Олеся Сергеевна  - 1 р. в месяц снимает деньги в банке. Любые переводы с Джусан банка (безналичные) под запретом.  Остаток снимается с РБК.Уточнить есть ли карта в РБК!!!!!!!!!!!!!!!!!!!!!!!!!!!!!!!!!!!</t>
        </is>
      </c>
      <c r="H3" s="456" t="inlineStr">
        <is>
          <t>Пакет Comfort в РБК</t>
        </is>
      </c>
    </row>
    <row r="4" hidden="1" outlineLevel="1" ht="14.4" customHeight="1" s="1127">
      <c r="A4" s="737" t="inlineStr">
        <is>
          <t>БАНК</t>
        </is>
      </c>
      <c r="B4" s="738" t="inlineStr">
        <is>
          <t>АПРЕЛЬ (тенге)</t>
        </is>
      </c>
      <c r="C4" s="570" t="inlineStr">
        <is>
          <t>май (тенге)</t>
        </is>
      </c>
      <c r="D4" s="737" t="inlineStr">
        <is>
          <t>вид платежа</t>
        </is>
      </c>
    </row>
    <row r="5" hidden="1" outlineLevel="1" ht="14.4" customHeight="1" s="1127">
      <c r="A5" s="737" t="inlineStr">
        <is>
          <t>ФЗ РБК Каламкас</t>
        </is>
      </c>
      <c r="B5" s="739" t="n">
        <v>129175</v>
      </c>
      <c r="C5" s="737">
        <f>SUMIF($A$23:$A$35,A5,$R$23:$R$35)</f>
        <v/>
      </c>
      <c r="D5" s="737" t="inlineStr">
        <is>
          <t>за перевод с РБК на каспи</t>
        </is>
      </c>
    </row>
    <row r="6" hidden="1" outlineLevel="1" ht="14.4" customHeight="1" s="1127">
      <c r="A6" s="737" t="inlineStr">
        <is>
          <t>ФЗ Каспи</t>
        </is>
      </c>
      <c r="B6" s="739" t="n">
        <v>150470</v>
      </c>
      <c r="C6" s="737">
        <f>SUMIF($A$23:$A$35,A6,$R$23:$R$35)</f>
        <v/>
      </c>
      <c r="D6" s="737" t="inlineStr">
        <is>
          <t>(комиссия за поступления торты, оплаты QR кодом)</t>
        </is>
      </c>
    </row>
    <row r="7" hidden="1" outlineLevel="1" ht="14.4" customHeight="1" s="1127">
      <c r="A7" s="737" t="inlineStr">
        <is>
          <t>ФЗ Жусан Банк</t>
        </is>
      </c>
      <c r="B7" s="739" t="n">
        <v>27250</v>
      </c>
      <c r="C7" s="737">
        <f>SUMIF($A$23:$A$35,A7,$R$23:$R$35)</f>
        <v/>
      </c>
      <c r="D7" s="891" t="n"/>
    </row>
    <row r="8" hidden="1" outlineLevel="1" ht="14.4" customHeight="1" s="1127">
      <c r="A8" s="737" t="inlineStr">
        <is>
          <t>ФЗ Айдана каспи</t>
        </is>
      </c>
      <c r="B8" s="739" t="n">
        <v>137150</v>
      </c>
      <c r="C8" s="737">
        <f>SUMIF($A$23:$A$35,A8,$R$23:$R$35)</f>
        <v/>
      </c>
      <c r="D8" s="891" t="n"/>
    </row>
    <row r="9" hidden="1" outlineLevel="1" ht="14.4" customHeight="1" s="1127">
      <c r="A9" s="737" t="inlineStr">
        <is>
          <t>Касса Взаиморасчеты</t>
        </is>
      </c>
      <c r="B9" s="739" t="n">
        <v>156750</v>
      </c>
      <c r="C9" s="737">
        <f>SUMIF($A$23:$A$35,A9,$R$23:$R$35)</f>
        <v/>
      </c>
      <c r="D9" s="737" t="inlineStr">
        <is>
          <t>обналичивание ИП Демьянов</t>
        </is>
      </c>
    </row>
    <row r="10" hidden="1" outlineLevel="1" ht="14.4" customHeight="1" s="1127">
      <c r="A10" s="741" t="inlineStr">
        <is>
          <t>ИТОГО</t>
        </is>
      </c>
      <c r="B10" s="742">
        <f>B5+B6+B7+B8+B9</f>
        <v/>
      </c>
      <c r="C10" s="743">
        <f>C5+C6+C7+C8+C9</f>
        <v/>
      </c>
      <c r="D10" s="891" t="n"/>
      <c r="F10" s="57" t="n"/>
    </row>
    <row r="11" hidden="1" outlineLevel="1" ht="13.2" customHeight="1" s="1127">
      <c r="B11" s="194" t="n"/>
      <c r="F11" s="57" t="n"/>
    </row>
    <row r="12" hidden="1" outlineLevel="1" ht="13.2" customHeight="1" s="1127">
      <c r="B12" s="194" t="n"/>
      <c r="F12" s="57" t="n"/>
    </row>
    <row r="13" hidden="1" outlineLevel="1" ht="26.4" customHeight="1" s="1127">
      <c r="A13" s="206" t="inlineStr">
        <is>
          <t>Банк</t>
        </is>
      </c>
      <c r="B13" s="200" t="inlineStr">
        <is>
          <t>Комиссия за обналичивание</t>
        </is>
      </c>
      <c r="C13" s="206" t="inlineStr">
        <is>
          <t>Комиссия при снятии 10 млн ₸</t>
        </is>
      </c>
      <c r="D13" s="206" t="inlineStr">
        <is>
          <t>Комиссия при снятии 50 млн ₸</t>
        </is>
      </c>
      <c r="E13" s="744" t="inlineStr">
        <is>
          <t>Комментарий</t>
        </is>
      </c>
      <c r="F13" s="745" t="inlineStr">
        <is>
          <t>Лимит на снятие, мес без документов</t>
        </is>
      </c>
      <c r="G13" s="745" t="inlineStr">
        <is>
          <t>Лимит на снятие, с документами</t>
        </is>
      </c>
      <c r="H13" s="744" t="inlineStr">
        <is>
          <t>Корпоративная карточка</t>
        </is>
      </c>
      <c r="I13" s="744" t="inlineStr">
        <is>
          <t>Менеджер банка, тел</t>
        </is>
      </c>
      <c r="J13" s="744" t="n"/>
    </row>
    <row r="14" hidden="1" outlineLevel="1" ht="13.2" customHeight="1" s="1127">
      <c r="A14" s="68" t="inlineStr">
        <is>
          <t>Jusan Bank</t>
        </is>
      </c>
      <c r="B14" s="184" t="inlineStr">
        <is>
          <t>от 0,2% до 0,35%</t>
        </is>
      </c>
      <c r="C14" s="68" t="inlineStr">
        <is>
          <t>20 000 – 30 000 ₸ (надо уточнить наши условия)</t>
        </is>
      </c>
      <c r="D14" s="68" t="inlineStr">
        <is>
          <t>100 000 – 150 000 ₸</t>
        </is>
      </c>
      <c r="E14" s="68" t="inlineStr">
        <is>
          <t>без заявки не принимают</t>
        </is>
      </c>
      <c r="F14" s="746" t="inlineStr">
        <is>
          <t>5 на карту и 15 000 000 со счёта</t>
        </is>
      </c>
      <c r="G14" s="68" t="n"/>
      <c r="H14" s="68" t="n"/>
      <c r="I14" s="68" t="n"/>
      <c r="J14" s="68" t="n"/>
    </row>
    <row r="15" hidden="1" outlineLevel="1" ht="13.2" customHeight="1" s="1127">
      <c r="A15" s="68" t="inlineStr">
        <is>
          <t>Bank RBK (COMFORT)</t>
        </is>
      </c>
      <c r="B15" s="184" t="inlineStr">
        <is>
          <t>от 0,2% до 0,55%</t>
        </is>
      </c>
      <c r="C15" s="68" t="inlineStr">
        <is>
          <t>55 000 тенге по заявке, без заявки 77 000 тенге</t>
        </is>
      </c>
      <c r="D15" s="68" t="inlineStr">
        <is>
          <t>100 000 – 225 000 ₸</t>
        </is>
      </c>
      <c r="E15" s="68" t="inlineStr">
        <is>
          <t>принимают без заявки, % выше</t>
        </is>
      </c>
      <c r="F15" s="746" t="n">
        <v>10000000</v>
      </c>
      <c r="G15" s="746" t="n">
        <v>20000000</v>
      </c>
      <c r="H15" s="68" t="n"/>
      <c r="I15" s="68" t="n"/>
      <c r="J15" s="68" t="n"/>
    </row>
    <row r="16" hidden="1" outlineLevel="1" ht="13.2" customHeight="1" s="1127">
      <c r="A16" s="68" t="inlineStr">
        <is>
          <t>Kaspi Business</t>
        </is>
      </c>
      <c r="B16" s="184" t="inlineStr">
        <is>
          <t>0,95% сверх 1 млн ₸</t>
        </is>
      </c>
      <c r="C16" s="68" t="inlineStr">
        <is>
          <t>95 000 тенге</t>
        </is>
      </c>
      <c r="D16" s="68" t="inlineStr">
        <is>
          <t>465 500 ₸</t>
        </is>
      </c>
      <c r="E16" s="68" t="inlineStr">
        <is>
          <t>есть лимит - 4 млн./день</t>
        </is>
      </c>
      <c r="F16" s="746" t="n"/>
      <c r="G16" s="68" t="n"/>
      <c r="H16" s="68" t="n"/>
      <c r="I16" s="68" t="n"/>
      <c r="J16" s="68" t="n"/>
    </row>
    <row r="17" hidden="1" outlineLevel="1" ht="13.2" customHeight="1" s="1127">
      <c r="A17" s="68" t="inlineStr">
        <is>
          <t>Forte bank</t>
        </is>
      </c>
      <c r="B17" s="747" t="n">
        <v>0.006</v>
      </c>
      <c r="C17" s="68" t="inlineStr">
        <is>
          <t xml:space="preserve">60 000 тенге </t>
        </is>
      </c>
      <c r="D17" s="68" t="n"/>
      <c r="E17" s="68" t="inlineStr">
        <is>
          <t>лимит 10 млн. в день</t>
        </is>
      </c>
      <c r="F17" s="748" t="inlineStr">
        <is>
          <t>20 000 000</t>
        </is>
      </c>
      <c r="G17" s="68" t="n"/>
      <c r="H17" s="68" t="n"/>
      <c r="I17" s="68" t="n"/>
      <c r="J17" s="68" t="n"/>
    </row>
    <row r="18" hidden="1" outlineLevel="1" ht="13.2" customHeight="1" s="1127">
      <c r="B18" s="194" t="n"/>
      <c r="C18" s="456" t="n">
        <v>9500</v>
      </c>
      <c r="D18" s="456" t="n">
        <v>4</v>
      </c>
      <c r="E18" s="456">
        <f>C18*D18</f>
        <v/>
      </c>
      <c r="F18" s="57" t="n"/>
    </row>
    <row r="19" hidden="1" outlineLevel="1" ht="13.2" customHeight="1" s="1127">
      <c r="A19" s="1223" t="inlineStr">
        <is>
          <t>Для регулярного снятия крупных сумм (от 10 млн ₸ и выше) наиболее выгодны Jusan Bank и Bank RBK. Kaspi удобен для расчетов и платежей, но менее выгоден для обналичивания крупных сумм.</t>
        </is>
      </c>
      <c r="F19" s="57" t="n"/>
    </row>
    <row r="20" hidden="1" outlineLevel="1" ht="13.2" customHeight="1" s="1127">
      <c r="F20" s="57" t="n"/>
    </row>
    <row r="21" hidden="1" outlineLevel="1" ht="13.2" customHeight="1" s="1127">
      <c r="B21" s="194" t="n"/>
      <c r="F21" s="57" t="n"/>
    </row>
    <row r="22" hidden="1" outlineLevel="1" ht="14.4" customHeight="1" s="1127">
      <c r="A22" s="749" t="inlineStr">
        <is>
          <t>Счет/Банк</t>
        </is>
      </c>
      <c r="B22" s="750" t="inlineStr">
        <is>
          <t>январь 2025</t>
        </is>
      </c>
      <c r="C22" s="749" t="inlineStr">
        <is>
          <t>февраль 2025</t>
        </is>
      </c>
      <c r="D22" s="749" t="inlineStr">
        <is>
          <t>март 2025</t>
        </is>
      </c>
      <c r="E22" s="749" t="inlineStr">
        <is>
          <t>апрель 2025</t>
        </is>
      </c>
      <c r="F22" s="751" t="inlineStr">
        <is>
          <t>май 2025</t>
        </is>
      </c>
      <c r="G22" s="749" t="inlineStr">
        <is>
          <t>июнь 2025</t>
        </is>
      </c>
      <c r="H22" s="749" t="inlineStr">
        <is>
          <t>июль 2025</t>
        </is>
      </c>
      <c r="I22" s="749" t="inlineStr">
        <is>
          <t>август 2025</t>
        </is>
      </c>
      <c r="J22" s="749" t="inlineStr">
        <is>
          <t>сентябрь 2025</t>
        </is>
      </c>
      <c r="K22" s="749" t="inlineStr">
        <is>
          <t>октябрь 2025</t>
        </is>
      </c>
      <c r="L22" s="749" t="inlineStr">
        <is>
          <t>ноябрь 2025</t>
        </is>
      </c>
      <c r="M22" s="749" t="inlineStr">
        <is>
          <t>декабрь 2025</t>
        </is>
      </c>
      <c r="N22" s="749" t="inlineStr">
        <is>
          <t>январь 2026</t>
        </is>
      </c>
      <c r="O22" s="749" t="inlineStr">
        <is>
          <t>февраль 2026</t>
        </is>
      </c>
      <c r="P22" s="749" t="inlineStr">
        <is>
          <t>март 2026</t>
        </is>
      </c>
      <c r="Q22" s="749" t="inlineStr">
        <is>
          <t>апрель 2026</t>
        </is>
      </c>
      <c r="R22" s="749" t="inlineStr">
        <is>
          <t>май 2026</t>
        </is>
      </c>
      <c r="S22" s="749" t="inlineStr">
        <is>
          <t>Итого</t>
        </is>
      </c>
    </row>
    <row r="23" hidden="1" outlineLevel="1" ht="14.4" customHeight="1" s="1127">
      <c r="A23" s="737" t="inlineStr">
        <is>
          <t>ФЗ Каспи</t>
        </is>
      </c>
      <c r="B23" s="752" t="n">
        <v>21750</v>
      </c>
      <c r="C23" s="753" t="n">
        <v>31050</v>
      </c>
      <c r="D23" s="753" t="n">
        <v>233450</v>
      </c>
      <c r="E23" s="753" t="n">
        <v>242450</v>
      </c>
      <c r="F23" s="754" t="n">
        <v>232950</v>
      </c>
      <c r="G23" s="753" t="n">
        <v>496470</v>
      </c>
      <c r="H23" s="753" t="n">
        <v>261971</v>
      </c>
      <c r="I23" s="753" t="n">
        <v>435082</v>
      </c>
      <c r="J23" s="753" t="n">
        <v>248232</v>
      </c>
      <c r="K23" s="753" t="n">
        <v>465437</v>
      </c>
      <c r="L23" s="753" t="n">
        <v>381458</v>
      </c>
      <c r="M23" s="753" t="n">
        <v>231585</v>
      </c>
      <c r="N23" s="753" t="n">
        <v>177046</v>
      </c>
      <c r="O23" s="753" t="n">
        <v>55846</v>
      </c>
      <c r="P23" s="753" t="n">
        <v>121929</v>
      </c>
      <c r="Q23" s="753" t="n">
        <v>150470</v>
      </c>
      <c r="R23" s="753" t="n">
        <v>151441</v>
      </c>
      <c r="S23" s="753" t="n">
        <v>3938617</v>
      </c>
    </row>
    <row r="24" hidden="1" outlineLevel="1" ht="14.4" customHeight="1" s="1127">
      <c r="A24" s="737" t="inlineStr">
        <is>
          <t>ФЗ Ермагамбет отдел продаж</t>
        </is>
      </c>
      <c r="B24" s="752" t="n">
        <v>86623</v>
      </c>
      <c r="C24" s="753" t="n">
        <v>38050</v>
      </c>
      <c r="D24" s="753" t="n">
        <v>56803</v>
      </c>
      <c r="E24" s="753" t="n">
        <v>42800</v>
      </c>
      <c r="F24" s="754" t="n">
        <v>37100</v>
      </c>
      <c r="G24" s="753" t="n">
        <v>36245</v>
      </c>
      <c r="H24" s="753" t="n">
        <v>1950</v>
      </c>
      <c r="I24" s="753" t="n">
        <v>1950</v>
      </c>
      <c r="J24" s="753" t="n">
        <v>0</v>
      </c>
      <c r="K24" s="753" t="n">
        <v>1950</v>
      </c>
      <c r="L24" s="753" t="n">
        <v>0</v>
      </c>
      <c r="M24" s="753" t="n">
        <v>0</v>
      </c>
      <c r="N24" s="753" t="n">
        <v>0</v>
      </c>
      <c r="O24" s="753" t="n">
        <v>0</v>
      </c>
      <c r="P24" s="753" t="n">
        <v>0</v>
      </c>
      <c r="Q24" s="753" t="n">
        <v>0</v>
      </c>
      <c r="R24" s="753" t="n">
        <v>0</v>
      </c>
      <c r="S24" s="753" t="n">
        <v>303471</v>
      </c>
    </row>
    <row r="25" hidden="1" outlineLevel="1" ht="14.4" customHeight="1" s="1127">
      <c r="A25" s="737" t="inlineStr">
        <is>
          <t>ФЗ РБК Каламкас</t>
        </is>
      </c>
      <c r="B25" s="752" t="n">
        <v>89879</v>
      </c>
      <c r="C25" s="753" t="n">
        <v>101157</v>
      </c>
      <c r="D25" s="753" t="n">
        <v>56935</v>
      </c>
      <c r="E25" s="753" t="n">
        <v>28116</v>
      </c>
      <c r="F25" s="754" t="n">
        <v>134232</v>
      </c>
      <c r="G25" s="753" t="n">
        <v>78264</v>
      </c>
      <c r="H25" s="753" t="n">
        <v>78925</v>
      </c>
      <c r="I25" s="753" t="n">
        <v>75694</v>
      </c>
      <c r="J25" s="753" t="n">
        <v>132168</v>
      </c>
      <c r="K25" s="753" t="n">
        <v>100980</v>
      </c>
      <c r="L25" s="753" t="n">
        <v>76661</v>
      </c>
      <c r="M25" s="753" t="n">
        <v>58212</v>
      </c>
      <c r="N25" s="753" t="n">
        <v>62822</v>
      </c>
      <c r="O25" s="753" t="n">
        <v>61100</v>
      </c>
      <c r="P25" s="753" t="n">
        <v>49750</v>
      </c>
      <c r="Q25" s="753" t="n">
        <v>129175</v>
      </c>
      <c r="R25" s="753" t="n">
        <v>127040</v>
      </c>
      <c r="S25" s="753" t="n">
        <v>1441110</v>
      </c>
    </row>
    <row r="26" hidden="1" outlineLevel="1" ht="14.4" customHeight="1" s="1127">
      <c r="A26" s="737" t="inlineStr">
        <is>
          <t>ФЗ Жусан Банк</t>
        </is>
      </c>
      <c r="B26" s="752" t="n">
        <v>70670</v>
      </c>
      <c r="C26" s="753" t="n">
        <v>17855</v>
      </c>
      <c r="D26" s="753" t="n">
        <v>29239</v>
      </c>
      <c r="E26" s="753" t="n">
        <v>56322</v>
      </c>
      <c r="F26" s="754" t="n">
        <v>38050</v>
      </c>
      <c r="G26" s="753" t="n">
        <v>37300</v>
      </c>
      <c r="H26" s="753" t="n">
        <v>65500</v>
      </c>
      <c r="I26" s="753" t="n">
        <v>60200</v>
      </c>
      <c r="J26" s="753" t="n">
        <v>47400</v>
      </c>
      <c r="K26" s="753" t="n">
        <v>53750</v>
      </c>
      <c r="L26" s="753" t="n">
        <v>24187</v>
      </c>
      <c r="M26" s="753" t="n">
        <v>0</v>
      </c>
      <c r="N26" s="753" t="n">
        <v>17000</v>
      </c>
      <c r="O26" s="753" t="n">
        <v>8500</v>
      </c>
      <c r="P26" s="753" t="n">
        <v>8500</v>
      </c>
      <c r="Q26" s="753" t="n">
        <v>27250</v>
      </c>
      <c r="R26" s="753" t="n">
        <v>8500</v>
      </c>
      <c r="S26" s="753" t="n">
        <v>570223</v>
      </c>
    </row>
    <row r="27" hidden="1" outlineLevel="1" ht="14.4" customHeight="1" s="1127">
      <c r="A27" s="737" t="inlineStr">
        <is>
          <t>ФЗ Народный Банк (закр.)</t>
        </is>
      </c>
      <c r="B27" s="752" t="n">
        <v>0</v>
      </c>
      <c r="C27" s="753" t="n">
        <v>0</v>
      </c>
      <c r="D27" s="753" t="n">
        <v>15288</v>
      </c>
      <c r="E27" s="753" t="n">
        <v>0</v>
      </c>
      <c r="F27" s="754" t="n">
        <v>0</v>
      </c>
      <c r="G27" s="753" t="n">
        <v>0</v>
      </c>
      <c r="H27" s="753" t="n">
        <v>0</v>
      </c>
      <c r="I27" s="753" t="n">
        <v>0</v>
      </c>
      <c r="J27" s="753" t="n">
        <v>0</v>
      </c>
      <c r="K27" s="753" t="n">
        <v>0</v>
      </c>
      <c r="L27" s="753" t="n">
        <v>0</v>
      </c>
      <c r="M27" s="753" t="n">
        <v>0</v>
      </c>
      <c r="N27" s="753" t="n">
        <v>0</v>
      </c>
      <c r="O27" s="753" t="n">
        <v>0</v>
      </c>
      <c r="P27" s="753" t="n">
        <v>0</v>
      </c>
      <c r="Q27" s="753" t="n">
        <v>0</v>
      </c>
      <c r="R27" s="753" t="n">
        <v>0</v>
      </c>
      <c r="S27" s="753" t="n">
        <v>15288</v>
      </c>
    </row>
    <row r="28" hidden="1" outlineLevel="1" ht="14.4" customHeight="1" s="1127">
      <c r="A28" s="737" t="inlineStr">
        <is>
          <t>ФЗ ВТБ банк (закр.)</t>
        </is>
      </c>
      <c r="B28" s="752" t="n">
        <v>0</v>
      </c>
      <c r="C28" s="753" t="n">
        <v>0</v>
      </c>
      <c r="D28" s="753" t="n">
        <v>26948</v>
      </c>
      <c r="E28" s="753" t="n">
        <v>0</v>
      </c>
      <c r="F28" s="754" t="n">
        <v>0</v>
      </c>
      <c r="G28" s="753" t="n">
        <v>0</v>
      </c>
      <c r="H28" s="753" t="n">
        <v>0</v>
      </c>
      <c r="I28" s="753" t="n">
        <v>0</v>
      </c>
      <c r="J28" s="753" t="n">
        <v>0</v>
      </c>
      <c r="K28" s="753" t="n">
        <v>0</v>
      </c>
      <c r="L28" s="753" t="n">
        <v>0</v>
      </c>
      <c r="M28" s="753" t="n">
        <v>0</v>
      </c>
      <c r="N28" s="753" t="n">
        <v>0</v>
      </c>
      <c r="O28" s="753" t="n">
        <v>0</v>
      </c>
      <c r="P28" s="753" t="n">
        <v>0</v>
      </c>
      <c r="Q28" s="753" t="n">
        <v>0</v>
      </c>
      <c r="R28" s="753" t="n">
        <v>0</v>
      </c>
      <c r="S28" s="753" t="n">
        <v>26948</v>
      </c>
    </row>
    <row r="29" hidden="1" outlineLevel="1" ht="14.4" customHeight="1" s="1127">
      <c r="A29" s="737" t="inlineStr">
        <is>
          <t>Цой Д.Л.Каспи</t>
        </is>
      </c>
      <c r="B29" s="752" t="n">
        <v>0</v>
      </c>
      <c r="C29" s="753" t="n">
        <v>0</v>
      </c>
      <c r="D29" s="753" t="n">
        <v>0</v>
      </c>
      <c r="E29" s="753" t="n">
        <v>1290</v>
      </c>
      <c r="F29" s="754" t="n">
        <v>0</v>
      </c>
      <c r="G29" s="753" t="n">
        <v>0</v>
      </c>
      <c r="H29" s="753" t="n">
        <v>7600</v>
      </c>
      <c r="I29" s="753" t="n">
        <v>0</v>
      </c>
      <c r="J29" s="753" t="n">
        <v>0</v>
      </c>
      <c r="K29" s="753" t="n">
        <v>0</v>
      </c>
      <c r="L29" s="753" t="n">
        <v>0</v>
      </c>
      <c r="M29" s="753" t="n">
        <v>0</v>
      </c>
      <c r="N29" s="753" t="n">
        <v>0</v>
      </c>
      <c r="O29" s="753" t="n">
        <v>8859</v>
      </c>
      <c r="P29" s="753" t="n">
        <v>0</v>
      </c>
      <c r="Q29" s="753" t="n">
        <v>0</v>
      </c>
      <c r="R29" s="753" t="n">
        <v>0</v>
      </c>
      <c r="S29" s="753" t="n">
        <v>17749</v>
      </c>
    </row>
    <row r="30" hidden="1" outlineLevel="1" ht="14.4" customHeight="1" s="1127">
      <c r="A30" s="737" t="inlineStr">
        <is>
          <t>Алимова Каспи</t>
        </is>
      </c>
      <c r="B30" s="752" t="n">
        <v>0</v>
      </c>
      <c r="C30" s="753" t="n">
        <v>0</v>
      </c>
      <c r="D30" s="753" t="n">
        <v>0</v>
      </c>
      <c r="E30" s="753" t="n">
        <v>0</v>
      </c>
      <c r="F30" s="754" t="n">
        <v>0</v>
      </c>
      <c r="G30" s="753" t="n">
        <v>0</v>
      </c>
      <c r="H30" s="753" t="n">
        <v>0</v>
      </c>
      <c r="I30" s="753" t="n">
        <v>318</v>
      </c>
      <c r="J30" s="753" t="n">
        <v>0</v>
      </c>
      <c r="K30" s="753" t="n">
        <v>0</v>
      </c>
      <c r="L30" s="753" t="n">
        <v>0</v>
      </c>
      <c r="M30" s="753" t="n">
        <v>0</v>
      </c>
      <c r="N30" s="753" t="n">
        <v>0</v>
      </c>
      <c r="O30" s="753" t="n">
        <v>0</v>
      </c>
      <c r="P30" s="753" t="n">
        <v>0</v>
      </c>
      <c r="Q30" s="753" t="n">
        <v>0</v>
      </c>
      <c r="R30" s="753" t="n">
        <v>0</v>
      </c>
      <c r="S30" s="753" t="n">
        <v>318</v>
      </c>
    </row>
    <row r="31" hidden="1" outlineLevel="1" ht="14.4" customHeight="1" s="1127">
      <c r="A31" s="737" t="inlineStr">
        <is>
          <t>ФЗ РБК кредит</t>
        </is>
      </c>
      <c r="B31" s="752" t="n">
        <v>0</v>
      </c>
      <c r="C31" s="753" t="n">
        <v>0</v>
      </c>
      <c r="D31" s="753" t="n">
        <v>0</v>
      </c>
      <c r="E31" s="753" t="n">
        <v>0</v>
      </c>
      <c r="F31" s="754" t="n">
        <v>0</v>
      </c>
      <c r="G31" s="753" t="n">
        <v>0</v>
      </c>
      <c r="H31" s="753" t="n">
        <v>0</v>
      </c>
      <c r="I31" s="753" t="n">
        <v>0</v>
      </c>
      <c r="J31" s="753" t="n">
        <v>0</v>
      </c>
      <c r="K31" s="753" t="n">
        <v>0</v>
      </c>
      <c r="L31" s="753" t="n">
        <v>1000</v>
      </c>
      <c r="M31" s="753" t="n">
        <v>14500</v>
      </c>
      <c r="N31" s="753" t="n">
        <v>0</v>
      </c>
      <c r="O31" s="753" t="n">
        <v>0</v>
      </c>
      <c r="P31" s="753" t="n">
        <v>0</v>
      </c>
      <c r="Q31" s="753" t="n">
        <v>0</v>
      </c>
      <c r="R31" s="753" t="n">
        <v>0</v>
      </c>
      <c r="S31" s="753" t="n">
        <v>15500</v>
      </c>
    </row>
    <row r="32" hidden="1" outlineLevel="1" ht="14.4" customHeight="1" s="1127">
      <c r="A32" s="737" t="inlineStr">
        <is>
          <t>ФЗ Сапакова Кредит (Нурбанк)</t>
        </is>
      </c>
      <c r="B32" s="752" t="n">
        <v>0</v>
      </c>
      <c r="C32" s="753" t="n">
        <v>0</v>
      </c>
      <c r="D32" s="753" t="n">
        <v>0</v>
      </c>
      <c r="E32" s="753" t="n">
        <v>0</v>
      </c>
      <c r="F32" s="754" t="n">
        <v>0</v>
      </c>
      <c r="G32" s="753" t="n">
        <v>0</v>
      </c>
      <c r="H32" s="753" t="n">
        <v>0</v>
      </c>
      <c r="I32" s="753" t="n">
        <v>0</v>
      </c>
      <c r="J32" s="753" t="n">
        <v>0</v>
      </c>
      <c r="K32" s="753" t="n">
        <v>0</v>
      </c>
      <c r="L32" s="753" t="n">
        <v>0</v>
      </c>
      <c r="M32" s="753" t="n">
        <v>3450</v>
      </c>
      <c r="N32" s="753" t="n">
        <v>0</v>
      </c>
      <c r="O32" s="753" t="n">
        <v>5460</v>
      </c>
      <c r="P32" s="753" t="n">
        <v>3330</v>
      </c>
      <c r="Q32" s="753" t="n">
        <v>2400</v>
      </c>
      <c r="R32" s="753" t="n">
        <v>2400</v>
      </c>
      <c r="S32" s="753" t="n">
        <v>17040</v>
      </c>
    </row>
    <row r="33" hidden="1" outlineLevel="1" ht="14.4" customHeight="1" s="1127">
      <c r="A33" s="737" t="inlineStr">
        <is>
          <t>Касса Взаиморасчеты</t>
        </is>
      </c>
      <c r="B33" s="752" t="n">
        <v>0</v>
      </c>
      <c r="C33" s="753" t="n">
        <v>0</v>
      </c>
      <c r="D33" s="753" t="n">
        <v>0</v>
      </c>
      <c r="E33" s="753" t="n">
        <v>0</v>
      </c>
      <c r="F33" s="754" t="n">
        <v>0</v>
      </c>
      <c r="G33" s="753" t="n">
        <v>0</v>
      </c>
      <c r="H33" s="753" t="n">
        <v>0</v>
      </c>
      <c r="I33" s="753" t="n">
        <v>0</v>
      </c>
      <c r="J33" s="753" t="n">
        <v>0</v>
      </c>
      <c r="K33" s="753" t="n">
        <v>0</v>
      </c>
      <c r="L33" s="753" t="n">
        <v>0</v>
      </c>
      <c r="M33" s="753" t="n">
        <v>250230</v>
      </c>
      <c r="N33" s="753" t="n">
        <v>190000</v>
      </c>
      <c r="O33" s="753" t="n">
        <v>0</v>
      </c>
      <c r="P33" s="753" t="n">
        <v>38000</v>
      </c>
      <c r="Q33" s="753" t="n">
        <v>156750</v>
      </c>
      <c r="R33" s="753" t="n">
        <v>205200</v>
      </c>
      <c r="S33" s="753" t="n">
        <v>840180</v>
      </c>
    </row>
    <row r="34" hidden="1" outlineLevel="1" ht="14.4" customHeight="1" s="1127">
      <c r="A34" s="737" t="inlineStr">
        <is>
          <t>ФЗ Малышев каспи</t>
        </is>
      </c>
      <c r="B34" s="752" t="n">
        <v>0</v>
      </c>
      <c r="C34" s="753" t="n">
        <v>0</v>
      </c>
      <c r="D34" s="753" t="n">
        <v>0</v>
      </c>
      <c r="E34" s="753" t="n">
        <v>0</v>
      </c>
      <c r="F34" s="754" t="n">
        <v>0</v>
      </c>
      <c r="G34" s="753" t="n">
        <v>0</v>
      </c>
      <c r="H34" s="753" t="n">
        <v>0</v>
      </c>
      <c r="I34" s="753" t="n">
        <v>0</v>
      </c>
      <c r="J34" s="753" t="n">
        <v>0</v>
      </c>
      <c r="K34" s="753" t="n">
        <v>0</v>
      </c>
      <c r="L34" s="753" t="n">
        <v>0</v>
      </c>
      <c r="M34" s="753" t="n">
        <v>208985</v>
      </c>
      <c r="N34" s="753" t="n">
        <v>126900</v>
      </c>
      <c r="O34" s="753" t="n">
        <v>40000</v>
      </c>
      <c r="P34" s="753" t="n">
        <v>15000</v>
      </c>
      <c r="Q34" s="753" t="n">
        <v>0</v>
      </c>
      <c r="R34" s="753" t="n">
        <v>0</v>
      </c>
      <c r="S34" s="753" t="n">
        <v>390885</v>
      </c>
    </row>
    <row r="35" hidden="1" outlineLevel="1" ht="14.4" customHeight="1" s="1127">
      <c r="A35" s="737" t="inlineStr">
        <is>
          <t>ФЗ Айдана каспи</t>
        </is>
      </c>
      <c r="B35" s="752" t="n">
        <v>0</v>
      </c>
      <c r="C35" s="753" t="n">
        <v>0</v>
      </c>
      <c r="D35" s="753" t="n">
        <v>0</v>
      </c>
      <c r="E35" s="753" t="n">
        <v>0</v>
      </c>
      <c r="F35" s="754" t="n">
        <v>0</v>
      </c>
      <c r="G35" s="753" t="n">
        <v>0</v>
      </c>
      <c r="H35" s="753" t="n">
        <v>0</v>
      </c>
      <c r="I35" s="753" t="n">
        <v>0</v>
      </c>
      <c r="J35" s="753" t="n">
        <v>0</v>
      </c>
      <c r="K35" s="753" t="n">
        <v>0</v>
      </c>
      <c r="L35" s="753" t="n">
        <v>0</v>
      </c>
      <c r="M35" s="753" t="n">
        <v>0</v>
      </c>
      <c r="N35" s="753" t="n">
        <v>0</v>
      </c>
      <c r="O35" s="753" t="n">
        <v>0</v>
      </c>
      <c r="P35" s="753" t="n">
        <v>61800</v>
      </c>
      <c r="Q35" s="753" t="n">
        <v>137150</v>
      </c>
      <c r="R35" s="753" t="n">
        <v>181932</v>
      </c>
      <c r="S35" s="753" t="n">
        <v>380882</v>
      </c>
    </row>
    <row r="36" hidden="1" outlineLevel="1" ht="14.4" customHeight="1" s="1127">
      <c r="A36" s="749" t="inlineStr">
        <is>
          <t>Итого</t>
        </is>
      </c>
      <c r="B36" s="755" t="n">
        <v>268922</v>
      </c>
      <c r="C36" s="756" t="n">
        <v>188112</v>
      </c>
      <c r="D36" s="756" t="n">
        <v>418663</v>
      </c>
      <c r="E36" s="756" t="n">
        <v>370978</v>
      </c>
      <c r="F36" s="757" t="n">
        <v>442332</v>
      </c>
      <c r="G36" s="756" t="n">
        <v>648279</v>
      </c>
      <c r="H36" s="756" t="n">
        <v>415946</v>
      </c>
      <c r="I36" s="756" t="n">
        <v>573244</v>
      </c>
      <c r="J36" s="756" t="n">
        <v>427800</v>
      </c>
      <c r="K36" s="756" t="n">
        <v>622117</v>
      </c>
      <c r="L36" s="756" t="n">
        <v>483306</v>
      </c>
      <c r="M36" s="756" t="n">
        <v>766962</v>
      </c>
      <c r="N36" s="756" t="n">
        <v>573768</v>
      </c>
      <c r="O36" s="756" t="n">
        <v>179765</v>
      </c>
      <c r="P36" s="756" t="n">
        <v>298309</v>
      </c>
      <c r="Q36" s="756" t="n">
        <v>603195</v>
      </c>
      <c r="R36" s="756" t="n">
        <v>676513</v>
      </c>
      <c r="S36" s="756" t="n">
        <v>7958211</v>
      </c>
    </row>
    <row r="37" hidden="1" outlineLevel="1" ht="13.2" customHeight="1" s="1127">
      <c r="B37" s="194" t="n"/>
      <c r="F37" s="57" t="n"/>
    </row>
    <row r="38" hidden="1" outlineLevel="1" ht="13.2" customHeight="1" s="1127">
      <c r="B38" s="194" t="inlineStr">
        <is>
          <t>Банк</t>
        </is>
      </c>
      <c r="F38" s="57" t="n"/>
    </row>
    <row r="39" hidden="1" outlineLevel="1" ht="26.4" customHeight="1" s="1127">
      <c r="B39" s="170" t="inlineStr">
        <is>
          <t>РБК справки для снятия свыше 20 млн</t>
        </is>
      </c>
      <c r="C39" s="170" t="inlineStr">
        <is>
          <t>Описание</t>
        </is>
      </c>
      <c r="F39" s="57" t="n"/>
    </row>
    <row r="40" hidden="1" outlineLevel="1" ht="26.4" customHeight="1" s="1127">
      <c r="B40" s="184" t="inlineStr">
        <is>
          <t>1. Справка по субъекту предпринимательства.</t>
        </is>
      </c>
      <c r="C40" s="184" t="inlineStr">
        <is>
          <t>справка подтверждающая, что у нас малый или средний бизнес, возможно с егов</t>
        </is>
      </c>
      <c r="F40" s="57" t="n"/>
    </row>
    <row r="41" hidden="1" outlineLevel="1" ht="39.6" customHeight="1" s="1127">
      <c r="B41" s="184" t="inlineStr">
        <is>
          <t>2. Документы по источнику происхождения денежных средств.</t>
        </is>
      </c>
      <c r="C41" s="184" t="inlineStr">
        <is>
          <t>Договора с покупателями</t>
        </is>
      </c>
      <c r="F41" s="57" t="n"/>
    </row>
    <row r="42" hidden="1" outlineLevel="1" ht="26.4" customHeight="1" s="1127">
      <c r="B42" s="184" t="inlineStr">
        <is>
          <t>3. Документы по целевому использованию.</t>
        </is>
      </c>
      <c r="C42" s="184" t="inlineStr">
        <is>
          <t>Письмо официальное, что мы  закупаем за безналичный расчёт или выдаём зп налом</t>
        </is>
      </c>
      <c r="F42" s="57" t="n"/>
    </row>
    <row r="43" hidden="1" outlineLevel="1" ht="14.4" customHeight="1" s="1127">
      <c r="B43" s="194" t="n"/>
      <c r="C43" s="758" t="n"/>
      <c r="F43" s="57" t="n"/>
    </row>
    <row r="44" hidden="1" outlineLevel="1" ht="14.4" customHeight="1" s="1127">
      <c r="B44" s="184" t="inlineStr">
        <is>
          <t>Банк</t>
        </is>
      </c>
      <c r="C44" s="737" t="inlineStr">
        <is>
          <t>Наименование покупателя</t>
        </is>
      </c>
      <c r="F44" s="57" t="n"/>
    </row>
    <row r="45" hidden="1" outlineLevel="1" ht="14.4" customHeight="1" s="1127">
      <c r="B45" s="184" t="inlineStr">
        <is>
          <t>РБК</t>
        </is>
      </c>
      <c r="C45" s="737" t="inlineStr">
        <is>
          <t>102-Яндекс лавка ОСНОВНОЙ</t>
        </is>
      </c>
      <c r="F45" s="57" t="n"/>
    </row>
    <row r="46" hidden="1" outlineLevel="1" ht="14.4" customHeight="1" s="1127">
      <c r="B46" s="184" t="inlineStr">
        <is>
          <t>РБК</t>
        </is>
      </c>
      <c r="C46" s="737" t="inlineStr">
        <is>
          <t>103-Бобух ИП, ул. Торетай 92, бутик 103</t>
        </is>
      </c>
      <c r="F46" s="57" t="n"/>
    </row>
    <row r="47" hidden="1" outlineLevel="1" ht="14.4" customHeight="1" s="1127">
      <c r="B47" s="184" t="inlineStr">
        <is>
          <t>РБК</t>
        </is>
      </c>
      <c r="C47" s="737" t="inlineStr">
        <is>
          <t>104-DQ12 ТОО г.Тараз, Конаева 12</t>
        </is>
      </c>
      <c r="F47" s="57" t="n"/>
    </row>
    <row r="48" hidden="1" outlineLevel="1" ht="14.4" customHeight="1" s="1127">
      <c r="B48" s="184" t="inlineStr">
        <is>
          <t>РБК</t>
        </is>
      </c>
      <c r="C48" s="737" t="inlineStr">
        <is>
          <t>105-Алга экспресс ОСНОВНОЙ</t>
        </is>
      </c>
      <c r="F48" s="57" t="n"/>
    </row>
    <row r="49" hidden="1" outlineLevel="1" ht="14.4" customHeight="1" s="1127">
      <c r="B49" s="184" t="inlineStr">
        <is>
          <t>РБК</t>
        </is>
      </c>
      <c r="C49" s="737" t="inlineStr">
        <is>
          <t>108-GO Market KRG ИП ОСНОВНОЙ</t>
        </is>
      </c>
      <c r="F49" s="57" t="n"/>
    </row>
    <row r="50" hidden="1" outlineLevel="1" ht="14.4" customHeight="1" s="1127">
      <c r="B50" s="184" t="inlineStr">
        <is>
          <t>РБК</t>
        </is>
      </c>
      <c r="C50" s="737" t="inlineStr">
        <is>
          <t>110 АЗС "Sinooil" (Шымкент/Тараз)</t>
        </is>
      </c>
      <c r="F50" s="57" t="n"/>
    </row>
    <row r="51" hidden="1" outlineLevel="1" ht="14.4" customHeight="1" s="1127">
      <c r="B51" s="184" t="inlineStr">
        <is>
          <t>РБК</t>
        </is>
      </c>
      <c r="C51" s="737" t="inlineStr">
        <is>
          <t>111 ТОО ГЛОВО ОСНОВНОЙ</t>
        </is>
      </c>
      <c r="F51" s="57" t="n"/>
    </row>
    <row r="52" hidden="1" outlineLevel="1" ht="14.4" customHeight="1" s="1127">
      <c r="B52" s="184" t="inlineStr">
        <is>
          <t>РБК</t>
        </is>
      </c>
      <c r="C52" s="737" t="inlineStr">
        <is>
          <t>112 PRO OIL SERVICE ИП г. Талгар,</t>
        </is>
      </c>
      <c r="F52" s="57" t="n"/>
    </row>
    <row r="53" hidden="1" outlineLevel="1" ht="14.4" customHeight="1" s="1127">
      <c r="B53" s="184" t="inlineStr">
        <is>
          <t>РБК</t>
        </is>
      </c>
      <c r="C53" s="737" t="inlineStr">
        <is>
          <t>113-Wolt Services Kazakhstan ОСНОВНОЙ</t>
        </is>
      </c>
      <c r="F53" s="57" t="n"/>
    </row>
    <row r="54" hidden="1" outlineLevel="1" ht="14.4" customHeight="1" s="1127">
      <c r="B54" s="184" t="inlineStr">
        <is>
          <t>РБК</t>
        </is>
      </c>
      <c r="C54" s="737" t="inlineStr">
        <is>
          <t>114-QazMarketPro г.Тараз,</t>
        </is>
      </c>
      <c r="F54" s="57" t="n"/>
    </row>
    <row r="55" hidden="1" outlineLevel="1" ht="14.4" customHeight="1" s="1127">
      <c r="B55" s="184" t="inlineStr">
        <is>
          <t>РБК</t>
        </is>
      </c>
      <c r="C55" s="737" t="inlineStr">
        <is>
          <t>115- Даркстор ОСНОВНОЙ</t>
        </is>
      </c>
      <c r="F55" s="57" t="n"/>
    </row>
    <row r="56" hidden="1" outlineLevel="1" ht="14.4" customHeight="1" s="1127">
      <c r="B56" s="184" t="inlineStr">
        <is>
          <t>РБК</t>
        </is>
      </c>
      <c r="C56" s="737" t="inlineStr">
        <is>
          <t>555 Zakazbuketov (торты)</t>
        </is>
      </c>
      <c r="F56" s="57" t="n"/>
    </row>
    <row r="57" hidden="1" outlineLevel="1" ht="14.4" customHeight="1" s="1127">
      <c r="B57" s="184" t="inlineStr">
        <is>
          <t>РБК</t>
        </is>
      </c>
      <c r="C57" s="737" t="inlineStr">
        <is>
          <t>556-Romantic (торты) Махамбетов Акзер</t>
        </is>
      </c>
      <c r="F57" s="57" t="n"/>
    </row>
    <row r="58" hidden="1" outlineLevel="1" ht="14.4" customHeight="1" s="1127">
      <c r="B58" s="184" t="inlineStr">
        <is>
          <t>РБК</t>
        </is>
      </c>
      <c r="C58" s="737" t="inlineStr">
        <is>
          <t>558- ТРИО Romantic (торты) Нурлыбаев Алибек</t>
        </is>
      </c>
      <c r="F58" s="57" t="n"/>
    </row>
    <row r="59" hidden="1" outlineLevel="1" ht="14.4" customHeight="1" s="1127">
      <c r="B59" s="184" t="inlineStr">
        <is>
          <t>РБК</t>
        </is>
      </c>
      <c r="C59" s="737" t="inlineStr">
        <is>
          <t>70-ТОО Туар (Шинлайн)</t>
        </is>
      </c>
      <c r="F59" s="57" t="n"/>
    </row>
    <row r="60" hidden="1" outlineLevel="1" ht="14.4" customHeight="1" s="1127">
      <c r="B60" s="184" t="inlineStr">
        <is>
          <t>РБК</t>
        </is>
      </c>
      <c r="C60" s="737" t="inlineStr">
        <is>
          <t>85-ДФЗ (дистрибьютор)</t>
        </is>
      </c>
      <c r="F60" s="57" t="n"/>
    </row>
    <row r="61" hidden="1" outlineLevel="1" ht="14.4" customHeight="1" s="1127">
      <c r="B61" s="184" t="inlineStr">
        <is>
          <t>РБК</t>
        </is>
      </c>
      <c r="C61" s="737" t="inlineStr">
        <is>
          <t>90-Маймарт</t>
        </is>
      </c>
      <c r="F61" s="57" t="n"/>
    </row>
    <row r="62" hidden="1" outlineLevel="1" ht="14.4" customHeight="1" s="1127">
      <c r="B62" s="184" t="inlineStr">
        <is>
          <t>РБК</t>
        </is>
      </c>
      <c r="C62" s="737" t="inlineStr">
        <is>
          <t>96-ТОО DSF (дистрибьютор)</t>
        </is>
      </c>
      <c r="F62" s="57" t="n"/>
    </row>
    <row r="63" hidden="1" outlineLevel="1" ht="14.4" customHeight="1" s="1127">
      <c r="B63" s="184" t="inlineStr">
        <is>
          <t>РБК</t>
        </is>
      </c>
      <c r="C63" s="737" t="inlineStr">
        <is>
          <t>99-RP АЗС основной</t>
        </is>
      </c>
      <c r="F63" s="57" t="n"/>
    </row>
    <row r="64" hidden="1" outlineLevel="1" ht="13.2" customHeight="1" s="1127">
      <c r="B64" s="68" t="inlineStr">
        <is>
          <t>Jusan Bank</t>
        </is>
      </c>
      <c r="C64" s="68" t="inlineStr">
        <is>
          <t>110 АЗС "Sinooil"</t>
        </is>
      </c>
      <c r="F64" s="57" t="n"/>
    </row>
    <row r="65" ht="13.2" customHeight="1" s="1127">
      <c r="B65" s="194" t="n"/>
      <c r="F65" s="57" t="n"/>
    </row>
    <row r="66" ht="13.2" customHeight="1" s="1127">
      <c r="B66" s="194" t="n"/>
      <c r="F66" s="57" t="n"/>
    </row>
    <row r="67" ht="13.2" customHeight="1" s="1127">
      <c r="A67" s="68" t="inlineStr">
        <is>
          <t>Алгоритм действий</t>
        </is>
      </c>
      <c r="B67" s="184" t="inlineStr">
        <is>
          <t>Действие</t>
        </is>
      </c>
      <c r="C67" s="68" t="inlineStr">
        <is>
          <t>Что даёт?</t>
        </is>
      </c>
      <c r="D67" s="68" t="inlineStr">
        <is>
          <t>Комиссия</t>
        </is>
      </c>
      <c r="F67" s="57" t="n"/>
    </row>
    <row r="68" ht="26.4" customHeight="1" s="1127">
      <c r="A68" s="68" t="inlineStr">
        <is>
          <t>1.</t>
        </is>
      </c>
      <c r="B68" s="184" t="inlineStr">
        <is>
          <t>Открыть карту в Жусан банке</t>
        </is>
      </c>
      <c r="C68" s="68" t="inlineStr">
        <is>
          <t>оперативность снятия наличных до 5 млн. тенге</t>
        </is>
      </c>
      <c r="D68" s="759" t="n">
        <v>0.0035</v>
      </c>
      <c r="F68" s="57" t="n"/>
    </row>
    <row r="69" ht="13.2" customHeight="1" s="1127">
      <c r="A69" s="68" t="inlineStr">
        <is>
          <t>2..</t>
        </is>
      </c>
      <c r="B69" s="184" t="inlineStr">
        <is>
          <t>Пакет документов для РБК</t>
        </is>
      </c>
      <c r="C69" s="68" t="inlineStr">
        <is>
          <t>Снятие до 20 млн, по предварительной заявке</t>
        </is>
      </c>
      <c r="D69" s="759" t="n">
        <v>0.003</v>
      </c>
      <c r="F69" s="57" t="n"/>
    </row>
    <row r="70" ht="13.2" customHeight="1" s="1127">
      <c r="A70" s="68" t="inlineStr">
        <is>
          <t>3.</t>
        </is>
      </c>
      <c r="B70" s="184" t="inlineStr">
        <is>
          <t>Открыть карту в РБК</t>
        </is>
      </c>
      <c r="C70" s="68" t="inlineStr">
        <is>
          <t>оперативность снятия наличных до 10 млн. тенге</t>
        </is>
      </c>
      <c r="D70" s="541" t="inlineStr">
        <is>
          <t>1 млн. тенге бесплатно, далее 0,4%</t>
        </is>
      </c>
      <c r="F70" s="57" t="n"/>
    </row>
    <row r="71" ht="13.2" customHeight="1" s="1127">
      <c r="A71" s="68" t="n"/>
      <c r="B71" s="184" t="n"/>
      <c r="C71" s="68" t="n"/>
      <c r="D71" s="68" t="n"/>
      <c r="F71" s="57" t="n"/>
    </row>
    <row r="72" ht="13.2" customHeight="1" s="1127">
      <c r="A72" s="68" t="n"/>
      <c r="B72" s="184" t="n"/>
      <c r="C72" s="68" t="n"/>
      <c r="D72" s="68" t="n"/>
      <c r="F72" s="57" t="n"/>
    </row>
    <row r="73" ht="13.2" customHeight="1" s="1127">
      <c r="A73" s="68" t="n"/>
      <c r="B73" s="184" t="n"/>
      <c r="C73" s="68" t="n"/>
      <c r="D73" s="68" t="n"/>
      <c r="F73" s="57" t="n"/>
    </row>
    <row r="74" ht="13.2" customHeight="1" s="1127">
      <c r="A74" s="68" t="n"/>
      <c r="B74" s="184" t="n"/>
      <c r="C74" s="68" t="n"/>
      <c r="D74" s="68" t="n"/>
      <c r="F74" s="57" t="n"/>
    </row>
    <row r="75" ht="13.2" customHeight="1" s="1127">
      <c r="A75" s="68" t="n"/>
      <c r="B75" s="184" t="n"/>
      <c r="C75" s="68" t="n"/>
      <c r="D75" s="68" t="n"/>
      <c r="F75" s="57" t="n"/>
    </row>
    <row r="76" ht="13.2" customHeight="1" s="1127">
      <c r="B76" s="194" t="n"/>
      <c r="F76" s="57" t="n"/>
    </row>
    <row r="77" ht="13.2" customHeight="1" s="1127">
      <c r="B77" s="194" t="n"/>
      <c r="F77" s="57" t="n"/>
    </row>
    <row r="78" ht="13.2" customHeight="1" s="1127">
      <c r="B78" s="194" t="n"/>
      <c r="F78" s="57" t="n"/>
    </row>
    <row r="79" ht="13.2" customHeight="1" s="1127">
      <c r="B79" s="194" t="n"/>
      <c r="F79" s="57" t="n"/>
    </row>
    <row r="80" ht="13.2" customHeight="1" s="1127">
      <c r="B80" s="194" t="n"/>
      <c r="F80" s="57" t="n"/>
    </row>
    <row r="81" ht="13.2" customHeight="1" s="1127">
      <c r="B81" s="194" t="n"/>
      <c r="F81" s="57" t="n"/>
    </row>
    <row r="82" ht="13.2" customHeight="1" s="1127">
      <c r="B82" s="194" t="n"/>
      <c r="F82" s="57" t="n"/>
    </row>
    <row r="83" ht="13.2" customHeight="1" s="1127">
      <c r="B83" s="194" t="n"/>
      <c r="F83" s="57" t="n"/>
    </row>
    <row r="84" ht="13.2" customHeight="1" s="1127">
      <c r="B84" s="194" t="n"/>
      <c r="F84" s="57" t="n"/>
    </row>
    <row r="85" ht="13.2" customHeight="1" s="1127">
      <c r="B85" s="194" t="n"/>
      <c r="F85" s="57" t="n"/>
    </row>
    <row r="86" ht="13.2" customHeight="1" s="1127">
      <c r="B86" s="194" t="n"/>
      <c r="F86" s="57" t="n"/>
    </row>
    <row r="87" ht="13.2" customHeight="1" s="1127">
      <c r="B87" s="194" t="n"/>
      <c r="F87" s="57" t="n"/>
    </row>
    <row r="88" ht="13.2" customHeight="1" s="1127">
      <c r="B88" s="194" t="n"/>
      <c r="F88" s="57" t="n"/>
    </row>
    <row r="89" ht="13.2" customHeight="1" s="1127">
      <c r="B89" s="194" t="n"/>
      <c r="F89" s="57" t="n"/>
    </row>
    <row r="90" ht="13.2" customHeight="1" s="1127">
      <c r="B90" s="194" t="n"/>
      <c r="F90" s="57" t="n"/>
    </row>
    <row r="91" ht="13.2" customHeight="1" s="1127">
      <c r="B91" s="194" t="n"/>
      <c r="F91" s="57" t="n"/>
    </row>
    <row r="92" ht="13.2" customHeight="1" s="1127">
      <c r="B92" s="194" t="n"/>
      <c r="F92" s="57" t="n"/>
    </row>
    <row r="93" ht="13.2" customHeight="1" s="1127">
      <c r="B93" s="194" t="n"/>
      <c r="F93" s="57" t="n"/>
    </row>
    <row r="94" ht="13.2" customHeight="1" s="1127">
      <c r="B94" s="194" t="n"/>
      <c r="F94" s="57" t="n"/>
    </row>
    <row r="95" ht="13.2" customHeight="1" s="1127">
      <c r="B95" s="194" t="n"/>
      <c r="F95" s="57" t="n"/>
    </row>
    <row r="96" ht="13.2" customHeight="1" s="1127">
      <c r="B96" s="194" t="n"/>
      <c r="F96" s="57" t="n"/>
    </row>
    <row r="97" ht="13.2" customHeight="1" s="1127">
      <c r="B97" s="194" t="n"/>
      <c r="F97" s="57" t="n"/>
    </row>
    <row r="98" ht="13.2" customHeight="1" s="1127">
      <c r="B98" s="194" t="n"/>
      <c r="F98" s="57" t="n"/>
    </row>
    <row r="99" ht="13.2" customHeight="1" s="1127">
      <c r="B99" s="194" t="n"/>
      <c r="F99" s="57" t="n"/>
    </row>
    <row r="100" ht="13.2" customHeight="1" s="1127">
      <c r="B100" s="194" t="n"/>
      <c r="F100" s="57" t="n"/>
    </row>
    <row r="101" ht="13.2" customHeight="1" s="1127">
      <c r="B101" s="194" t="n"/>
      <c r="F101" s="57" t="n"/>
    </row>
    <row r="102" ht="13.2" customHeight="1" s="1127">
      <c r="B102" s="194" t="n"/>
      <c r="F102" s="57" t="n"/>
    </row>
    <row r="103" ht="13.2" customHeight="1" s="1127">
      <c r="B103" s="194" t="n"/>
      <c r="F103" s="57" t="n"/>
    </row>
    <row r="104" ht="13.2" customHeight="1" s="1127">
      <c r="B104" s="194" t="n"/>
      <c r="F104" s="57" t="n"/>
    </row>
    <row r="105" ht="13.2" customHeight="1" s="1127">
      <c r="B105" s="194" t="n"/>
      <c r="F105" s="57" t="n"/>
    </row>
    <row r="106" ht="13.2" customHeight="1" s="1127">
      <c r="B106" s="194" t="n"/>
      <c r="F106" s="57" t="n"/>
    </row>
    <row r="107" ht="13.2" customHeight="1" s="1127">
      <c r="B107" s="194" t="n"/>
      <c r="F107" s="57" t="n"/>
    </row>
    <row r="108" ht="13.2" customHeight="1" s="1127">
      <c r="B108" s="194" t="n"/>
      <c r="F108" s="57" t="n"/>
    </row>
    <row r="109" ht="13.2" customHeight="1" s="1127">
      <c r="B109" s="194" t="n"/>
      <c r="F109" s="57" t="n"/>
    </row>
    <row r="110" ht="13.2" customHeight="1" s="1127">
      <c r="B110" s="194" t="n"/>
      <c r="F110" s="57" t="n"/>
    </row>
    <row r="111" ht="13.2" customHeight="1" s="1127">
      <c r="B111" s="194" t="n"/>
      <c r="F111" s="57" t="n"/>
    </row>
    <row r="112" ht="13.2" customHeight="1" s="1127">
      <c r="B112" s="194" t="n"/>
      <c r="F112" s="57" t="n"/>
    </row>
    <row r="113" ht="13.2" customHeight="1" s="1127">
      <c r="B113" s="194" t="n"/>
      <c r="F113" s="57" t="n"/>
    </row>
    <row r="114" ht="13.2" customHeight="1" s="1127">
      <c r="B114" s="194" t="n"/>
      <c r="F114" s="57" t="n"/>
    </row>
    <row r="115" ht="13.2" customHeight="1" s="1127">
      <c r="B115" s="194" t="n"/>
      <c r="F115" s="57" t="n"/>
    </row>
    <row r="116" ht="13.2" customHeight="1" s="1127">
      <c r="B116" s="194" t="n"/>
      <c r="F116" s="57" t="n"/>
    </row>
    <row r="117" ht="13.2" customHeight="1" s="1127">
      <c r="B117" s="194" t="n"/>
      <c r="F117" s="57" t="n"/>
    </row>
    <row r="118" ht="13.2" customHeight="1" s="1127">
      <c r="B118" s="194" t="n"/>
      <c r="F118" s="57" t="n"/>
    </row>
    <row r="119" ht="13.2" customHeight="1" s="1127">
      <c r="B119" s="194" t="n"/>
      <c r="F119" s="57" t="n"/>
    </row>
    <row r="120" ht="13.2" customHeight="1" s="1127">
      <c r="B120" s="194" t="n"/>
      <c r="F120" s="57" t="n"/>
    </row>
    <row r="121" ht="13.2" customHeight="1" s="1127">
      <c r="B121" s="194" t="n"/>
      <c r="F121" s="57" t="n"/>
    </row>
    <row r="122" ht="13.2" customHeight="1" s="1127">
      <c r="B122" s="194" t="n"/>
      <c r="F122" s="57" t="n"/>
    </row>
    <row r="123" ht="13.2" customHeight="1" s="1127">
      <c r="B123" s="194" t="n"/>
      <c r="F123" s="57" t="n"/>
    </row>
    <row r="124" ht="13.2" customHeight="1" s="1127">
      <c r="B124" s="194" t="n"/>
      <c r="F124" s="57" t="n"/>
    </row>
    <row r="125" ht="13.2" customHeight="1" s="1127">
      <c r="B125" s="194" t="n"/>
      <c r="F125" s="57" t="n"/>
    </row>
    <row r="126" ht="13.2" customHeight="1" s="1127">
      <c r="B126" s="194" t="n"/>
      <c r="F126" s="57" t="n"/>
    </row>
    <row r="127" ht="13.2" customHeight="1" s="1127">
      <c r="B127" s="194" t="n"/>
      <c r="F127" s="57" t="n"/>
    </row>
    <row r="128" ht="13.2" customHeight="1" s="1127">
      <c r="B128" s="194" t="n"/>
      <c r="F128" s="57" t="n"/>
    </row>
    <row r="129" ht="13.2" customHeight="1" s="1127">
      <c r="B129" s="194" t="n"/>
      <c r="F129" s="57" t="n"/>
    </row>
    <row r="130" ht="13.2" customHeight="1" s="1127">
      <c r="B130" s="194" t="n"/>
      <c r="F130" s="57" t="n"/>
    </row>
    <row r="131" ht="13.2" customHeight="1" s="1127">
      <c r="B131" s="194" t="n"/>
      <c r="F131" s="57" t="n"/>
    </row>
    <row r="132" ht="13.2" customHeight="1" s="1127">
      <c r="B132" s="194" t="n"/>
      <c r="F132" s="57" t="n"/>
    </row>
    <row r="133" ht="13.2" customHeight="1" s="1127">
      <c r="B133" s="194" t="n"/>
      <c r="F133" s="57" t="n"/>
    </row>
    <row r="134" ht="13.2" customHeight="1" s="1127">
      <c r="B134" s="194" t="n"/>
      <c r="F134" s="57" t="n"/>
    </row>
    <row r="135" ht="13.2" customHeight="1" s="1127">
      <c r="B135" s="194" t="n"/>
      <c r="F135" s="57" t="n"/>
    </row>
    <row r="136" ht="13.2" customHeight="1" s="1127">
      <c r="B136" s="194" t="n"/>
      <c r="F136" s="57" t="n"/>
    </row>
    <row r="137" ht="13.2" customHeight="1" s="1127">
      <c r="B137" s="194" t="n"/>
      <c r="F137" s="57" t="n"/>
    </row>
    <row r="138" ht="13.2" customHeight="1" s="1127">
      <c r="B138" s="194" t="n"/>
      <c r="F138" s="57" t="n"/>
    </row>
    <row r="139" ht="13.2" customHeight="1" s="1127">
      <c r="B139" s="194" t="n"/>
      <c r="F139" s="57" t="n"/>
    </row>
    <row r="140" ht="13.2" customHeight="1" s="1127">
      <c r="B140" s="194" t="n"/>
      <c r="F140" s="57" t="n"/>
    </row>
    <row r="141" ht="13.2" customHeight="1" s="1127">
      <c r="B141" s="194" t="n"/>
      <c r="F141" s="57" t="n"/>
    </row>
    <row r="142" ht="13.2" customHeight="1" s="1127">
      <c r="B142" s="194" t="n"/>
      <c r="F142" s="57" t="n"/>
    </row>
    <row r="143" ht="13.2" customHeight="1" s="1127">
      <c r="B143" s="194" t="n"/>
      <c r="F143" s="57" t="n"/>
    </row>
    <row r="144" ht="13.2" customHeight="1" s="1127">
      <c r="B144" s="194" t="n"/>
      <c r="F144" s="57" t="n"/>
    </row>
    <row r="145" ht="13.2" customHeight="1" s="1127">
      <c r="B145" s="194" t="n"/>
      <c r="F145" s="57" t="n"/>
    </row>
    <row r="146" ht="13.2" customHeight="1" s="1127">
      <c r="B146" s="194" t="n"/>
      <c r="F146" s="57" t="n"/>
    </row>
    <row r="147" ht="13.2" customHeight="1" s="1127">
      <c r="B147" s="194" t="n"/>
      <c r="F147" s="57" t="n"/>
    </row>
    <row r="148" ht="13.2" customHeight="1" s="1127">
      <c r="B148" s="194" t="n"/>
      <c r="F148" s="57" t="n"/>
    </row>
    <row r="149" ht="13.2" customHeight="1" s="1127">
      <c r="B149" s="194" t="n"/>
      <c r="F149" s="57" t="n"/>
    </row>
    <row r="150" ht="13.2" customHeight="1" s="1127">
      <c r="B150" s="194" t="n"/>
      <c r="F150" s="57" t="n"/>
    </row>
    <row r="151" ht="13.2" customHeight="1" s="1127">
      <c r="B151" s="194" t="n"/>
      <c r="F151" s="57" t="n"/>
    </row>
    <row r="152" ht="13.2" customHeight="1" s="1127">
      <c r="B152" s="194" t="n"/>
      <c r="F152" s="57" t="n"/>
    </row>
    <row r="153" ht="13.2" customHeight="1" s="1127">
      <c r="B153" s="194" t="n"/>
      <c r="F153" s="57" t="n"/>
    </row>
    <row r="154" ht="13.2" customHeight="1" s="1127">
      <c r="B154" s="194" t="n"/>
      <c r="F154" s="57" t="n"/>
    </row>
    <row r="155" ht="13.2" customHeight="1" s="1127">
      <c r="B155" s="194" t="n"/>
      <c r="F155" s="57" t="n"/>
    </row>
    <row r="156" ht="13.2" customHeight="1" s="1127">
      <c r="B156" s="194" t="n"/>
      <c r="F156" s="57" t="n"/>
    </row>
    <row r="157" ht="13.2" customHeight="1" s="1127">
      <c r="B157" s="194" t="n"/>
      <c r="F157" s="57" t="n"/>
    </row>
    <row r="158" ht="13.2" customHeight="1" s="1127">
      <c r="B158" s="194" t="n"/>
      <c r="F158" s="57" t="n"/>
    </row>
    <row r="159" ht="13.2" customHeight="1" s="1127">
      <c r="B159" s="194" t="n"/>
      <c r="F159" s="57" t="n"/>
    </row>
    <row r="160" ht="13.2" customHeight="1" s="1127">
      <c r="B160" s="194" t="n"/>
      <c r="F160" s="57" t="n"/>
    </row>
    <row r="161" ht="13.2" customHeight="1" s="1127">
      <c r="B161" s="194" t="n"/>
      <c r="F161" s="57" t="n"/>
    </row>
    <row r="162" ht="13.2" customHeight="1" s="1127">
      <c r="B162" s="194" t="n"/>
      <c r="F162" s="57" t="n"/>
    </row>
    <row r="163" ht="13.2" customHeight="1" s="1127">
      <c r="B163" s="194" t="n"/>
      <c r="F163" s="57" t="n"/>
    </row>
    <row r="164" ht="13.2" customHeight="1" s="1127">
      <c r="B164" s="194" t="n"/>
      <c r="F164" s="57" t="n"/>
    </row>
    <row r="165" ht="13.2" customHeight="1" s="1127">
      <c r="B165" s="194" t="n"/>
      <c r="F165" s="57" t="n"/>
    </row>
    <row r="166" ht="13.2" customHeight="1" s="1127">
      <c r="B166" s="194" t="n"/>
      <c r="F166" s="57" t="n"/>
    </row>
    <row r="167" ht="13.2" customHeight="1" s="1127">
      <c r="B167" s="194" t="n"/>
      <c r="F167" s="57" t="n"/>
    </row>
    <row r="168" ht="13.2" customHeight="1" s="1127">
      <c r="B168" s="194" t="n"/>
      <c r="F168" s="57" t="n"/>
    </row>
    <row r="169" ht="13.2" customHeight="1" s="1127">
      <c r="B169" s="194" t="n"/>
      <c r="F169" s="57" t="n"/>
    </row>
    <row r="170" ht="13.2" customHeight="1" s="1127">
      <c r="B170" s="194" t="n"/>
      <c r="F170" s="57" t="n"/>
    </row>
    <row r="171" ht="13.2" customHeight="1" s="1127">
      <c r="B171" s="194" t="n"/>
      <c r="F171" s="57" t="n"/>
    </row>
    <row r="172" ht="13.2" customHeight="1" s="1127">
      <c r="B172" s="194" t="n"/>
      <c r="F172" s="57" t="n"/>
    </row>
    <row r="173" ht="13.2" customHeight="1" s="1127">
      <c r="B173" s="194" t="n"/>
      <c r="F173" s="57" t="n"/>
    </row>
    <row r="174" ht="13.2" customHeight="1" s="1127">
      <c r="B174" s="194" t="n"/>
      <c r="F174" s="57" t="n"/>
    </row>
    <row r="175" ht="13.2" customHeight="1" s="1127">
      <c r="B175" s="194" t="n"/>
      <c r="F175" s="57" t="n"/>
    </row>
    <row r="176" ht="13.2" customHeight="1" s="1127">
      <c r="B176" s="194" t="n"/>
      <c r="F176" s="57" t="n"/>
    </row>
    <row r="177" ht="13.2" customHeight="1" s="1127">
      <c r="B177" s="194" t="n"/>
      <c r="F177" s="57" t="n"/>
    </row>
    <row r="178" ht="13.2" customHeight="1" s="1127">
      <c r="B178" s="194" t="n"/>
      <c r="F178" s="57" t="n"/>
    </row>
    <row r="179" ht="13.2" customHeight="1" s="1127">
      <c r="B179" s="194" t="n"/>
      <c r="F179" s="57" t="n"/>
    </row>
    <row r="180" ht="13.2" customHeight="1" s="1127">
      <c r="B180" s="194" t="n"/>
      <c r="F180" s="57" t="n"/>
    </row>
    <row r="181" ht="13.2" customHeight="1" s="1127">
      <c r="B181" s="194" t="n"/>
      <c r="F181" s="57" t="n"/>
    </row>
    <row r="182" ht="13.2" customHeight="1" s="1127">
      <c r="B182" s="194" t="n"/>
      <c r="F182" s="57" t="n"/>
    </row>
    <row r="183" ht="13.2" customHeight="1" s="1127">
      <c r="B183" s="194" t="n"/>
      <c r="F183" s="57" t="n"/>
    </row>
    <row r="184" ht="13.2" customHeight="1" s="1127">
      <c r="B184" s="194" t="n"/>
      <c r="F184" s="57" t="n"/>
    </row>
    <row r="185" ht="13.2" customHeight="1" s="1127">
      <c r="B185" s="194" t="n"/>
      <c r="F185" s="57" t="n"/>
    </row>
    <row r="186" ht="13.2" customHeight="1" s="1127">
      <c r="B186" s="194" t="n"/>
      <c r="F186" s="57" t="n"/>
    </row>
    <row r="187" ht="13.2" customHeight="1" s="1127">
      <c r="B187" s="194" t="n"/>
      <c r="F187" s="57" t="n"/>
    </row>
    <row r="188" ht="13.2" customHeight="1" s="1127">
      <c r="B188" s="194" t="n"/>
      <c r="F188" s="57" t="n"/>
    </row>
    <row r="189" ht="13.2" customHeight="1" s="1127">
      <c r="B189" s="194" t="n"/>
      <c r="F189" s="57" t="n"/>
    </row>
    <row r="190" ht="13.2" customHeight="1" s="1127">
      <c r="B190" s="194" t="n"/>
      <c r="F190" s="57" t="n"/>
    </row>
    <row r="191" ht="13.2" customHeight="1" s="1127">
      <c r="B191" s="194" t="n"/>
      <c r="F191" s="57" t="n"/>
    </row>
    <row r="192" ht="13.2" customHeight="1" s="1127">
      <c r="B192" s="194" t="n"/>
      <c r="F192" s="57" t="n"/>
    </row>
    <row r="193" ht="13.2" customHeight="1" s="1127">
      <c r="B193" s="194" t="n"/>
      <c r="F193" s="57" t="n"/>
    </row>
    <row r="194" ht="13.2" customHeight="1" s="1127">
      <c r="B194" s="194" t="n"/>
      <c r="F194" s="57" t="n"/>
    </row>
    <row r="195" ht="13.2" customHeight="1" s="1127">
      <c r="B195" s="194" t="n"/>
      <c r="F195" s="57" t="n"/>
    </row>
    <row r="196" ht="13.2" customHeight="1" s="1127">
      <c r="B196" s="194" t="n"/>
      <c r="F196" s="57" t="n"/>
    </row>
    <row r="197" ht="13.2" customHeight="1" s="1127">
      <c r="B197" s="194" t="n"/>
      <c r="F197" s="57" t="n"/>
    </row>
    <row r="198" ht="13.2" customHeight="1" s="1127">
      <c r="B198" s="194" t="n"/>
      <c r="F198" s="57" t="n"/>
    </row>
    <row r="199" ht="13.2" customHeight="1" s="1127">
      <c r="B199" s="194" t="n"/>
      <c r="F199" s="57" t="n"/>
    </row>
    <row r="200" ht="13.2" customHeight="1" s="1127">
      <c r="B200" s="194" t="n"/>
      <c r="F200" s="57" t="n"/>
    </row>
    <row r="201" ht="13.2" customHeight="1" s="1127">
      <c r="B201" s="194" t="n"/>
      <c r="F201" s="57" t="n"/>
    </row>
    <row r="202" ht="13.2" customHeight="1" s="1127">
      <c r="B202" s="194" t="n"/>
      <c r="F202" s="57" t="n"/>
    </row>
    <row r="203" ht="13.2" customHeight="1" s="1127">
      <c r="B203" s="194" t="n"/>
      <c r="F203" s="57" t="n"/>
    </row>
    <row r="204" ht="13.2" customHeight="1" s="1127">
      <c r="B204" s="194" t="n"/>
      <c r="F204" s="57" t="n"/>
    </row>
    <row r="205" ht="13.2" customHeight="1" s="1127">
      <c r="B205" s="194" t="n"/>
      <c r="F205" s="57" t="n"/>
    </row>
    <row r="206" ht="13.2" customHeight="1" s="1127">
      <c r="B206" s="194" t="n"/>
      <c r="F206" s="57" t="n"/>
    </row>
    <row r="207" ht="13.2" customHeight="1" s="1127">
      <c r="B207" s="194" t="n"/>
      <c r="F207" s="57" t="n"/>
    </row>
    <row r="208" ht="13.2" customHeight="1" s="1127">
      <c r="B208" s="194" t="n"/>
      <c r="F208" s="57" t="n"/>
    </row>
    <row r="209" ht="13.2" customHeight="1" s="1127">
      <c r="B209" s="194" t="n"/>
      <c r="F209" s="57" t="n"/>
    </row>
    <row r="210" ht="13.2" customHeight="1" s="1127">
      <c r="B210" s="194" t="n"/>
      <c r="F210" s="57" t="n"/>
    </row>
    <row r="211" ht="13.2" customHeight="1" s="1127">
      <c r="B211" s="194" t="n"/>
      <c r="F211" s="57" t="n"/>
    </row>
    <row r="212" ht="13.2" customHeight="1" s="1127">
      <c r="B212" s="194" t="n"/>
      <c r="F212" s="57" t="n"/>
    </row>
    <row r="213" ht="13.2" customHeight="1" s="1127">
      <c r="B213" s="194" t="n"/>
      <c r="F213" s="57" t="n"/>
    </row>
    <row r="214" ht="13.2" customHeight="1" s="1127">
      <c r="B214" s="194" t="n"/>
      <c r="F214" s="57" t="n"/>
    </row>
    <row r="215" ht="13.2" customHeight="1" s="1127">
      <c r="B215" s="194" t="n"/>
      <c r="F215" s="57" t="n"/>
    </row>
    <row r="216" ht="13.2" customHeight="1" s="1127">
      <c r="B216" s="194" t="n"/>
      <c r="F216" s="57" t="n"/>
    </row>
    <row r="217" ht="13.2" customHeight="1" s="1127">
      <c r="B217" s="194" t="n"/>
      <c r="F217" s="57" t="n"/>
    </row>
    <row r="218" ht="13.2" customHeight="1" s="1127">
      <c r="B218" s="194" t="n"/>
      <c r="F218" s="57" t="n"/>
    </row>
    <row r="219" ht="13.2" customHeight="1" s="1127">
      <c r="B219" s="194" t="n"/>
      <c r="F219" s="57" t="n"/>
    </row>
    <row r="220" ht="13.2" customHeight="1" s="1127">
      <c r="B220" s="194" t="n"/>
      <c r="F220" s="57" t="n"/>
    </row>
    <row r="221" ht="13.2" customHeight="1" s="1127">
      <c r="B221" s="194" t="n"/>
      <c r="F221" s="57" t="n"/>
    </row>
    <row r="222" ht="13.2" customHeight="1" s="1127">
      <c r="B222" s="194" t="n"/>
      <c r="F222" s="57" t="n"/>
    </row>
    <row r="223" ht="13.2" customHeight="1" s="1127">
      <c r="B223" s="194" t="n"/>
      <c r="F223" s="57" t="n"/>
    </row>
    <row r="224" ht="13.2" customHeight="1" s="1127">
      <c r="B224" s="194" t="n"/>
      <c r="F224" s="57" t="n"/>
    </row>
    <row r="225" ht="13.2" customHeight="1" s="1127">
      <c r="B225" s="194" t="n"/>
      <c r="F225" s="57" t="n"/>
    </row>
    <row r="226" ht="13.2" customHeight="1" s="1127">
      <c r="B226" s="194" t="n"/>
      <c r="F226" s="57" t="n"/>
    </row>
    <row r="227" ht="13.2" customHeight="1" s="1127">
      <c r="B227" s="194" t="n"/>
      <c r="F227" s="57" t="n"/>
    </row>
    <row r="228" ht="13.2" customHeight="1" s="1127">
      <c r="B228" s="194" t="n"/>
      <c r="F228" s="57" t="n"/>
    </row>
    <row r="229" ht="13.2" customHeight="1" s="1127">
      <c r="B229" s="194" t="n"/>
      <c r="F229" s="57" t="n"/>
    </row>
    <row r="230" ht="13.2" customHeight="1" s="1127">
      <c r="B230" s="194" t="n"/>
      <c r="F230" s="57" t="n"/>
    </row>
    <row r="231" ht="13.2" customHeight="1" s="1127">
      <c r="B231" s="194" t="n"/>
      <c r="F231" s="57" t="n"/>
    </row>
    <row r="232" ht="13.2" customHeight="1" s="1127">
      <c r="B232" s="194" t="n"/>
      <c r="F232" s="57" t="n"/>
    </row>
    <row r="233" ht="13.2" customHeight="1" s="1127">
      <c r="B233" s="194" t="n"/>
      <c r="F233" s="57" t="n"/>
    </row>
    <row r="234" ht="13.2" customHeight="1" s="1127">
      <c r="B234" s="194" t="n"/>
      <c r="F234" s="57" t="n"/>
    </row>
    <row r="235" ht="13.2" customHeight="1" s="1127">
      <c r="B235" s="194" t="n"/>
      <c r="F235" s="57" t="n"/>
    </row>
    <row r="236" ht="13.2" customHeight="1" s="1127">
      <c r="B236" s="194" t="n"/>
      <c r="F236" s="57" t="n"/>
    </row>
    <row r="237" ht="13.2" customHeight="1" s="1127">
      <c r="B237" s="194" t="n"/>
      <c r="F237" s="57" t="n"/>
    </row>
    <row r="238" ht="13.2" customHeight="1" s="1127">
      <c r="B238" s="194" t="n"/>
      <c r="F238" s="57" t="n"/>
    </row>
    <row r="239" ht="13.2" customHeight="1" s="1127">
      <c r="B239" s="194" t="n"/>
      <c r="F239" s="57" t="n"/>
    </row>
    <row r="240" ht="13.2" customHeight="1" s="1127">
      <c r="B240" s="194" t="n"/>
      <c r="F240" s="57" t="n"/>
    </row>
    <row r="241" ht="13.2" customHeight="1" s="1127">
      <c r="B241" s="194" t="n"/>
      <c r="F241" s="57" t="n"/>
    </row>
    <row r="242" ht="13.2" customHeight="1" s="1127">
      <c r="B242" s="194" t="n"/>
      <c r="F242" s="57" t="n"/>
    </row>
    <row r="243" ht="13.2" customHeight="1" s="1127">
      <c r="B243" s="194" t="n"/>
      <c r="F243" s="57" t="n"/>
    </row>
    <row r="244" ht="13.2" customHeight="1" s="1127">
      <c r="B244" s="194" t="n"/>
      <c r="F244" s="57" t="n"/>
    </row>
    <row r="245" ht="13.2" customHeight="1" s="1127">
      <c r="B245" s="194" t="n"/>
      <c r="F245" s="57" t="n"/>
    </row>
    <row r="246" ht="13.2" customHeight="1" s="1127">
      <c r="B246" s="194" t="n"/>
      <c r="F246" s="57" t="n"/>
    </row>
    <row r="247" ht="13.2" customHeight="1" s="1127">
      <c r="B247" s="194" t="n"/>
      <c r="F247" s="57" t="n"/>
    </row>
    <row r="248" ht="13.2" customHeight="1" s="1127">
      <c r="B248" s="194" t="n"/>
      <c r="F248" s="57" t="n"/>
    </row>
    <row r="249" ht="13.2" customHeight="1" s="1127">
      <c r="B249" s="194" t="n"/>
      <c r="F249" s="57" t="n"/>
    </row>
    <row r="250" ht="13.2" customHeight="1" s="1127">
      <c r="B250" s="194" t="n"/>
      <c r="F250" s="57" t="n"/>
    </row>
    <row r="251" ht="13.2" customHeight="1" s="1127">
      <c r="B251" s="194" t="n"/>
      <c r="F251" s="57" t="n"/>
    </row>
    <row r="252" ht="13.2" customHeight="1" s="1127">
      <c r="B252" s="194" t="n"/>
      <c r="F252" s="57" t="n"/>
    </row>
    <row r="253" ht="13.2" customHeight="1" s="1127">
      <c r="B253" s="194" t="n"/>
      <c r="F253" s="57" t="n"/>
    </row>
    <row r="254" ht="13.2" customHeight="1" s="1127">
      <c r="B254" s="194" t="n"/>
      <c r="F254" s="57" t="n"/>
    </row>
    <row r="255" ht="13.2" customHeight="1" s="1127">
      <c r="B255" s="194" t="n"/>
      <c r="F255" s="57" t="n"/>
    </row>
    <row r="256" ht="13.2" customHeight="1" s="1127">
      <c r="B256" s="194" t="n"/>
      <c r="F256" s="57" t="n"/>
    </row>
    <row r="257" ht="13.2" customHeight="1" s="1127">
      <c r="B257" s="194" t="n"/>
      <c r="F257" s="57" t="n"/>
    </row>
    <row r="258" ht="13.2" customHeight="1" s="1127">
      <c r="B258" s="194" t="n"/>
      <c r="F258" s="57" t="n"/>
    </row>
    <row r="259" ht="13.2" customHeight="1" s="1127">
      <c r="B259" s="194" t="n"/>
      <c r="F259" s="57" t="n"/>
    </row>
    <row r="260" ht="13.2" customHeight="1" s="1127">
      <c r="B260" s="194" t="n"/>
      <c r="F260" s="57" t="n"/>
    </row>
    <row r="261" ht="13.2" customHeight="1" s="1127">
      <c r="B261" s="194" t="n"/>
      <c r="F261" s="57" t="n"/>
    </row>
    <row r="262" ht="13.2" customHeight="1" s="1127">
      <c r="B262" s="194" t="n"/>
      <c r="F262" s="57" t="n"/>
    </row>
    <row r="263" ht="13.2" customHeight="1" s="1127">
      <c r="B263" s="194" t="n"/>
      <c r="F263" s="57" t="n"/>
    </row>
    <row r="264" ht="13.2" customHeight="1" s="1127">
      <c r="B264" s="194" t="n"/>
      <c r="F264" s="57" t="n"/>
    </row>
    <row r="265" ht="13.2" customHeight="1" s="1127">
      <c r="B265" s="194" t="n"/>
      <c r="F265" s="57" t="n"/>
    </row>
    <row r="266" ht="13.2" customHeight="1" s="1127">
      <c r="B266" s="194" t="n"/>
      <c r="F266" s="57" t="n"/>
    </row>
    <row r="267" ht="13.2" customHeight="1" s="1127">
      <c r="B267" s="194" t="n"/>
      <c r="F267" s="57" t="n"/>
    </row>
    <row r="268" ht="13.2" customHeight="1" s="1127">
      <c r="B268" s="194" t="n"/>
      <c r="F268" s="57" t="n"/>
    </row>
    <row r="269" ht="13.2" customHeight="1" s="1127">
      <c r="B269" s="194" t="n"/>
      <c r="F269" s="57" t="n"/>
    </row>
    <row r="270" ht="13.2" customHeight="1" s="1127">
      <c r="B270" s="194" t="n"/>
      <c r="F270" s="57" t="n"/>
    </row>
    <row r="271" ht="13.2" customHeight="1" s="1127">
      <c r="B271" s="194" t="n"/>
      <c r="F271" s="57" t="n"/>
    </row>
    <row r="272" ht="13.2" customHeight="1" s="1127">
      <c r="B272" s="194" t="n"/>
      <c r="F272" s="57" t="n"/>
    </row>
    <row r="273" ht="13.2" customHeight="1" s="1127">
      <c r="B273" s="194" t="n"/>
      <c r="F273" s="57" t="n"/>
    </row>
    <row r="274" ht="13.2" customHeight="1" s="1127">
      <c r="B274" s="194" t="n"/>
      <c r="F274" s="57" t="n"/>
    </row>
    <row r="275" ht="13.2" customHeight="1" s="1127">
      <c r="B275" s="194" t="n"/>
      <c r="F275" s="57" t="n"/>
    </row>
    <row r="276" ht="13.2" customHeight="1" s="1127">
      <c r="B276" s="194" t="n"/>
      <c r="F276" s="57" t="n"/>
    </row>
    <row r="277" ht="13.2" customHeight="1" s="1127">
      <c r="B277" s="194" t="n"/>
      <c r="F277" s="57" t="n"/>
    </row>
    <row r="278" ht="13.2" customHeight="1" s="1127">
      <c r="B278" s="194" t="n"/>
      <c r="F278" s="57" t="n"/>
    </row>
    <row r="279" ht="13.2" customHeight="1" s="1127">
      <c r="B279" s="194" t="n"/>
      <c r="F279" s="57" t="n"/>
    </row>
    <row r="280" ht="13.2" customHeight="1" s="1127">
      <c r="B280" s="194" t="n"/>
      <c r="F280" s="57" t="n"/>
    </row>
    <row r="281" ht="13.2" customHeight="1" s="1127">
      <c r="B281" s="194" t="n"/>
      <c r="F281" s="57" t="n"/>
    </row>
    <row r="282" ht="13.2" customHeight="1" s="1127">
      <c r="B282" s="194" t="n"/>
      <c r="F282" s="57" t="n"/>
    </row>
    <row r="283" ht="13.2" customHeight="1" s="1127">
      <c r="B283" s="194" t="n"/>
      <c r="F283" s="57" t="n"/>
    </row>
    <row r="284" ht="13.2" customHeight="1" s="1127">
      <c r="B284" s="194" t="n"/>
      <c r="F284" s="57" t="n"/>
    </row>
    <row r="285" ht="13.2" customHeight="1" s="1127">
      <c r="B285" s="194" t="n"/>
      <c r="F285" s="57" t="n"/>
    </row>
    <row r="286" ht="13.2" customHeight="1" s="1127">
      <c r="B286" s="194" t="n"/>
      <c r="F286" s="57" t="n"/>
    </row>
    <row r="287" ht="13.2" customHeight="1" s="1127">
      <c r="B287" s="194" t="n"/>
      <c r="F287" s="57" t="n"/>
    </row>
    <row r="288" ht="13.2" customHeight="1" s="1127">
      <c r="B288" s="194" t="n"/>
      <c r="F288" s="57" t="n"/>
    </row>
    <row r="289" ht="13.2" customHeight="1" s="1127">
      <c r="B289" s="194" t="n"/>
      <c r="F289" s="57" t="n"/>
    </row>
    <row r="290" ht="13.2" customHeight="1" s="1127">
      <c r="B290" s="194" t="n"/>
      <c r="F290" s="57" t="n"/>
    </row>
    <row r="291" ht="13.2" customHeight="1" s="1127">
      <c r="B291" s="194" t="n"/>
      <c r="F291" s="57" t="n"/>
    </row>
    <row r="292" ht="13.2" customHeight="1" s="1127">
      <c r="B292" s="194" t="n"/>
      <c r="F292" s="57" t="n"/>
    </row>
    <row r="293" ht="13.2" customHeight="1" s="1127">
      <c r="B293" s="194" t="n"/>
      <c r="F293" s="57" t="n"/>
    </row>
    <row r="294" ht="13.2" customHeight="1" s="1127">
      <c r="B294" s="194" t="n"/>
      <c r="F294" s="57" t="n"/>
    </row>
    <row r="295" ht="13.2" customHeight="1" s="1127">
      <c r="B295" s="194" t="n"/>
      <c r="F295" s="57" t="n"/>
    </row>
    <row r="296" ht="13.2" customHeight="1" s="1127">
      <c r="B296" s="194" t="n"/>
      <c r="F296" s="57" t="n"/>
    </row>
    <row r="297" ht="13.2" customHeight="1" s="1127">
      <c r="B297" s="194" t="n"/>
      <c r="F297" s="57" t="n"/>
    </row>
    <row r="298" ht="13.2" customHeight="1" s="1127">
      <c r="B298" s="194" t="n"/>
      <c r="F298" s="57" t="n"/>
    </row>
    <row r="299" ht="13.2" customHeight="1" s="1127">
      <c r="B299" s="194" t="n"/>
      <c r="F299" s="57" t="n"/>
    </row>
    <row r="300" ht="13.2" customHeight="1" s="1127">
      <c r="B300" s="194" t="n"/>
      <c r="F300" s="57" t="n"/>
    </row>
    <row r="301" ht="13.2" customHeight="1" s="1127">
      <c r="B301" s="194" t="n"/>
      <c r="F301" s="57" t="n"/>
    </row>
    <row r="302" ht="13.2" customHeight="1" s="1127">
      <c r="B302" s="194" t="n"/>
      <c r="F302" s="57" t="n"/>
    </row>
    <row r="303" ht="13.2" customHeight="1" s="1127">
      <c r="B303" s="194" t="n"/>
      <c r="F303" s="57" t="n"/>
    </row>
    <row r="304" ht="13.2" customHeight="1" s="1127">
      <c r="B304" s="194" t="n"/>
      <c r="F304" s="57" t="n"/>
    </row>
    <row r="305" ht="13.2" customHeight="1" s="1127">
      <c r="B305" s="194" t="n"/>
      <c r="F305" s="57" t="n"/>
    </row>
    <row r="306" ht="13.2" customHeight="1" s="1127">
      <c r="B306" s="194" t="n"/>
      <c r="F306" s="57" t="n"/>
    </row>
    <row r="307" ht="13.2" customHeight="1" s="1127">
      <c r="B307" s="194" t="n"/>
      <c r="F307" s="57" t="n"/>
    </row>
    <row r="308" ht="13.2" customHeight="1" s="1127">
      <c r="B308" s="194" t="n"/>
      <c r="F308" s="57" t="n"/>
    </row>
    <row r="309" ht="13.2" customHeight="1" s="1127">
      <c r="B309" s="194" t="n"/>
      <c r="F309" s="57" t="n"/>
    </row>
    <row r="310" ht="13.2" customHeight="1" s="1127">
      <c r="B310" s="194" t="n"/>
      <c r="F310" s="57" t="n"/>
    </row>
    <row r="311" ht="13.2" customHeight="1" s="1127">
      <c r="B311" s="194" t="n"/>
      <c r="F311" s="57" t="n"/>
    </row>
    <row r="312" ht="13.2" customHeight="1" s="1127">
      <c r="B312" s="194" t="n"/>
      <c r="F312" s="57" t="n"/>
    </row>
    <row r="313" ht="13.2" customHeight="1" s="1127">
      <c r="B313" s="194" t="n"/>
      <c r="F313" s="57" t="n"/>
    </row>
    <row r="314" ht="13.2" customHeight="1" s="1127">
      <c r="B314" s="194" t="n"/>
      <c r="F314" s="57" t="n"/>
    </row>
    <row r="315" ht="13.2" customHeight="1" s="1127">
      <c r="B315" s="194" t="n"/>
      <c r="F315" s="57" t="n"/>
    </row>
    <row r="316" ht="13.2" customHeight="1" s="1127">
      <c r="B316" s="194" t="n"/>
      <c r="F316" s="57" t="n"/>
    </row>
    <row r="317" ht="13.2" customHeight="1" s="1127">
      <c r="B317" s="194" t="n"/>
      <c r="F317" s="57" t="n"/>
    </row>
    <row r="318" ht="13.2" customHeight="1" s="1127">
      <c r="B318" s="194" t="n"/>
      <c r="F318" s="57" t="n"/>
    </row>
    <row r="319" ht="13.2" customHeight="1" s="1127">
      <c r="B319" s="194" t="n"/>
      <c r="F319" s="57" t="n"/>
    </row>
    <row r="320" ht="13.2" customHeight="1" s="1127">
      <c r="B320" s="194" t="n"/>
      <c r="F320" s="57" t="n"/>
    </row>
    <row r="321" ht="13.2" customHeight="1" s="1127">
      <c r="B321" s="194" t="n"/>
      <c r="F321" s="57" t="n"/>
    </row>
    <row r="322" ht="13.2" customHeight="1" s="1127">
      <c r="B322" s="194" t="n"/>
      <c r="F322" s="57" t="n"/>
    </row>
    <row r="323" ht="13.2" customHeight="1" s="1127">
      <c r="B323" s="194" t="n"/>
      <c r="F323" s="57" t="n"/>
    </row>
    <row r="324" ht="13.2" customHeight="1" s="1127">
      <c r="B324" s="194" t="n"/>
      <c r="F324" s="57" t="n"/>
    </row>
    <row r="325" ht="13.2" customHeight="1" s="1127">
      <c r="B325" s="194" t="n"/>
      <c r="F325" s="57" t="n"/>
    </row>
    <row r="326" ht="13.2" customHeight="1" s="1127">
      <c r="B326" s="194" t="n"/>
      <c r="F326" s="57" t="n"/>
    </row>
    <row r="327" ht="13.2" customHeight="1" s="1127">
      <c r="B327" s="194" t="n"/>
      <c r="F327" s="57" t="n"/>
    </row>
    <row r="328" ht="13.2" customHeight="1" s="1127">
      <c r="B328" s="194" t="n"/>
      <c r="F328" s="57" t="n"/>
    </row>
    <row r="329" ht="13.2" customHeight="1" s="1127">
      <c r="B329" s="194" t="n"/>
      <c r="F329" s="57" t="n"/>
    </row>
    <row r="330" ht="13.2" customHeight="1" s="1127">
      <c r="B330" s="194" t="n"/>
      <c r="F330" s="57" t="n"/>
    </row>
    <row r="331" ht="13.2" customHeight="1" s="1127">
      <c r="B331" s="194" t="n"/>
      <c r="F331" s="57" t="n"/>
    </row>
    <row r="332" ht="13.2" customHeight="1" s="1127">
      <c r="B332" s="194" t="n"/>
      <c r="F332" s="57" t="n"/>
    </row>
    <row r="333" ht="13.2" customHeight="1" s="1127">
      <c r="B333" s="194" t="n"/>
      <c r="F333" s="57" t="n"/>
    </row>
    <row r="334" ht="13.2" customHeight="1" s="1127">
      <c r="B334" s="194" t="n"/>
      <c r="F334" s="57" t="n"/>
    </row>
    <row r="335" ht="13.2" customHeight="1" s="1127">
      <c r="B335" s="194" t="n"/>
      <c r="F335" s="57" t="n"/>
    </row>
    <row r="336" ht="13.2" customHeight="1" s="1127">
      <c r="B336" s="194" t="n"/>
      <c r="F336" s="57" t="n"/>
    </row>
    <row r="337" ht="13.2" customHeight="1" s="1127">
      <c r="B337" s="194" t="n"/>
      <c r="F337" s="57" t="n"/>
    </row>
    <row r="338" ht="13.2" customHeight="1" s="1127">
      <c r="B338" s="194" t="n"/>
      <c r="F338" s="57" t="n"/>
    </row>
    <row r="339" ht="13.2" customHeight="1" s="1127">
      <c r="B339" s="194" t="n"/>
      <c r="F339" s="57" t="n"/>
    </row>
    <row r="340" ht="13.2" customHeight="1" s="1127">
      <c r="B340" s="194" t="n"/>
      <c r="F340" s="57" t="n"/>
    </row>
    <row r="341" ht="13.2" customHeight="1" s="1127">
      <c r="B341" s="194" t="n"/>
      <c r="F341" s="57" t="n"/>
    </row>
    <row r="342" ht="13.2" customHeight="1" s="1127">
      <c r="B342" s="194" t="n"/>
      <c r="F342" s="57" t="n"/>
    </row>
    <row r="343" ht="13.2" customHeight="1" s="1127">
      <c r="B343" s="194" t="n"/>
      <c r="F343" s="57" t="n"/>
    </row>
    <row r="344" ht="13.2" customHeight="1" s="1127">
      <c r="B344" s="194" t="n"/>
      <c r="F344" s="57" t="n"/>
    </row>
    <row r="345" ht="13.2" customHeight="1" s="1127">
      <c r="B345" s="194" t="n"/>
      <c r="F345" s="57" t="n"/>
    </row>
    <row r="346" ht="13.2" customHeight="1" s="1127">
      <c r="B346" s="194" t="n"/>
      <c r="F346" s="57" t="n"/>
    </row>
    <row r="347" ht="13.2" customHeight="1" s="1127">
      <c r="B347" s="194" t="n"/>
      <c r="F347" s="57" t="n"/>
    </row>
    <row r="348" ht="13.2" customHeight="1" s="1127">
      <c r="B348" s="194" t="n"/>
      <c r="F348" s="57" t="n"/>
    </row>
    <row r="349" ht="13.2" customHeight="1" s="1127">
      <c r="B349" s="194" t="n"/>
      <c r="F349" s="57" t="n"/>
    </row>
    <row r="350" ht="13.2" customHeight="1" s="1127">
      <c r="B350" s="194" t="n"/>
      <c r="F350" s="57" t="n"/>
    </row>
    <row r="351" ht="13.2" customHeight="1" s="1127">
      <c r="B351" s="194" t="n"/>
      <c r="F351" s="57" t="n"/>
    </row>
    <row r="352" ht="13.2" customHeight="1" s="1127">
      <c r="B352" s="194" t="n"/>
      <c r="F352" s="57" t="n"/>
    </row>
    <row r="353" ht="13.2" customHeight="1" s="1127">
      <c r="B353" s="194" t="n"/>
      <c r="F353" s="57" t="n"/>
    </row>
    <row r="354" ht="13.2" customHeight="1" s="1127">
      <c r="B354" s="194" t="n"/>
      <c r="F354" s="57" t="n"/>
    </row>
    <row r="355" ht="13.2" customHeight="1" s="1127">
      <c r="B355" s="194" t="n"/>
      <c r="F355" s="57" t="n"/>
    </row>
    <row r="356" ht="13.2" customHeight="1" s="1127">
      <c r="B356" s="194" t="n"/>
      <c r="F356" s="57" t="n"/>
    </row>
    <row r="357" ht="13.2" customHeight="1" s="1127">
      <c r="B357" s="194" t="n"/>
      <c r="F357" s="57" t="n"/>
    </row>
    <row r="358" ht="13.2" customHeight="1" s="1127">
      <c r="B358" s="194" t="n"/>
      <c r="F358" s="57" t="n"/>
    </row>
    <row r="359" ht="13.2" customHeight="1" s="1127">
      <c r="B359" s="194" t="n"/>
      <c r="F359" s="57" t="n"/>
    </row>
    <row r="360" ht="13.2" customHeight="1" s="1127">
      <c r="B360" s="194" t="n"/>
      <c r="F360" s="57" t="n"/>
    </row>
    <row r="361" ht="13.2" customHeight="1" s="1127">
      <c r="B361" s="194" t="n"/>
      <c r="F361" s="57" t="n"/>
    </row>
    <row r="362" ht="13.2" customHeight="1" s="1127">
      <c r="B362" s="194" t="n"/>
      <c r="F362" s="57" t="n"/>
    </row>
    <row r="363" ht="13.2" customHeight="1" s="1127">
      <c r="B363" s="194" t="n"/>
      <c r="F363" s="57" t="n"/>
    </row>
    <row r="364" ht="13.2" customHeight="1" s="1127">
      <c r="B364" s="194" t="n"/>
      <c r="F364" s="57" t="n"/>
    </row>
    <row r="365" ht="13.2" customHeight="1" s="1127">
      <c r="B365" s="194" t="n"/>
      <c r="F365" s="57" t="n"/>
    </row>
    <row r="366" ht="13.2" customHeight="1" s="1127">
      <c r="B366" s="194" t="n"/>
      <c r="F366" s="57" t="n"/>
    </row>
    <row r="367" ht="13.2" customHeight="1" s="1127">
      <c r="B367" s="194" t="n"/>
      <c r="F367" s="57" t="n"/>
    </row>
    <row r="368" ht="13.2" customHeight="1" s="1127">
      <c r="B368" s="194" t="n"/>
      <c r="F368" s="57" t="n"/>
    </row>
    <row r="369" ht="13.2" customHeight="1" s="1127">
      <c r="B369" s="194" t="n"/>
      <c r="F369" s="57" t="n"/>
    </row>
    <row r="370" ht="13.2" customHeight="1" s="1127">
      <c r="B370" s="194" t="n"/>
      <c r="F370" s="57" t="n"/>
    </row>
    <row r="371" ht="13.2" customHeight="1" s="1127">
      <c r="B371" s="194" t="n"/>
      <c r="F371" s="57" t="n"/>
    </row>
    <row r="372" ht="13.2" customHeight="1" s="1127">
      <c r="B372" s="194" t="n"/>
      <c r="F372" s="57" t="n"/>
    </row>
    <row r="373" ht="13.2" customHeight="1" s="1127">
      <c r="B373" s="194" t="n"/>
      <c r="F373" s="57" t="n"/>
    </row>
    <row r="374" ht="13.2" customHeight="1" s="1127">
      <c r="B374" s="194" t="n"/>
      <c r="F374" s="57" t="n"/>
    </row>
    <row r="375" ht="13.2" customHeight="1" s="1127">
      <c r="B375" s="194" t="n"/>
      <c r="F375" s="57" t="n"/>
    </row>
    <row r="376" ht="13.2" customHeight="1" s="1127">
      <c r="B376" s="194" t="n"/>
      <c r="F376" s="57" t="n"/>
    </row>
    <row r="377" ht="13.2" customHeight="1" s="1127">
      <c r="B377" s="194" t="n"/>
      <c r="F377" s="57" t="n"/>
    </row>
    <row r="378" ht="13.2" customHeight="1" s="1127">
      <c r="B378" s="194" t="n"/>
      <c r="F378" s="57" t="n"/>
    </row>
    <row r="379" ht="13.2" customHeight="1" s="1127">
      <c r="B379" s="194" t="n"/>
      <c r="F379" s="57" t="n"/>
    </row>
    <row r="380" ht="13.2" customHeight="1" s="1127">
      <c r="B380" s="194" t="n"/>
      <c r="F380" s="57" t="n"/>
    </row>
    <row r="381" ht="13.2" customHeight="1" s="1127">
      <c r="B381" s="194" t="n"/>
      <c r="F381" s="57" t="n"/>
    </row>
    <row r="382" ht="13.2" customHeight="1" s="1127">
      <c r="B382" s="194" t="n"/>
      <c r="F382" s="57" t="n"/>
    </row>
    <row r="383" ht="13.2" customHeight="1" s="1127">
      <c r="B383" s="194" t="n"/>
      <c r="F383" s="57" t="n"/>
    </row>
    <row r="384" ht="13.2" customHeight="1" s="1127">
      <c r="B384" s="194" t="n"/>
      <c r="F384" s="57" t="n"/>
    </row>
    <row r="385" ht="13.2" customHeight="1" s="1127">
      <c r="B385" s="194" t="n"/>
      <c r="F385" s="57" t="n"/>
    </row>
    <row r="386" ht="13.2" customHeight="1" s="1127">
      <c r="B386" s="194" t="n"/>
      <c r="F386" s="57" t="n"/>
    </row>
    <row r="387" ht="13.2" customHeight="1" s="1127">
      <c r="B387" s="194" t="n"/>
      <c r="F387" s="57" t="n"/>
    </row>
    <row r="388" ht="13.2" customHeight="1" s="1127">
      <c r="B388" s="194" t="n"/>
      <c r="F388" s="57" t="n"/>
    </row>
    <row r="389" ht="13.2" customHeight="1" s="1127">
      <c r="B389" s="194" t="n"/>
      <c r="F389" s="57" t="n"/>
    </row>
    <row r="390" ht="13.2" customHeight="1" s="1127">
      <c r="B390" s="194" t="n"/>
      <c r="F390" s="57" t="n"/>
    </row>
    <row r="391" ht="13.2" customHeight="1" s="1127">
      <c r="B391" s="194" t="n"/>
      <c r="F391" s="57" t="n"/>
    </row>
    <row r="392" ht="13.2" customHeight="1" s="1127">
      <c r="B392" s="194" t="n"/>
      <c r="F392" s="57" t="n"/>
    </row>
    <row r="393" ht="13.2" customHeight="1" s="1127">
      <c r="B393" s="194" t="n"/>
      <c r="F393" s="57" t="n"/>
    </row>
    <row r="394" ht="13.2" customHeight="1" s="1127">
      <c r="B394" s="194" t="n"/>
      <c r="F394" s="57" t="n"/>
    </row>
    <row r="395" ht="13.2" customHeight="1" s="1127">
      <c r="B395" s="194" t="n"/>
      <c r="F395" s="57" t="n"/>
    </row>
    <row r="396" ht="13.2" customHeight="1" s="1127">
      <c r="B396" s="194" t="n"/>
      <c r="F396" s="57" t="n"/>
    </row>
    <row r="397" ht="13.2" customHeight="1" s="1127">
      <c r="B397" s="194" t="n"/>
      <c r="F397" s="57" t="n"/>
    </row>
    <row r="398" ht="13.2" customHeight="1" s="1127">
      <c r="B398" s="194" t="n"/>
      <c r="F398" s="57" t="n"/>
    </row>
    <row r="399" ht="13.2" customHeight="1" s="1127">
      <c r="B399" s="194" t="n"/>
      <c r="F399" s="57" t="n"/>
    </row>
    <row r="400" ht="13.2" customHeight="1" s="1127">
      <c r="B400" s="194" t="n"/>
      <c r="F400" s="57" t="n"/>
    </row>
    <row r="401" ht="13.2" customHeight="1" s="1127">
      <c r="B401" s="194" t="n"/>
      <c r="F401" s="57" t="n"/>
    </row>
    <row r="402" ht="13.2" customHeight="1" s="1127">
      <c r="B402" s="194" t="n"/>
      <c r="F402" s="57" t="n"/>
    </row>
    <row r="403" ht="13.2" customHeight="1" s="1127">
      <c r="B403" s="194" t="n"/>
      <c r="F403" s="57" t="n"/>
    </row>
    <row r="404" ht="13.2" customHeight="1" s="1127">
      <c r="B404" s="194" t="n"/>
      <c r="F404" s="57" t="n"/>
    </row>
    <row r="405" ht="13.2" customHeight="1" s="1127">
      <c r="B405" s="194" t="n"/>
      <c r="F405" s="57" t="n"/>
    </row>
    <row r="406" ht="13.2" customHeight="1" s="1127">
      <c r="B406" s="194" t="n"/>
      <c r="F406" s="57" t="n"/>
    </row>
    <row r="407" ht="13.2" customHeight="1" s="1127">
      <c r="B407" s="194" t="n"/>
      <c r="F407" s="57" t="n"/>
    </row>
    <row r="408" ht="13.2" customHeight="1" s="1127">
      <c r="B408" s="194" t="n"/>
      <c r="F408" s="57" t="n"/>
    </row>
    <row r="409" ht="13.2" customHeight="1" s="1127">
      <c r="B409" s="194" t="n"/>
      <c r="F409" s="57" t="n"/>
    </row>
    <row r="410" ht="13.2" customHeight="1" s="1127">
      <c r="B410" s="194" t="n"/>
      <c r="F410" s="57" t="n"/>
    </row>
    <row r="411" ht="13.2" customHeight="1" s="1127">
      <c r="B411" s="194" t="n"/>
      <c r="F411" s="57" t="n"/>
    </row>
    <row r="412" ht="13.2" customHeight="1" s="1127">
      <c r="B412" s="194" t="n"/>
      <c r="F412" s="57" t="n"/>
    </row>
    <row r="413" ht="13.2" customHeight="1" s="1127">
      <c r="B413" s="194" t="n"/>
      <c r="F413" s="57" t="n"/>
    </row>
    <row r="414" ht="13.2" customHeight="1" s="1127">
      <c r="B414" s="194" t="n"/>
      <c r="F414" s="57" t="n"/>
    </row>
    <row r="415" ht="13.2" customHeight="1" s="1127">
      <c r="B415" s="194" t="n"/>
      <c r="F415" s="57" t="n"/>
    </row>
    <row r="416" ht="13.2" customHeight="1" s="1127">
      <c r="B416" s="194" t="n"/>
      <c r="F416" s="57" t="n"/>
    </row>
    <row r="417" ht="13.2" customHeight="1" s="1127">
      <c r="B417" s="194" t="n"/>
      <c r="F417" s="57" t="n"/>
    </row>
    <row r="418" ht="13.2" customHeight="1" s="1127">
      <c r="B418" s="194" t="n"/>
      <c r="F418" s="57" t="n"/>
    </row>
    <row r="419" ht="13.2" customHeight="1" s="1127">
      <c r="B419" s="194" t="n"/>
      <c r="F419" s="57" t="n"/>
    </row>
    <row r="420" ht="13.2" customHeight="1" s="1127">
      <c r="B420" s="194" t="n"/>
      <c r="F420" s="57" t="n"/>
    </row>
    <row r="421" ht="13.2" customHeight="1" s="1127">
      <c r="B421" s="194" t="n"/>
      <c r="F421" s="57" t="n"/>
    </row>
    <row r="422" ht="13.2" customHeight="1" s="1127">
      <c r="B422" s="194" t="n"/>
      <c r="F422" s="57" t="n"/>
    </row>
    <row r="423" ht="13.2" customHeight="1" s="1127">
      <c r="B423" s="194" t="n"/>
      <c r="F423" s="57" t="n"/>
    </row>
    <row r="424" ht="13.2" customHeight="1" s="1127">
      <c r="B424" s="194" t="n"/>
      <c r="F424" s="57" t="n"/>
    </row>
    <row r="425" ht="13.2" customHeight="1" s="1127">
      <c r="B425" s="194" t="n"/>
      <c r="F425" s="57" t="n"/>
    </row>
    <row r="426" ht="13.2" customHeight="1" s="1127">
      <c r="B426" s="194" t="n"/>
      <c r="F426" s="57" t="n"/>
    </row>
    <row r="427" ht="13.2" customHeight="1" s="1127">
      <c r="B427" s="194" t="n"/>
      <c r="F427" s="57" t="n"/>
    </row>
    <row r="428" ht="13.2" customHeight="1" s="1127">
      <c r="B428" s="194" t="n"/>
      <c r="F428" s="57" t="n"/>
    </row>
    <row r="429" ht="13.2" customHeight="1" s="1127">
      <c r="B429" s="194" t="n"/>
      <c r="F429" s="57" t="n"/>
    </row>
    <row r="430" ht="13.2" customHeight="1" s="1127">
      <c r="B430" s="194" t="n"/>
      <c r="F430" s="57" t="n"/>
    </row>
    <row r="431" ht="13.2" customHeight="1" s="1127">
      <c r="B431" s="194" t="n"/>
      <c r="F431" s="57" t="n"/>
    </row>
    <row r="432" ht="13.2" customHeight="1" s="1127">
      <c r="B432" s="194" t="n"/>
      <c r="F432" s="57" t="n"/>
    </row>
    <row r="433" ht="13.2" customHeight="1" s="1127">
      <c r="B433" s="194" t="n"/>
      <c r="F433" s="57" t="n"/>
    </row>
    <row r="434" ht="13.2" customHeight="1" s="1127">
      <c r="B434" s="194" t="n"/>
      <c r="F434" s="57" t="n"/>
    </row>
    <row r="435" ht="13.2" customHeight="1" s="1127">
      <c r="B435" s="194" t="n"/>
      <c r="F435" s="57" t="n"/>
    </row>
    <row r="436" ht="13.2" customHeight="1" s="1127">
      <c r="B436" s="194" t="n"/>
      <c r="F436" s="57" t="n"/>
    </row>
    <row r="437" ht="13.2" customHeight="1" s="1127">
      <c r="B437" s="194" t="n"/>
      <c r="F437" s="57" t="n"/>
    </row>
    <row r="438" ht="13.2" customHeight="1" s="1127">
      <c r="B438" s="194" t="n"/>
      <c r="F438" s="57" t="n"/>
    </row>
    <row r="439" ht="13.2" customHeight="1" s="1127">
      <c r="B439" s="194" t="n"/>
      <c r="F439" s="57" t="n"/>
    </row>
    <row r="440" ht="13.2" customHeight="1" s="1127">
      <c r="B440" s="194" t="n"/>
      <c r="F440" s="57" t="n"/>
    </row>
    <row r="441" ht="13.2" customHeight="1" s="1127">
      <c r="B441" s="194" t="n"/>
      <c r="F441" s="57" t="n"/>
    </row>
    <row r="442" ht="13.2" customHeight="1" s="1127">
      <c r="B442" s="194" t="n"/>
      <c r="F442" s="57" t="n"/>
    </row>
    <row r="443" ht="13.2" customHeight="1" s="1127">
      <c r="B443" s="194" t="n"/>
      <c r="F443" s="57" t="n"/>
    </row>
    <row r="444" ht="13.2" customHeight="1" s="1127">
      <c r="B444" s="194" t="n"/>
      <c r="F444" s="57" t="n"/>
    </row>
    <row r="445" ht="13.2" customHeight="1" s="1127">
      <c r="B445" s="194" t="n"/>
      <c r="F445" s="57" t="n"/>
    </row>
    <row r="446" ht="13.2" customHeight="1" s="1127">
      <c r="B446" s="194" t="n"/>
      <c r="F446" s="57" t="n"/>
    </row>
    <row r="447" ht="13.2" customHeight="1" s="1127">
      <c r="B447" s="194" t="n"/>
      <c r="F447" s="57" t="n"/>
    </row>
    <row r="448" ht="13.2" customHeight="1" s="1127">
      <c r="B448" s="194" t="n"/>
      <c r="F448" s="57" t="n"/>
    </row>
    <row r="449" ht="13.2" customHeight="1" s="1127">
      <c r="B449" s="194" t="n"/>
      <c r="F449" s="57" t="n"/>
    </row>
    <row r="450" ht="13.2" customHeight="1" s="1127">
      <c r="B450" s="194" t="n"/>
      <c r="F450" s="57" t="n"/>
    </row>
    <row r="451" ht="13.2" customHeight="1" s="1127">
      <c r="B451" s="194" t="n"/>
      <c r="F451" s="57" t="n"/>
    </row>
    <row r="452" ht="13.2" customHeight="1" s="1127">
      <c r="B452" s="194" t="n"/>
      <c r="F452" s="57" t="n"/>
    </row>
    <row r="453" ht="13.2" customHeight="1" s="1127">
      <c r="B453" s="194" t="n"/>
      <c r="F453" s="57" t="n"/>
    </row>
    <row r="454" ht="13.2" customHeight="1" s="1127">
      <c r="B454" s="194" t="n"/>
      <c r="F454" s="57" t="n"/>
    </row>
    <row r="455" ht="13.2" customHeight="1" s="1127">
      <c r="B455" s="194" t="n"/>
      <c r="F455" s="57" t="n"/>
    </row>
    <row r="456" ht="13.2" customHeight="1" s="1127">
      <c r="B456" s="194" t="n"/>
      <c r="F456" s="57" t="n"/>
    </row>
    <row r="457" ht="13.2" customHeight="1" s="1127">
      <c r="B457" s="194" t="n"/>
      <c r="F457" s="57" t="n"/>
    </row>
    <row r="458" ht="13.2" customHeight="1" s="1127">
      <c r="B458" s="194" t="n"/>
      <c r="F458" s="57" t="n"/>
    </row>
    <row r="459" ht="13.2" customHeight="1" s="1127">
      <c r="B459" s="194" t="n"/>
      <c r="F459" s="57" t="n"/>
    </row>
    <row r="460" ht="13.2" customHeight="1" s="1127">
      <c r="B460" s="194" t="n"/>
      <c r="F460" s="57" t="n"/>
    </row>
    <row r="461" ht="13.2" customHeight="1" s="1127">
      <c r="B461" s="194" t="n"/>
      <c r="F461" s="57" t="n"/>
    </row>
    <row r="462" ht="13.2" customHeight="1" s="1127">
      <c r="B462" s="194" t="n"/>
      <c r="F462" s="57" t="n"/>
    </row>
    <row r="463" ht="13.2" customHeight="1" s="1127">
      <c r="B463" s="194" t="n"/>
      <c r="F463" s="57" t="n"/>
    </row>
    <row r="464" ht="13.2" customHeight="1" s="1127">
      <c r="B464" s="194" t="n"/>
      <c r="F464" s="57" t="n"/>
    </row>
    <row r="465" ht="13.2" customHeight="1" s="1127">
      <c r="B465" s="194" t="n"/>
      <c r="F465" s="57" t="n"/>
    </row>
    <row r="466" ht="13.2" customHeight="1" s="1127">
      <c r="B466" s="194" t="n"/>
      <c r="F466" s="57" t="n"/>
    </row>
    <row r="467" ht="13.2" customHeight="1" s="1127">
      <c r="B467" s="194" t="n"/>
      <c r="F467" s="57" t="n"/>
    </row>
    <row r="468" ht="13.2" customHeight="1" s="1127">
      <c r="B468" s="194" t="n"/>
      <c r="F468" s="57" t="n"/>
    </row>
    <row r="469" ht="13.2" customHeight="1" s="1127">
      <c r="B469" s="194" t="n"/>
      <c r="F469" s="57" t="n"/>
    </row>
    <row r="470" ht="13.2" customHeight="1" s="1127">
      <c r="B470" s="194" t="n"/>
      <c r="F470" s="57" t="n"/>
    </row>
    <row r="471" ht="13.2" customHeight="1" s="1127">
      <c r="B471" s="194" t="n"/>
      <c r="F471" s="57" t="n"/>
    </row>
    <row r="472" ht="13.2" customHeight="1" s="1127">
      <c r="B472" s="194" t="n"/>
      <c r="F472" s="57" t="n"/>
    </row>
    <row r="473" ht="13.2" customHeight="1" s="1127">
      <c r="B473" s="194" t="n"/>
      <c r="F473" s="57" t="n"/>
    </row>
    <row r="474" ht="13.2" customHeight="1" s="1127">
      <c r="B474" s="194" t="n"/>
      <c r="F474" s="57" t="n"/>
    </row>
    <row r="475" ht="13.2" customHeight="1" s="1127">
      <c r="B475" s="194" t="n"/>
      <c r="F475" s="57" t="n"/>
    </row>
    <row r="476" ht="13.2" customHeight="1" s="1127">
      <c r="B476" s="194" t="n"/>
      <c r="F476" s="57" t="n"/>
    </row>
    <row r="477" ht="13.2" customHeight="1" s="1127">
      <c r="B477" s="194" t="n"/>
      <c r="F477" s="57" t="n"/>
    </row>
    <row r="478" ht="13.2" customHeight="1" s="1127">
      <c r="B478" s="194" t="n"/>
      <c r="F478" s="57" t="n"/>
    </row>
    <row r="479" ht="13.2" customHeight="1" s="1127">
      <c r="B479" s="194" t="n"/>
      <c r="F479" s="57" t="n"/>
    </row>
    <row r="480" ht="13.2" customHeight="1" s="1127">
      <c r="B480" s="194" t="n"/>
      <c r="F480" s="57" t="n"/>
    </row>
    <row r="481" ht="13.2" customHeight="1" s="1127">
      <c r="B481" s="194" t="n"/>
      <c r="F481" s="57" t="n"/>
    </row>
    <row r="482" ht="13.2" customHeight="1" s="1127">
      <c r="B482" s="194" t="n"/>
      <c r="F482" s="57" t="n"/>
    </row>
    <row r="483" ht="13.2" customHeight="1" s="1127">
      <c r="B483" s="194" t="n"/>
      <c r="F483" s="57" t="n"/>
    </row>
    <row r="484" ht="13.2" customHeight="1" s="1127">
      <c r="B484" s="194" t="n"/>
      <c r="F484" s="57" t="n"/>
    </row>
    <row r="485" ht="13.2" customHeight="1" s="1127">
      <c r="B485" s="194" t="n"/>
      <c r="F485" s="57" t="n"/>
    </row>
    <row r="486" ht="13.2" customHeight="1" s="1127">
      <c r="B486" s="194" t="n"/>
      <c r="F486" s="57" t="n"/>
    </row>
    <row r="487" ht="13.2" customHeight="1" s="1127">
      <c r="B487" s="194" t="n"/>
      <c r="F487" s="57" t="n"/>
    </row>
    <row r="488" ht="13.2" customHeight="1" s="1127">
      <c r="B488" s="194" t="n"/>
      <c r="F488" s="57" t="n"/>
    </row>
    <row r="489" ht="13.2" customHeight="1" s="1127">
      <c r="B489" s="194" t="n"/>
      <c r="F489" s="57" t="n"/>
    </row>
    <row r="490" ht="13.2" customHeight="1" s="1127">
      <c r="B490" s="194" t="n"/>
      <c r="F490" s="57" t="n"/>
    </row>
    <row r="491" ht="13.2" customHeight="1" s="1127">
      <c r="B491" s="194" t="n"/>
      <c r="F491" s="57" t="n"/>
    </row>
    <row r="492" ht="13.2" customHeight="1" s="1127">
      <c r="B492" s="194" t="n"/>
      <c r="F492" s="57" t="n"/>
    </row>
    <row r="493" ht="13.2" customHeight="1" s="1127">
      <c r="B493" s="194" t="n"/>
      <c r="F493" s="57" t="n"/>
    </row>
    <row r="494" ht="13.2" customHeight="1" s="1127">
      <c r="B494" s="194" t="n"/>
      <c r="F494" s="57" t="n"/>
    </row>
    <row r="495" ht="13.2" customHeight="1" s="1127">
      <c r="B495" s="194" t="n"/>
      <c r="F495" s="57" t="n"/>
    </row>
    <row r="496" ht="13.2" customHeight="1" s="1127">
      <c r="B496" s="194" t="n"/>
      <c r="F496" s="57" t="n"/>
    </row>
    <row r="497" ht="13.2" customHeight="1" s="1127">
      <c r="B497" s="194" t="n"/>
      <c r="F497" s="57" t="n"/>
    </row>
    <row r="498" ht="13.2" customHeight="1" s="1127">
      <c r="B498" s="194" t="n"/>
      <c r="F498" s="57" t="n"/>
    </row>
    <row r="499" ht="13.2" customHeight="1" s="1127">
      <c r="B499" s="194" t="n"/>
      <c r="F499" s="57" t="n"/>
    </row>
    <row r="500" ht="13.2" customHeight="1" s="1127">
      <c r="B500" s="194" t="n"/>
      <c r="F500" s="57" t="n"/>
    </row>
    <row r="501" ht="13.2" customHeight="1" s="1127">
      <c r="B501" s="194" t="n"/>
      <c r="F501" s="57" t="n"/>
    </row>
    <row r="502" ht="13.2" customHeight="1" s="1127">
      <c r="B502" s="194" t="n"/>
      <c r="F502" s="57" t="n"/>
    </row>
    <row r="503" ht="13.2" customHeight="1" s="1127">
      <c r="B503" s="194" t="n"/>
      <c r="F503" s="57" t="n"/>
    </row>
    <row r="504" ht="13.2" customHeight="1" s="1127">
      <c r="B504" s="194" t="n"/>
      <c r="F504" s="57" t="n"/>
    </row>
    <row r="505" ht="13.2" customHeight="1" s="1127">
      <c r="B505" s="194" t="n"/>
      <c r="F505" s="57" t="n"/>
    </row>
    <row r="506" ht="13.2" customHeight="1" s="1127">
      <c r="B506" s="194" t="n"/>
      <c r="F506" s="57" t="n"/>
    </row>
    <row r="507" ht="13.2" customHeight="1" s="1127">
      <c r="B507" s="194" t="n"/>
      <c r="F507" s="57" t="n"/>
    </row>
    <row r="508" ht="13.2" customHeight="1" s="1127">
      <c r="B508" s="194" t="n"/>
      <c r="F508" s="57" t="n"/>
    </row>
    <row r="509" ht="13.2" customHeight="1" s="1127">
      <c r="B509" s="194" t="n"/>
      <c r="F509" s="57" t="n"/>
    </row>
    <row r="510" ht="13.2" customHeight="1" s="1127">
      <c r="B510" s="194" t="n"/>
      <c r="F510" s="57" t="n"/>
    </row>
    <row r="511" ht="13.2" customHeight="1" s="1127">
      <c r="B511" s="194" t="n"/>
      <c r="F511" s="57" t="n"/>
    </row>
    <row r="512" ht="13.2" customHeight="1" s="1127">
      <c r="B512" s="194" t="n"/>
      <c r="F512" s="57" t="n"/>
    </row>
    <row r="513" ht="13.2" customHeight="1" s="1127">
      <c r="B513" s="194" t="n"/>
      <c r="F513" s="57" t="n"/>
    </row>
    <row r="514" ht="13.2" customHeight="1" s="1127">
      <c r="B514" s="194" t="n"/>
      <c r="F514" s="57" t="n"/>
    </row>
    <row r="515" ht="13.2" customHeight="1" s="1127">
      <c r="B515" s="194" t="n"/>
      <c r="F515" s="57" t="n"/>
    </row>
    <row r="516" ht="13.2" customHeight="1" s="1127">
      <c r="B516" s="194" t="n"/>
      <c r="F516" s="57" t="n"/>
    </row>
    <row r="517" ht="13.2" customHeight="1" s="1127">
      <c r="B517" s="194" t="n"/>
      <c r="F517" s="57" t="n"/>
    </row>
    <row r="518" ht="13.2" customHeight="1" s="1127">
      <c r="B518" s="194" t="n"/>
      <c r="F518" s="57" t="n"/>
    </row>
    <row r="519" ht="13.2" customHeight="1" s="1127">
      <c r="B519" s="194" t="n"/>
      <c r="F519" s="57" t="n"/>
    </row>
    <row r="520" ht="13.2" customHeight="1" s="1127">
      <c r="B520" s="194" t="n"/>
      <c r="F520" s="57" t="n"/>
    </row>
    <row r="521" ht="13.2" customHeight="1" s="1127">
      <c r="B521" s="194" t="n"/>
      <c r="F521" s="57" t="n"/>
    </row>
    <row r="522" ht="13.2" customHeight="1" s="1127">
      <c r="B522" s="194" t="n"/>
      <c r="F522" s="57" t="n"/>
    </row>
    <row r="523" ht="13.2" customHeight="1" s="1127">
      <c r="B523" s="194" t="n"/>
      <c r="F523" s="57" t="n"/>
    </row>
    <row r="524" ht="13.2" customHeight="1" s="1127">
      <c r="B524" s="194" t="n"/>
      <c r="F524" s="57" t="n"/>
    </row>
    <row r="525" ht="13.2" customHeight="1" s="1127">
      <c r="B525" s="194" t="n"/>
      <c r="F525" s="57" t="n"/>
    </row>
    <row r="526" ht="13.2" customHeight="1" s="1127">
      <c r="B526" s="194" t="n"/>
      <c r="F526" s="57" t="n"/>
    </row>
    <row r="527" ht="13.2" customHeight="1" s="1127">
      <c r="B527" s="194" t="n"/>
      <c r="F527" s="57" t="n"/>
    </row>
    <row r="528" ht="13.2" customHeight="1" s="1127">
      <c r="B528" s="194" t="n"/>
      <c r="F528" s="57" t="n"/>
    </row>
    <row r="529" ht="13.2" customHeight="1" s="1127">
      <c r="B529" s="194" t="n"/>
      <c r="F529" s="57" t="n"/>
    </row>
    <row r="530" ht="13.2" customHeight="1" s="1127">
      <c r="B530" s="194" t="n"/>
      <c r="F530" s="57" t="n"/>
    </row>
    <row r="531" ht="13.2" customHeight="1" s="1127">
      <c r="B531" s="194" t="n"/>
      <c r="F531" s="57" t="n"/>
    </row>
    <row r="532" ht="13.2" customHeight="1" s="1127">
      <c r="B532" s="194" t="n"/>
      <c r="F532" s="57" t="n"/>
    </row>
    <row r="533" ht="13.2" customHeight="1" s="1127">
      <c r="B533" s="194" t="n"/>
      <c r="F533" s="57" t="n"/>
    </row>
    <row r="534" ht="13.2" customHeight="1" s="1127">
      <c r="B534" s="194" t="n"/>
      <c r="F534" s="57" t="n"/>
    </row>
    <row r="535" ht="13.2" customHeight="1" s="1127">
      <c r="B535" s="194" t="n"/>
      <c r="F535" s="57" t="n"/>
    </row>
    <row r="536" ht="13.2" customHeight="1" s="1127">
      <c r="B536" s="194" t="n"/>
      <c r="F536" s="57" t="n"/>
    </row>
    <row r="537" ht="13.2" customHeight="1" s="1127">
      <c r="B537" s="194" t="n"/>
      <c r="F537" s="57" t="n"/>
    </row>
    <row r="538" ht="13.2" customHeight="1" s="1127">
      <c r="B538" s="194" t="n"/>
      <c r="F538" s="57" t="n"/>
    </row>
    <row r="539" ht="13.2" customHeight="1" s="1127">
      <c r="B539" s="194" t="n"/>
      <c r="F539" s="57" t="n"/>
    </row>
    <row r="540" ht="13.2" customHeight="1" s="1127">
      <c r="B540" s="194" t="n"/>
      <c r="F540" s="57" t="n"/>
    </row>
    <row r="541" ht="13.2" customHeight="1" s="1127">
      <c r="B541" s="194" t="n"/>
      <c r="F541" s="57" t="n"/>
    </row>
    <row r="542" ht="13.2" customHeight="1" s="1127">
      <c r="B542" s="194" t="n"/>
      <c r="F542" s="57" t="n"/>
    </row>
    <row r="543" ht="13.2" customHeight="1" s="1127">
      <c r="B543" s="194" t="n"/>
      <c r="F543" s="57" t="n"/>
    </row>
    <row r="544" ht="13.2" customHeight="1" s="1127">
      <c r="B544" s="194" t="n"/>
      <c r="F544" s="57" t="n"/>
    </row>
    <row r="545" ht="13.2" customHeight="1" s="1127">
      <c r="B545" s="194" t="n"/>
      <c r="F545" s="57" t="n"/>
    </row>
    <row r="546" ht="13.2" customHeight="1" s="1127">
      <c r="B546" s="194" t="n"/>
      <c r="F546" s="57" t="n"/>
    </row>
    <row r="547" ht="13.2" customHeight="1" s="1127">
      <c r="B547" s="194" t="n"/>
      <c r="F547" s="57" t="n"/>
    </row>
    <row r="548" ht="13.2" customHeight="1" s="1127">
      <c r="B548" s="194" t="n"/>
      <c r="F548" s="57" t="n"/>
    </row>
    <row r="549" ht="13.2" customHeight="1" s="1127">
      <c r="B549" s="194" t="n"/>
      <c r="F549" s="57" t="n"/>
    </row>
    <row r="550" ht="13.2" customHeight="1" s="1127">
      <c r="B550" s="194" t="n"/>
      <c r="F550" s="57" t="n"/>
    </row>
    <row r="551" ht="13.2" customHeight="1" s="1127">
      <c r="B551" s="194" t="n"/>
      <c r="F551" s="57" t="n"/>
    </row>
    <row r="552" ht="13.2" customHeight="1" s="1127">
      <c r="B552" s="194" t="n"/>
      <c r="F552" s="57" t="n"/>
    </row>
    <row r="553" ht="13.2" customHeight="1" s="1127">
      <c r="B553" s="194" t="n"/>
      <c r="F553" s="57" t="n"/>
    </row>
    <row r="554" ht="13.2" customHeight="1" s="1127">
      <c r="B554" s="194" t="n"/>
      <c r="F554" s="57" t="n"/>
    </row>
    <row r="555" ht="13.2" customHeight="1" s="1127">
      <c r="B555" s="194" t="n"/>
      <c r="F555" s="57" t="n"/>
    </row>
    <row r="556" ht="13.2" customHeight="1" s="1127">
      <c r="B556" s="194" t="n"/>
      <c r="F556" s="57" t="n"/>
    </row>
    <row r="557" ht="13.2" customHeight="1" s="1127">
      <c r="B557" s="194" t="n"/>
      <c r="F557" s="57" t="n"/>
    </row>
    <row r="558" ht="13.2" customHeight="1" s="1127">
      <c r="B558" s="194" t="n"/>
      <c r="F558" s="57" t="n"/>
    </row>
    <row r="559" ht="13.2" customHeight="1" s="1127">
      <c r="B559" s="194" t="n"/>
      <c r="F559" s="57" t="n"/>
    </row>
    <row r="560" ht="13.2" customHeight="1" s="1127">
      <c r="B560" s="194" t="n"/>
      <c r="F560" s="57" t="n"/>
    </row>
    <row r="561" ht="13.2" customHeight="1" s="1127">
      <c r="B561" s="194" t="n"/>
      <c r="F561" s="57" t="n"/>
    </row>
    <row r="562" ht="13.2" customHeight="1" s="1127">
      <c r="B562" s="194" t="n"/>
      <c r="F562" s="57" t="n"/>
    </row>
    <row r="563" ht="13.2" customHeight="1" s="1127">
      <c r="B563" s="194" t="n"/>
      <c r="F563" s="57" t="n"/>
    </row>
    <row r="564" ht="13.2" customHeight="1" s="1127">
      <c r="B564" s="194" t="n"/>
      <c r="F564" s="57" t="n"/>
    </row>
    <row r="565" ht="13.2" customHeight="1" s="1127">
      <c r="B565" s="194" t="n"/>
      <c r="F565" s="57" t="n"/>
    </row>
    <row r="566" ht="13.2" customHeight="1" s="1127">
      <c r="B566" s="194" t="n"/>
      <c r="F566" s="57" t="n"/>
    </row>
    <row r="567" ht="13.2" customHeight="1" s="1127">
      <c r="B567" s="194" t="n"/>
      <c r="F567" s="57" t="n"/>
    </row>
    <row r="568" ht="13.2" customHeight="1" s="1127">
      <c r="B568" s="194" t="n"/>
      <c r="F568" s="57" t="n"/>
    </row>
    <row r="569" ht="13.2" customHeight="1" s="1127">
      <c r="B569" s="194" t="n"/>
      <c r="F569" s="57" t="n"/>
    </row>
    <row r="570" ht="13.2" customHeight="1" s="1127">
      <c r="B570" s="194" t="n"/>
      <c r="F570" s="57" t="n"/>
    </row>
    <row r="571" ht="13.2" customHeight="1" s="1127">
      <c r="B571" s="194" t="n"/>
      <c r="F571" s="57" t="n"/>
    </row>
    <row r="572" ht="13.2" customHeight="1" s="1127">
      <c r="B572" s="194" t="n"/>
      <c r="F572" s="57" t="n"/>
    </row>
    <row r="573" ht="13.2" customHeight="1" s="1127">
      <c r="B573" s="194" t="n"/>
      <c r="F573" s="57" t="n"/>
    </row>
    <row r="574" ht="13.2" customHeight="1" s="1127">
      <c r="B574" s="194" t="n"/>
      <c r="F574" s="57" t="n"/>
    </row>
    <row r="575" ht="13.2" customHeight="1" s="1127">
      <c r="B575" s="194" t="n"/>
      <c r="F575" s="57" t="n"/>
    </row>
    <row r="576" ht="13.2" customHeight="1" s="1127">
      <c r="B576" s="194" t="n"/>
      <c r="F576" s="57" t="n"/>
    </row>
    <row r="577" ht="13.2" customHeight="1" s="1127">
      <c r="B577" s="194" t="n"/>
      <c r="F577" s="57" t="n"/>
    </row>
    <row r="578" ht="13.2" customHeight="1" s="1127">
      <c r="B578" s="194" t="n"/>
      <c r="F578" s="57" t="n"/>
    </row>
    <row r="579" ht="13.2" customHeight="1" s="1127">
      <c r="B579" s="194" t="n"/>
      <c r="F579" s="57" t="n"/>
    </row>
    <row r="580" ht="13.2" customHeight="1" s="1127">
      <c r="B580" s="194" t="n"/>
      <c r="F580" s="57" t="n"/>
    </row>
    <row r="581" ht="13.2" customHeight="1" s="1127">
      <c r="B581" s="194" t="n"/>
      <c r="F581" s="57" t="n"/>
    </row>
    <row r="582" ht="13.2" customHeight="1" s="1127">
      <c r="B582" s="194" t="n"/>
      <c r="F582" s="57" t="n"/>
    </row>
    <row r="583" ht="13.2" customHeight="1" s="1127">
      <c r="B583" s="194" t="n"/>
      <c r="F583" s="57" t="n"/>
    </row>
    <row r="584" ht="13.2" customHeight="1" s="1127">
      <c r="B584" s="194" t="n"/>
      <c r="F584" s="57" t="n"/>
    </row>
    <row r="585" ht="13.2" customHeight="1" s="1127">
      <c r="B585" s="194" t="n"/>
      <c r="F585" s="57" t="n"/>
    </row>
    <row r="586" ht="13.2" customHeight="1" s="1127">
      <c r="B586" s="194" t="n"/>
      <c r="F586" s="57" t="n"/>
    </row>
    <row r="587" ht="13.2" customHeight="1" s="1127">
      <c r="B587" s="194" t="n"/>
      <c r="F587" s="57" t="n"/>
    </row>
    <row r="588" ht="13.2" customHeight="1" s="1127">
      <c r="B588" s="194" t="n"/>
      <c r="F588" s="57" t="n"/>
    </row>
    <row r="589" ht="13.2" customHeight="1" s="1127">
      <c r="B589" s="194" t="n"/>
      <c r="F589" s="57" t="n"/>
    </row>
    <row r="590" ht="13.2" customHeight="1" s="1127">
      <c r="B590" s="194" t="n"/>
      <c r="F590" s="57" t="n"/>
    </row>
    <row r="591" ht="13.2" customHeight="1" s="1127">
      <c r="B591" s="194" t="n"/>
      <c r="F591" s="57" t="n"/>
    </row>
    <row r="592" ht="13.2" customHeight="1" s="1127">
      <c r="B592" s="194" t="n"/>
      <c r="F592" s="57" t="n"/>
    </row>
    <row r="593" ht="13.2" customHeight="1" s="1127">
      <c r="B593" s="194" t="n"/>
      <c r="F593" s="57" t="n"/>
    </row>
    <row r="594" ht="13.2" customHeight="1" s="1127">
      <c r="B594" s="194" t="n"/>
      <c r="F594" s="57" t="n"/>
    </row>
    <row r="595" ht="13.2" customHeight="1" s="1127">
      <c r="B595" s="194" t="n"/>
      <c r="F595" s="57" t="n"/>
    </row>
    <row r="596" ht="13.2" customHeight="1" s="1127">
      <c r="B596" s="194" t="n"/>
      <c r="F596" s="57" t="n"/>
    </row>
    <row r="597" ht="13.2" customHeight="1" s="1127">
      <c r="B597" s="194" t="n"/>
      <c r="F597" s="57" t="n"/>
    </row>
    <row r="598" ht="13.2" customHeight="1" s="1127">
      <c r="B598" s="194" t="n"/>
      <c r="F598" s="57" t="n"/>
    </row>
    <row r="599" ht="13.2" customHeight="1" s="1127">
      <c r="B599" s="194" t="n"/>
      <c r="F599" s="57" t="n"/>
    </row>
    <row r="600" ht="13.2" customHeight="1" s="1127">
      <c r="B600" s="194" t="n"/>
      <c r="F600" s="57" t="n"/>
    </row>
    <row r="601" ht="13.2" customHeight="1" s="1127">
      <c r="B601" s="194" t="n"/>
      <c r="F601" s="57" t="n"/>
    </row>
    <row r="602" ht="13.2" customHeight="1" s="1127">
      <c r="B602" s="194" t="n"/>
      <c r="F602" s="57" t="n"/>
    </row>
    <row r="603" ht="13.2" customHeight="1" s="1127">
      <c r="B603" s="194" t="n"/>
      <c r="F603" s="57" t="n"/>
    </row>
    <row r="604" ht="13.2" customHeight="1" s="1127">
      <c r="B604" s="194" t="n"/>
      <c r="F604" s="57" t="n"/>
    </row>
    <row r="605" ht="13.2" customHeight="1" s="1127">
      <c r="B605" s="194" t="n"/>
      <c r="F605" s="57" t="n"/>
    </row>
    <row r="606" ht="13.2" customHeight="1" s="1127">
      <c r="B606" s="194" t="n"/>
      <c r="F606" s="57" t="n"/>
    </row>
    <row r="607" ht="13.2" customHeight="1" s="1127">
      <c r="B607" s="194" t="n"/>
      <c r="F607" s="57" t="n"/>
    </row>
    <row r="608" ht="13.2" customHeight="1" s="1127">
      <c r="B608" s="194" t="n"/>
      <c r="F608" s="57" t="n"/>
    </row>
    <row r="609" ht="13.2" customHeight="1" s="1127">
      <c r="B609" s="194" t="n"/>
      <c r="F609" s="57" t="n"/>
    </row>
    <row r="610" ht="13.2" customHeight="1" s="1127">
      <c r="B610" s="194" t="n"/>
      <c r="F610" s="57" t="n"/>
    </row>
    <row r="611" ht="13.2" customHeight="1" s="1127">
      <c r="B611" s="194" t="n"/>
      <c r="F611" s="57" t="n"/>
    </row>
    <row r="612" ht="13.2" customHeight="1" s="1127">
      <c r="B612" s="194" t="n"/>
      <c r="F612" s="57" t="n"/>
    </row>
    <row r="613" ht="13.2" customHeight="1" s="1127">
      <c r="B613" s="194" t="n"/>
      <c r="F613" s="57" t="n"/>
    </row>
    <row r="614" ht="13.2" customHeight="1" s="1127">
      <c r="B614" s="194" t="n"/>
      <c r="F614" s="57" t="n"/>
    </row>
    <row r="615" ht="13.2" customHeight="1" s="1127">
      <c r="B615" s="194" t="n"/>
      <c r="F615" s="57" t="n"/>
    </row>
    <row r="616" ht="13.2" customHeight="1" s="1127">
      <c r="B616" s="194" t="n"/>
      <c r="F616" s="57" t="n"/>
    </row>
    <row r="617" ht="13.2" customHeight="1" s="1127">
      <c r="B617" s="194" t="n"/>
      <c r="F617" s="57" t="n"/>
    </row>
    <row r="618" ht="13.2" customHeight="1" s="1127">
      <c r="B618" s="194" t="n"/>
      <c r="F618" s="57" t="n"/>
    </row>
    <row r="619" ht="13.2" customHeight="1" s="1127">
      <c r="B619" s="194" t="n"/>
      <c r="F619" s="57" t="n"/>
    </row>
    <row r="620" ht="13.2" customHeight="1" s="1127">
      <c r="B620" s="194" t="n"/>
      <c r="F620" s="57" t="n"/>
    </row>
    <row r="621" ht="13.2" customHeight="1" s="1127">
      <c r="B621" s="194" t="n"/>
      <c r="F621" s="57" t="n"/>
    </row>
    <row r="622" ht="13.2" customHeight="1" s="1127">
      <c r="B622" s="194" t="n"/>
      <c r="F622" s="57" t="n"/>
    </row>
    <row r="623" ht="13.2" customHeight="1" s="1127">
      <c r="B623" s="194" t="n"/>
      <c r="F623" s="57" t="n"/>
    </row>
    <row r="624" ht="13.2" customHeight="1" s="1127">
      <c r="B624" s="194" t="n"/>
      <c r="F624" s="57" t="n"/>
    </row>
    <row r="625" ht="13.2" customHeight="1" s="1127">
      <c r="B625" s="194" t="n"/>
      <c r="F625" s="57" t="n"/>
    </row>
    <row r="626" ht="13.2" customHeight="1" s="1127">
      <c r="B626" s="194" t="n"/>
      <c r="F626" s="57" t="n"/>
    </row>
    <row r="627" ht="13.2" customHeight="1" s="1127">
      <c r="B627" s="194" t="n"/>
      <c r="F627" s="57" t="n"/>
    </row>
    <row r="628" ht="13.2" customHeight="1" s="1127">
      <c r="B628" s="194" t="n"/>
      <c r="F628" s="57" t="n"/>
    </row>
    <row r="629" ht="13.2" customHeight="1" s="1127">
      <c r="B629" s="194" t="n"/>
      <c r="F629" s="57" t="n"/>
    </row>
    <row r="630" ht="13.2" customHeight="1" s="1127">
      <c r="B630" s="194" t="n"/>
      <c r="F630" s="57" t="n"/>
    </row>
    <row r="631" ht="13.2" customHeight="1" s="1127">
      <c r="B631" s="194" t="n"/>
      <c r="F631" s="57" t="n"/>
    </row>
    <row r="632" ht="13.2" customHeight="1" s="1127">
      <c r="B632" s="194" t="n"/>
      <c r="F632" s="57" t="n"/>
    </row>
    <row r="633" ht="13.2" customHeight="1" s="1127">
      <c r="B633" s="194" t="n"/>
      <c r="F633" s="57" t="n"/>
    </row>
    <row r="634" ht="13.2" customHeight="1" s="1127">
      <c r="B634" s="194" t="n"/>
      <c r="F634" s="57" t="n"/>
    </row>
    <row r="635" ht="13.2" customHeight="1" s="1127">
      <c r="B635" s="194" t="n"/>
      <c r="F635" s="57" t="n"/>
    </row>
    <row r="636" ht="13.2" customHeight="1" s="1127">
      <c r="B636" s="194" t="n"/>
      <c r="F636" s="57" t="n"/>
    </row>
    <row r="637" ht="13.2" customHeight="1" s="1127">
      <c r="B637" s="194" t="n"/>
      <c r="F637" s="57" t="n"/>
    </row>
    <row r="638" ht="13.2" customHeight="1" s="1127">
      <c r="B638" s="194" t="n"/>
      <c r="F638" s="57" t="n"/>
    </row>
    <row r="639" ht="13.2" customHeight="1" s="1127">
      <c r="B639" s="194" t="n"/>
      <c r="F639" s="57" t="n"/>
    </row>
    <row r="640" ht="13.2" customHeight="1" s="1127">
      <c r="B640" s="194" t="n"/>
      <c r="F640" s="57" t="n"/>
    </row>
    <row r="641" ht="13.2" customHeight="1" s="1127">
      <c r="B641" s="194" t="n"/>
      <c r="F641" s="57" t="n"/>
    </row>
    <row r="642" ht="13.2" customHeight="1" s="1127">
      <c r="B642" s="194" t="n"/>
      <c r="F642" s="57" t="n"/>
    </row>
    <row r="643" ht="13.2" customHeight="1" s="1127">
      <c r="B643" s="194" t="n"/>
      <c r="F643" s="57" t="n"/>
    </row>
    <row r="644" ht="13.2" customHeight="1" s="1127">
      <c r="B644" s="194" t="n"/>
      <c r="F644" s="57" t="n"/>
    </row>
    <row r="645" ht="13.2" customHeight="1" s="1127">
      <c r="B645" s="194" t="n"/>
      <c r="F645" s="57" t="n"/>
    </row>
    <row r="646" ht="13.2" customHeight="1" s="1127">
      <c r="B646" s="194" t="n"/>
      <c r="F646" s="57" t="n"/>
    </row>
    <row r="647" ht="13.2" customHeight="1" s="1127">
      <c r="B647" s="194" t="n"/>
      <c r="F647" s="57" t="n"/>
    </row>
    <row r="648" ht="13.2" customHeight="1" s="1127">
      <c r="B648" s="194" t="n"/>
      <c r="F648" s="57" t="n"/>
    </row>
    <row r="649" ht="13.2" customHeight="1" s="1127">
      <c r="B649" s="194" t="n"/>
      <c r="F649" s="57" t="n"/>
    </row>
    <row r="650" ht="13.2" customHeight="1" s="1127">
      <c r="B650" s="194" t="n"/>
      <c r="F650" s="57" t="n"/>
    </row>
    <row r="651" ht="13.2" customHeight="1" s="1127">
      <c r="B651" s="194" t="n"/>
      <c r="F651" s="57" t="n"/>
    </row>
    <row r="652" ht="13.2" customHeight="1" s="1127">
      <c r="B652" s="194" t="n"/>
      <c r="F652" s="57" t="n"/>
    </row>
    <row r="653" ht="13.2" customHeight="1" s="1127">
      <c r="B653" s="194" t="n"/>
      <c r="F653" s="57" t="n"/>
    </row>
    <row r="654" ht="13.2" customHeight="1" s="1127">
      <c r="B654" s="194" t="n"/>
      <c r="F654" s="57" t="n"/>
    </row>
    <row r="655" ht="13.2" customHeight="1" s="1127">
      <c r="B655" s="194" t="n"/>
      <c r="F655" s="57" t="n"/>
    </row>
    <row r="656" ht="13.2" customHeight="1" s="1127">
      <c r="B656" s="194" t="n"/>
      <c r="F656" s="57" t="n"/>
    </row>
    <row r="657" ht="13.2" customHeight="1" s="1127">
      <c r="B657" s="194" t="n"/>
      <c r="F657" s="57" t="n"/>
    </row>
    <row r="658" ht="13.2" customHeight="1" s="1127">
      <c r="B658" s="194" t="n"/>
      <c r="F658" s="57" t="n"/>
    </row>
    <row r="659" ht="13.2" customHeight="1" s="1127">
      <c r="B659" s="194" t="n"/>
      <c r="F659" s="57" t="n"/>
    </row>
    <row r="660" ht="13.2" customHeight="1" s="1127">
      <c r="B660" s="194" t="n"/>
      <c r="F660" s="57" t="n"/>
    </row>
    <row r="661" ht="13.2" customHeight="1" s="1127">
      <c r="B661" s="194" t="n"/>
      <c r="F661" s="57" t="n"/>
    </row>
    <row r="662" ht="13.2" customHeight="1" s="1127">
      <c r="B662" s="194" t="n"/>
      <c r="F662" s="57" t="n"/>
    </row>
    <row r="663" ht="13.2" customHeight="1" s="1127">
      <c r="B663" s="194" t="n"/>
      <c r="F663" s="57" t="n"/>
    </row>
    <row r="664" ht="13.2" customHeight="1" s="1127">
      <c r="B664" s="194" t="n"/>
      <c r="F664" s="57" t="n"/>
    </row>
    <row r="665" ht="13.2" customHeight="1" s="1127">
      <c r="B665" s="194" t="n"/>
      <c r="F665" s="57" t="n"/>
    </row>
    <row r="666" ht="13.2" customHeight="1" s="1127">
      <c r="B666" s="194" t="n"/>
      <c r="F666" s="57" t="n"/>
    </row>
    <row r="667" ht="13.2" customHeight="1" s="1127">
      <c r="B667" s="194" t="n"/>
      <c r="F667" s="57" t="n"/>
    </row>
    <row r="668" ht="13.2" customHeight="1" s="1127">
      <c r="B668" s="194" t="n"/>
      <c r="F668" s="57" t="n"/>
    </row>
    <row r="669" ht="13.2" customHeight="1" s="1127">
      <c r="B669" s="194" t="n"/>
      <c r="F669" s="57" t="n"/>
    </row>
    <row r="670" ht="13.2" customHeight="1" s="1127">
      <c r="B670" s="194" t="n"/>
      <c r="F670" s="57" t="n"/>
    </row>
    <row r="671" ht="13.2" customHeight="1" s="1127">
      <c r="B671" s="194" t="n"/>
      <c r="F671" s="57" t="n"/>
    </row>
    <row r="672" ht="13.2" customHeight="1" s="1127">
      <c r="B672" s="194" t="n"/>
      <c r="F672" s="57" t="n"/>
    </row>
    <row r="673" ht="13.2" customHeight="1" s="1127">
      <c r="B673" s="194" t="n"/>
      <c r="F673" s="57" t="n"/>
    </row>
    <row r="674" ht="13.2" customHeight="1" s="1127">
      <c r="B674" s="194" t="n"/>
      <c r="F674" s="57" t="n"/>
    </row>
    <row r="675" ht="13.2" customHeight="1" s="1127">
      <c r="B675" s="194" t="n"/>
      <c r="F675" s="57" t="n"/>
    </row>
    <row r="676" ht="13.2" customHeight="1" s="1127">
      <c r="B676" s="194" t="n"/>
      <c r="F676" s="57" t="n"/>
    </row>
    <row r="677" ht="13.2" customHeight="1" s="1127">
      <c r="B677" s="194" t="n"/>
      <c r="F677" s="57" t="n"/>
    </row>
    <row r="678" ht="13.2" customHeight="1" s="1127">
      <c r="B678" s="194" t="n"/>
      <c r="F678" s="57" t="n"/>
    </row>
    <row r="679" ht="13.2" customHeight="1" s="1127">
      <c r="B679" s="194" t="n"/>
      <c r="F679" s="57" t="n"/>
    </row>
    <row r="680" ht="13.2" customHeight="1" s="1127">
      <c r="B680" s="194" t="n"/>
      <c r="F680" s="57" t="n"/>
    </row>
    <row r="681" ht="13.2" customHeight="1" s="1127">
      <c r="B681" s="194" t="n"/>
      <c r="F681" s="57" t="n"/>
    </row>
    <row r="682" ht="13.2" customHeight="1" s="1127">
      <c r="B682" s="194" t="n"/>
      <c r="F682" s="57" t="n"/>
    </row>
    <row r="683" ht="13.2" customHeight="1" s="1127">
      <c r="B683" s="194" t="n"/>
      <c r="F683" s="57" t="n"/>
    </row>
    <row r="684" ht="13.2" customHeight="1" s="1127">
      <c r="B684" s="194" t="n"/>
      <c r="F684" s="57" t="n"/>
    </row>
    <row r="685" ht="13.2" customHeight="1" s="1127">
      <c r="B685" s="194" t="n"/>
      <c r="F685" s="57" t="n"/>
    </row>
    <row r="686" ht="13.2" customHeight="1" s="1127">
      <c r="B686" s="194" t="n"/>
      <c r="F686" s="57" t="n"/>
    </row>
    <row r="687" ht="13.2" customHeight="1" s="1127">
      <c r="B687" s="194" t="n"/>
      <c r="F687" s="57" t="n"/>
    </row>
    <row r="688" ht="13.2" customHeight="1" s="1127">
      <c r="B688" s="194" t="n"/>
      <c r="F688" s="57" t="n"/>
    </row>
    <row r="689" ht="13.2" customHeight="1" s="1127">
      <c r="B689" s="194" t="n"/>
      <c r="F689" s="57" t="n"/>
    </row>
    <row r="690" ht="13.2" customHeight="1" s="1127">
      <c r="B690" s="194" t="n"/>
      <c r="F690" s="57" t="n"/>
    </row>
    <row r="691" ht="13.2" customHeight="1" s="1127">
      <c r="B691" s="194" t="n"/>
      <c r="F691" s="57" t="n"/>
    </row>
    <row r="692" ht="13.2" customHeight="1" s="1127">
      <c r="B692" s="194" t="n"/>
      <c r="F692" s="57" t="n"/>
    </row>
    <row r="693" ht="13.2" customHeight="1" s="1127">
      <c r="B693" s="194" t="n"/>
      <c r="F693" s="57" t="n"/>
    </row>
    <row r="694" ht="13.2" customHeight="1" s="1127">
      <c r="B694" s="194" t="n"/>
      <c r="F694" s="57" t="n"/>
    </row>
    <row r="695" ht="13.2" customHeight="1" s="1127">
      <c r="B695" s="194" t="n"/>
      <c r="F695" s="57" t="n"/>
    </row>
    <row r="696" ht="13.2" customHeight="1" s="1127">
      <c r="B696" s="194" t="n"/>
      <c r="F696" s="57" t="n"/>
    </row>
    <row r="697" ht="13.2" customHeight="1" s="1127">
      <c r="B697" s="194" t="n"/>
      <c r="F697" s="57" t="n"/>
    </row>
    <row r="698" ht="13.2" customHeight="1" s="1127">
      <c r="B698" s="194" t="n"/>
      <c r="F698" s="57" t="n"/>
    </row>
    <row r="699" ht="13.2" customHeight="1" s="1127">
      <c r="B699" s="194" t="n"/>
      <c r="F699" s="57" t="n"/>
    </row>
    <row r="700" ht="13.2" customHeight="1" s="1127">
      <c r="B700" s="194" t="n"/>
      <c r="F700" s="57" t="n"/>
    </row>
    <row r="701" ht="13.2" customHeight="1" s="1127">
      <c r="B701" s="194" t="n"/>
      <c r="F701" s="57" t="n"/>
    </row>
    <row r="702" ht="13.2" customHeight="1" s="1127">
      <c r="B702" s="194" t="n"/>
      <c r="F702" s="57" t="n"/>
    </row>
    <row r="703" ht="13.2" customHeight="1" s="1127">
      <c r="B703" s="194" t="n"/>
      <c r="F703" s="57" t="n"/>
    </row>
    <row r="704" ht="13.2" customHeight="1" s="1127">
      <c r="B704" s="194" t="n"/>
      <c r="F704" s="57" t="n"/>
    </row>
    <row r="705" ht="13.2" customHeight="1" s="1127">
      <c r="B705" s="194" t="n"/>
      <c r="F705" s="57" t="n"/>
    </row>
    <row r="706" ht="13.2" customHeight="1" s="1127">
      <c r="B706" s="194" t="n"/>
      <c r="F706" s="57" t="n"/>
    </row>
    <row r="707" ht="13.2" customHeight="1" s="1127">
      <c r="B707" s="194" t="n"/>
      <c r="F707" s="57" t="n"/>
    </row>
    <row r="708" ht="13.2" customHeight="1" s="1127">
      <c r="B708" s="194" t="n"/>
      <c r="F708" s="57" t="n"/>
    </row>
    <row r="709" ht="13.2" customHeight="1" s="1127">
      <c r="B709" s="194" t="n"/>
      <c r="F709" s="57" t="n"/>
    </row>
    <row r="710" ht="13.2" customHeight="1" s="1127">
      <c r="B710" s="194" t="n"/>
      <c r="F710" s="57" t="n"/>
    </row>
    <row r="711" ht="13.2" customHeight="1" s="1127">
      <c r="B711" s="194" t="n"/>
      <c r="F711" s="57" t="n"/>
    </row>
    <row r="712" ht="13.2" customHeight="1" s="1127">
      <c r="B712" s="194" t="n"/>
      <c r="F712" s="57" t="n"/>
    </row>
    <row r="713" ht="13.2" customHeight="1" s="1127">
      <c r="B713" s="194" t="n"/>
      <c r="F713" s="57" t="n"/>
    </row>
    <row r="714" ht="13.2" customHeight="1" s="1127">
      <c r="B714" s="194" t="n"/>
      <c r="F714" s="57" t="n"/>
    </row>
    <row r="715" ht="13.2" customHeight="1" s="1127">
      <c r="B715" s="194" t="n"/>
      <c r="F715" s="57" t="n"/>
    </row>
    <row r="716" ht="13.2" customHeight="1" s="1127">
      <c r="B716" s="194" t="n"/>
      <c r="F716" s="57" t="n"/>
    </row>
    <row r="717" ht="13.2" customHeight="1" s="1127">
      <c r="B717" s="194" t="n"/>
      <c r="F717" s="57" t="n"/>
    </row>
    <row r="718" ht="13.2" customHeight="1" s="1127">
      <c r="B718" s="194" t="n"/>
      <c r="F718" s="57" t="n"/>
    </row>
    <row r="719" ht="13.2" customHeight="1" s="1127">
      <c r="B719" s="194" t="n"/>
      <c r="F719" s="57" t="n"/>
    </row>
    <row r="720" ht="13.2" customHeight="1" s="1127">
      <c r="B720" s="194" t="n"/>
      <c r="F720" s="57" t="n"/>
    </row>
    <row r="721" ht="13.2" customHeight="1" s="1127">
      <c r="B721" s="194" t="n"/>
      <c r="F721" s="57" t="n"/>
    </row>
    <row r="722" ht="13.2" customHeight="1" s="1127">
      <c r="B722" s="194" t="n"/>
      <c r="F722" s="57" t="n"/>
    </row>
    <row r="723" ht="13.2" customHeight="1" s="1127">
      <c r="B723" s="194" t="n"/>
      <c r="F723" s="57" t="n"/>
    </row>
    <row r="724" ht="13.2" customHeight="1" s="1127">
      <c r="B724" s="194" t="n"/>
      <c r="F724" s="57" t="n"/>
    </row>
    <row r="725" ht="13.2" customHeight="1" s="1127">
      <c r="B725" s="194" t="n"/>
      <c r="F725" s="57" t="n"/>
    </row>
    <row r="726" ht="13.2" customHeight="1" s="1127">
      <c r="B726" s="194" t="n"/>
      <c r="F726" s="57" t="n"/>
    </row>
    <row r="727" ht="13.2" customHeight="1" s="1127">
      <c r="B727" s="194" t="n"/>
      <c r="F727" s="57" t="n"/>
    </row>
    <row r="728" ht="13.2" customHeight="1" s="1127">
      <c r="B728" s="194" t="n"/>
      <c r="F728" s="57" t="n"/>
    </row>
    <row r="729" ht="13.2" customHeight="1" s="1127">
      <c r="B729" s="194" t="n"/>
      <c r="F729" s="57" t="n"/>
    </row>
    <row r="730" ht="13.2" customHeight="1" s="1127">
      <c r="B730" s="194" t="n"/>
      <c r="F730" s="57" t="n"/>
    </row>
    <row r="731" ht="13.2" customHeight="1" s="1127">
      <c r="B731" s="194" t="n"/>
      <c r="F731" s="57" t="n"/>
    </row>
    <row r="732" ht="13.2" customHeight="1" s="1127">
      <c r="B732" s="194" t="n"/>
      <c r="F732" s="57" t="n"/>
    </row>
    <row r="733" ht="13.2" customHeight="1" s="1127">
      <c r="B733" s="194" t="n"/>
      <c r="F733" s="57" t="n"/>
    </row>
    <row r="734" ht="13.2" customHeight="1" s="1127">
      <c r="B734" s="194" t="n"/>
      <c r="F734" s="57" t="n"/>
    </row>
    <row r="735" ht="13.2" customHeight="1" s="1127">
      <c r="B735" s="194" t="n"/>
      <c r="F735" s="57" t="n"/>
    </row>
    <row r="736" ht="13.2" customHeight="1" s="1127">
      <c r="B736" s="194" t="n"/>
      <c r="F736" s="57" t="n"/>
    </row>
    <row r="737" ht="13.2" customHeight="1" s="1127">
      <c r="B737" s="194" t="n"/>
      <c r="F737" s="57" t="n"/>
    </row>
    <row r="738" ht="13.2" customHeight="1" s="1127">
      <c r="B738" s="194" t="n"/>
      <c r="F738" s="57" t="n"/>
    </row>
    <row r="739" ht="13.2" customHeight="1" s="1127">
      <c r="B739" s="194" t="n"/>
      <c r="F739" s="57" t="n"/>
    </row>
    <row r="740" ht="13.2" customHeight="1" s="1127">
      <c r="B740" s="194" t="n"/>
      <c r="F740" s="57" t="n"/>
    </row>
    <row r="741" ht="13.2" customHeight="1" s="1127">
      <c r="B741" s="194" t="n"/>
      <c r="F741" s="57" t="n"/>
    </row>
    <row r="742" ht="13.2" customHeight="1" s="1127">
      <c r="B742" s="194" t="n"/>
      <c r="F742" s="57" t="n"/>
    </row>
    <row r="743" ht="13.2" customHeight="1" s="1127">
      <c r="B743" s="194" t="n"/>
      <c r="F743" s="57" t="n"/>
    </row>
    <row r="744" ht="13.2" customHeight="1" s="1127">
      <c r="B744" s="194" t="n"/>
      <c r="F744" s="57" t="n"/>
    </row>
    <row r="745" ht="13.2" customHeight="1" s="1127">
      <c r="B745" s="194" t="n"/>
      <c r="F745" s="57" t="n"/>
    </row>
    <row r="746" ht="13.2" customHeight="1" s="1127">
      <c r="B746" s="194" t="n"/>
      <c r="F746" s="57" t="n"/>
    </row>
    <row r="747" ht="13.2" customHeight="1" s="1127">
      <c r="B747" s="194" t="n"/>
      <c r="F747" s="57" t="n"/>
    </row>
    <row r="748" ht="13.2" customHeight="1" s="1127">
      <c r="B748" s="194" t="n"/>
      <c r="F748" s="57" t="n"/>
    </row>
    <row r="749" ht="13.2" customHeight="1" s="1127">
      <c r="B749" s="194" t="n"/>
      <c r="F749" s="57" t="n"/>
    </row>
    <row r="750" ht="13.2" customHeight="1" s="1127">
      <c r="B750" s="194" t="n"/>
      <c r="F750" s="57" t="n"/>
    </row>
    <row r="751" ht="13.2" customHeight="1" s="1127">
      <c r="B751" s="194" t="n"/>
      <c r="F751" s="57" t="n"/>
    </row>
    <row r="752" ht="13.2" customHeight="1" s="1127">
      <c r="B752" s="194" t="n"/>
      <c r="F752" s="57" t="n"/>
    </row>
    <row r="753" ht="13.2" customHeight="1" s="1127">
      <c r="B753" s="194" t="n"/>
      <c r="F753" s="57" t="n"/>
    </row>
    <row r="754" ht="13.2" customHeight="1" s="1127">
      <c r="B754" s="194" t="n"/>
      <c r="F754" s="57" t="n"/>
    </row>
    <row r="755" ht="13.2" customHeight="1" s="1127">
      <c r="B755" s="194" t="n"/>
      <c r="F755" s="57" t="n"/>
    </row>
    <row r="756" ht="13.2" customHeight="1" s="1127">
      <c r="B756" s="194" t="n"/>
      <c r="F756" s="57" t="n"/>
    </row>
    <row r="757" ht="13.2" customHeight="1" s="1127">
      <c r="B757" s="194" t="n"/>
      <c r="F757" s="57" t="n"/>
    </row>
    <row r="758" ht="13.2" customHeight="1" s="1127">
      <c r="B758" s="194" t="n"/>
      <c r="F758" s="57" t="n"/>
    </row>
    <row r="759" ht="13.2" customHeight="1" s="1127">
      <c r="B759" s="194" t="n"/>
      <c r="F759" s="57" t="n"/>
    </row>
    <row r="760" ht="13.2" customHeight="1" s="1127">
      <c r="B760" s="194" t="n"/>
      <c r="F760" s="57" t="n"/>
    </row>
    <row r="761" ht="13.2" customHeight="1" s="1127">
      <c r="B761" s="194" t="n"/>
      <c r="F761" s="57" t="n"/>
    </row>
    <row r="762" ht="13.2" customHeight="1" s="1127">
      <c r="B762" s="194" t="n"/>
      <c r="F762" s="57" t="n"/>
    </row>
    <row r="763" ht="13.2" customHeight="1" s="1127">
      <c r="B763" s="194" t="n"/>
      <c r="F763" s="57" t="n"/>
    </row>
    <row r="764" ht="13.2" customHeight="1" s="1127">
      <c r="B764" s="194" t="n"/>
      <c r="F764" s="57" t="n"/>
    </row>
    <row r="765" ht="13.2" customHeight="1" s="1127">
      <c r="B765" s="194" t="n"/>
      <c r="F765" s="57" t="n"/>
    </row>
    <row r="766" ht="13.2" customHeight="1" s="1127">
      <c r="B766" s="194" t="n"/>
      <c r="F766" s="57" t="n"/>
    </row>
    <row r="767" ht="13.2" customHeight="1" s="1127">
      <c r="B767" s="194" t="n"/>
      <c r="F767" s="57" t="n"/>
    </row>
    <row r="768" ht="13.2" customHeight="1" s="1127">
      <c r="B768" s="194" t="n"/>
      <c r="F768" s="57" t="n"/>
    </row>
    <row r="769" ht="13.2" customHeight="1" s="1127">
      <c r="B769" s="194" t="n"/>
      <c r="F769" s="57" t="n"/>
    </row>
    <row r="770" ht="13.2" customHeight="1" s="1127">
      <c r="B770" s="194" t="n"/>
      <c r="F770" s="57" t="n"/>
    </row>
    <row r="771" ht="13.2" customHeight="1" s="1127">
      <c r="B771" s="194" t="n"/>
      <c r="F771" s="57" t="n"/>
    </row>
    <row r="772" ht="13.2" customHeight="1" s="1127">
      <c r="B772" s="194" t="n"/>
      <c r="F772" s="57" t="n"/>
    </row>
    <row r="773" ht="13.2" customHeight="1" s="1127">
      <c r="B773" s="194" t="n"/>
      <c r="F773" s="57" t="n"/>
    </row>
    <row r="774" ht="13.2" customHeight="1" s="1127">
      <c r="B774" s="194" t="n"/>
      <c r="F774" s="57" t="n"/>
    </row>
    <row r="775" ht="13.2" customHeight="1" s="1127">
      <c r="B775" s="194" t="n"/>
      <c r="F775" s="57" t="n"/>
    </row>
    <row r="776" ht="13.2" customHeight="1" s="1127">
      <c r="B776" s="194" t="n"/>
      <c r="F776" s="57" t="n"/>
    </row>
    <row r="777" ht="13.2" customHeight="1" s="1127">
      <c r="B777" s="194" t="n"/>
      <c r="F777" s="57" t="n"/>
    </row>
    <row r="778" ht="13.2" customHeight="1" s="1127">
      <c r="B778" s="194" t="n"/>
      <c r="F778" s="57" t="n"/>
    </row>
    <row r="779" ht="13.2" customHeight="1" s="1127">
      <c r="B779" s="194" t="n"/>
      <c r="F779" s="57" t="n"/>
    </row>
    <row r="780" ht="13.2" customHeight="1" s="1127">
      <c r="B780" s="194" t="n"/>
      <c r="F780" s="57" t="n"/>
    </row>
    <row r="781" ht="13.2" customHeight="1" s="1127">
      <c r="B781" s="194" t="n"/>
      <c r="F781" s="57" t="n"/>
    </row>
    <row r="782" ht="13.2" customHeight="1" s="1127">
      <c r="B782" s="194" t="n"/>
      <c r="F782" s="57" t="n"/>
    </row>
    <row r="783" ht="13.2" customHeight="1" s="1127">
      <c r="B783" s="194" t="n"/>
      <c r="F783" s="57" t="n"/>
    </row>
    <row r="784" ht="13.2" customHeight="1" s="1127">
      <c r="B784" s="194" t="n"/>
      <c r="F784" s="57" t="n"/>
    </row>
    <row r="785" ht="13.2" customHeight="1" s="1127">
      <c r="B785" s="194" t="n"/>
      <c r="F785" s="57" t="n"/>
    </row>
    <row r="786" ht="13.2" customHeight="1" s="1127">
      <c r="B786" s="194" t="n"/>
      <c r="F786" s="57" t="n"/>
    </row>
    <row r="787" ht="13.2" customHeight="1" s="1127">
      <c r="B787" s="194" t="n"/>
      <c r="F787" s="57" t="n"/>
    </row>
    <row r="788" ht="13.2" customHeight="1" s="1127">
      <c r="B788" s="194" t="n"/>
      <c r="F788" s="57" t="n"/>
    </row>
    <row r="789" ht="13.2" customHeight="1" s="1127">
      <c r="B789" s="194" t="n"/>
      <c r="F789" s="57" t="n"/>
    </row>
    <row r="790" ht="13.2" customHeight="1" s="1127">
      <c r="B790" s="194" t="n"/>
      <c r="F790" s="57" t="n"/>
    </row>
    <row r="791" ht="13.2" customHeight="1" s="1127">
      <c r="B791" s="194" t="n"/>
      <c r="F791" s="57" t="n"/>
    </row>
    <row r="792" ht="13.2" customHeight="1" s="1127">
      <c r="B792" s="194" t="n"/>
      <c r="F792" s="57" t="n"/>
    </row>
    <row r="793" ht="13.2" customHeight="1" s="1127">
      <c r="B793" s="194" t="n"/>
      <c r="F793" s="57" t="n"/>
    </row>
    <row r="794" ht="13.2" customHeight="1" s="1127">
      <c r="B794" s="194" t="n"/>
      <c r="F794" s="57" t="n"/>
    </row>
    <row r="795" ht="13.2" customHeight="1" s="1127">
      <c r="B795" s="194" t="n"/>
      <c r="F795" s="57" t="n"/>
    </row>
    <row r="796" ht="13.2" customHeight="1" s="1127">
      <c r="B796" s="194" t="n"/>
      <c r="F796" s="57" t="n"/>
    </row>
    <row r="797" ht="13.2" customHeight="1" s="1127">
      <c r="B797" s="194" t="n"/>
      <c r="F797" s="57" t="n"/>
    </row>
    <row r="798" ht="13.2" customHeight="1" s="1127">
      <c r="B798" s="194" t="n"/>
      <c r="F798" s="57" t="n"/>
    </row>
    <row r="799" ht="13.2" customHeight="1" s="1127">
      <c r="B799" s="194" t="n"/>
      <c r="F799" s="57" t="n"/>
    </row>
    <row r="800" ht="13.2" customHeight="1" s="1127">
      <c r="B800" s="194" t="n"/>
      <c r="F800" s="57" t="n"/>
    </row>
    <row r="801" ht="13.2" customHeight="1" s="1127">
      <c r="B801" s="194" t="n"/>
      <c r="F801" s="57" t="n"/>
    </row>
    <row r="802" ht="13.2" customHeight="1" s="1127">
      <c r="B802" s="194" t="n"/>
      <c r="F802" s="57" t="n"/>
    </row>
    <row r="803" ht="13.2" customHeight="1" s="1127">
      <c r="B803" s="194" t="n"/>
      <c r="F803" s="57" t="n"/>
    </row>
    <row r="804" ht="13.2" customHeight="1" s="1127">
      <c r="B804" s="194" t="n"/>
      <c r="F804" s="57" t="n"/>
    </row>
    <row r="805" ht="13.2" customHeight="1" s="1127">
      <c r="B805" s="194" t="n"/>
      <c r="F805" s="57" t="n"/>
    </row>
    <row r="806" ht="13.2" customHeight="1" s="1127">
      <c r="B806" s="194" t="n"/>
      <c r="F806" s="57" t="n"/>
    </row>
    <row r="807" ht="13.2" customHeight="1" s="1127">
      <c r="B807" s="194" t="n"/>
      <c r="F807" s="57" t="n"/>
    </row>
    <row r="808" ht="13.2" customHeight="1" s="1127">
      <c r="B808" s="194" t="n"/>
      <c r="F808" s="57" t="n"/>
    </row>
    <row r="809" ht="13.2" customHeight="1" s="1127">
      <c r="B809" s="194" t="n"/>
      <c r="F809" s="57" t="n"/>
    </row>
    <row r="810" ht="13.2" customHeight="1" s="1127">
      <c r="B810" s="194" t="n"/>
      <c r="F810" s="57" t="n"/>
    </row>
    <row r="811" ht="13.2" customHeight="1" s="1127">
      <c r="B811" s="194" t="n"/>
      <c r="F811" s="57" t="n"/>
    </row>
    <row r="812" ht="13.2" customHeight="1" s="1127">
      <c r="B812" s="194" t="n"/>
      <c r="F812" s="57" t="n"/>
    </row>
    <row r="813" ht="13.2" customHeight="1" s="1127">
      <c r="B813" s="194" t="n"/>
      <c r="F813" s="57" t="n"/>
    </row>
    <row r="814" ht="13.2" customHeight="1" s="1127">
      <c r="B814" s="194" t="n"/>
      <c r="F814" s="57" t="n"/>
    </row>
    <row r="815" ht="13.2" customHeight="1" s="1127">
      <c r="B815" s="194" t="n"/>
      <c r="F815" s="57" t="n"/>
    </row>
    <row r="816" ht="13.2" customHeight="1" s="1127">
      <c r="B816" s="194" t="n"/>
      <c r="F816" s="57" t="n"/>
    </row>
    <row r="817" ht="13.2" customHeight="1" s="1127">
      <c r="B817" s="194" t="n"/>
      <c r="F817" s="57" t="n"/>
    </row>
    <row r="818" ht="13.2" customHeight="1" s="1127">
      <c r="B818" s="194" t="n"/>
      <c r="F818" s="57" t="n"/>
    </row>
    <row r="819" ht="13.2" customHeight="1" s="1127">
      <c r="B819" s="194" t="n"/>
      <c r="F819" s="57" t="n"/>
    </row>
    <row r="820" ht="13.2" customHeight="1" s="1127">
      <c r="B820" s="194" t="n"/>
      <c r="F820" s="57" t="n"/>
    </row>
    <row r="821" ht="13.2" customHeight="1" s="1127">
      <c r="B821" s="194" t="n"/>
      <c r="F821" s="57" t="n"/>
    </row>
    <row r="822" ht="13.2" customHeight="1" s="1127">
      <c r="B822" s="194" t="n"/>
      <c r="F822" s="57" t="n"/>
    </row>
    <row r="823" ht="13.2" customHeight="1" s="1127">
      <c r="B823" s="194" t="n"/>
      <c r="F823" s="57" t="n"/>
    </row>
    <row r="824" ht="13.2" customHeight="1" s="1127">
      <c r="B824" s="194" t="n"/>
      <c r="F824" s="57" t="n"/>
    </row>
    <row r="825" ht="13.2" customHeight="1" s="1127">
      <c r="B825" s="194" t="n"/>
      <c r="F825" s="57" t="n"/>
    </row>
    <row r="826" ht="13.2" customHeight="1" s="1127">
      <c r="B826" s="194" t="n"/>
      <c r="F826" s="57" t="n"/>
    </row>
    <row r="827" ht="13.2" customHeight="1" s="1127">
      <c r="B827" s="194" t="n"/>
      <c r="F827" s="57" t="n"/>
    </row>
    <row r="828" ht="13.2" customHeight="1" s="1127">
      <c r="B828" s="194" t="n"/>
      <c r="F828" s="57" t="n"/>
    </row>
    <row r="829" ht="13.2" customHeight="1" s="1127">
      <c r="B829" s="194" t="n"/>
      <c r="F829" s="57" t="n"/>
    </row>
    <row r="830" ht="13.2" customHeight="1" s="1127">
      <c r="B830" s="194" t="n"/>
      <c r="F830" s="57" t="n"/>
    </row>
    <row r="831" ht="13.2" customHeight="1" s="1127">
      <c r="B831" s="194" t="n"/>
      <c r="F831" s="57" t="n"/>
    </row>
    <row r="832" ht="13.2" customHeight="1" s="1127">
      <c r="B832" s="194" t="n"/>
      <c r="F832" s="57" t="n"/>
    </row>
    <row r="833" ht="13.2" customHeight="1" s="1127">
      <c r="B833" s="194" t="n"/>
      <c r="F833" s="57" t="n"/>
    </row>
    <row r="834" ht="13.2" customHeight="1" s="1127">
      <c r="B834" s="194" t="n"/>
      <c r="F834" s="57" t="n"/>
    </row>
    <row r="835" ht="13.2" customHeight="1" s="1127">
      <c r="B835" s="194" t="n"/>
      <c r="F835" s="57" t="n"/>
    </row>
    <row r="836" ht="13.2" customHeight="1" s="1127">
      <c r="B836" s="194" t="n"/>
      <c r="F836" s="57" t="n"/>
    </row>
    <row r="837" ht="13.2" customHeight="1" s="1127">
      <c r="B837" s="194" t="n"/>
      <c r="F837" s="57" t="n"/>
    </row>
    <row r="838" ht="13.2" customHeight="1" s="1127">
      <c r="B838" s="194" t="n"/>
      <c r="F838" s="57" t="n"/>
    </row>
    <row r="839" ht="13.2" customHeight="1" s="1127">
      <c r="B839" s="194" t="n"/>
      <c r="F839" s="57" t="n"/>
    </row>
    <row r="840" ht="13.2" customHeight="1" s="1127">
      <c r="B840" s="194" t="n"/>
      <c r="F840" s="57" t="n"/>
    </row>
    <row r="841" ht="13.2" customHeight="1" s="1127">
      <c r="B841" s="194" t="n"/>
      <c r="F841" s="57" t="n"/>
    </row>
    <row r="842" ht="13.2" customHeight="1" s="1127">
      <c r="B842" s="194" t="n"/>
      <c r="F842" s="57" t="n"/>
    </row>
    <row r="843" ht="13.2" customHeight="1" s="1127">
      <c r="B843" s="194" t="n"/>
      <c r="F843" s="57" t="n"/>
    </row>
    <row r="844" ht="13.2" customHeight="1" s="1127">
      <c r="B844" s="194" t="n"/>
      <c r="F844" s="57" t="n"/>
    </row>
    <row r="845" ht="13.2" customHeight="1" s="1127">
      <c r="B845" s="194" t="n"/>
      <c r="F845" s="57" t="n"/>
    </row>
    <row r="846" ht="13.2" customHeight="1" s="1127">
      <c r="B846" s="194" t="n"/>
      <c r="F846" s="57" t="n"/>
    </row>
    <row r="847" ht="13.2" customHeight="1" s="1127">
      <c r="B847" s="194" t="n"/>
      <c r="F847" s="57" t="n"/>
    </row>
    <row r="848" ht="13.2" customHeight="1" s="1127">
      <c r="B848" s="194" t="n"/>
      <c r="F848" s="57" t="n"/>
    </row>
    <row r="849" ht="13.2" customHeight="1" s="1127">
      <c r="B849" s="194" t="n"/>
      <c r="F849" s="57" t="n"/>
    </row>
    <row r="850" ht="13.2" customHeight="1" s="1127">
      <c r="B850" s="194" t="n"/>
      <c r="F850" s="57" t="n"/>
    </row>
    <row r="851" ht="13.2" customHeight="1" s="1127">
      <c r="B851" s="194" t="n"/>
      <c r="F851" s="57" t="n"/>
    </row>
    <row r="852" ht="13.2" customHeight="1" s="1127">
      <c r="B852" s="194" t="n"/>
      <c r="F852" s="57" t="n"/>
    </row>
    <row r="853" ht="13.2" customHeight="1" s="1127">
      <c r="B853" s="194" t="n"/>
      <c r="F853" s="57" t="n"/>
    </row>
    <row r="854" ht="13.2" customHeight="1" s="1127">
      <c r="B854" s="194" t="n"/>
      <c r="F854" s="57" t="n"/>
    </row>
    <row r="855" ht="13.2" customHeight="1" s="1127">
      <c r="B855" s="194" t="n"/>
      <c r="F855" s="57" t="n"/>
    </row>
    <row r="856" ht="13.2" customHeight="1" s="1127">
      <c r="B856" s="194" t="n"/>
      <c r="F856" s="57" t="n"/>
    </row>
    <row r="857" ht="13.2" customHeight="1" s="1127">
      <c r="B857" s="194" t="n"/>
      <c r="F857" s="57" t="n"/>
    </row>
    <row r="858" ht="13.2" customHeight="1" s="1127">
      <c r="B858" s="194" t="n"/>
      <c r="F858" s="57" t="n"/>
    </row>
    <row r="859" ht="13.2" customHeight="1" s="1127">
      <c r="B859" s="194" t="n"/>
      <c r="F859" s="57" t="n"/>
    </row>
    <row r="860" ht="13.2" customHeight="1" s="1127">
      <c r="B860" s="194" t="n"/>
      <c r="F860" s="57" t="n"/>
    </row>
    <row r="861" ht="13.2" customHeight="1" s="1127">
      <c r="B861" s="194" t="n"/>
      <c r="F861" s="57" t="n"/>
    </row>
    <row r="862" ht="13.2" customHeight="1" s="1127">
      <c r="B862" s="194" t="n"/>
      <c r="F862" s="57" t="n"/>
    </row>
    <row r="863" ht="13.2" customHeight="1" s="1127">
      <c r="B863" s="194" t="n"/>
      <c r="F863" s="57" t="n"/>
    </row>
    <row r="864" ht="13.2" customHeight="1" s="1127">
      <c r="B864" s="194" t="n"/>
      <c r="F864" s="57" t="n"/>
    </row>
    <row r="865" ht="13.2" customHeight="1" s="1127">
      <c r="B865" s="194" t="n"/>
      <c r="F865" s="57" t="n"/>
    </row>
    <row r="866" ht="13.2" customHeight="1" s="1127">
      <c r="B866" s="194" t="n"/>
      <c r="F866" s="57" t="n"/>
    </row>
    <row r="867" ht="13.2" customHeight="1" s="1127">
      <c r="B867" s="194" t="n"/>
      <c r="F867" s="57" t="n"/>
    </row>
    <row r="868" ht="13.2" customHeight="1" s="1127">
      <c r="B868" s="194" t="n"/>
      <c r="F868" s="57" t="n"/>
    </row>
    <row r="869" ht="13.2" customHeight="1" s="1127">
      <c r="B869" s="194" t="n"/>
      <c r="F869" s="57" t="n"/>
    </row>
    <row r="870" ht="13.2" customHeight="1" s="1127">
      <c r="B870" s="194" t="n"/>
      <c r="F870" s="57" t="n"/>
    </row>
    <row r="871" ht="13.2" customHeight="1" s="1127">
      <c r="B871" s="194" t="n"/>
      <c r="F871" s="57" t="n"/>
    </row>
    <row r="872" ht="13.2" customHeight="1" s="1127">
      <c r="B872" s="194" t="n"/>
      <c r="F872" s="57" t="n"/>
    </row>
    <row r="873" ht="13.2" customHeight="1" s="1127">
      <c r="B873" s="194" t="n"/>
      <c r="F873" s="57" t="n"/>
    </row>
    <row r="874" ht="13.2" customHeight="1" s="1127">
      <c r="B874" s="194" t="n"/>
      <c r="F874" s="57" t="n"/>
    </row>
    <row r="875" ht="13.2" customHeight="1" s="1127">
      <c r="B875" s="194" t="n"/>
      <c r="F875" s="57" t="n"/>
    </row>
    <row r="876" ht="13.2" customHeight="1" s="1127">
      <c r="B876" s="194" t="n"/>
      <c r="F876" s="57" t="n"/>
    </row>
    <row r="877" ht="13.2" customHeight="1" s="1127">
      <c r="B877" s="194" t="n"/>
      <c r="F877" s="57" t="n"/>
    </row>
    <row r="878" ht="13.2" customHeight="1" s="1127">
      <c r="B878" s="194" t="n"/>
      <c r="F878" s="57" t="n"/>
    </row>
    <row r="879" ht="13.2" customHeight="1" s="1127">
      <c r="B879" s="194" t="n"/>
      <c r="F879" s="57" t="n"/>
    </row>
    <row r="880" ht="13.2" customHeight="1" s="1127">
      <c r="B880" s="194" t="n"/>
      <c r="F880" s="57" t="n"/>
    </row>
    <row r="881" ht="13.2" customHeight="1" s="1127">
      <c r="B881" s="194" t="n"/>
      <c r="F881" s="57" t="n"/>
    </row>
    <row r="882" ht="13.2" customHeight="1" s="1127">
      <c r="B882" s="194" t="n"/>
      <c r="F882" s="57" t="n"/>
    </row>
    <row r="883" ht="13.2" customHeight="1" s="1127">
      <c r="B883" s="194" t="n"/>
      <c r="F883" s="57" t="n"/>
    </row>
    <row r="884" ht="13.2" customHeight="1" s="1127">
      <c r="B884" s="194" t="n"/>
      <c r="F884" s="57" t="n"/>
    </row>
    <row r="885" ht="13.2" customHeight="1" s="1127">
      <c r="B885" s="194" t="n"/>
      <c r="F885" s="57" t="n"/>
    </row>
    <row r="886" ht="13.2" customHeight="1" s="1127">
      <c r="B886" s="194" t="n"/>
      <c r="F886" s="57" t="n"/>
    </row>
    <row r="887" ht="13.2" customHeight="1" s="1127">
      <c r="B887" s="194" t="n"/>
      <c r="F887" s="57" t="n"/>
    </row>
    <row r="888" ht="13.2" customHeight="1" s="1127">
      <c r="B888" s="194" t="n"/>
      <c r="F888" s="57" t="n"/>
    </row>
    <row r="889" ht="13.2" customHeight="1" s="1127">
      <c r="B889" s="194" t="n"/>
      <c r="F889" s="57" t="n"/>
    </row>
    <row r="890" ht="13.2" customHeight="1" s="1127">
      <c r="B890" s="194" t="n"/>
      <c r="F890" s="57" t="n"/>
    </row>
    <row r="891" ht="13.2" customHeight="1" s="1127">
      <c r="B891" s="194" t="n"/>
      <c r="F891" s="57" t="n"/>
    </row>
    <row r="892" ht="13.2" customHeight="1" s="1127">
      <c r="B892" s="194" t="n"/>
      <c r="F892" s="57" t="n"/>
    </row>
    <row r="893" ht="13.2" customHeight="1" s="1127">
      <c r="B893" s="194" t="n"/>
      <c r="F893" s="57" t="n"/>
    </row>
    <row r="894" ht="13.2" customHeight="1" s="1127">
      <c r="B894" s="194" t="n"/>
      <c r="F894" s="57" t="n"/>
    </row>
    <row r="895" ht="13.2" customHeight="1" s="1127">
      <c r="B895" s="194" t="n"/>
      <c r="F895" s="57" t="n"/>
    </row>
    <row r="896" ht="13.2" customHeight="1" s="1127">
      <c r="B896" s="194" t="n"/>
      <c r="F896" s="57" t="n"/>
    </row>
    <row r="897" ht="13.2" customHeight="1" s="1127">
      <c r="B897" s="194" t="n"/>
      <c r="F897" s="57" t="n"/>
    </row>
    <row r="898" ht="13.2" customHeight="1" s="1127">
      <c r="B898" s="194" t="n"/>
      <c r="F898" s="57" t="n"/>
    </row>
    <row r="899" ht="13.2" customHeight="1" s="1127">
      <c r="B899" s="194" t="n"/>
      <c r="F899" s="57" t="n"/>
    </row>
    <row r="900" ht="13.2" customHeight="1" s="1127">
      <c r="B900" s="194" t="n"/>
      <c r="F900" s="57" t="n"/>
    </row>
    <row r="901" ht="13.2" customHeight="1" s="1127">
      <c r="B901" s="194" t="n"/>
      <c r="F901" s="57" t="n"/>
    </row>
    <row r="902" ht="13.2" customHeight="1" s="1127">
      <c r="B902" s="194" t="n"/>
      <c r="F902" s="57" t="n"/>
    </row>
    <row r="903" ht="13.2" customHeight="1" s="1127">
      <c r="B903" s="194" t="n"/>
      <c r="F903" s="57" t="n"/>
    </row>
    <row r="904" ht="13.2" customHeight="1" s="1127">
      <c r="B904" s="194" t="n"/>
      <c r="F904" s="57" t="n"/>
    </row>
    <row r="905" ht="13.2" customHeight="1" s="1127">
      <c r="B905" s="194" t="n"/>
      <c r="F905" s="57" t="n"/>
    </row>
    <row r="906" ht="13.2" customHeight="1" s="1127">
      <c r="B906" s="194" t="n"/>
      <c r="F906" s="57" t="n"/>
    </row>
    <row r="907" ht="13.2" customHeight="1" s="1127">
      <c r="B907" s="194" t="n"/>
      <c r="F907" s="57" t="n"/>
    </row>
    <row r="908" ht="13.2" customHeight="1" s="1127">
      <c r="B908" s="194" t="n"/>
      <c r="F908" s="57" t="n"/>
    </row>
    <row r="909" ht="13.2" customHeight="1" s="1127">
      <c r="B909" s="194" t="n"/>
      <c r="F909" s="57" t="n"/>
    </row>
    <row r="910" ht="13.2" customHeight="1" s="1127">
      <c r="B910" s="194" t="n"/>
      <c r="F910" s="57" t="n"/>
    </row>
    <row r="911" ht="13.2" customHeight="1" s="1127">
      <c r="B911" s="194" t="n"/>
      <c r="F911" s="57" t="n"/>
    </row>
    <row r="912" ht="13.2" customHeight="1" s="1127">
      <c r="B912" s="194" t="n"/>
      <c r="F912" s="57" t="n"/>
    </row>
    <row r="913" ht="13.2" customHeight="1" s="1127">
      <c r="B913" s="194" t="n"/>
      <c r="F913" s="57" t="n"/>
    </row>
    <row r="914" ht="13.2" customHeight="1" s="1127">
      <c r="B914" s="194" t="n"/>
      <c r="F914" s="57" t="n"/>
    </row>
    <row r="915" ht="13.2" customHeight="1" s="1127">
      <c r="B915" s="194" t="n"/>
      <c r="F915" s="57" t="n"/>
    </row>
    <row r="916" ht="13.2" customHeight="1" s="1127">
      <c r="B916" s="194" t="n"/>
      <c r="F916" s="57" t="n"/>
    </row>
    <row r="917" ht="13.2" customHeight="1" s="1127">
      <c r="B917" s="194" t="n"/>
      <c r="F917" s="57" t="n"/>
    </row>
    <row r="918" ht="13.2" customHeight="1" s="1127">
      <c r="B918" s="194" t="n"/>
      <c r="F918" s="57" t="n"/>
    </row>
    <row r="919" ht="13.2" customHeight="1" s="1127">
      <c r="B919" s="194" t="n"/>
      <c r="F919" s="57" t="n"/>
    </row>
    <row r="920" ht="13.2" customHeight="1" s="1127">
      <c r="B920" s="194" t="n"/>
      <c r="F920" s="57" t="n"/>
    </row>
    <row r="921" ht="13.2" customHeight="1" s="1127">
      <c r="B921" s="194" t="n"/>
      <c r="F921" s="57" t="n"/>
    </row>
    <row r="922" ht="13.2" customHeight="1" s="1127">
      <c r="B922" s="194" t="n"/>
      <c r="F922" s="57" t="n"/>
    </row>
    <row r="923" ht="13.2" customHeight="1" s="1127">
      <c r="B923" s="194" t="n"/>
      <c r="F923" s="57" t="n"/>
    </row>
    <row r="924" ht="13.2" customHeight="1" s="1127">
      <c r="B924" s="194" t="n"/>
      <c r="F924" s="57" t="n"/>
    </row>
    <row r="925" ht="13.2" customHeight="1" s="1127">
      <c r="B925" s="194" t="n"/>
      <c r="F925" s="57" t="n"/>
    </row>
    <row r="926" ht="13.2" customHeight="1" s="1127">
      <c r="B926" s="194" t="n"/>
      <c r="F926" s="57" t="n"/>
    </row>
    <row r="927" ht="13.2" customHeight="1" s="1127">
      <c r="B927" s="194" t="n"/>
      <c r="F927" s="57" t="n"/>
    </row>
    <row r="928" ht="13.2" customHeight="1" s="1127">
      <c r="B928" s="194" t="n"/>
      <c r="F928" s="57" t="n"/>
    </row>
    <row r="929" ht="13.2" customHeight="1" s="1127">
      <c r="B929" s="194" t="n"/>
      <c r="F929" s="57" t="n"/>
    </row>
    <row r="930" ht="13.2" customHeight="1" s="1127">
      <c r="B930" s="194" t="n"/>
      <c r="F930" s="57" t="n"/>
    </row>
    <row r="931" ht="13.2" customHeight="1" s="1127">
      <c r="B931" s="194" t="n"/>
      <c r="F931" s="57" t="n"/>
    </row>
    <row r="932" ht="13.2" customHeight="1" s="1127">
      <c r="B932" s="194" t="n"/>
      <c r="F932" s="57" t="n"/>
    </row>
    <row r="933" ht="13.2" customHeight="1" s="1127">
      <c r="B933" s="194" t="n"/>
      <c r="F933" s="57" t="n"/>
    </row>
    <row r="934" ht="13.2" customHeight="1" s="1127">
      <c r="B934" s="194" t="n"/>
      <c r="F934" s="57" t="n"/>
    </row>
    <row r="935" ht="13.2" customHeight="1" s="1127">
      <c r="B935" s="194" t="n"/>
      <c r="F935" s="57" t="n"/>
    </row>
    <row r="936" ht="13.2" customHeight="1" s="1127">
      <c r="B936" s="194" t="n"/>
      <c r="F936" s="57" t="n"/>
    </row>
    <row r="937" ht="13.2" customHeight="1" s="1127">
      <c r="B937" s="194" t="n"/>
      <c r="F937" s="57" t="n"/>
    </row>
    <row r="938" ht="13.2" customHeight="1" s="1127">
      <c r="B938" s="194" t="n"/>
      <c r="F938" s="57" t="n"/>
    </row>
    <row r="939" ht="13.2" customHeight="1" s="1127">
      <c r="B939" s="194" t="n"/>
      <c r="F939" s="57" t="n"/>
    </row>
    <row r="940" ht="13.2" customHeight="1" s="1127">
      <c r="B940" s="194" t="n"/>
      <c r="F940" s="57" t="n"/>
    </row>
    <row r="941" ht="13.2" customHeight="1" s="1127">
      <c r="B941" s="194" t="n"/>
      <c r="F941" s="57" t="n"/>
    </row>
    <row r="942" ht="13.2" customHeight="1" s="1127">
      <c r="B942" s="194" t="n"/>
      <c r="F942" s="57" t="n"/>
    </row>
    <row r="943" ht="13.2" customHeight="1" s="1127">
      <c r="B943" s="194" t="n"/>
      <c r="F943" s="57" t="n"/>
    </row>
    <row r="944" ht="13.2" customHeight="1" s="1127">
      <c r="B944" s="194" t="n"/>
      <c r="F944" s="57" t="n"/>
    </row>
    <row r="945" ht="13.2" customHeight="1" s="1127">
      <c r="B945" s="194" t="n"/>
      <c r="F945" s="57" t="n"/>
    </row>
    <row r="946" ht="13.2" customHeight="1" s="1127">
      <c r="B946" s="194" t="n"/>
      <c r="F946" s="57" t="n"/>
    </row>
    <row r="947" ht="13.2" customHeight="1" s="1127">
      <c r="B947" s="194" t="n"/>
      <c r="F947" s="57" t="n"/>
    </row>
    <row r="948" ht="13.2" customHeight="1" s="1127">
      <c r="B948" s="194" t="n"/>
      <c r="F948" s="57" t="n"/>
    </row>
    <row r="949" ht="13.2" customHeight="1" s="1127">
      <c r="B949" s="194" t="n"/>
      <c r="F949" s="57" t="n"/>
    </row>
    <row r="950" ht="13.2" customHeight="1" s="1127">
      <c r="B950" s="194" t="n"/>
      <c r="F950" s="57" t="n"/>
    </row>
    <row r="951" ht="13.2" customHeight="1" s="1127">
      <c r="B951" s="194" t="n"/>
      <c r="F951" s="57" t="n"/>
    </row>
    <row r="952" ht="13.2" customHeight="1" s="1127">
      <c r="B952" s="194" t="n"/>
      <c r="F952" s="57" t="n"/>
    </row>
    <row r="953" ht="13.2" customHeight="1" s="1127">
      <c r="B953" s="194" t="n"/>
      <c r="F953" s="57" t="n"/>
    </row>
    <row r="954" ht="13.2" customHeight="1" s="1127">
      <c r="B954" s="194" t="n"/>
      <c r="F954" s="57" t="n"/>
    </row>
    <row r="955" ht="13.2" customHeight="1" s="1127">
      <c r="B955" s="194" t="n"/>
      <c r="F955" s="57" t="n"/>
    </row>
    <row r="956" ht="13.2" customHeight="1" s="1127">
      <c r="B956" s="194" t="n"/>
      <c r="F956" s="57" t="n"/>
    </row>
    <row r="957" ht="13.2" customHeight="1" s="1127">
      <c r="B957" s="194" t="n"/>
      <c r="F957" s="57" t="n"/>
    </row>
    <row r="958" ht="13.2" customHeight="1" s="1127">
      <c r="B958" s="194" t="n"/>
      <c r="F958" s="57" t="n"/>
    </row>
    <row r="959" ht="13.2" customHeight="1" s="1127">
      <c r="B959" s="194" t="n"/>
      <c r="F959" s="57" t="n"/>
    </row>
    <row r="960" ht="13.2" customHeight="1" s="1127">
      <c r="B960" s="194" t="n"/>
      <c r="F960" s="57" t="n"/>
    </row>
    <row r="961" ht="13.2" customHeight="1" s="1127">
      <c r="B961" s="194" t="n"/>
      <c r="F961" s="57" t="n"/>
    </row>
    <row r="962" ht="13.2" customHeight="1" s="1127">
      <c r="B962" s="194" t="n"/>
      <c r="F962" s="57" t="n"/>
    </row>
    <row r="963" ht="13.2" customHeight="1" s="1127">
      <c r="B963" s="194" t="n"/>
      <c r="F963" s="57" t="n"/>
    </row>
    <row r="964" ht="13.2" customHeight="1" s="1127">
      <c r="B964" s="194" t="n"/>
      <c r="F964" s="57" t="n"/>
    </row>
    <row r="965" ht="13.2" customHeight="1" s="1127">
      <c r="B965" s="194" t="n"/>
      <c r="F965" s="57" t="n"/>
    </row>
    <row r="966" ht="13.2" customHeight="1" s="1127">
      <c r="B966" s="194" t="n"/>
      <c r="F966" s="57" t="n"/>
    </row>
    <row r="967" ht="13.2" customHeight="1" s="1127">
      <c r="B967" s="194" t="n"/>
      <c r="F967" s="57" t="n"/>
    </row>
    <row r="968" ht="13.2" customHeight="1" s="1127">
      <c r="B968" s="194" t="n"/>
      <c r="F968" s="57" t="n"/>
    </row>
    <row r="969" ht="13.2" customHeight="1" s="1127">
      <c r="B969" s="194" t="n"/>
      <c r="F969" s="57" t="n"/>
    </row>
    <row r="970" ht="13.2" customHeight="1" s="1127">
      <c r="B970" s="194" t="n"/>
      <c r="F970" s="57" t="n"/>
    </row>
    <row r="971" ht="13.2" customHeight="1" s="1127">
      <c r="B971" s="194" t="n"/>
      <c r="F971" s="57" t="n"/>
    </row>
    <row r="972" ht="13.2" customHeight="1" s="1127">
      <c r="B972" s="194" t="n"/>
      <c r="F972" s="57" t="n"/>
    </row>
    <row r="973" ht="13.2" customHeight="1" s="1127">
      <c r="B973" s="194" t="n"/>
      <c r="F973" s="57" t="n"/>
    </row>
    <row r="974" ht="13.2" customHeight="1" s="1127">
      <c r="B974" s="194" t="n"/>
      <c r="F974" s="57" t="n"/>
    </row>
    <row r="975" ht="13.2" customHeight="1" s="1127">
      <c r="B975" s="194" t="n"/>
      <c r="F975" s="57" t="n"/>
    </row>
    <row r="976" ht="13.2" customHeight="1" s="1127">
      <c r="B976" s="194" t="n"/>
      <c r="F976" s="57" t="n"/>
    </row>
    <row r="977" ht="13.2" customHeight="1" s="1127">
      <c r="B977" s="194" t="n"/>
      <c r="F977" s="57" t="n"/>
    </row>
    <row r="978" ht="13.2" customHeight="1" s="1127">
      <c r="B978" s="194" t="n"/>
      <c r="F978" s="57" t="n"/>
    </row>
    <row r="979" ht="13.2" customHeight="1" s="1127">
      <c r="B979" s="194" t="n"/>
      <c r="F979" s="57" t="n"/>
    </row>
    <row r="980" ht="13.2" customHeight="1" s="1127">
      <c r="B980" s="194" t="n"/>
      <c r="F980" s="57" t="n"/>
    </row>
    <row r="981" ht="13.2" customHeight="1" s="1127">
      <c r="B981" s="194" t="n"/>
      <c r="F981" s="57" t="n"/>
    </row>
    <row r="982" ht="13.2" customHeight="1" s="1127">
      <c r="B982" s="194" t="n"/>
      <c r="F982" s="57" t="n"/>
    </row>
    <row r="983" ht="13.2" customHeight="1" s="1127">
      <c r="B983" s="194" t="n"/>
      <c r="F983" s="57" t="n"/>
    </row>
    <row r="984" ht="13.2" customHeight="1" s="1127">
      <c r="B984" s="194" t="n"/>
      <c r="F984" s="57" t="n"/>
    </row>
    <row r="985" ht="13.2" customHeight="1" s="1127">
      <c r="B985" s="194" t="n"/>
      <c r="F985" s="57" t="n"/>
    </row>
    <row r="986" ht="13.2" customHeight="1" s="1127">
      <c r="B986" s="194" t="n"/>
      <c r="F986" s="57" t="n"/>
    </row>
    <row r="987" ht="13.2" customHeight="1" s="1127">
      <c r="B987" s="194" t="n"/>
      <c r="F987" s="57" t="n"/>
    </row>
    <row r="988" ht="13.2" customHeight="1" s="1127">
      <c r="B988" s="194" t="n"/>
      <c r="F988" s="57" t="n"/>
    </row>
    <row r="989" ht="13.2" customHeight="1" s="1127">
      <c r="B989" s="194" t="n"/>
      <c r="F989" s="57" t="n"/>
    </row>
    <row r="990" ht="13.2" customHeight="1" s="1127">
      <c r="B990" s="194" t="n"/>
      <c r="F990" s="57" t="n"/>
    </row>
    <row r="991" ht="13.2" customHeight="1" s="1127">
      <c r="B991" s="194" t="n"/>
      <c r="F991" s="57" t="n"/>
    </row>
    <row r="992" ht="13.2" customHeight="1" s="1127">
      <c r="B992" s="194" t="n"/>
      <c r="F992" s="57" t="n"/>
    </row>
    <row r="993" ht="13.2" customHeight="1" s="1127">
      <c r="B993" s="194" t="n"/>
      <c r="F993" s="57" t="n"/>
    </row>
    <row r="994" ht="13.2" customHeight="1" s="1127">
      <c r="B994" s="194" t="n"/>
      <c r="F994" s="57" t="n"/>
    </row>
    <row r="995" ht="13.2" customHeight="1" s="1127">
      <c r="B995" s="194" t="n"/>
      <c r="F995" s="57" t="n"/>
    </row>
    <row r="996" ht="13.2" customHeight="1" s="1127">
      <c r="B996" s="194" t="n"/>
      <c r="F996" s="57" t="n"/>
    </row>
    <row r="997" ht="13.2" customHeight="1" s="1127">
      <c r="B997" s="194" t="n"/>
      <c r="F997" s="57" t="n"/>
    </row>
    <row r="998" ht="13.2" customHeight="1" s="1127">
      <c r="B998" s="194" t="n"/>
      <c r="F998" s="57" t="n"/>
    </row>
    <row r="999" ht="13.2" customHeight="1" s="1127">
      <c r="B999" s="194" t="n"/>
      <c r="F999" s="57" t="n"/>
    </row>
    <row r="1000" ht="13.2" customHeight="1" s="1127">
      <c r="B1000" s="194" t="n"/>
      <c r="F1000" s="57" t="n"/>
    </row>
    <row r="1001" ht="13.2" customHeight="1" s="1127">
      <c r="B1001" s="194" t="n"/>
      <c r="F1001" s="57" t="n"/>
    </row>
    <row r="1002" ht="13.2" customHeight="1" s="1127">
      <c r="B1002" s="194" t="n"/>
      <c r="F1002" s="57" t="n"/>
    </row>
    <row r="1003" ht="13.2" customHeight="1" s="1127">
      <c r="B1003" s="194" t="n"/>
      <c r="F1003" s="57" t="n"/>
    </row>
  </sheetData>
  <mergeCells count="3">
    <mergeCell ref="A1:C1"/>
    <mergeCell ref="F3:G9"/>
    <mergeCell ref="A19:C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FF"/>
    <outlinePr summaryBelow="0" summaryRight="0"/>
    <pageSetUpPr/>
  </sheetPr>
  <dimension ref="A1:AA69"/>
  <sheetViews>
    <sheetView workbookViewId="0">
      <selection activeCell="A1" sqref="A1"/>
    </sheetView>
  </sheetViews>
  <sheetFormatPr baseColWidth="8" defaultColWidth="12.6640625" defaultRowHeight="15.75" customHeight="1"/>
  <cols>
    <col width="21.77734375" customWidth="1" style="1127" min="1" max="1"/>
    <col width="28.77734375" customWidth="1" style="1127" min="2" max="2"/>
    <col width="20.44140625" customWidth="1" style="1127" min="3" max="3"/>
    <col width="53" customWidth="1" style="1127" min="4" max="4"/>
    <col width="16" customWidth="1" style="1127" min="6" max="6"/>
    <col width="24.44140625" customWidth="1" style="1127" min="7" max="7"/>
  </cols>
  <sheetData>
    <row r="1">
      <c r="A1" s="760" t="n"/>
      <c r="B1" s="1224" t="inlineStr">
        <is>
          <t>Правило: все заявки поступающие в отдел снабжения до конца дня должны быть внесены в реестр, по мере согласования факта закупа перейти в лист День оплат, спланированы. Далее по факту отработки, пределаны инициатору</t>
        </is>
      </c>
      <c r="H1" s="760" t="n"/>
      <c r="I1" s="760" t="n"/>
      <c r="J1" s="760" t="n"/>
      <c r="K1" s="760" t="n"/>
      <c r="L1" s="760" t="n"/>
      <c r="M1" s="760" t="n"/>
      <c r="N1" s="760" t="n"/>
      <c r="O1" s="760" t="n"/>
      <c r="P1" s="760" t="n"/>
      <c r="Q1" s="760" t="n"/>
      <c r="R1" s="760" t="n"/>
      <c r="S1" s="760" t="n"/>
      <c r="T1" s="760" t="n"/>
      <c r="U1" s="760" t="n"/>
      <c r="V1" s="760" t="n"/>
      <c r="W1" s="760" t="n"/>
      <c r="X1" s="760" t="n"/>
      <c r="Y1" s="760" t="n"/>
      <c r="Z1" s="760" t="n"/>
      <c r="AA1" s="760" t="n"/>
    </row>
    <row r="2">
      <c r="A2" s="760" t="n"/>
      <c r="H2" s="760" t="n"/>
      <c r="I2" s="760" t="n"/>
      <c r="J2" s="760" t="n"/>
      <c r="K2" s="760" t="n"/>
      <c r="L2" s="760" t="n"/>
      <c r="M2" s="760" t="n"/>
      <c r="N2" s="760" t="n"/>
      <c r="O2" s="760" t="n"/>
      <c r="P2" s="760" t="n"/>
      <c r="Q2" s="760" t="n"/>
      <c r="R2" s="760" t="n"/>
      <c r="S2" s="760" t="n"/>
      <c r="T2" s="760" t="n"/>
      <c r="U2" s="760" t="n"/>
      <c r="V2" s="760" t="n"/>
      <c r="W2" s="760" t="n"/>
      <c r="X2" s="760" t="n"/>
      <c r="Y2" s="760" t="n"/>
      <c r="Z2" s="760" t="n"/>
      <c r="AA2" s="760" t="n"/>
    </row>
    <row r="3" ht="15.75" customHeight="1" s="1127">
      <c r="A3" s="760" t="n"/>
      <c r="B3" s="761" t="n"/>
      <c r="C3" s="760" t="n"/>
      <c r="D3" s="760" t="n"/>
      <c r="E3" s="760" t="n"/>
      <c r="F3" s="760" t="n"/>
      <c r="G3" s="760" t="n"/>
      <c r="H3" s="760" t="n"/>
      <c r="I3" s="760" t="n"/>
      <c r="J3" s="760" t="n"/>
      <c r="K3" s="760" t="n"/>
      <c r="L3" s="760" t="n"/>
      <c r="M3" s="760" t="n"/>
      <c r="N3" s="760" t="n"/>
      <c r="O3" s="760" t="n"/>
      <c r="P3" s="760" t="n"/>
      <c r="Q3" s="760" t="n"/>
      <c r="R3" s="760" t="n"/>
      <c r="S3" s="760" t="n"/>
      <c r="T3" s="760" t="n"/>
      <c r="U3" s="760" t="n"/>
      <c r="V3" s="760" t="n"/>
      <c r="W3" s="760" t="n"/>
      <c r="X3" s="760" t="n"/>
      <c r="Y3" s="760" t="n"/>
      <c r="Z3" s="760" t="n"/>
      <c r="AA3" s="760" t="n"/>
    </row>
    <row r="4" ht="15.75" customHeight="1" s="1127">
      <c r="A4" s="760" t="n"/>
      <c r="B4" s="761" t="n"/>
      <c r="C4" s="760" t="n"/>
      <c r="D4" s="760" t="n"/>
      <c r="E4" s="760" t="n"/>
      <c r="F4" s="760" t="n"/>
      <c r="G4" s="760" t="n"/>
      <c r="H4" s="760" t="n"/>
      <c r="I4" s="760" t="n"/>
      <c r="J4" s="760" t="n"/>
      <c r="K4" s="760" t="n"/>
      <c r="L4" s="760" t="n"/>
      <c r="M4" s="760" t="n"/>
      <c r="N4" s="760" t="n"/>
      <c r="O4" s="760" t="n"/>
      <c r="P4" s="760" t="n"/>
      <c r="Q4" s="760" t="n"/>
      <c r="R4" s="760" t="n"/>
      <c r="S4" s="760" t="n"/>
      <c r="T4" s="760" t="n"/>
      <c r="U4" s="760" t="n"/>
      <c r="V4" s="760" t="n"/>
      <c r="W4" s="760" t="n"/>
      <c r="X4" s="760" t="n"/>
      <c r="Y4" s="760" t="n"/>
      <c r="Z4" s="760" t="n"/>
      <c r="AA4" s="760" t="n"/>
    </row>
    <row r="5" ht="15.75" customHeight="1" s="1127">
      <c r="A5" s="772" t="n"/>
      <c r="B5" s="762" t="inlineStr">
        <is>
          <t>Отработка ЗАЯВОК</t>
        </is>
      </c>
      <c r="C5" s="763" t="n"/>
      <c r="D5" s="763" t="n"/>
      <c r="E5" s="763" t="n"/>
      <c r="F5" s="763" t="n"/>
      <c r="G5" s="763" t="n"/>
      <c r="H5" s="772" t="n"/>
      <c r="I5" s="772" t="n"/>
      <c r="J5" s="772" t="n"/>
      <c r="K5" s="772" t="n"/>
      <c r="L5" s="772" t="n"/>
      <c r="M5" s="772" t="n"/>
      <c r="N5" s="772" t="n"/>
      <c r="O5" s="772" t="n"/>
      <c r="P5" s="772" t="n"/>
      <c r="Q5" s="772" t="n"/>
      <c r="R5" s="772" t="n"/>
      <c r="S5" s="772" t="n"/>
      <c r="T5" s="772" t="n"/>
      <c r="U5" s="772" t="n"/>
      <c r="V5" s="772" t="n"/>
      <c r="W5" s="772" t="n"/>
      <c r="X5" s="772" t="n"/>
      <c r="Y5" s="772" t="n"/>
      <c r="Z5" s="772" t="n"/>
      <c r="AA5" s="772" t="n"/>
    </row>
    <row r="6">
      <c r="A6" s="772" t="n"/>
      <c r="B6" s="764" t="inlineStr">
        <is>
          <t>Дата поступления заявки</t>
        </is>
      </c>
      <c r="C6" s="764" t="inlineStr">
        <is>
          <t>Дата закупа</t>
        </is>
      </c>
      <c r="D6" s="764" t="inlineStr">
        <is>
          <t>Наименование товара</t>
        </is>
      </c>
      <c r="E6" s="764" t="inlineStr">
        <is>
          <t>Сумма</t>
        </is>
      </c>
      <c r="F6" s="766" t="inlineStr">
        <is>
          <t>ОТВЕТСТВЕННЫЙ</t>
        </is>
      </c>
      <c r="G6" s="766" t="inlineStr">
        <is>
          <t>Комментарий</t>
        </is>
      </c>
      <c r="H6" s="773" t="n"/>
      <c r="I6" s="772" t="n"/>
      <c r="J6" s="772" t="n"/>
      <c r="K6" s="772" t="n"/>
      <c r="L6" s="772" t="n"/>
      <c r="M6" s="772" t="n"/>
      <c r="N6" s="772" t="n"/>
      <c r="O6" s="772" t="n"/>
      <c r="P6" s="772" t="n"/>
      <c r="Q6" s="772" t="n"/>
      <c r="R6" s="772" t="n"/>
      <c r="S6" s="772" t="n"/>
      <c r="T6" s="772" t="n"/>
      <c r="U6" s="772" t="n"/>
      <c r="V6" s="772" t="n"/>
      <c r="W6" s="772" t="n"/>
      <c r="X6" s="772" t="n"/>
      <c r="Y6" s="772" t="n"/>
      <c r="Z6" s="772" t="n"/>
      <c r="AA6" s="772" t="n"/>
    </row>
    <row r="7">
      <c r="A7" s="772" t="n"/>
      <c r="B7" s="364" t="n">
        <v>46160</v>
      </c>
      <c r="C7" s="354" t="n">
        <v>46161</v>
      </c>
      <c r="D7" s="771" t="inlineStr">
        <is>
          <t>закуп в тех отдел Жансултан</t>
        </is>
      </c>
      <c r="E7" s="770" t="n">
        <v>456000</v>
      </c>
      <c r="F7" s="538" t="inlineStr">
        <is>
          <t>Александр</t>
        </is>
      </c>
      <c r="G7" s="538" t="inlineStr">
        <is>
          <t>Выполнено</t>
        </is>
      </c>
      <c r="H7" s="769" t="n"/>
      <c r="I7" s="772" t="n"/>
      <c r="J7" s="772" t="n"/>
      <c r="K7" s="772" t="n"/>
      <c r="L7" s="772" t="n"/>
      <c r="M7" s="772" t="n"/>
      <c r="N7" s="772" t="n"/>
      <c r="O7" s="772" t="n"/>
      <c r="P7" s="772" t="n"/>
      <c r="Q7" s="772" t="n"/>
      <c r="R7" s="772" t="n"/>
      <c r="S7" s="772" t="n"/>
      <c r="T7" s="772" t="n"/>
      <c r="U7" s="772" t="n"/>
      <c r="V7" s="772" t="n"/>
      <c r="W7" s="772" t="n"/>
      <c r="X7" s="772" t="n"/>
      <c r="Y7" s="772" t="n"/>
      <c r="Z7" s="772" t="n"/>
      <c r="AA7" s="772" t="n"/>
    </row>
    <row r="8">
      <c r="A8" s="772" t="n"/>
      <c r="B8" s="364" t="n"/>
      <c r="C8" s="364" t="n">
        <v>46164</v>
      </c>
      <c r="D8" s="774" t="inlineStr">
        <is>
          <t xml:space="preserve">закуп </t>
        </is>
      </c>
      <c r="E8" s="770" t="n"/>
      <c r="F8" s="538" t="inlineStr">
        <is>
          <t>Александр</t>
        </is>
      </c>
      <c r="G8" s="538" t="inlineStr">
        <is>
          <t>Закуп</t>
        </is>
      </c>
      <c r="H8" s="769" t="n"/>
      <c r="I8" s="772" t="n"/>
      <c r="J8" s="772" t="n"/>
      <c r="K8" s="772" t="n"/>
      <c r="L8" s="772" t="n"/>
      <c r="M8" s="772" t="n"/>
      <c r="N8" s="772" t="n"/>
      <c r="O8" s="772" t="n"/>
      <c r="P8" s="772" t="n"/>
      <c r="Q8" s="772" t="n"/>
      <c r="R8" s="772" t="n"/>
      <c r="S8" s="772" t="n"/>
      <c r="T8" s="772" t="n"/>
      <c r="U8" s="772" t="n"/>
      <c r="V8" s="772" t="n"/>
      <c r="W8" s="772" t="n"/>
      <c r="X8" s="772" t="n"/>
      <c r="Y8" s="772" t="n"/>
      <c r="Z8" s="772" t="n"/>
      <c r="AA8" s="772" t="n"/>
    </row>
    <row r="9">
      <c r="A9" s="772" t="n"/>
      <c r="B9" s="364" t="n">
        <v>46181</v>
      </c>
      <c r="C9" s="771" t="n"/>
      <c r="D9" s="771" t="inlineStr">
        <is>
          <t>заявка дворник Владимир К.</t>
        </is>
      </c>
      <c r="E9" s="770" t="inlineStr">
        <is>
          <t>30-50 тыс</t>
        </is>
      </c>
      <c r="F9" s="538" t="inlineStr">
        <is>
          <t>Жибек</t>
        </is>
      </c>
      <c r="G9" s="538" t="inlineStr">
        <is>
          <t>Закуп</t>
        </is>
      </c>
      <c r="H9" s="769" t="n"/>
      <c r="I9" s="772" t="n"/>
      <c r="J9" s="772" t="n"/>
      <c r="K9" s="772" t="n"/>
      <c r="L9" s="772" t="n"/>
      <c r="M9" s="772" t="n"/>
      <c r="N9" s="772" t="n"/>
      <c r="O9" s="772" t="n"/>
      <c r="P9" s="772" t="n"/>
      <c r="Q9" s="772" t="n"/>
      <c r="R9" s="772" t="n"/>
      <c r="S9" s="772" t="n"/>
      <c r="T9" s="772" t="n"/>
      <c r="U9" s="772" t="n"/>
      <c r="V9" s="772" t="n"/>
      <c r="W9" s="772" t="n"/>
      <c r="X9" s="772" t="n"/>
      <c r="Y9" s="772" t="n"/>
      <c r="Z9" s="772" t="n"/>
      <c r="AA9" s="772" t="n"/>
    </row>
    <row r="10">
      <c r="A10" s="772" t="inlineStr">
        <is>
          <t>Asdecor</t>
        </is>
      </c>
      <c r="B10" s="364" t="n">
        <v>46182</v>
      </c>
      <c r="C10" s="364" t="n">
        <v>46197</v>
      </c>
      <c r="D10" s="774" t="inlineStr">
        <is>
          <t>в конд. цех коврики силиконовые 10 шт.</t>
        </is>
      </c>
      <c r="E10" s="770" t="n">
        <v>14900</v>
      </c>
      <c r="F10" s="538" t="inlineStr">
        <is>
          <t>Жибек</t>
        </is>
      </c>
      <c r="G10" s="538" t="inlineStr">
        <is>
          <t>Выполнено</t>
        </is>
      </c>
      <c r="H10" s="773" t="n"/>
      <c r="I10" s="772" t="n"/>
      <c r="J10" s="772" t="n"/>
      <c r="K10" s="772" t="n"/>
      <c r="L10" s="772" t="n"/>
      <c r="M10" s="772" t="n"/>
      <c r="N10" s="772" t="n"/>
      <c r="O10" s="772" t="n"/>
      <c r="P10" s="772" t="n"/>
      <c r="Q10" s="772" t="n"/>
      <c r="R10" s="772" t="n"/>
      <c r="S10" s="772" t="n"/>
      <c r="T10" s="772" t="n"/>
      <c r="U10" s="772" t="n"/>
      <c r="V10" s="772" t="n"/>
      <c r="W10" s="772" t="n"/>
      <c r="X10" s="772" t="n"/>
      <c r="Y10" s="772" t="n"/>
      <c r="Z10" s="772" t="n"/>
      <c r="AA10" s="772" t="n"/>
    </row>
    <row r="11">
      <c r="A11" s="772" t="inlineStr">
        <is>
          <t>Horeca supplies</t>
        </is>
      </c>
      <c r="B11" s="364" t="n">
        <v>46182</v>
      </c>
      <c r="C11" s="364" t="n">
        <v>46203</v>
      </c>
      <c r="D11" s="774" t="inlineStr">
        <is>
          <t>блендер погружной Robot Coupe MINI MP190 V.V. 34750 1шт.</t>
        </is>
      </c>
      <c r="E11" s="770" t="n">
        <v>484000</v>
      </c>
      <c r="F11" s="538" t="inlineStr">
        <is>
          <t>Жибек</t>
        </is>
      </c>
      <c r="G11" s="538" t="inlineStr">
        <is>
          <t>Закуп</t>
        </is>
      </c>
      <c r="H11" s="773" t="n"/>
      <c r="I11" s="772" t="n"/>
      <c r="J11" s="772" t="n"/>
      <c r="K11" s="772" t="n"/>
      <c r="L11" s="772" t="n"/>
      <c r="M11" s="772" t="n"/>
      <c r="N11" s="772" t="n"/>
      <c r="O11" s="772" t="n"/>
      <c r="P11" s="772" t="n"/>
      <c r="Q11" s="772" t="n"/>
      <c r="R11" s="772" t="n"/>
      <c r="S11" s="772" t="n"/>
      <c r="T11" s="772" t="n"/>
      <c r="U11" s="772" t="n"/>
      <c r="V11" s="772" t="n"/>
      <c r="W11" s="772" t="n"/>
      <c r="X11" s="772" t="n"/>
      <c r="Y11" s="772" t="n"/>
      <c r="Z11" s="772" t="n"/>
      <c r="AA11" s="772" t="n"/>
    </row>
    <row r="12">
      <c r="A12" s="772" t="n"/>
      <c r="B12" s="364" t="n">
        <v>46182</v>
      </c>
      <c r="C12" s="771" t="n"/>
      <c r="D12" s="771" t="inlineStr">
        <is>
          <t xml:space="preserve">овощорезка Китай </t>
        </is>
      </c>
      <c r="E12" s="770" t="n">
        <v>1200000</v>
      </c>
      <c r="F12" s="538" t="inlineStr">
        <is>
          <t>Александр</t>
        </is>
      </c>
      <c r="G12" s="538" t="inlineStr">
        <is>
          <t>Выполнено</t>
        </is>
      </c>
      <c r="H12" s="769" t="n"/>
      <c r="I12" s="772" t="n"/>
      <c r="J12" s="772" t="n"/>
      <c r="K12" s="772" t="n"/>
      <c r="L12" s="772" t="n"/>
      <c r="M12" s="772" t="n"/>
      <c r="N12" s="772" t="n"/>
      <c r="O12" s="772" t="n"/>
      <c r="P12" s="772" t="n"/>
      <c r="Q12" s="772" t="n"/>
      <c r="R12" s="772" t="n"/>
      <c r="S12" s="772" t="n"/>
      <c r="T12" s="772" t="n"/>
      <c r="U12" s="772" t="n"/>
      <c r="V12" s="772" t="n"/>
      <c r="W12" s="772" t="n"/>
      <c r="X12" s="772" t="n"/>
      <c r="Y12" s="772" t="n"/>
      <c r="Z12" s="772" t="n"/>
      <c r="AA12" s="772" t="n"/>
    </row>
    <row r="13">
      <c r="A13" s="772" t="inlineStr">
        <is>
          <t>цена?</t>
        </is>
      </c>
      <c r="B13" s="364" t="n">
        <v>46188</v>
      </c>
      <c r="C13" s="364" t="n">
        <v>46195</v>
      </c>
      <c r="D13" s="771" t="inlineStr">
        <is>
          <t>сейф, для хранения документов А4 и печати</t>
        </is>
      </c>
      <c r="E13" s="770" t="n"/>
      <c r="F13" s="538" t="inlineStr">
        <is>
          <t>Жибек</t>
        </is>
      </c>
      <c r="G13" s="538" t="inlineStr">
        <is>
          <t>Закуп</t>
        </is>
      </c>
      <c r="H13" s="769" t="n"/>
      <c r="I13" s="772" t="n"/>
      <c r="J13" s="772" t="n"/>
      <c r="K13" s="772" t="n"/>
      <c r="L13" s="772" t="n"/>
      <c r="M13" s="772" t="n"/>
      <c r="N13" s="772" t="n"/>
      <c r="O13" s="772" t="n"/>
      <c r="P13" s="772" t="n"/>
      <c r="Q13" s="772" t="n"/>
      <c r="R13" s="772" t="n"/>
      <c r="S13" s="772" t="n"/>
      <c r="T13" s="772" t="n"/>
      <c r="U13" s="772" t="n"/>
      <c r="V13" s="772" t="n"/>
      <c r="W13" s="772" t="n"/>
      <c r="X13" s="772" t="n"/>
      <c r="Y13" s="772" t="n"/>
      <c r="Z13" s="772" t="n"/>
      <c r="AA13" s="772" t="n"/>
    </row>
    <row r="14">
      <c r="A14" s="772" t="inlineStr">
        <is>
          <t>Asdecor</t>
        </is>
      </c>
      <c r="B14" s="364" t="n">
        <v>46190</v>
      </c>
      <c r="C14" s="364" t="n">
        <v>46197</v>
      </c>
      <c r="D14" s="771" t="inlineStr">
        <is>
          <t>силиконовые лопатки 2 шт</t>
        </is>
      </c>
      <c r="E14" s="770" t="n">
        <v>1560</v>
      </c>
      <c r="F14" s="538" t="inlineStr">
        <is>
          <t>Жибек</t>
        </is>
      </c>
      <c r="G14" s="538" t="inlineStr">
        <is>
          <t>Выполнено</t>
        </is>
      </c>
      <c r="H14" s="769" t="n"/>
      <c r="I14" s="772" t="n"/>
      <c r="J14" s="772" t="n"/>
      <c r="K14" s="772" t="n"/>
      <c r="L14" s="772" t="n"/>
      <c r="M14" s="772" t="n"/>
      <c r="N14" s="772" t="n"/>
      <c r="O14" s="772" t="n"/>
      <c r="P14" s="772" t="n"/>
      <c r="Q14" s="772" t="n"/>
      <c r="R14" s="772" t="n"/>
      <c r="S14" s="772" t="n"/>
      <c r="T14" s="772" t="n"/>
      <c r="U14" s="772" t="n"/>
      <c r="V14" s="772" t="n"/>
      <c r="W14" s="772" t="n"/>
      <c r="X14" s="772" t="n"/>
      <c r="Y14" s="772" t="n"/>
      <c r="Z14" s="772" t="n"/>
      <c r="AA14" s="772" t="n"/>
    </row>
    <row r="15">
      <c r="A15" s="772" t="inlineStr">
        <is>
          <t>Kaspi</t>
        </is>
      </c>
      <c r="B15" s="364" t="n">
        <v>46190</v>
      </c>
      <c r="C15" s="364" t="n">
        <v>46195</v>
      </c>
      <c r="D15" s="774" t="inlineStr">
        <is>
          <t>венчики маленькие 2 шт по 649 тг в каспи</t>
        </is>
      </c>
      <c r="E15" s="770" t="n">
        <v>1298</v>
      </c>
      <c r="F15" s="538" t="inlineStr">
        <is>
          <t>Жибек</t>
        </is>
      </c>
      <c r="G15" s="538" t="inlineStr">
        <is>
          <t>Закуп</t>
        </is>
      </c>
      <c r="H15" s="773" t="n"/>
      <c r="I15" s="772" t="n"/>
      <c r="J15" s="772" t="n"/>
      <c r="K15" s="772" t="n"/>
      <c r="L15" s="772" t="n"/>
      <c r="M15" s="772" t="n"/>
      <c r="N15" s="772" t="n"/>
      <c r="O15" s="772" t="n"/>
      <c r="P15" s="772" t="n"/>
      <c r="Q15" s="772" t="n"/>
      <c r="R15" s="772" t="n"/>
      <c r="S15" s="772" t="n"/>
      <c r="T15" s="772" t="n"/>
      <c r="U15" s="772" t="n"/>
      <c r="V15" s="772" t="n"/>
      <c r="W15" s="772" t="n"/>
      <c r="X15" s="772" t="n"/>
      <c r="Y15" s="772" t="n"/>
      <c r="Z15" s="772" t="n"/>
      <c r="AA15" s="772" t="n"/>
    </row>
    <row r="16">
      <c r="A16" s="772" t="inlineStr">
        <is>
          <t>Kaspi</t>
        </is>
      </c>
      <c r="B16" s="364" t="n">
        <v>46190</v>
      </c>
      <c r="C16" s="364" t="n">
        <v>46195</v>
      </c>
      <c r="D16" s="771" t="inlineStr">
        <is>
          <t>сито для орешков 2 шт по 790 тг в каспи</t>
        </is>
      </c>
      <c r="E16" s="770" t="n">
        <v>1580</v>
      </c>
      <c r="F16" s="538" t="inlineStr">
        <is>
          <t>Жибек</t>
        </is>
      </c>
      <c r="G16" s="538" t="inlineStr">
        <is>
          <t>Закуп</t>
        </is>
      </c>
      <c r="H16" s="773" t="n"/>
      <c r="I16" s="772" t="n"/>
      <c r="J16" s="772" t="n"/>
      <c r="K16" s="772" t="n"/>
      <c r="L16" s="772" t="n"/>
      <c r="M16" s="772" t="n"/>
      <c r="N16" s="772" t="n"/>
      <c r="O16" s="772" t="n"/>
      <c r="P16" s="772" t="n"/>
      <c r="Q16" s="772" t="n"/>
      <c r="R16" s="772" t="n"/>
      <c r="S16" s="772" t="n"/>
      <c r="T16" s="772" t="n"/>
      <c r="U16" s="772" t="n"/>
      <c r="V16" s="772" t="n"/>
      <c r="W16" s="772" t="n"/>
      <c r="X16" s="772" t="n"/>
      <c r="Y16" s="772" t="n"/>
      <c r="Z16" s="772" t="n"/>
      <c r="AA16" s="772" t="n"/>
    </row>
    <row r="17">
      <c r="A17" s="772" t="n"/>
      <c r="B17" s="364" t="n">
        <v>46197</v>
      </c>
      <c r="C17" s="774" t="n"/>
      <c r="D17" s="774" t="inlineStr">
        <is>
          <t>закуп расширительного бака на производство</t>
        </is>
      </c>
      <c r="E17" s="770" t="n">
        <v>95700</v>
      </c>
      <c r="F17" s="538" t="inlineStr">
        <is>
          <t>Александр</t>
        </is>
      </c>
      <c r="G17" s="538" t="inlineStr">
        <is>
          <t>Выполнено</t>
        </is>
      </c>
      <c r="H17" s="1111" t="n"/>
      <c r="I17" s="772" t="n"/>
      <c r="J17" s="772" t="n"/>
      <c r="K17" s="772" t="n"/>
      <c r="L17" s="772" t="n"/>
      <c r="M17" s="772" t="n"/>
      <c r="N17" s="772" t="n"/>
      <c r="O17" s="772" t="n"/>
      <c r="P17" s="772" t="n"/>
      <c r="Q17" s="772" t="n"/>
      <c r="R17" s="772" t="n"/>
      <c r="S17" s="772" t="n"/>
      <c r="T17" s="772" t="n"/>
      <c r="U17" s="772" t="n"/>
      <c r="V17" s="772" t="n"/>
      <c r="W17" s="772" t="n"/>
      <c r="X17" s="772" t="n"/>
      <c r="Y17" s="772" t="n"/>
      <c r="Z17" s="772" t="n"/>
      <c r="AA17" s="772" t="n"/>
    </row>
    <row r="18">
      <c r="A18" s="772" t="inlineStr">
        <is>
          <t>Химбаза</t>
        </is>
      </c>
      <c r="B18" s="364" t="n">
        <v>46199</v>
      </c>
      <c r="C18" s="776" t="n">
        <v>46204</v>
      </c>
      <c r="D18" s="774" t="inlineStr">
        <is>
          <t>промывалка с узким горлом для заполнения гигрометра</t>
        </is>
      </c>
      <c r="E18" s="770" t="n">
        <v>3500</v>
      </c>
      <c r="F18" s="538" t="inlineStr">
        <is>
          <t>Жибек</t>
        </is>
      </c>
      <c r="G18" s="538" t="inlineStr">
        <is>
          <t>Закуп</t>
        </is>
      </c>
      <c r="H18" s="1111" t="n"/>
      <c r="I18" s="772" t="n"/>
      <c r="J18" s="772" t="n"/>
      <c r="K18" s="772" t="n"/>
      <c r="L18" s="772" t="n"/>
      <c r="M18" s="772" t="n"/>
      <c r="N18" s="772" t="n"/>
      <c r="O18" s="772" t="n"/>
      <c r="P18" s="772" t="n"/>
      <c r="Q18" s="772" t="n"/>
      <c r="R18" s="772" t="n"/>
      <c r="S18" s="772" t="n"/>
      <c r="T18" s="772" t="n"/>
      <c r="U18" s="772" t="n"/>
      <c r="V18" s="772" t="n"/>
      <c r="W18" s="772" t="n"/>
      <c r="X18" s="772" t="n"/>
      <c r="Y18" s="772" t="n"/>
      <c r="Z18" s="772" t="n"/>
      <c r="AA18" s="772" t="n"/>
    </row>
    <row r="19">
      <c r="A19" s="772" t="n"/>
      <c r="B19" s="364" t="n"/>
      <c r="C19" s="771" t="n"/>
      <c r="D19" s="771" t="n"/>
      <c r="E19" s="770" t="n"/>
      <c r="F19" s="538" t="inlineStr">
        <is>
          <t>Александр</t>
        </is>
      </c>
      <c r="G19" s="538" t="inlineStr">
        <is>
          <t>Закуп</t>
        </is>
      </c>
      <c r="H19" s="772" t="n"/>
      <c r="I19" s="772" t="n"/>
      <c r="J19" s="772" t="n"/>
      <c r="K19" s="772" t="n"/>
      <c r="L19" s="772" t="n"/>
      <c r="M19" s="772" t="n"/>
      <c r="N19" s="772" t="n"/>
      <c r="O19" s="772" t="n"/>
      <c r="P19" s="772" t="n"/>
      <c r="Q19" s="772" t="n"/>
      <c r="R19" s="772" t="n"/>
      <c r="S19" s="772" t="n"/>
      <c r="T19" s="772" t="n"/>
      <c r="U19" s="772" t="n"/>
      <c r="V19" s="772" t="n"/>
      <c r="W19" s="772" t="n"/>
      <c r="X19" s="772" t="n"/>
      <c r="Y19" s="772" t="n"/>
      <c r="Z19" s="772" t="n"/>
      <c r="AA19" s="772" t="n"/>
    </row>
    <row r="20">
      <c r="A20" s="772" t="n"/>
      <c r="B20" s="364" t="n"/>
      <c r="C20" s="777" t="n"/>
      <c r="D20" s="777" t="n"/>
      <c r="E20" s="770" t="n"/>
      <c r="F20" s="538" t="inlineStr">
        <is>
          <t>Александр</t>
        </is>
      </c>
      <c r="G20" s="538" t="inlineStr">
        <is>
          <t>Закуп</t>
        </is>
      </c>
      <c r="H20" s="772" t="n"/>
      <c r="I20" s="772" t="n"/>
      <c r="J20" s="772" t="n"/>
      <c r="K20" s="772" t="n"/>
      <c r="L20" s="772" t="n"/>
      <c r="M20" s="772" t="n"/>
      <c r="N20" s="772" t="n"/>
      <c r="O20" s="772" t="n"/>
      <c r="P20" s="772" t="n"/>
      <c r="Q20" s="772" t="n"/>
      <c r="R20" s="772" t="n"/>
      <c r="S20" s="772" t="n"/>
      <c r="T20" s="772" t="n"/>
      <c r="U20" s="772" t="n"/>
      <c r="V20" s="772" t="n"/>
      <c r="W20" s="772" t="n"/>
      <c r="X20" s="772" t="n"/>
      <c r="Y20" s="772" t="n"/>
      <c r="Z20" s="772" t="n"/>
      <c r="AA20" s="772" t="n"/>
    </row>
    <row r="21">
      <c r="A21" s="772" t="n"/>
      <c r="B21" s="364" t="n"/>
      <c r="C21" s="771" t="n"/>
      <c r="D21" s="771" t="n"/>
      <c r="E21" s="770" t="n"/>
      <c r="F21" s="538" t="inlineStr">
        <is>
          <t>Александр</t>
        </is>
      </c>
      <c r="G21" s="538" t="inlineStr">
        <is>
          <t>Закуп</t>
        </is>
      </c>
      <c r="H21" s="772" t="n"/>
      <c r="I21" s="772" t="n"/>
      <c r="J21" s="772" t="n"/>
      <c r="K21" s="772" t="n"/>
      <c r="L21" s="772" t="n"/>
      <c r="M21" s="772" t="n"/>
      <c r="N21" s="772" t="n"/>
      <c r="O21" s="772" t="n"/>
      <c r="P21" s="772" t="n"/>
      <c r="Q21" s="772" t="n"/>
      <c r="R21" s="772" t="n"/>
      <c r="S21" s="772" t="n"/>
      <c r="T21" s="772" t="n"/>
      <c r="U21" s="772" t="n"/>
      <c r="V21" s="772" t="n"/>
      <c r="W21" s="772" t="n"/>
      <c r="X21" s="772" t="n"/>
      <c r="Y21" s="772" t="n"/>
      <c r="Z21" s="772" t="n"/>
      <c r="AA21" s="772" t="n"/>
    </row>
    <row r="22">
      <c r="A22" s="772" t="n"/>
      <c r="B22" s="364" t="n"/>
      <c r="C22" s="774" t="n"/>
      <c r="D22" s="774" t="inlineStr">
        <is>
          <t xml:space="preserve"> </t>
        </is>
      </c>
      <c r="E22" s="770" t="n"/>
      <c r="F22" s="538" t="inlineStr">
        <is>
          <t>Александр</t>
        </is>
      </c>
      <c r="G22" s="538" t="inlineStr">
        <is>
          <t>Закуп</t>
        </is>
      </c>
      <c r="H22" s="772" t="n"/>
      <c r="I22" s="772" t="n"/>
      <c r="J22" s="772" t="n"/>
      <c r="K22" s="772" t="n"/>
      <c r="L22" s="772" t="n"/>
      <c r="M22" s="772" t="n"/>
      <c r="N22" s="772" t="n"/>
      <c r="O22" s="772" t="n"/>
      <c r="P22" s="772" t="n"/>
      <c r="Q22" s="772" t="n"/>
      <c r="R22" s="772" t="n"/>
      <c r="S22" s="772" t="n"/>
      <c r="T22" s="772" t="n"/>
      <c r="U22" s="772" t="n"/>
      <c r="V22" s="772" t="n"/>
      <c r="W22" s="772" t="n"/>
      <c r="X22" s="772" t="n"/>
      <c r="Y22" s="772" t="n"/>
      <c r="Z22" s="772" t="n"/>
      <c r="AA22" s="772" t="n"/>
    </row>
    <row r="23">
      <c r="A23" s="772" t="n"/>
      <c r="B23" s="364" t="n"/>
      <c r="C23" s="771" t="n"/>
      <c r="D23" s="771" t="n"/>
      <c r="E23" s="770" t="n"/>
      <c r="F23" s="538" t="inlineStr">
        <is>
          <t>Александр</t>
        </is>
      </c>
      <c r="G23" s="538" t="inlineStr">
        <is>
          <t>Закуп</t>
        </is>
      </c>
      <c r="H23" s="772" t="n"/>
      <c r="I23" s="772" t="n"/>
      <c r="J23" s="772" t="n"/>
      <c r="K23" s="772" t="n"/>
      <c r="L23" s="772" t="n"/>
      <c r="M23" s="772" t="n"/>
      <c r="N23" s="772" t="n"/>
      <c r="O23" s="772" t="n"/>
      <c r="P23" s="772" t="n"/>
      <c r="Q23" s="772" t="n"/>
      <c r="R23" s="772" t="n"/>
      <c r="S23" s="772" t="n"/>
      <c r="T23" s="772" t="n"/>
      <c r="U23" s="772" t="n"/>
      <c r="V23" s="772" t="n"/>
      <c r="W23" s="772" t="n"/>
      <c r="X23" s="772" t="n"/>
      <c r="Y23" s="772" t="n"/>
      <c r="Z23" s="772" t="n"/>
      <c r="AA23" s="772" t="n"/>
    </row>
    <row r="24">
      <c r="A24" s="772" t="n"/>
      <c r="B24" s="364" t="n"/>
      <c r="C24" s="774" t="n"/>
      <c r="D24" s="774" t="n"/>
      <c r="E24" s="770" t="n"/>
      <c r="F24" s="538" t="inlineStr">
        <is>
          <t>Александр</t>
        </is>
      </c>
      <c r="G24" s="538" t="inlineStr">
        <is>
          <t>Закуп</t>
        </is>
      </c>
      <c r="H24" s="772" t="n"/>
      <c r="I24" s="772" t="n"/>
      <c r="J24" s="772" t="n"/>
      <c r="K24" s="772" t="n"/>
      <c r="L24" s="772" t="n"/>
      <c r="M24" s="772" t="n"/>
      <c r="N24" s="772" t="n"/>
      <c r="O24" s="772" t="n"/>
      <c r="P24" s="772" t="n"/>
      <c r="Q24" s="772" t="n"/>
      <c r="R24" s="772" t="n"/>
      <c r="S24" s="772" t="n"/>
      <c r="T24" s="772" t="n"/>
      <c r="U24" s="772" t="n"/>
      <c r="V24" s="772" t="n"/>
      <c r="W24" s="772" t="n"/>
      <c r="X24" s="772" t="n"/>
      <c r="Y24" s="772" t="n"/>
      <c r="Z24" s="772" t="n"/>
      <c r="AA24" s="772" t="n"/>
    </row>
    <row r="25">
      <c r="A25" s="772" t="n"/>
      <c r="B25" s="364" t="n"/>
      <c r="C25" s="777" t="n"/>
      <c r="D25" s="777" t="n"/>
      <c r="E25" s="770" t="n"/>
      <c r="F25" s="538" t="inlineStr">
        <is>
          <t>Александр</t>
        </is>
      </c>
      <c r="G25" s="538" t="inlineStr">
        <is>
          <t>Закуп</t>
        </is>
      </c>
      <c r="H25" s="772" t="n"/>
      <c r="I25" s="772" t="n"/>
      <c r="J25" s="772" t="n"/>
      <c r="K25" s="772" t="n"/>
      <c r="L25" s="772" t="n"/>
      <c r="M25" s="772" t="n"/>
      <c r="N25" s="772" t="n"/>
      <c r="O25" s="772" t="n"/>
      <c r="P25" s="772" t="n"/>
      <c r="Q25" s="772" t="n"/>
      <c r="R25" s="772" t="n"/>
      <c r="S25" s="772" t="n"/>
      <c r="T25" s="772" t="n"/>
      <c r="U25" s="772" t="n"/>
      <c r="V25" s="772" t="n"/>
      <c r="W25" s="772" t="n"/>
      <c r="X25" s="772" t="n"/>
      <c r="Y25" s="772" t="n"/>
      <c r="Z25" s="772" t="n"/>
      <c r="AA25" s="772" t="n"/>
    </row>
    <row r="26">
      <c r="A26" s="772" t="n"/>
      <c r="B26" s="364" t="n"/>
      <c r="C26" s="771" t="n"/>
      <c r="D26" s="771" t="n"/>
      <c r="E26" s="770" t="n"/>
      <c r="F26" s="538" t="inlineStr">
        <is>
          <t>Александр</t>
        </is>
      </c>
      <c r="G26" s="538" t="inlineStr">
        <is>
          <t>Закуп</t>
        </is>
      </c>
      <c r="H26" s="773" t="n"/>
      <c r="I26" s="772" t="n"/>
      <c r="J26" s="772" t="n"/>
      <c r="K26" s="772" t="n"/>
      <c r="L26" s="772" t="n"/>
      <c r="M26" s="772" t="n"/>
      <c r="N26" s="772" t="n"/>
      <c r="O26" s="772" t="n"/>
      <c r="P26" s="772" t="n"/>
      <c r="Q26" s="772" t="n"/>
      <c r="R26" s="772" t="n"/>
      <c r="S26" s="772" t="n"/>
      <c r="T26" s="772" t="n"/>
      <c r="U26" s="772" t="n"/>
      <c r="V26" s="772" t="n"/>
      <c r="W26" s="772" t="n"/>
      <c r="X26" s="772" t="n"/>
      <c r="Y26" s="772" t="n"/>
      <c r="Z26" s="772" t="n"/>
      <c r="AA26" s="772" t="n"/>
    </row>
    <row r="27">
      <c r="A27" s="772" t="n"/>
      <c r="B27" s="364" t="n"/>
      <c r="C27" s="777" t="n"/>
      <c r="D27" s="777" t="n"/>
      <c r="E27" s="770" t="n"/>
      <c r="F27" s="538" t="inlineStr">
        <is>
          <t>Александр</t>
        </is>
      </c>
      <c r="G27" s="538" t="inlineStr">
        <is>
          <t>Закуп</t>
        </is>
      </c>
      <c r="H27" s="772" t="n"/>
      <c r="I27" s="772" t="n"/>
      <c r="J27" s="772" t="n"/>
      <c r="K27" s="772" t="n"/>
      <c r="L27" s="772" t="n"/>
      <c r="M27" s="772" t="n"/>
      <c r="N27" s="772" t="n"/>
      <c r="O27" s="772" t="n"/>
      <c r="P27" s="772" t="n"/>
      <c r="Q27" s="772" t="n"/>
      <c r="R27" s="772" t="n"/>
      <c r="S27" s="772" t="n"/>
      <c r="T27" s="772" t="n"/>
      <c r="U27" s="772" t="n"/>
      <c r="V27" s="772" t="n"/>
      <c r="W27" s="772" t="n"/>
      <c r="X27" s="772" t="n"/>
      <c r="Y27" s="772" t="n"/>
      <c r="Z27" s="772" t="n"/>
      <c r="AA27" s="772" t="n"/>
    </row>
    <row r="28">
      <c r="A28" s="772" t="n"/>
      <c r="B28" s="364" t="n"/>
      <c r="C28" s="771" t="n"/>
      <c r="D28" s="771" t="n"/>
      <c r="E28" s="770" t="n"/>
      <c r="F28" s="538" t="inlineStr">
        <is>
          <t>Александр</t>
        </is>
      </c>
      <c r="G28" s="538" t="inlineStr">
        <is>
          <t>Закуп</t>
        </is>
      </c>
      <c r="H28" s="772" t="n"/>
      <c r="I28" s="772" t="n"/>
      <c r="J28" s="772" t="n"/>
      <c r="K28" s="772" t="n"/>
      <c r="L28" s="772" t="n"/>
      <c r="M28" s="772" t="n"/>
      <c r="N28" s="772" t="n"/>
      <c r="O28" s="772" t="n"/>
      <c r="P28" s="772" t="n"/>
      <c r="Q28" s="772" t="n"/>
      <c r="R28" s="772" t="n"/>
      <c r="S28" s="772" t="n"/>
      <c r="T28" s="772" t="n"/>
      <c r="U28" s="772" t="n"/>
      <c r="V28" s="772" t="n"/>
      <c r="W28" s="772" t="n"/>
      <c r="X28" s="772" t="n"/>
      <c r="Y28" s="772" t="n"/>
      <c r="Z28" s="772" t="n"/>
      <c r="AA28" s="772" t="n"/>
    </row>
    <row r="29">
      <c r="A29" s="772" t="n"/>
      <c r="B29" s="364" t="n"/>
      <c r="C29" s="774" t="n"/>
      <c r="D29" s="774" t="n"/>
      <c r="E29" s="770" t="n"/>
      <c r="F29" s="538" t="inlineStr">
        <is>
          <t>Александр</t>
        </is>
      </c>
      <c r="G29" s="538" t="inlineStr">
        <is>
          <t>Закуп</t>
        </is>
      </c>
      <c r="H29" s="772" t="n"/>
      <c r="I29" s="772" t="n"/>
      <c r="J29" s="772" t="n"/>
      <c r="K29" s="772" t="n"/>
      <c r="L29" s="772" t="n"/>
      <c r="M29" s="772" t="n"/>
      <c r="N29" s="772" t="n"/>
      <c r="O29" s="772" t="n"/>
      <c r="P29" s="772" t="n"/>
      <c r="Q29" s="772" t="n"/>
      <c r="R29" s="772" t="n"/>
      <c r="S29" s="772" t="n"/>
      <c r="T29" s="772" t="n"/>
      <c r="U29" s="772" t="n"/>
      <c r="V29" s="772" t="n"/>
      <c r="W29" s="772" t="n"/>
      <c r="X29" s="772" t="n"/>
      <c r="Y29" s="772" t="n"/>
      <c r="Z29" s="772" t="n"/>
      <c r="AA29" s="772" t="n"/>
    </row>
    <row r="30">
      <c r="A30" s="772" t="n"/>
      <c r="B30" s="364" t="n"/>
      <c r="C30" s="771" t="n"/>
      <c r="D30" s="771" t="n"/>
      <c r="E30" s="770" t="n"/>
      <c r="F30" s="538" t="inlineStr">
        <is>
          <t>Александр</t>
        </is>
      </c>
      <c r="G30" s="538" t="inlineStr">
        <is>
          <t>Закуп</t>
        </is>
      </c>
      <c r="H30" s="772" t="n"/>
      <c r="I30" s="772" t="n"/>
      <c r="J30" s="772" t="n"/>
      <c r="K30" s="772" t="n"/>
      <c r="L30" s="772" t="n"/>
      <c r="M30" s="772" t="n"/>
      <c r="N30" s="772" t="n"/>
      <c r="O30" s="772" t="n"/>
      <c r="P30" s="772" t="n"/>
      <c r="Q30" s="772" t="n"/>
      <c r="R30" s="772" t="n"/>
      <c r="S30" s="772" t="n"/>
      <c r="T30" s="772" t="n"/>
      <c r="U30" s="772" t="n"/>
      <c r="V30" s="772" t="n"/>
      <c r="W30" s="772" t="n"/>
      <c r="X30" s="772" t="n"/>
      <c r="Y30" s="772" t="n"/>
      <c r="Z30" s="772" t="n"/>
      <c r="AA30" s="772" t="n"/>
    </row>
    <row r="31">
      <c r="A31" s="772" t="n"/>
      <c r="B31" s="364" t="n"/>
      <c r="C31" s="774" t="n"/>
      <c r="D31" s="774" t="n"/>
      <c r="E31" s="770" t="n"/>
      <c r="F31" s="538" t="inlineStr">
        <is>
          <t>Александр</t>
        </is>
      </c>
      <c r="G31" s="538" t="inlineStr">
        <is>
          <t>Закуп</t>
        </is>
      </c>
      <c r="H31" s="772" t="n"/>
      <c r="I31" s="772" t="n"/>
      <c r="J31" s="772" t="n"/>
      <c r="K31" s="772" t="n"/>
      <c r="L31" s="772" t="n"/>
      <c r="M31" s="772" t="n"/>
      <c r="N31" s="772" t="n"/>
      <c r="O31" s="772" t="n"/>
      <c r="P31" s="772" t="n"/>
      <c r="Q31" s="772" t="n"/>
      <c r="R31" s="772" t="n"/>
      <c r="S31" s="772" t="n"/>
      <c r="T31" s="772" t="n"/>
      <c r="U31" s="772" t="n"/>
      <c r="V31" s="772" t="n"/>
      <c r="W31" s="772" t="n"/>
      <c r="X31" s="772" t="n"/>
      <c r="Y31" s="772" t="n"/>
      <c r="Z31" s="772" t="n"/>
      <c r="AA31" s="772" t="n"/>
    </row>
    <row r="32" ht="13.8" customHeight="1" s="1127">
      <c r="A32" s="772" t="n"/>
      <c r="B32" s="364" t="n"/>
      <c r="C32" s="777" t="n"/>
      <c r="D32" s="777" t="n"/>
      <c r="E32" s="770" t="n"/>
      <c r="F32" s="538" t="inlineStr">
        <is>
          <t>Александр</t>
        </is>
      </c>
      <c r="G32" s="538" t="inlineStr">
        <is>
          <t>Закуп</t>
        </is>
      </c>
      <c r="H32" s="772" t="n"/>
      <c r="I32" s="772" t="n"/>
      <c r="J32" s="772" t="n"/>
      <c r="K32" s="772" t="n"/>
      <c r="L32" s="772" t="n"/>
      <c r="M32" s="772" t="n"/>
      <c r="N32" s="772" t="n"/>
      <c r="O32" s="772" t="n"/>
      <c r="P32" s="772" t="n"/>
      <c r="Q32" s="772" t="n"/>
      <c r="R32" s="772" t="n"/>
      <c r="S32" s="772" t="n"/>
      <c r="T32" s="772" t="n"/>
      <c r="U32" s="772" t="n"/>
      <c r="V32" s="772" t="n"/>
      <c r="W32" s="772" t="n"/>
      <c r="X32" s="772" t="n"/>
      <c r="Y32" s="772" t="n"/>
      <c r="Z32" s="772" t="n"/>
      <c r="AA32" s="772" t="n"/>
    </row>
    <row r="33" ht="13.8" customHeight="1" s="1127">
      <c r="A33" s="772" t="n"/>
      <c r="B33" s="364" t="n"/>
      <c r="C33" s="771" t="n"/>
      <c r="D33" s="771" t="n"/>
      <c r="E33" s="770" t="n"/>
      <c r="F33" s="538" t="inlineStr">
        <is>
          <t>Александр</t>
        </is>
      </c>
      <c r="G33" s="538" t="inlineStr">
        <is>
          <t>Закуп</t>
        </is>
      </c>
      <c r="H33" s="772" t="n"/>
      <c r="I33" s="772" t="n"/>
      <c r="J33" s="772" t="n"/>
      <c r="K33" s="772" t="n"/>
      <c r="L33" s="772" t="n"/>
      <c r="M33" s="772" t="n"/>
      <c r="N33" s="772" t="n"/>
      <c r="O33" s="772" t="n"/>
      <c r="P33" s="772" t="n"/>
      <c r="Q33" s="772" t="n"/>
      <c r="R33" s="772" t="n"/>
      <c r="S33" s="772" t="n"/>
      <c r="T33" s="772" t="n"/>
      <c r="U33" s="772" t="n"/>
      <c r="V33" s="772" t="n"/>
      <c r="W33" s="772" t="n"/>
      <c r="X33" s="772" t="n"/>
      <c r="Y33" s="772" t="n"/>
      <c r="Z33" s="772" t="n"/>
      <c r="AA33" s="772" t="n"/>
    </row>
    <row r="34" ht="13.8" customHeight="1" s="1127">
      <c r="A34" s="772" t="n"/>
      <c r="B34" s="364" t="n"/>
      <c r="C34" s="777" t="n"/>
      <c r="D34" s="777" t="n"/>
      <c r="E34" s="770" t="n"/>
      <c r="F34" s="538" t="inlineStr">
        <is>
          <t>Александр</t>
        </is>
      </c>
      <c r="G34" s="538" t="inlineStr">
        <is>
          <t>Закуп</t>
        </is>
      </c>
      <c r="H34" s="772" t="n"/>
      <c r="I34" s="772" t="n"/>
      <c r="J34" s="772" t="n"/>
      <c r="K34" s="772" t="n"/>
      <c r="L34" s="772" t="n"/>
      <c r="M34" s="772" t="n"/>
      <c r="N34" s="772" t="n"/>
      <c r="O34" s="772" t="n"/>
      <c r="P34" s="772" t="n"/>
      <c r="Q34" s="772" t="n"/>
      <c r="R34" s="772" t="n"/>
      <c r="S34" s="772" t="n"/>
      <c r="T34" s="772" t="n"/>
      <c r="U34" s="772" t="n"/>
      <c r="V34" s="772" t="n"/>
      <c r="W34" s="772" t="n"/>
      <c r="X34" s="772" t="n"/>
      <c r="Y34" s="772" t="n"/>
      <c r="Z34" s="772" t="n"/>
      <c r="AA34" s="772" t="n"/>
    </row>
    <row r="35" ht="13.8" customHeight="1" s="1127">
      <c r="A35" s="772" t="n"/>
      <c r="B35" s="364" t="n"/>
      <c r="C35" s="771" t="n"/>
      <c r="D35" s="771" t="n"/>
      <c r="E35" s="770" t="n"/>
      <c r="F35" s="538" t="inlineStr">
        <is>
          <t>Александр</t>
        </is>
      </c>
      <c r="G35" s="538" t="inlineStr">
        <is>
          <t>Закуп</t>
        </is>
      </c>
      <c r="H35" s="772" t="n"/>
      <c r="I35" s="772" t="n"/>
      <c r="J35" s="772" t="n"/>
      <c r="K35" s="772" t="n"/>
      <c r="L35" s="772" t="n"/>
      <c r="M35" s="772" t="n"/>
      <c r="N35" s="772" t="n"/>
      <c r="O35" s="772" t="n"/>
      <c r="P35" s="772" t="n"/>
      <c r="Q35" s="772" t="n"/>
      <c r="R35" s="772" t="n"/>
      <c r="S35" s="772" t="n"/>
      <c r="T35" s="772" t="n"/>
      <c r="U35" s="772" t="n"/>
      <c r="V35" s="772" t="n"/>
      <c r="W35" s="772" t="n"/>
      <c r="X35" s="772" t="n"/>
      <c r="Y35" s="772" t="n"/>
      <c r="Z35" s="772" t="n"/>
      <c r="AA35" s="772" t="n"/>
    </row>
    <row r="36" ht="13.8" customHeight="1" s="1127">
      <c r="A36" s="772" t="n"/>
      <c r="B36" s="364" t="n"/>
      <c r="C36" s="774" t="n"/>
      <c r="D36" s="774" t="n"/>
      <c r="E36" s="770" t="n"/>
      <c r="F36" s="538" t="inlineStr">
        <is>
          <t>Александр</t>
        </is>
      </c>
      <c r="G36" s="538" t="inlineStr">
        <is>
          <t>Закуп</t>
        </is>
      </c>
      <c r="H36" s="772" t="n"/>
      <c r="I36" s="772" t="n"/>
      <c r="J36" s="772" t="n"/>
      <c r="K36" s="772" t="n"/>
      <c r="L36" s="772" t="n"/>
      <c r="M36" s="772" t="n"/>
      <c r="N36" s="772" t="n"/>
      <c r="O36" s="772" t="n"/>
      <c r="P36" s="772" t="n"/>
      <c r="Q36" s="772" t="n"/>
      <c r="R36" s="772" t="n"/>
      <c r="S36" s="772" t="n"/>
      <c r="T36" s="772" t="n"/>
      <c r="U36" s="772" t="n"/>
      <c r="V36" s="772" t="n"/>
      <c r="W36" s="772" t="n"/>
      <c r="X36" s="772" t="n"/>
      <c r="Y36" s="772" t="n"/>
      <c r="Z36" s="772" t="n"/>
      <c r="AA36" s="772" t="n"/>
    </row>
    <row r="37" ht="13.8" customHeight="1" s="1127">
      <c r="A37" s="772" t="n"/>
      <c r="B37" s="364" t="n"/>
      <c r="C37" s="771" t="n"/>
      <c r="D37" s="771" t="n"/>
      <c r="E37" s="770" t="n"/>
      <c r="F37" s="538" t="inlineStr">
        <is>
          <t>Александр</t>
        </is>
      </c>
      <c r="G37" s="538" t="inlineStr">
        <is>
          <t>Закуп</t>
        </is>
      </c>
      <c r="H37" s="772" t="n"/>
      <c r="I37" s="772" t="n"/>
      <c r="J37" s="772" t="n"/>
      <c r="K37" s="772" t="n"/>
      <c r="L37" s="772" t="n"/>
      <c r="M37" s="772" t="n"/>
      <c r="N37" s="772" t="n"/>
      <c r="O37" s="772" t="n"/>
      <c r="P37" s="772" t="n"/>
      <c r="Q37" s="772" t="n"/>
      <c r="R37" s="772" t="n"/>
      <c r="S37" s="772" t="n"/>
      <c r="T37" s="772" t="n"/>
      <c r="U37" s="772" t="n"/>
      <c r="V37" s="772" t="n"/>
      <c r="W37" s="772" t="n"/>
      <c r="X37" s="772" t="n"/>
      <c r="Y37" s="772" t="n"/>
      <c r="Z37" s="772" t="n"/>
      <c r="AA37" s="772" t="n"/>
    </row>
    <row r="38" ht="13.8" customHeight="1" s="1127">
      <c r="A38" s="772" t="n"/>
      <c r="B38" s="364" t="n"/>
      <c r="C38" s="774" t="n"/>
      <c r="D38" s="774" t="n"/>
      <c r="E38" s="770" t="n"/>
      <c r="F38" s="538" t="inlineStr">
        <is>
          <t>Александр</t>
        </is>
      </c>
      <c r="G38" s="538" t="inlineStr">
        <is>
          <t>Закуп</t>
        </is>
      </c>
      <c r="H38" s="772" t="n"/>
      <c r="I38" s="772" t="n"/>
      <c r="J38" s="772" t="n"/>
      <c r="K38" s="772" t="n"/>
      <c r="L38" s="772" t="n"/>
      <c r="M38" s="772" t="n"/>
      <c r="N38" s="772" t="n"/>
      <c r="O38" s="772" t="n"/>
      <c r="P38" s="772" t="n"/>
      <c r="Q38" s="772" t="n"/>
      <c r="R38" s="772" t="n"/>
      <c r="S38" s="772" t="n"/>
      <c r="T38" s="772" t="n"/>
      <c r="U38" s="772" t="n"/>
      <c r="V38" s="772" t="n"/>
      <c r="W38" s="772" t="n"/>
      <c r="X38" s="772" t="n"/>
      <c r="Y38" s="772" t="n"/>
      <c r="Z38" s="772" t="n"/>
      <c r="AA38" s="772" t="n"/>
    </row>
    <row r="39" ht="13.8" customHeight="1" s="1127">
      <c r="A39" s="772" t="n"/>
      <c r="B39" s="364" t="n"/>
      <c r="C39" s="777" t="n"/>
      <c r="D39" s="777" t="n"/>
      <c r="E39" s="770" t="n"/>
      <c r="F39" s="538" t="inlineStr">
        <is>
          <t>Александр</t>
        </is>
      </c>
      <c r="G39" s="538" t="inlineStr">
        <is>
          <t>Закуп</t>
        </is>
      </c>
      <c r="H39" s="772" t="n"/>
      <c r="I39" s="772" t="n"/>
      <c r="J39" s="772" t="n"/>
      <c r="K39" s="772" t="n"/>
      <c r="L39" s="772" t="n"/>
      <c r="M39" s="772" t="n"/>
      <c r="N39" s="772" t="n"/>
      <c r="O39" s="772" t="n"/>
      <c r="P39" s="772" t="n"/>
      <c r="Q39" s="772" t="n"/>
      <c r="R39" s="772" t="n"/>
      <c r="S39" s="772" t="n"/>
      <c r="T39" s="772" t="n"/>
      <c r="U39" s="772" t="n"/>
      <c r="V39" s="772" t="n"/>
      <c r="W39" s="772" t="n"/>
      <c r="X39" s="772" t="n"/>
      <c r="Y39" s="772" t="n"/>
      <c r="Z39" s="772" t="n"/>
      <c r="AA39" s="772" t="n"/>
    </row>
    <row r="40" ht="13.8" customHeight="1" s="1127">
      <c r="A40" s="772" t="n"/>
      <c r="B40" s="364" t="n"/>
      <c r="C40" s="771" t="n"/>
      <c r="D40" s="771" t="n"/>
      <c r="E40" s="770" t="n"/>
      <c r="F40" s="538" t="inlineStr">
        <is>
          <t>Александр</t>
        </is>
      </c>
      <c r="G40" s="538" t="inlineStr">
        <is>
          <t>Закуп</t>
        </is>
      </c>
      <c r="H40" s="772" t="n"/>
      <c r="I40" s="772" t="n"/>
      <c r="J40" s="772" t="n"/>
      <c r="K40" s="772" t="n"/>
      <c r="L40" s="772" t="n"/>
      <c r="M40" s="772" t="n"/>
      <c r="N40" s="772" t="n"/>
      <c r="O40" s="772" t="n"/>
      <c r="P40" s="772" t="n"/>
      <c r="Q40" s="772" t="n"/>
      <c r="R40" s="772" t="n"/>
      <c r="S40" s="772" t="n"/>
      <c r="T40" s="772" t="n"/>
      <c r="U40" s="772" t="n"/>
      <c r="V40" s="772" t="n"/>
      <c r="W40" s="772" t="n"/>
      <c r="X40" s="772" t="n"/>
      <c r="Y40" s="772" t="n"/>
      <c r="Z40" s="772" t="n"/>
      <c r="AA40" s="772" t="n"/>
    </row>
    <row r="41" ht="13.8" customHeight="1" s="1127">
      <c r="A41" s="772" t="n"/>
      <c r="B41" s="364" t="n"/>
      <c r="C41" s="777" t="n"/>
      <c r="D41" s="777" t="n"/>
      <c r="E41" s="770" t="n"/>
      <c r="F41" s="538" t="inlineStr">
        <is>
          <t>Александр</t>
        </is>
      </c>
      <c r="G41" s="538" t="inlineStr">
        <is>
          <t>Закуп</t>
        </is>
      </c>
      <c r="H41" s="772" t="n"/>
      <c r="I41" s="772" t="n"/>
      <c r="J41" s="772" t="n"/>
      <c r="K41" s="772" t="n"/>
      <c r="L41" s="772" t="n"/>
      <c r="M41" s="772" t="n"/>
      <c r="N41" s="772" t="n"/>
      <c r="O41" s="772" t="n"/>
      <c r="P41" s="772" t="n"/>
      <c r="Q41" s="772" t="n"/>
      <c r="R41" s="772" t="n"/>
      <c r="S41" s="772" t="n"/>
      <c r="T41" s="772" t="n"/>
      <c r="U41" s="772" t="n"/>
      <c r="V41" s="772" t="n"/>
      <c r="W41" s="772" t="n"/>
      <c r="X41" s="772" t="n"/>
      <c r="Y41" s="772" t="n"/>
      <c r="Z41" s="772" t="n"/>
      <c r="AA41" s="772" t="n"/>
    </row>
    <row r="42" ht="13.8" customHeight="1" s="1127">
      <c r="A42" s="772" t="n"/>
      <c r="B42" s="364" t="n"/>
      <c r="C42" s="771" t="n"/>
      <c r="D42" s="771" t="n"/>
      <c r="E42" s="770" t="n"/>
      <c r="F42" s="538" t="inlineStr">
        <is>
          <t>Александр</t>
        </is>
      </c>
      <c r="G42" s="538" t="inlineStr">
        <is>
          <t>Закуп</t>
        </is>
      </c>
      <c r="H42" s="778" t="n"/>
      <c r="I42" s="772" t="n"/>
      <c r="J42" s="772" t="n"/>
      <c r="K42" s="772" t="n"/>
      <c r="L42" s="772" t="n"/>
      <c r="M42" s="772" t="n"/>
      <c r="N42" s="772" t="n"/>
      <c r="O42" s="772" t="n"/>
      <c r="P42" s="772" t="n"/>
      <c r="Q42" s="772" t="n"/>
      <c r="R42" s="772" t="n"/>
      <c r="S42" s="772" t="n"/>
      <c r="T42" s="772" t="n"/>
      <c r="U42" s="772" t="n"/>
      <c r="V42" s="772" t="n"/>
      <c r="W42" s="772" t="n"/>
      <c r="X42" s="772" t="n"/>
      <c r="Y42" s="772" t="n"/>
      <c r="Z42" s="772" t="n"/>
      <c r="AA42" s="772" t="n"/>
    </row>
    <row r="43" ht="13.8" customHeight="1" s="1127">
      <c r="A43" s="772" t="n"/>
      <c r="B43" s="364" t="n"/>
      <c r="C43" s="774" t="n"/>
      <c r="D43" s="774" t="n"/>
      <c r="E43" s="770" t="n"/>
      <c r="F43" s="538" t="inlineStr">
        <is>
          <t>Александр</t>
        </is>
      </c>
      <c r="G43" s="538" t="inlineStr">
        <is>
          <t>Закуп</t>
        </is>
      </c>
      <c r="H43" s="772" t="n"/>
      <c r="I43" s="772" t="n"/>
      <c r="J43" s="772" t="n"/>
      <c r="K43" s="772" t="n"/>
      <c r="L43" s="772" t="n"/>
      <c r="M43" s="772" t="n"/>
      <c r="N43" s="772" t="n"/>
      <c r="O43" s="772" t="n"/>
      <c r="P43" s="772" t="n"/>
      <c r="Q43" s="772" t="n"/>
      <c r="R43" s="772" t="n"/>
      <c r="S43" s="772" t="n"/>
      <c r="T43" s="772" t="n"/>
      <c r="U43" s="772" t="n"/>
      <c r="V43" s="772" t="n"/>
      <c r="W43" s="772" t="n"/>
      <c r="X43" s="772" t="n"/>
      <c r="Y43" s="772" t="n"/>
      <c r="Z43" s="772" t="n"/>
      <c r="AA43" s="772" t="n"/>
    </row>
    <row r="44" ht="13.8" customHeight="1" s="1127">
      <c r="A44" s="772" t="n"/>
      <c r="B44" s="364" t="n"/>
      <c r="C44" s="771" t="n"/>
      <c r="D44" s="771" t="n"/>
      <c r="E44" s="770" t="n"/>
      <c r="F44" s="538" t="inlineStr">
        <is>
          <t>Александр</t>
        </is>
      </c>
      <c r="G44" s="538" t="inlineStr">
        <is>
          <t>Закуп</t>
        </is>
      </c>
      <c r="H44" s="772" t="n"/>
      <c r="I44" s="772" t="n"/>
      <c r="J44" s="772" t="n"/>
      <c r="K44" s="772" t="n"/>
      <c r="L44" s="772" t="n"/>
      <c r="M44" s="772" t="n"/>
      <c r="N44" s="772" t="n"/>
      <c r="O44" s="772" t="n"/>
      <c r="P44" s="772" t="n"/>
      <c r="Q44" s="772" t="n"/>
      <c r="R44" s="772" t="n"/>
      <c r="S44" s="772" t="n"/>
      <c r="T44" s="772" t="n"/>
      <c r="U44" s="772" t="n"/>
      <c r="V44" s="772" t="n"/>
      <c r="W44" s="772" t="n"/>
      <c r="X44" s="772" t="n"/>
      <c r="Y44" s="772" t="n"/>
      <c r="Z44" s="772" t="n"/>
      <c r="AA44" s="772" t="n"/>
    </row>
    <row r="45" ht="13.8" customHeight="1" s="1127">
      <c r="A45" s="772" t="n"/>
      <c r="B45" s="364" t="n"/>
      <c r="C45" s="774" t="n"/>
      <c r="D45" s="774" t="n"/>
      <c r="E45" s="770" t="n"/>
      <c r="F45" s="538" t="inlineStr">
        <is>
          <t>Александр</t>
        </is>
      </c>
      <c r="G45" s="538" t="inlineStr">
        <is>
          <t>Закуп</t>
        </is>
      </c>
      <c r="H45" s="772" t="n"/>
      <c r="I45" s="772" t="n"/>
      <c r="J45" s="772" t="n"/>
      <c r="K45" s="772" t="n"/>
      <c r="L45" s="772" t="n"/>
      <c r="M45" s="772" t="n"/>
      <c r="N45" s="772" t="n"/>
      <c r="O45" s="772" t="n"/>
      <c r="P45" s="772" t="n"/>
      <c r="Q45" s="772" t="n"/>
      <c r="R45" s="772" t="n"/>
      <c r="S45" s="772" t="n"/>
      <c r="T45" s="772" t="n"/>
      <c r="U45" s="772" t="n"/>
      <c r="V45" s="772" t="n"/>
      <c r="W45" s="772" t="n"/>
      <c r="X45" s="772" t="n"/>
      <c r="Y45" s="772" t="n"/>
      <c r="Z45" s="772" t="n"/>
      <c r="AA45" s="772" t="n"/>
    </row>
    <row r="46" ht="13.8" customHeight="1" s="1127">
      <c r="A46" s="772" t="n"/>
      <c r="B46" s="364" t="n"/>
      <c r="C46" s="777" t="n"/>
      <c r="D46" s="777" t="n"/>
      <c r="E46" s="770" t="n"/>
      <c r="F46" s="538" t="inlineStr">
        <is>
          <t>Александр</t>
        </is>
      </c>
      <c r="G46" s="538" t="inlineStr">
        <is>
          <t>Закуп</t>
        </is>
      </c>
      <c r="H46" s="772" t="n"/>
      <c r="I46" s="772" t="n"/>
      <c r="J46" s="772" t="n"/>
      <c r="K46" s="772" t="n"/>
      <c r="L46" s="772" t="n"/>
      <c r="M46" s="772" t="n"/>
      <c r="N46" s="772" t="n"/>
      <c r="O46" s="772" t="n"/>
      <c r="P46" s="772" t="n"/>
      <c r="Q46" s="772" t="n"/>
      <c r="R46" s="772" t="n"/>
      <c r="S46" s="772" t="n"/>
      <c r="T46" s="772" t="n"/>
      <c r="U46" s="772" t="n"/>
      <c r="V46" s="772" t="n"/>
      <c r="W46" s="772" t="n"/>
      <c r="X46" s="772" t="n"/>
      <c r="Y46" s="772" t="n"/>
      <c r="Z46" s="772" t="n"/>
      <c r="AA46" s="772" t="n"/>
    </row>
    <row r="47" ht="13.8" customHeight="1" s="1127">
      <c r="A47" s="772" t="n"/>
      <c r="B47" s="364" t="n"/>
      <c r="C47" s="771" t="n"/>
      <c r="D47" s="771" t="n"/>
      <c r="E47" s="770" t="n"/>
      <c r="F47" s="538" t="inlineStr">
        <is>
          <t>Александр</t>
        </is>
      </c>
      <c r="G47" s="538" t="inlineStr">
        <is>
          <t>Закуп</t>
        </is>
      </c>
      <c r="H47" s="772" t="n"/>
      <c r="I47" s="772" t="n"/>
      <c r="J47" s="772" t="n"/>
      <c r="K47" s="772" t="n"/>
      <c r="L47" s="772" t="n"/>
      <c r="M47" s="772" t="n"/>
      <c r="N47" s="772" t="n"/>
      <c r="O47" s="772" t="n"/>
      <c r="P47" s="772" t="n"/>
      <c r="Q47" s="772" t="n"/>
      <c r="R47" s="772" t="n"/>
      <c r="S47" s="772" t="n"/>
      <c r="T47" s="772" t="n"/>
      <c r="U47" s="772" t="n"/>
      <c r="V47" s="772" t="n"/>
      <c r="W47" s="772" t="n"/>
      <c r="X47" s="772" t="n"/>
      <c r="Y47" s="772" t="n"/>
      <c r="Z47" s="772" t="n"/>
      <c r="AA47" s="772" t="n"/>
    </row>
    <row r="48" ht="13.8" customHeight="1" s="1127">
      <c r="A48" s="772" t="n"/>
      <c r="B48" s="364" t="n"/>
      <c r="C48" s="777" t="n"/>
      <c r="D48" s="777" t="n"/>
      <c r="E48" s="770" t="n"/>
      <c r="F48" s="538" t="inlineStr">
        <is>
          <t>Александр</t>
        </is>
      </c>
      <c r="G48" s="538" t="inlineStr">
        <is>
          <t>Закуп</t>
        </is>
      </c>
      <c r="H48" s="772" t="n"/>
      <c r="I48" s="772" t="n"/>
      <c r="J48" s="772" t="n"/>
      <c r="K48" s="772" t="n"/>
      <c r="L48" s="772" t="n"/>
      <c r="M48" s="772" t="n"/>
      <c r="N48" s="772" t="n"/>
      <c r="O48" s="772" t="n"/>
      <c r="P48" s="772" t="n"/>
      <c r="Q48" s="772" t="n"/>
      <c r="R48" s="772" t="n"/>
      <c r="S48" s="772" t="n"/>
      <c r="T48" s="772" t="n"/>
      <c r="U48" s="772" t="n"/>
      <c r="V48" s="772" t="n"/>
      <c r="W48" s="772" t="n"/>
      <c r="X48" s="772" t="n"/>
      <c r="Y48" s="772" t="n"/>
      <c r="Z48" s="772" t="n"/>
      <c r="AA48" s="772" t="n"/>
    </row>
    <row r="49" ht="13.8" customHeight="1" s="1127">
      <c r="A49" s="772" t="n"/>
      <c r="B49" s="364" t="n"/>
      <c r="C49" s="771" t="n"/>
      <c r="D49" s="771" t="n"/>
      <c r="E49" s="770" t="n"/>
      <c r="F49" s="538" t="inlineStr">
        <is>
          <t>Александр</t>
        </is>
      </c>
      <c r="G49" s="538" t="inlineStr">
        <is>
          <t>Закуп</t>
        </is>
      </c>
      <c r="H49" s="772" t="n"/>
      <c r="I49" s="772" t="n"/>
      <c r="J49" s="772" t="n"/>
      <c r="K49" s="772" t="n"/>
      <c r="L49" s="772" t="n"/>
      <c r="M49" s="772" t="n"/>
      <c r="N49" s="772" t="n"/>
      <c r="O49" s="772" t="n"/>
      <c r="P49" s="772" t="n"/>
      <c r="Q49" s="772" t="n"/>
      <c r="R49" s="772" t="n"/>
      <c r="S49" s="772" t="n"/>
      <c r="T49" s="772" t="n"/>
      <c r="U49" s="772" t="n"/>
      <c r="V49" s="772" t="n"/>
      <c r="W49" s="772" t="n"/>
      <c r="X49" s="772" t="n"/>
      <c r="Y49" s="772" t="n"/>
      <c r="Z49" s="772" t="n"/>
      <c r="AA49" s="772" t="n"/>
    </row>
    <row r="50" ht="13.8" customHeight="1" s="1127">
      <c r="A50" s="772" t="n"/>
      <c r="B50" s="364" t="n"/>
      <c r="C50" s="774" t="n"/>
      <c r="D50" s="774" t="n"/>
      <c r="E50" s="770" t="n"/>
      <c r="F50" s="538" t="inlineStr">
        <is>
          <t>Александр</t>
        </is>
      </c>
      <c r="G50" s="538" t="inlineStr">
        <is>
          <t>Закуп</t>
        </is>
      </c>
      <c r="H50" s="772" t="n"/>
      <c r="I50" s="772" t="n"/>
      <c r="J50" s="772" t="n"/>
      <c r="K50" s="772" t="n"/>
      <c r="L50" s="772" t="n"/>
      <c r="M50" s="772" t="n"/>
      <c r="N50" s="772" t="n"/>
      <c r="O50" s="772" t="n"/>
      <c r="P50" s="772" t="n"/>
      <c r="Q50" s="772" t="n"/>
      <c r="R50" s="772" t="n"/>
      <c r="S50" s="772" t="n"/>
      <c r="T50" s="772" t="n"/>
      <c r="U50" s="772" t="n"/>
      <c r="V50" s="772" t="n"/>
      <c r="W50" s="772" t="n"/>
      <c r="X50" s="772" t="n"/>
      <c r="Y50" s="772" t="n"/>
      <c r="Z50" s="772" t="n"/>
      <c r="AA50" s="772" t="n"/>
    </row>
    <row r="51" ht="13.8" customHeight="1" s="1127">
      <c r="A51" s="772" t="n"/>
      <c r="B51" s="364" t="n"/>
      <c r="C51" s="771" t="n"/>
      <c r="D51" s="771" t="n"/>
      <c r="E51" s="770" t="n"/>
      <c r="F51" s="538" t="inlineStr">
        <is>
          <t>Александр</t>
        </is>
      </c>
      <c r="G51" s="538" t="inlineStr">
        <is>
          <t>Закуп</t>
        </is>
      </c>
      <c r="H51" s="772" t="n"/>
      <c r="I51" s="772" t="n"/>
      <c r="J51" s="772" t="n"/>
      <c r="K51" s="772" t="n"/>
      <c r="L51" s="772" t="n"/>
      <c r="M51" s="772" t="n"/>
      <c r="N51" s="772" t="n"/>
      <c r="O51" s="772" t="n"/>
      <c r="P51" s="772" t="n"/>
      <c r="Q51" s="772" t="n"/>
      <c r="R51" s="772" t="n"/>
      <c r="S51" s="772" t="n"/>
      <c r="T51" s="772" t="n"/>
      <c r="U51" s="772" t="n"/>
      <c r="V51" s="772" t="n"/>
      <c r="W51" s="772" t="n"/>
      <c r="X51" s="772" t="n"/>
      <c r="Y51" s="772" t="n"/>
      <c r="Z51" s="772" t="n"/>
      <c r="AA51" s="772" t="n"/>
    </row>
    <row r="52" ht="13.8" customHeight="1" s="1127">
      <c r="A52" s="772" t="n"/>
      <c r="B52" s="364" t="n"/>
      <c r="C52" s="774" t="n"/>
      <c r="D52" s="774" t="n"/>
      <c r="E52" s="770" t="n"/>
      <c r="F52" s="538" t="inlineStr">
        <is>
          <t>Александр</t>
        </is>
      </c>
      <c r="G52" s="538" t="inlineStr">
        <is>
          <t>Закуп</t>
        </is>
      </c>
      <c r="H52" s="772" t="n"/>
      <c r="I52" s="772" t="n"/>
      <c r="J52" s="772" t="n"/>
      <c r="K52" s="772" t="n"/>
      <c r="L52" s="772" t="n"/>
      <c r="M52" s="772" t="n"/>
      <c r="N52" s="772" t="n"/>
      <c r="O52" s="772" t="n"/>
      <c r="P52" s="772" t="n"/>
      <c r="Q52" s="772" t="n"/>
      <c r="R52" s="772" t="n"/>
      <c r="S52" s="772" t="n"/>
      <c r="T52" s="772" t="n"/>
      <c r="U52" s="772" t="n"/>
      <c r="V52" s="772" t="n"/>
      <c r="W52" s="772" t="n"/>
      <c r="X52" s="772" t="n"/>
      <c r="Y52" s="772" t="n"/>
      <c r="Z52" s="772" t="n"/>
      <c r="AA52" s="772" t="n"/>
    </row>
    <row r="53" ht="13.8" customHeight="1" s="1127">
      <c r="A53" s="772" t="n"/>
      <c r="B53" s="364" t="n"/>
      <c r="C53" s="777" t="n"/>
      <c r="D53" s="777" t="n"/>
      <c r="E53" s="770" t="n"/>
      <c r="F53" s="538" t="inlineStr">
        <is>
          <t>Александр</t>
        </is>
      </c>
      <c r="G53" s="538" t="inlineStr">
        <is>
          <t>Закуп</t>
        </is>
      </c>
      <c r="H53" s="772" t="n"/>
      <c r="I53" s="772" t="n"/>
      <c r="J53" s="772" t="n"/>
      <c r="K53" s="772" t="n"/>
      <c r="L53" s="772" t="n"/>
      <c r="M53" s="772" t="n"/>
      <c r="N53" s="772" t="n"/>
      <c r="O53" s="772" t="n"/>
      <c r="P53" s="772" t="n"/>
      <c r="Q53" s="772" t="n"/>
      <c r="R53" s="772" t="n"/>
      <c r="S53" s="772" t="n"/>
      <c r="T53" s="772" t="n"/>
      <c r="U53" s="772" t="n"/>
      <c r="V53" s="772" t="n"/>
      <c r="W53" s="772" t="n"/>
      <c r="X53" s="772" t="n"/>
      <c r="Y53" s="772" t="n"/>
      <c r="Z53" s="772" t="n"/>
      <c r="AA53" s="772" t="n"/>
    </row>
    <row r="54" ht="13.8" customHeight="1" s="1127">
      <c r="A54" s="772" t="n"/>
      <c r="B54" s="364" t="n"/>
      <c r="C54" s="771" t="n"/>
      <c r="D54" s="771" t="n"/>
      <c r="E54" s="770" t="n"/>
      <c r="F54" s="538" t="inlineStr">
        <is>
          <t>Александр</t>
        </is>
      </c>
      <c r="G54" s="538" t="inlineStr">
        <is>
          <t>Закуп</t>
        </is>
      </c>
      <c r="H54" s="772" t="n"/>
      <c r="I54" s="772" t="n"/>
      <c r="J54" s="772" t="n"/>
      <c r="K54" s="772" t="n"/>
      <c r="L54" s="772" t="n"/>
      <c r="M54" s="772" t="n"/>
      <c r="N54" s="772" t="n"/>
      <c r="O54" s="772" t="n"/>
      <c r="P54" s="772" t="n"/>
      <c r="Q54" s="772" t="n"/>
      <c r="R54" s="772" t="n"/>
      <c r="S54" s="772" t="n"/>
      <c r="T54" s="772" t="n"/>
      <c r="U54" s="772" t="n"/>
      <c r="V54" s="772" t="n"/>
      <c r="W54" s="772" t="n"/>
      <c r="X54" s="772" t="n"/>
      <c r="Y54" s="772" t="n"/>
      <c r="Z54" s="772" t="n"/>
      <c r="AA54" s="772" t="n"/>
    </row>
    <row r="55" ht="13.8" customHeight="1" s="1127">
      <c r="A55" s="772" t="n"/>
      <c r="B55" s="364" t="n"/>
      <c r="C55" s="777" t="n"/>
      <c r="D55" s="777" t="n"/>
      <c r="E55" s="770" t="n"/>
      <c r="F55" s="538" t="inlineStr">
        <is>
          <t>Александр</t>
        </is>
      </c>
      <c r="G55" s="538" t="inlineStr">
        <is>
          <t>Закуп</t>
        </is>
      </c>
      <c r="H55" s="772" t="n"/>
      <c r="I55" s="772" t="n"/>
      <c r="J55" s="772" t="n"/>
      <c r="K55" s="772" t="n"/>
      <c r="L55" s="772" t="n"/>
      <c r="M55" s="772" t="n"/>
      <c r="N55" s="772" t="n"/>
      <c r="O55" s="772" t="n"/>
      <c r="P55" s="772" t="n"/>
      <c r="Q55" s="772" t="n"/>
      <c r="R55" s="772" t="n"/>
      <c r="S55" s="772" t="n"/>
      <c r="T55" s="772" t="n"/>
      <c r="U55" s="772" t="n"/>
      <c r="V55" s="772" t="n"/>
      <c r="W55" s="772" t="n"/>
      <c r="X55" s="772" t="n"/>
      <c r="Y55" s="772" t="n"/>
      <c r="Z55" s="772" t="n"/>
      <c r="AA55" s="772" t="n"/>
    </row>
    <row r="56" ht="13.8" customHeight="1" s="1127">
      <c r="A56" s="772" t="n"/>
      <c r="B56" s="364" t="n"/>
      <c r="C56" s="771" t="n"/>
      <c r="D56" s="771" t="n"/>
      <c r="E56" s="770" t="n"/>
      <c r="F56" s="538" t="inlineStr">
        <is>
          <t>Александр</t>
        </is>
      </c>
      <c r="G56" s="538" t="inlineStr">
        <is>
          <t>Закуп</t>
        </is>
      </c>
      <c r="H56" s="772" t="n"/>
      <c r="I56" s="772" t="n"/>
      <c r="J56" s="772" t="n"/>
      <c r="K56" s="772" t="n"/>
      <c r="L56" s="772" t="n"/>
      <c r="M56" s="772" t="n"/>
      <c r="N56" s="772" t="n"/>
      <c r="O56" s="772" t="n"/>
      <c r="P56" s="772" t="n"/>
      <c r="Q56" s="772" t="n"/>
      <c r="R56" s="772" t="n"/>
      <c r="S56" s="772" t="n"/>
      <c r="T56" s="772" t="n"/>
      <c r="U56" s="772" t="n"/>
      <c r="V56" s="772" t="n"/>
      <c r="W56" s="772" t="n"/>
      <c r="X56" s="772" t="n"/>
      <c r="Y56" s="772" t="n"/>
      <c r="Z56" s="772" t="n"/>
      <c r="AA56" s="772" t="n"/>
    </row>
    <row r="57" ht="13.8" customHeight="1" s="1127">
      <c r="A57" s="772" t="n"/>
      <c r="B57" s="364" t="n"/>
      <c r="C57" s="774" t="n"/>
      <c r="D57" s="774" t="n"/>
      <c r="E57" s="770" t="n"/>
      <c r="F57" s="538" t="inlineStr">
        <is>
          <t>Александр</t>
        </is>
      </c>
      <c r="G57" s="538" t="inlineStr">
        <is>
          <t>Закуп</t>
        </is>
      </c>
      <c r="H57" s="772" t="n"/>
      <c r="I57" s="772" t="n"/>
      <c r="J57" s="772" t="n"/>
      <c r="K57" s="772" t="n"/>
      <c r="L57" s="772" t="n"/>
      <c r="M57" s="772" t="n"/>
      <c r="N57" s="772" t="n"/>
      <c r="O57" s="772" t="n"/>
      <c r="P57" s="772" t="n"/>
      <c r="Q57" s="772" t="n"/>
      <c r="R57" s="772" t="n"/>
      <c r="S57" s="772" t="n"/>
      <c r="T57" s="772" t="n"/>
      <c r="U57" s="772" t="n"/>
      <c r="V57" s="772" t="n"/>
      <c r="W57" s="772" t="n"/>
      <c r="X57" s="772" t="n"/>
      <c r="Y57" s="772" t="n"/>
      <c r="Z57" s="772" t="n"/>
      <c r="AA57" s="772" t="n"/>
    </row>
    <row r="58" ht="13.8" customHeight="1" s="1127">
      <c r="A58" s="772" t="n"/>
      <c r="B58" s="364" t="n"/>
      <c r="C58" s="771" t="n"/>
      <c r="D58" s="771" t="n"/>
      <c r="E58" s="770" t="n"/>
      <c r="F58" s="538" t="inlineStr">
        <is>
          <t>Александр</t>
        </is>
      </c>
      <c r="G58" s="538" t="inlineStr">
        <is>
          <t>Закуп</t>
        </is>
      </c>
      <c r="H58" s="772" t="n"/>
      <c r="I58" s="772" t="n"/>
      <c r="J58" s="772" t="n"/>
      <c r="K58" s="772" t="n"/>
      <c r="L58" s="772" t="n"/>
      <c r="M58" s="772" t="n"/>
      <c r="N58" s="772" t="n"/>
      <c r="O58" s="772" t="n"/>
      <c r="P58" s="772" t="n"/>
      <c r="Q58" s="772" t="n"/>
      <c r="R58" s="772" t="n"/>
      <c r="S58" s="772" t="n"/>
      <c r="T58" s="772" t="n"/>
      <c r="U58" s="772" t="n"/>
      <c r="V58" s="772" t="n"/>
      <c r="W58" s="772" t="n"/>
      <c r="X58" s="772" t="n"/>
      <c r="Y58" s="772" t="n"/>
      <c r="Z58" s="772" t="n"/>
      <c r="AA58" s="772" t="n"/>
    </row>
    <row r="59" ht="13.8" customHeight="1" s="1127">
      <c r="A59" s="772" t="n"/>
      <c r="B59" s="364" t="n"/>
      <c r="C59" s="774" t="n"/>
      <c r="D59" s="774" t="n"/>
      <c r="E59" s="770" t="n"/>
      <c r="F59" s="538" t="inlineStr">
        <is>
          <t>Александр</t>
        </is>
      </c>
      <c r="G59" s="538" t="inlineStr">
        <is>
          <t>Закуп</t>
        </is>
      </c>
      <c r="H59" s="772" t="n"/>
      <c r="I59" s="772" t="n"/>
      <c r="J59" s="772" t="n"/>
      <c r="K59" s="772" t="n"/>
      <c r="L59" s="772" t="n"/>
      <c r="M59" s="772" t="n"/>
      <c r="N59" s="772" t="n"/>
      <c r="O59" s="772" t="n"/>
      <c r="P59" s="772" t="n"/>
      <c r="Q59" s="772" t="n"/>
      <c r="R59" s="772" t="n"/>
      <c r="S59" s="772" t="n"/>
      <c r="T59" s="772" t="n"/>
      <c r="U59" s="772" t="n"/>
      <c r="V59" s="772" t="n"/>
      <c r="W59" s="772" t="n"/>
      <c r="X59" s="772" t="n"/>
      <c r="Y59" s="772" t="n"/>
      <c r="Z59" s="772" t="n"/>
      <c r="AA59" s="772" t="n"/>
    </row>
    <row r="60" ht="13.8" customHeight="1" s="1127">
      <c r="A60" s="772" t="n"/>
      <c r="B60" s="364" t="n"/>
      <c r="C60" s="777" t="n"/>
      <c r="D60" s="777" t="n"/>
      <c r="E60" s="770" t="n"/>
      <c r="F60" s="538" t="inlineStr">
        <is>
          <t>Александр</t>
        </is>
      </c>
      <c r="G60" s="538" t="inlineStr">
        <is>
          <t>Закуп</t>
        </is>
      </c>
      <c r="H60" s="772" t="n"/>
      <c r="I60" s="772" t="n"/>
      <c r="J60" s="772" t="n"/>
      <c r="K60" s="772" t="n"/>
      <c r="L60" s="772" t="n"/>
      <c r="M60" s="772" t="n"/>
      <c r="N60" s="772" t="n"/>
      <c r="O60" s="772" t="n"/>
      <c r="P60" s="772" t="n"/>
      <c r="Q60" s="772" t="n"/>
      <c r="R60" s="772" t="n"/>
      <c r="S60" s="772" t="n"/>
      <c r="T60" s="772" t="n"/>
      <c r="U60" s="772" t="n"/>
      <c r="V60" s="772" t="n"/>
      <c r="W60" s="772" t="n"/>
      <c r="X60" s="772" t="n"/>
      <c r="Y60" s="772" t="n"/>
      <c r="Z60" s="772" t="n"/>
      <c r="AA60" s="772" t="n"/>
    </row>
    <row r="61" ht="13.8" customHeight="1" s="1127">
      <c r="A61" s="772" t="n"/>
      <c r="B61" s="364" t="n"/>
      <c r="C61" s="771" t="n"/>
      <c r="D61" s="771" t="n"/>
      <c r="E61" s="770" t="n"/>
      <c r="F61" s="538" t="inlineStr">
        <is>
          <t>Александр</t>
        </is>
      </c>
      <c r="G61" s="538" t="inlineStr">
        <is>
          <t>Закуп</t>
        </is>
      </c>
      <c r="H61" s="772" t="n"/>
      <c r="I61" s="772" t="n"/>
      <c r="J61" s="772" t="n"/>
      <c r="K61" s="772" t="n"/>
      <c r="L61" s="772" t="n"/>
      <c r="M61" s="772" t="n"/>
      <c r="N61" s="772" t="n"/>
      <c r="O61" s="772" t="n"/>
      <c r="P61" s="772" t="n"/>
      <c r="Q61" s="772" t="n"/>
      <c r="R61" s="772" t="n"/>
      <c r="S61" s="772" t="n"/>
      <c r="T61" s="772" t="n"/>
      <c r="U61" s="772" t="n"/>
      <c r="V61" s="772" t="n"/>
      <c r="W61" s="772" t="n"/>
      <c r="X61" s="772" t="n"/>
      <c r="Y61" s="772" t="n"/>
      <c r="Z61" s="772" t="n"/>
      <c r="AA61" s="772" t="n"/>
    </row>
    <row r="62" ht="13.8" customHeight="1" s="1127">
      <c r="A62" s="772" t="n"/>
      <c r="B62" s="364" t="n"/>
      <c r="C62" s="777" t="n"/>
      <c r="D62" s="777" t="n"/>
      <c r="E62" s="770" t="n"/>
      <c r="F62" s="538" t="inlineStr">
        <is>
          <t>Александр</t>
        </is>
      </c>
      <c r="G62" s="538" t="inlineStr">
        <is>
          <t>Закуп</t>
        </is>
      </c>
      <c r="H62" s="772" t="n"/>
      <c r="I62" s="772" t="n"/>
      <c r="J62" s="772" t="n"/>
      <c r="K62" s="772" t="n"/>
      <c r="L62" s="772" t="n"/>
      <c r="M62" s="772" t="n"/>
      <c r="N62" s="772" t="n"/>
      <c r="O62" s="772" t="n"/>
      <c r="P62" s="772" t="n"/>
      <c r="Q62" s="772" t="n"/>
      <c r="R62" s="772" t="n"/>
      <c r="S62" s="772" t="n"/>
      <c r="T62" s="772" t="n"/>
      <c r="U62" s="772" t="n"/>
      <c r="V62" s="772" t="n"/>
      <c r="W62" s="772" t="n"/>
      <c r="X62" s="772" t="n"/>
      <c r="Y62" s="772" t="n"/>
      <c r="Z62" s="772" t="n"/>
      <c r="AA62" s="772" t="n"/>
    </row>
    <row r="63" ht="13.8" customHeight="1" s="1127">
      <c r="A63" s="772" t="n"/>
      <c r="B63" s="364" t="n"/>
      <c r="C63" s="771" t="n"/>
      <c r="D63" s="771" t="n"/>
      <c r="E63" s="770" t="n"/>
      <c r="F63" s="538" t="inlineStr">
        <is>
          <t>Александр</t>
        </is>
      </c>
      <c r="G63" s="538" t="inlineStr">
        <is>
          <t>Закуп</t>
        </is>
      </c>
      <c r="H63" s="772" t="n"/>
      <c r="I63" s="772" t="n"/>
      <c r="J63" s="772" t="n"/>
      <c r="K63" s="772" t="n"/>
      <c r="L63" s="772" t="n"/>
      <c r="M63" s="772" t="n"/>
      <c r="N63" s="772" t="n"/>
      <c r="O63" s="772" t="n"/>
      <c r="P63" s="772" t="n"/>
      <c r="Q63" s="772" t="n"/>
      <c r="R63" s="772" t="n"/>
      <c r="S63" s="772" t="n"/>
      <c r="T63" s="772" t="n"/>
      <c r="U63" s="772" t="n"/>
      <c r="V63" s="772" t="n"/>
      <c r="W63" s="772" t="n"/>
      <c r="X63" s="772" t="n"/>
      <c r="Y63" s="772" t="n"/>
      <c r="Z63" s="772" t="n"/>
      <c r="AA63" s="772" t="n"/>
    </row>
    <row r="64" ht="13.8" customHeight="1" s="1127">
      <c r="A64" s="772" t="n"/>
      <c r="B64" s="364" t="n"/>
      <c r="C64" s="774" t="n"/>
      <c r="D64" s="774" t="n"/>
      <c r="E64" s="770" t="n"/>
      <c r="F64" s="538" t="inlineStr">
        <is>
          <t>Александр</t>
        </is>
      </c>
      <c r="G64" s="538" t="inlineStr">
        <is>
          <t>Закуп</t>
        </is>
      </c>
      <c r="H64" s="772" t="n"/>
      <c r="I64" s="772" t="n"/>
      <c r="J64" s="772" t="n"/>
      <c r="K64" s="772" t="n"/>
      <c r="L64" s="772" t="n"/>
      <c r="M64" s="772" t="n"/>
      <c r="N64" s="772" t="n"/>
      <c r="O64" s="772" t="n"/>
      <c r="P64" s="772" t="n"/>
      <c r="Q64" s="772" t="n"/>
      <c r="R64" s="772" t="n"/>
      <c r="S64" s="772" t="n"/>
      <c r="T64" s="772" t="n"/>
      <c r="U64" s="772" t="n"/>
      <c r="V64" s="772" t="n"/>
      <c r="W64" s="772" t="n"/>
      <c r="X64" s="772" t="n"/>
      <c r="Y64" s="772" t="n"/>
      <c r="Z64" s="772" t="n"/>
      <c r="AA64" s="772" t="n"/>
    </row>
    <row r="65" ht="13.8" customHeight="1" s="1127">
      <c r="A65" s="772" t="n"/>
      <c r="B65" s="364" t="n"/>
      <c r="C65" s="771" t="n"/>
      <c r="D65" s="771" t="n"/>
      <c r="E65" s="770" t="n"/>
      <c r="F65" s="538" t="inlineStr">
        <is>
          <t>Александр</t>
        </is>
      </c>
      <c r="G65" s="538" t="inlineStr">
        <is>
          <t>Закуп</t>
        </is>
      </c>
      <c r="H65" s="772" t="n"/>
      <c r="I65" s="772" t="n"/>
      <c r="J65" s="772" t="n"/>
      <c r="K65" s="772" t="n"/>
      <c r="L65" s="772" t="n"/>
      <c r="M65" s="772" t="n"/>
      <c r="N65" s="772" t="n"/>
      <c r="O65" s="772" t="n"/>
      <c r="P65" s="772" t="n"/>
      <c r="Q65" s="772" t="n"/>
      <c r="R65" s="772" t="n"/>
      <c r="S65" s="772" t="n"/>
      <c r="T65" s="772" t="n"/>
      <c r="U65" s="772" t="n"/>
      <c r="V65" s="772" t="n"/>
      <c r="W65" s="772" t="n"/>
      <c r="X65" s="772" t="n"/>
      <c r="Y65" s="772" t="n"/>
      <c r="Z65" s="772" t="n"/>
      <c r="AA65" s="772" t="n"/>
    </row>
    <row r="66" ht="13.8" customHeight="1" s="1127">
      <c r="A66" s="772" t="n"/>
      <c r="B66" s="364" t="n"/>
      <c r="C66" s="774" t="n"/>
      <c r="D66" s="774" t="n"/>
      <c r="E66" s="770" t="n"/>
      <c r="F66" s="538" t="inlineStr">
        <is>
          <t>Александр</t>
        </is>
      </c>
      <c r="G66" s="538" t="inlineStr">
        <is>
          <t>Закуп</t>
        </is>
      </c>
      <c r="H66" s="772" t="n"/>
      <c r="I66" s="772" t="n"/>
      <c r="J66" s="772" t="n"/>
      <c r="K66" s="772" t="n"/>
      <c r="L66" s="772" t="n"/>
      <c r="M66" s="772" t="n"/>
      <c r="N66" s="772" t="n"/>
      <c r="O66" s="772" t="n"/>
      <c r="P66" s="772" t="n"/>
      <c r="Q66" s="772" t="n"/>
      <c r="R66" s="772" t="n"/>
      <c r="S66" s="772" t="n"/>
      <c r="T66" s="772" t="n"/>
      <c r="U66" s="772" t="n"/>
      <c r="V66" s="772" t="n"/>
      <c r="W66" s="772" t="n"/>
      <c r="X66" s="772" t="n"/>
      <c r="Y66" s="772" t="n"/>
      <c r="Z66" s="772" t="n"/>
      <c r="AA66" s="772" t="n"/>
    </row>
    <row r="67" ht="13.8" customHeight="1" s="1127">
      <c r="A67" s="772" t="n"/>
      <c r="B67" s="364" t="n"/>
      <c r="C67" s="777" t="n"/>
      <c r="D67" s="777" t="n"/>
      <c r="E67" s="770" t="n"/>
      <c r="F67" s="538" t="inlineStr">
        <is>
          <t>Александр</t>
        </is>
      </c>
      <c r="G67" s="538" t="inlineStr">
        <is>
          <t>Закуп</t>
        </is>
      </c>
      <c r="H67" s="772" t="n"/>
      <c r="I67" s="772" t="n"/>
      <c r="J67" s="772" t="n"/>
      <c r="K67" s="772" t="n"/>
      <c r="L67" s="772" t="n"/>
      <c r="M67" s="772" t="n"/>
      <c r="N67" s="772" t="n"/>
      <c r="O67" s="772" t="n"/>
      <c r="P67" s="772" t="n"/>
      <c r="Q67" s="772" t="n"/>
      <c r="R67" s="772" t="n"/>
      <c r="S67" s="772" t="n"/>
      <c r="T67" s="772" t="n"/>
      <c r="U67" s="772" t="n"/>
      <c r="V67" s="772" t="n"/>
      <c r="W67" s="772" t="n"/>
      <c r="X67" s="772" t="n"/>
      <c r="Y67" s="772" t="n"/>
      <c r="Z67" s="772" t="n"/>
      <c r="AA67" s="772" t="n"/>
    </row>
    <row r="68" ht="13.8" customHeight="1" s="1127">
      <c r="B68" s="364" t="n"/>
      <c r="C68" s="771" t="n"/>
      <c r="D68" s="771" t="n"/>
      <c r="E68" s="770" t="n"/>
      <c r="F68" s="538" t="inlineStr">
        <is>
          <t>Александр</t>
        </is>
      </c>
      <c r="G68" s="538" t="inlineStr">
        <is>
          <t>Закуп</t>
        </is>
      </c>
    </row>
    <row r="69" ht="13.8" customHeight="1" s="1127">
      <c r="B69" s="364" t="n"/>
      <c r="C69" s="777" t="n"/>
      <c r="D69" s="777" t="n"/>
      <c r="E69" s="770" t="n"/>
      <c r="F69" s="538" t="inlineStr">
        <is>
          <t>Александр</t>
        </is>
      </c>
      <c r="G69" s="538" t="inlineStr">
        <is>
          <t>Закуп</t>
        </is>
      </c>
    </row>
  </sheetData>
  <mergeCells count="1">
    <mergeCell ref="B1:G2"/>
  </mergeCells>
  <dataValidations count="2">
    <dataValidation sqref="G7:G69" showDropDown="0" showInputMessage="0" showErrorMessage="1" allowBlank="1" type="list">
      <formula1>"Оплата,Выполнено,На рассмотрение"</formula1>
    </dataValidation>
    <dataValidation sqref="F7:F69" showDropDown="0" showInputMessage="0" showErrorMessage="1" allowBlank="1" type="list">
      <formula1>"Жибек,Александр,Станислав"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640625" defaultRowHeight="15.7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G9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640625" defaultRowHeight="15.75" customHeight="1"/>
  <cols>
    <col width="20.33203125" customWidth="1" style="1127" min="1" max="1"/>
    <col hidden="1" outlineLevel="2" width="12.6640625" customWidth="1" style="1127" min="3" max="10"/>
    <col outlineLevel="2" width="12.6640625" customWidth="1" style="1127" min="11" max="20"/>
    <col outlineLevel="1" width="12.6640625" customWidth="1" style="1127" min="21" max="56"/>
  </cols>
  <sheetData>
    <row r="1">
      <c r="A1" s="773" t="n"/>
      <c r="B1" s="773" t="n"/>
      <c r="C1" s="773" t="n"/>
      <c r="D1" s="773" t="n"/>
      <c r="E1" s="773" t="n"/>
      <c r="F1" s="773" t="n"/>
      <c r="G1" s="779" t="n"/>
      <c r="H1" s="779" t="n"/>
      <c r="I1" s="779" t="n"/>
      <c r="J1" s="779" t="n"/>
      <c r="K1" s="579" t="n">
        <v>46174</v>
      </c>
      <c r="L1" s="1225" t="n"/>
      <c r="M1" s="579" t="n">
        <v>46175</v>
      </c>
      <c r="N1" s="1225" t="n"/>
      <c r="O1" s="579" t="n">
        <v>46176</v>
      </c>
      <c r="P1" s="1225" t="n"/>
      <c r="Q1" s="579" t="n">
        <v>46177</v>
      </c>
      <c r="R1" s="1225" t="n"/>
      <c r="S1" s="579" t="n">
        <v>46178</v>
      </c>
      <c r="T1" s="1225" t="n"/>
      <c r="U1" s="579" t="n">
        <v>46181</v>
      </c>
      <c r="V1" s="1225" t="n"/>
      <c r="W1" s="579" t="n">
        <v>46182</v>
      </c>
      <c r="X1" s="1225" t="n"/>
      <c r="Y1" s="579" t="n">
        <v>46183</v>
      </c>
      <c r="Z1" s="1225" t="n"/>
      <c r="AA1" s="579" t="n">
        <v>46184</v>
      </c>
      <c r="AB1" s="1225" t="n"/>
      <c r="AC1" s="579" t="n">
        <v>46185</v>
      </c>
      <c r="AD1" s="1225" t="n"/>
      <c r="AE1" s="579" t="n">
        <v>46188</v>
      </c>
      <c r="AF1" s="1225" t="n"/>
      <c r="AG1" s="579" t="n">
        <v>46189</v>
      </c>
      <c r="AH1" s="1225" t="n"/>
      <c r="AI1" s="579" t="n">
        <v>46190</v>
      </c>
      <c r="AJ1" s="1225" t="n"/>
      <c r="AK1" s="579" t="n">
        <v>46191</v>
      </c>
      <c r="AL1" s="1225" t="n"/>
      <c r="AM1" s="579" t="n">
        <v>46192</v>
      </c>
      <c r="AN1" s="1225" t="n"/>
      <c r="AO1" s="579" t="n">
        <v>46195</v>
      </c>
      <c r="AP1" s="1225" t="n"/>
      <c r="AQ1" s="579" t="n">
        <v>46196</v>
      </c>
      <c r="AR1" s="1225" t="n"/>
      <c r="AS1" s="579" t="n">
        <v>46197</v>
      </c>
      <c r="AT1" s="1225" t="n"/>
      <c r="AU1" s="579" t="n">
        <v>46198</v>
      </c>
      <c r="AV1" s="1225" t="n"/>
      <c r="AW1" s="579" t="n">
        <v>46199</v>
      </c>
      <c r="AX1" s="1225" t="n"/>
      <c r="AY1" s="579" t="n">
        <v>46202</v>
      </c>
      <c r="AZ1" s="1225" t="n"/>
      <c r="BA1" s="579" t="n">
        <v>46203</v>
      </c>
      <c r="BB1" s="1225" t="n"/>
      <c r="BC1" s="579" t="n">
        <v>46204</v>
      </c>
      <c r="BD1" s="1225" t="n"/>
      <c r="BE1" s="581" t="n"/>
      <c r="BF1" s="582" t="n"/>
      <c r="BG1" s="583" t="n"/>
    </row>
    <row r="2">
      <c r="A2" s="584" t="n"/>
      <c r="B2" s="584" t="n"/>
      <c r="C2" s="842" t="n"/>
      <c r="D2" s="842" t="n"/>
      <c r="E2" s="584" t="n"/>
      <c r="F2" s="584" t="n"/>
      <c r="G2" s="1226" t="n"/>
      <c r="I2" s="1226" t="n"/>
      <c r="K2" s="1227" t="inlineStr">
        <is>
          <t>понедельник</t>
        </is>
      </c>
      <c r="M2" s="1227" t="inlineStr">
        <is>
          <t>вторник</t>
        </is>
      </c>
      <c r="O2" s="1227" t="inlineStr">
        <is>
          <t>среда</t>
        </is>
      </c>
      <c r="Q2" s="1227" t="inlineStr">
        <is>
          <t>четверг</t>
        </is>
      </c>
      <c r="S2" s="1227" t="inlineStr">
        <is>
          <t>пятница</t>
        </is>
      </c>
      <c r="U2" s="1227" t="inlineStr">
        <is>
          <t>понедельник</t>
        </is>
      </c>
      <c r="W2" s="1227" t="inlineStr">
        <is>
          <t>вторник</t>
        </is>
      </c>
      <c r="Y2" s="1227" t="inlineStr">
        <is>
          <t>среда</t>
        </is>
      </c>
      <c r="AA2" s="1227" t="inlineStr">
        <is>
          <t>четверг</t>
        </is>
      </c>
      <c r="AC2" s="1227" t="inlineStr">
        <is>
          <t>пятница</t>
        </is>
      </c>
      <c r="AE2" s="1227" t="inlineStr">
        <is>
          <t>понедельник</t>
        </is>
      </c>
      <c r="AG2" s="1227" t="inlineStr">
        <is>
          <t>вторник</t>
        </is>
      </c>
      <c r="AI2" s="1227" t="inlineStr">
        <is>
          <t>среда</t>
        </is>
      </c>
      <c r="AK2" s="1227" t="inlineStr">
        <is>
          <t>четверг</t>
        </is>
      </c>
      <c r="AM2" s="1227" t="inlineStr">
        <is>
          <t>пятница</t>
        </is>
      </c>
      <c r="AO2" s="1227" t="inlineStr">
        <is>
          <t>понедельник</t>
        </is>
      </c>
      <c r="AQ2" s="1227" t="inlineStr">
        <is>
          <t>вторник</t>
        </is>
      </c>
      <c r="AS2" s="1227" t="inlineStr">
        <is>
          <t>среда</t>
        </is>
      </c>
      <c r="AU2" s="1227" t="inlineStr">
        <is>
          <t>четверг</t>
        </is>
      </c>
      <c r="AW2" s="1227" t="inlineStr">
        <is>
          <t>пятница</t>
        </is>
      </c>
      <c r="AY2" s="1227" t="inlineStr">
        <is>
          <t>понедельник</t>
        </is>
      </c>
      <c r="BA2" s="1227" t="inlineStr">
        <is>
          <t>вторник</t>
        </is>
      </c>
      <c r="BC2" s="1227" t="inlineStr">
        <is>
          <t>среда</t>
        </is>
      </c>
      <c r="BE2" s="587" t="inlineStr">
        <is>
          <t>прирост 18% к факту апреля</t>
        </is>
      </c>
      <c r="BF2" s="588" t="n"/>
      <c r="BG2" s="589" t="n"/>
    </row>
    <row r="3">
      <c r="A3" s="590" t="n"/>
      <c r="B3" s="591" t="n"/>
      <c r="C3" s="1228" t="n"/>
      <c r="D3" s="1225" t="n"/>
      <c r="E3" s="1228" t="n"/>
      <c r="F3" s="1225" t="n"/>
      <c r="G3" s="1229" t="n"/>
      <c r="H3" s="1225" t="n"/>
      <c r="I3" s="1229" t="n"/>
      <c r="J3" s="1225" t="n"/>
      <c r="K3" s="579" t="n">
        <v>46174</v>
      </c>
      <c r="L3" s="1225" t="n"/>
      <c r="M3" s="579" t="n">
        <v>46175</v>
      </c>
      <c r="N3" s="1225" t="n"/>
      <c r="O3" s="579" t="n">
        <v>46176</v>
      </c>
      <c r="P3" s="1225" t="n"/>
      <c r="Q3" s="579" t="n">
        <v>46177</v>
      </c>
      <c r="R3" s="1225" t="n"/>
      <c r="S3" s="579" t="n">
        <v>46178</v>
      </c>
      <c r="T3" s="1225" t="n"/>
      <c r="U3" s="579" t="n">
        <v>46181</v>
      </c>
      <c r="V3" s="1225" t="n"/>
      <c r="W3" s="579" t="n">
        <v>46182</v>
      </c>
      <c r="X3" s="1225" t="n"/>
      <c r="Y3" s="579" t="n">
        <v>46183</v>
      </c>
      <c r="Z3" s="1225" t="n"/>
      <c r="AA3" s="579" t="n">
        <v>46184</v>
      </c>
      <c r="AB3" s="1225" t="n"/>
      <c r="AC3" s="579" t="n">
        <v>46185</v>
      </c>
      <c r="AD3" s="1225" t="n"/>
      <c r="AE3" s="579" t="n">
        <v>46188</v>
      </c>
      <c r="AF3" s="1225" t="n"/>
      <c r="AG3" s="579" t="n">
        <v>46189</v>
      </c>
      <c r="AH3" s="1225" t="n"/>
      <c r="AI3" s="579" t="n">
        <v>46190</v>
      </c>
      <c r="AJ3" s="1225" t="n"/>
      <c r="AK3" s="579" t="n">
        <v>46191</v>
      </c>
      <c r="AL3" s="1225" t="n"/>
      <c r="AM3" s="579" t="n">
        <v>46192</v>
      </c>
      <c r="AN3" s="1225" t="n"/>
      <c r="AO3" s="579" t="n">
        <v>46195</v>
      </c>
      <c r="AP3" s="1225" t="n"/>
      <c r="AQ3" s="579" t="n">
        <v>46196</v>
      </c>
      <c r="AR3" s="1225" t="n"/>
      <c r="AS3" s="579" t="n">
        <v>46197</v>
      </c>
      <c r="AT3" s="1225" t="n"/>
      <c r="AU3" s="579" t="n">
        <v>46198</v>
      </c>
      <c r="AV3" s="1225" t="n"/>
      <c r="AW3" s="579" t="n">
        <v>46199</v>
      </c>
      <c r="AX3" s="1225" t="n"/>
      <c r="AY3" s="579" t="n">
        <v>46202</v>
      </c>
      <c r="AZ3" s="1225" t="n"/>
      <c r="BA3" s="579" t="n">
        <v>46203</v>
      </c>
      <c r="BB3" s="1225" t="n"/>
      <c r="BC3" s="579" t="n">
        <v>46204</v>
      </c>
      <c r="BD3" s="1225" t="n"/>
      <c r="BE3" s="1212" t="inlineStr">
        <is>
          <t xml:space="preserve">Итого план </t>
        </is>
      </c>
      <c r="BF3" s="1213" t="inlineStr">
        <is>
          <t xml:space="preserve">Итого факт </t>
        </is>
      </c>
      <c r="BG3" s="1214" t="inlineStr">
        <is>
          <t>Отклонение</t>
        </is>
      </c>
    </row>
    <row r="4">
      <c r="A4" s="590" t="n"/>
      <c r="B4" s="591" t="n"/>
      <c r="C4" s="593" t="inlineStr">
        <is>
          <t>План</t>
        </is>
      </c>
      <c r="D4" s="780" t="inlineStr">
        <is>
          <t>Факт</t>
        </is>
      </c>
      <c r="E4" s="593" t="inlineStr">
        <is>
          <t>План</t>
        </is>
      </c>
      <c r="F4" s="780" t="inlineStr">
        <is>
          <t>Факт</t>
        </is>
      </c>
      <c r="G4" s="593" t="inlineStr">
        <is>
          <t>План</t>
        </is>
      </c>
      <c r="H4" s="780" t="inlineStr">
        <is>
          <t>Факт</t>
        </is>
      </c>
      <c r="I4" s="593" t="inlineStr">
        <is>
          <t>План</t>
        </is>
      </c>
      <c r="J4" s="780" t="inlineStr">
        <is>
          <t>Факт</t>
        </is>
      </c>
      <c r="K4" s="593" t="inlineStr">
        <is>
          <t>План</t>
        </is>
      </c>
      <c r="L4" s="780" t="inlineStr">
        <is>
          <t>Факт</t>
        </is>
      </c>
      <c r="M4" s="593" t="inlineStr">
        <is>
          <t>План</t>
        </is>
      </c>
      <c r="N4" s="780" t="inlineStr">
        <is>
          <t>Факт</t>
        </is>
      </c>
      <c r="O4" s="593" t="inlineStr">
        <is>
          <t>План</t>
        </is>
      </c>
      <c r="P4" s="780" t="inlineStr">
        <is>
          <t>Факт</t>
        </is>
      </c>
      <c r="Q4" s="593" t="inlineStr">
        <is>
          <t>План</t>
        </is>
      </c>
      <c r="R4" s="780" t="inlineStr">
        <is>
          <t>Факт</t>
        </is>
      </c>
      <c r="S4" s="593" t="inlineStr">
        <is>
          <t>План</t>
        </is>
      </c>
      <c r="T4" s="780" t="inlineStr">
        <is>
          <t>Факт</t>
        </is>
      </c>
      <c r="U4" s="593" t="inlineStr">
        <is>
          <t>План</t>
        </is>
      </c>
      <c r="V4" s="780" t="inlineStr">
        <is>
          <t>Факт</t>
        </is>
      </c>
      <c r="W4" s="593" t="inlineStr">
        <is>
          <t>План</t>
        </is>
      </c>
      <c r="X4" s="780" t="inlineStr">
        <is>
          <t>Факт</t>
        </is>
      </c>
      <c r="Y4" s="593" t="inlineStr">
        <is>
          <t>План</t>
        </is>
      </c>
      <c r="Z4" s="780" t="inlineStr">
        <is>
          <t>Факт</t>
        </is>
      </c>
      <c r="AA4" s="593" t="inlineStr">
        <is>
          <t>План</t>
        </is>
      </c>
      <c r="AB4" s="780" t="inlineStr">
        <is>
          <t>Факт</t>
        </is>
      </c>
      <c r="AC4" s="593" t="inlineStr">
        <is>
          <t>План</t>
        </is>
      </c>
      <c r="AD4" s="780" t="inlineStr">
        <is>
          <t>Факт</t>
        </is>
      </c>
      <c r="AE4" s="593" t="inlineStr">
        <is>
          <t>План</t>
        </is>
      </c>
      <c r="AF4" s="780" t="inlineStr">
        <is>
          <t>Факт</t>
        </is>
      </c>
      <c r="AG4" s="593" t="inlineStr">
        <is>
          <t>План</t>
        </is>
      </c>
      <c r="AH4" s="780" t="inlineStr">
        <is>
          <t>Факт</t>
        </is>
      </c>
      <c r="AI4" s="593" t="inlineStr">
        <is>
          <t>План</t>
        </is>
      </c>
      <c r="AJ4" s="780" t="inlineStr">
        <is>
          <t>Факт</t>
        </is>
      </c>
      <c r="AK4" s="593" t="inlineStr">
        <is>
          <t>План</t>
        </is>
      </c>
      <c r="AL4" s="780" t="inlineStr">
        <is>
          <t>Факт</t>
        </is>
      </c>
      <c r="AM4" s="593" t="inlineStr">
        <is>
          <t>План</t>
        </is>
      </c>
      <c r="AN4" s="780" t="inlineStr">
        <is>
          <t>Факт</t>
        </is>
      </c>
      <c r="AO4" s="594" t="n"/>
      <c r="AP4" s="781" t="n"/>
      <c r="AQ4" s="594" t="n"/>
      <c r="AR4" s="781" t="n"/>
      <c r="AS4" s="594" t="n"/>
      <c r="AT4" s="781" t="n"/>
      <c r="AU4" s="594" t="n"/>
      <c r="AV4" s="781" t="n"/>
      <c r="AW4" s="594" t="n"/>
      <c r="AX4" s="781" t="n"/>
      <c r="AY4" s="594" t="n"/>
      <c r="AZ4" s="781" t="n"/>
      <c r="BA4" s="594" t="n"/>
      <c r="BB4" s="781" t="n"/>
      <c r="BC4" s="594" t="n"/>
      <c r="BD4" s="781" t="n"/>
      <c r="BE4" s="1215" t="n"/>
      <c r="BF4" s="1216" t="n"/>
      <c r="BG4" s="1217" t="n"/>
    </row>
    <row r="5">
      <c r="A5" s="596" t="inlineStr">
        <is>
          <t>Остаток на начало по Банку</t>
        </is>
      </c>
      <c r="B5" s="597" t="n"/>
      <c r="C5" s="783" t="n">
        <v>3140328</v>
      </c>
      <c r="D5" s="784">
        <f>C5</f>
        <v/>
      </c>
      <c r="E5" s="783">
        <f>C81</f>
        <v/>
      </c>
      <c r="F5" s="784">
        <f>D81</f>
        <v/>
      </c>
      <c r="G5" s="783">
        <f>E81</f>
        <v/>
      </c>
      <c r="H5" s="784">
        <f>3139916</f>
        <v/>
      </c>
      <c r="I5" s="783">
        <f>G81</f>
        <v/>
      </c>
      <c r="J5" s="784">
        <f>H81</f>
        <v/>
      </c>
      <c r="K5" s="783" t="n">
        <v>0</v>
      </c>
      <c r="L5" s="784" t="n">
        <v>0</v>
      </c>
      <c r="M5" s="783">
        <f>K81</f>
        <v/>
      </c>
      <c r="N5" s="784">
        <f>L81</f>
        <v/>
      </c>
      <c r="O5" s="783">
        <f>M81</f>
        <v/>
      </c>
      <c r="P5" s="784">
        <f>N81</f>
        <v/>
      </c>
      <c r="Q5" s="783">
        <f>O81</f>
        <v/>
      </c>
      <c r="R5" s="784">
        <f>P81</f>
        <v/>
      </c>
      <c r="S5" s="783">
        <f>Q81</f>
        <v/>
      </c>
      <c r="T5" s="784">
        <f>R81</f>
        <v/>
      </c>
      <c r="U5" s="645">
        <f>S81</f>
        <v/>
      </c>
      <c r="V5" s="784">
        <f>T81</f>
        <v/>
      </c>
      <c r="W5" s="783">
        <f>U81</f>
        <v/>
      </c>
      <c r="X5" s="784">
        <f>V81</f>
        <v/>
      </c>
      <c r="Y5" s="783">
        <f>W81</f>
        <v/>
      </c>
      <c r="Z5" s="784">
        <f>X81</f>
        <v/>
      </c>
      <c r="AA5" s="783">
        <f>Y81</f>
        <v/>
      </c>
      <c r="AB5" s="784">
        <f>Z81</f>
        <v/>
      </c>
      <c r="AC5" s="783">
        <f>AA81</f>
        <v/>
      </c>
      <c r="AD5" s="784">
        <f>AB81</f>
        <v/>
      </c>
      <c r="AE5" s="645">
        <f>AC81</f>
        <v/>
      </c>
      <c r="AF5" s="784">
        <f>AD81</f>
        <v/>
      </c>
      <c r="AG5" s="783">
        <f>AE81</f>
        <v/>
      </c>
      <c r="AH5" s="784">
        <f>AF81</f>
        <v/>
      </c>
      <c r="AI5" s="783">
        <f>AG81</f>
        <v/>
      </c>
      <c r="AJ5" s="784">
        <f>AH81</f>
        <v/>
      </c>
      <c r="AK5" s="783">
        <f>AI81</f>
        <v/>
      </c>
      <c r="AL5" s="785">
        <f>AJ81</f>
        <v/>
      </c>
      <c r="AM5" s="783">
        <f>AK81</f>
        <v/>
      </c>
      <c r="AN5" s="786">
        <f>AL81</f>
        <v/>
      </c>
      <c r="AO5" s="787">
        <f>AM81</f>
        <v/>
      </c>
      <c r="AP5" s="784">
        <f>AN81</f>
        <v/>
      </c>
      <c r="AQ5" s="783">
        <f>AO81</f>
        <v/>
      </c>
      <c r="AR5" s="784">
        <f>AP81</f>
        <v/>
      </c>
      <c r="AS5" s="783">
        <f>AQ81</f>
        <v/>
      </c>
      <c r="AT5" s="784">
        <f>AR81</f>
        <v/>
      </c>
      <c r="AU5" s="783">
        <f>AS81</f>
        <v/>
      </c>
      <c r="AV5" s="784">
        <f>AT81</f>
        <v/>
      </c>
      <c r="AW5" s="783">
        <f>AU81</f>
        <v/>
      </c>
      <c r="AX5" s="784">
        <f>AV81</f>
        <v/>
      </c>
      <c r="AY5" s="787">
        <f>AW81</f>
        <v/>
      </c>
      <c r="AZ5" s="784">
        <f>AX81</f>
        <v/>
      </c>
      <c r="BA5" s="783">
        <f>AY81</f>
        <v/>
      </c>
      <c r="BB5" s="784">
        <f>AZ81</f>
        <v/>
      </c>
      <c r="BC5" s="783">
        <f>BA81</f>
        <v/>
      </c>
      <c r="BD5" s="784">
        <f>BB81</f>
        <v/>
      </c>
      <c r="BE5" s="600">
        <f>C5</f>
        <v/>
      </c>
      <c r="BF5" s="601">
        <f>BE5</f>
        <v/>
      </c>
      <c r="BG5" s="602">
        <f>BF5-BE5</f>
        <v/>
      </c>
    </row>
    <row r="6">
      <c r="A6" s="603" t="inlineStr">
        <is>
          <t>Остаток на начало по Кассе</t>
        </is>
      </c>
      <c r="B6" s="597" t="n"/>
      <c r="C6" s="783" t="n">
        <v>917728</v>
      </c>
      <c r="D6" s="784">
        <f>C6</f>
        <v/>
      </c>
      <c r="E6" s="783">
        <f>C82</f>
        <v/>
      </c>
      <c r="F6" s="784">
        <f>D82</f>
        <v/>
      </c>
      <c r="G6" s="783">
        <f>E82</f>
        <v/>
      </c>
      <c r="H6" s="784">
        <f>F82+62744</f>
        <v/>
      </c>
      <c r="I6" s="783">
        <f>G82</f>
        <v/>
      </c>
      <c r="J6" s="784">
        <f>H82</f>
        <v/>
      </c>
      <c r="K6" s="783" t="n">
        <v>0</v>
      </c>
      <c r="L6" s="784" t="n">
        <v>0</v>
      </c>
      <c r="M6" s="783">
        <f>K82</f>
        <v/>
      </c>
      <c r="N6" s="784">
        <f>L82</f>
        <v/>
      </c>
      <c r="O6" s="783">
        <f>M82</f>
        <v/>
      </c>
      <c r="P6" s="784">
        <f>N82</f>
        <v/>
      </c>
      <c r="Q6" s="783">
        <f>O82</f>
        <v/>
      </c>
      <c r="R6" s="784">
        <f>P82</f>
        <v/>
      </c>
      <c r="S6" s="783">
        <f>Q82</f>
        <v/>
      </c>
      <c r="T6" s="784">
        <f>R82</f>
        <v/>
      </c>
      <c r="U6" s="645">
        <f>S82</f>
        <v/>
      </c>
      <c r="V6" s="784">
        <f>T82</f>
        <v/>
      </c>
      <c r="W6" s="783">
        <f>U82</f>
        <v/>
      </c>
      <c r="X6" s="784">
        <f>V82</f>
        <v/>
      </c>
      <c r="Y6" s="783">
        <f>W82</f>
        <v/>
      </c>
      <c r="Z6" s="784">
        <f>X82</f>
        <v/>
      </c>
      <c r="AA6" s="783">
        <f>Y82</f>
        <v/>
      </c>
      <c r="AB6" s="784">
        <f>Z82</f>
        <v/>
      </c>
      <c r="AC6" s="783">
        <f>AA82</f>
        <v/>
      </c>
      <c r="AD6" s="784">
        <f>AB82</f>
        <v/>
      </c>
      <c r="AE6" s="645">
        <f>AC82</f>
        <v/>
      </c>
      <c r="AF6" s="784">
        <f>AD82</f>
        <v/>
      </c>
      <c r="AG6" s="783">
        <f>AE82</f>
        <v/>
      </c>
      <c r="AH6" s="784">
        <f>AF82</f>
        <v/>
      </c>
      <c r="AI6" s="783">
        <f>AG82</f>
        <v/>
      </c>
      <c r="AJ6" s="784">
        <f>AH82</f>
        <v/>
      </c>
      <c r="AK6" s="783">
        <f>AI82</f>
        <v/>
      </c>
      <c r="AL6" s="785">
        <f>AJ82</f>
        <v/>
      </c>
      <c r="AM6" s="783">
        <f>AK82</f>
        <v/>
      </c>
      <c r="AN6" s="786">
        <f>AL82</f>
        <v/>
      </c>
      <c r="AO6" s="787">
        <f>AM82</f>
        <v/>
      </c>
      <c r="AP6" s="784">
        <f>AN82</f>
        <v/>
      </c>
      <c r="AQ6" s="783">
        <f>AO82</f>
        <v/>
      </c>
      <c r="AR6" s="784">
        <f>AP82</f>
        <v/>
      </c>
      <c r="AS6" s="783">
        <f>AQ82</f>
        <v/>
      </c>
      <c r="AT6" s="784">
        <f>AR82</f>
        <v/>
      </c>
      <c r="AU6" s="783">
        <f>AS82</f>
        <v/>
      </c>
      <c r="AV6" s="784">
        <f>AT82</f>
        <v/>
      </c>
      <c r="AW6" s="783">
        <f>AU82</f>
        <v/>
      </c>
      <c r="AX6" s="784">
        <f>AV82</f>
        <v/>
      </c>
      <c r="AY6" s="787">
        <f>AW82</f>
        <v/>
      </c>
      <c r="AZ6" s="784">
        <f>AX82</f>
        <v/>
      </c>
      <c r="BA6" s="783">
        <f>AY82</f>
        <v/>
      </c>
      <c r="BB6" s="784">
        <f>AZ82</f>
        <v/>
      </c>
      <c r="BC6" s="783">
        <f>BA82</f>
        <v/>
      </c>
      <c r="BD6" s="784">
        <f>BB82</f>
        <v/>
      </c>
      <c r="BE6" s="600">
        <f>C6</f>
        <v/>
      </c>
      <c r="BF6" s="601">
        <f>BE6</f>
        <v/>
      </c>
      <c r="BG6" s="602">
        <f>BF6-BE6</f>
        <v/>
      </c>
    </row>
    <row r="7">
      <c r="A7" s="591" t="inlineStr">
        <is>
          <t>Прочие</t>
        </is>
      </c>
      <c r="B7" s="604" t="inlineStr">
        <is>
          <t>Приход</t>
        </is>
      </c>
      <c r="C7" s="680" t="n"/>
      <c r="D7" s="798" t="n"/>
      <c r="E7" s="680" t="n"/>
      <c r="F7" s="796" t="n"/>
      <c r="G7" s="607" t="n">
        <v>1000000</v>
      </c>
      <c r="H7" s="790" t="n"/>
      <c r="I7" s="680" t="n"/>
      <c r="J7" s="1059" t="n"/>
      <c r="K7" s="615" t="n">
        <v>1000000</v>
      </c>
      <c r="L7" s="798" t="n"/>
      <c r="M7" s="615" t="n"/>
      <c r="N7" s="796" t="n"/>
      <c r="O7" s="615" t="n">
        <v>1000000</v>
      </c>
      <c r="P7" s="796" t="n"/>
      <c r="Q7" s="615" t="n"/>
      <c r="R7" s="796" t="n"/>
      <c r="S7" s="615" t="n">
        <v>1000000</v>
      </c>
      <c r="T7" s="796" t="n"/>
      <c r="U7" s="615" t="n">
        <v>1000000</v>
      </c>
      <c r="V7" s="798" t="n"/>
      <c r="W7" s="615" t="n"/>
      <c r="X7" s="796" t="n"/>
      <c r="Y7" s="615" t="n">
        <v>1000000</v>
      </c>
      <c r="Z7" s="796" t="n"/>
      <c r="AA7" s="615" t="n"/>
      <c r="AB7" s="796" t="n"/>
      <c r="AC7" s="615" t="n">
        <v>1000000</v>
      </c>
      <c r="AD7" s="796" t="n"/>
      <c r="AE7" s="615" t="n">
        <v>1000000</v>
      </c>
      <c r="AF7" s="798" t="n"/>
      <c r="AG7" s="615" t="n"/>
      <c r="AH7" s="796" t="n"/>
      <c r="AI7" s="615" t="n">
        <v>1000000</v>
      </c>
      <c r="AJ7" s="796" t="n"/>
      <c r="AK7" s="615" t="n"/>
      <c r="AL7" s="796" t="n"/>
      <c r="AM7" s="615" t="n">
        <v>1000000</v>
      </c>
      <c r="AN7" s="796" t="n"/>
      <c r="AO7" s="615" t="n">
        <v>1000000</v>
      </c>
      <c r="AP7" s="798" t="n"/>
      <c r="AQ7" s="615" t="n"/>
      <c r="AR7" s="796" t="n"/>
      <c r="AS7" s="615" t="n">
        <v>1000000</v>
      </c>
      <c r="AT7" s="796" t="n"/>
      <c r="AU7" s="615" t="n"/>
      <c r="AV7" s="796" t="n"/>
      <c r="AW7" s="615" t="n">
        <v>1000000</v>
      </c>
      <c r="AX7" s="796" t="n"/>
      <c r="AY7" s="615" t="n">
        <v>1000000</v>
      </c>
      <c r="AZ7" s="798" t="n"/>
      <c r="BA7" s="615" t="n"/>
      <c r="BB7" s="796" t="n"/>
      <c r="BC7" s="615" t="n">
        <v>1000000</v>
      </c>
      <c r="BD7" s="796" t="n"/>
      <c r="BE7" s="608">
        <f>K7+M7+O7+Q7+S7+U7+W7+Y7+AA7+AC7+AE7+AG7+AI7+AK7+AM7+AO7+AQ7+AS7+AU7+AW7+AY7+BA7+BC7</f>
        <v/>
      </c>
      <c r="BF7" s="608">
        <f>#REF!+L7+N7+P7+R7+T7+V7+X7+Z7+AB7+AD7+AF7+AH7+AJ7+AL7+AN7+AP7+AR7+AT7+AV7+AX7</f>
        <v/>
      </c>
      <c r="BG7" s="602">
        <f>BE7-BF7</f>
        <v/>
      </c>
    </row>
    <row r="8">
      <c r="A8" s="591" t="inlineStr">
        <is>
          <t>Б1, Б2, Б5</t>
        </is>
      </c>
      <c r="B8" s="604" t="inlineStr">
        <is>
          <t>Приход</t>
        </is>
      </c>
      <c r="C8" s="680" t="n"/>
      <c r="D8" s="798" t="n"/>
      <c r="E8" s="680" t="n"/>
      <c r="F8" s="796" t="n"/>
      <c r="G8" s="680" t="n"/>
      <c r="H8" s="796" t="n"/>
      <c r="I8" s="680" t="n"/>
      <c r="J8" s="790" t="n"/>
      <c r="K8" s="680" t="n"/>
      <c r="L8" s="793" t="n"/>
      <c r="M8" s="615" t="n">
        <v>1000000</v>
      </c>
      <c r="N8" s="801" t="n"/>
      <c r="O8" s="615" t="n">
        <v>1000000</v>
      </c>
      <c r="P8" s="799" t="n"/>
      <c r="Q8" s="615" t="n">
        <v>1000000</v>
      </c>
      <c r="R8" s="796" t="n"/>
      <c r="S8" s="615" t="n">
        <v>1000000</v>
      </c>
      <c r="T8" s="796" t="n"/>
      <c r="U8" s="680" t="n"/>
      <c r="V8" s="798" t="n"/>
      <c r="W8" s="615" t="n">
        <v>1000000</v>
      </c>
      <c r="X8" s="796" t="n"/>
      <c r="Y8" s="680" t="n"/>
      <c r="Z8" s="796" t="n"/>
      <c r="AA8" s="615" t="n">
        <v>1000000</v>
      </c>
      <c r="AB8" s="796" t="n"/>
      <c r="AC8" s="615" t="n">
        <v>1000000</v>
      </c>
      <c r="AD8" s="796" t="n"/>
      <c r="AE8" s="680" t="n"/>
      <c r="AF8" s="798" t="n"/>
      <c r="AG8" s="615" t="n">
        <v>1000000</v>
      </c>
      <c r="AH8" s="796" t="n"/>
      <c r="AI8" s="680" t="n"/>
      <c r="AJ8" s="796" t="n"/>
      <c r="AK8" s="615" t="n">
        <v>1000000</v>
      </c>
      <c r="AL8" s="796" t="n"/>
      <c r="AM8" s="615" t="n">
        <v>1000000</v>
      </c>
      <c r="AN8" s="796" t="n"/>
      <c r="AO8" s="680" t="n"/>
      <c r="AP8" s="798" t="n"/>
      <c r="AQ8" s="615" t="n">
        <v>1000000</v>
      </c>
      <c r="AR8" s="796" t="n"/>
      <c r="AS8" s="615" t="n">
        <v>1000000</v>
      </c>
      <c r="AT8" s="796" t="n"/>
      <c r="AU8" s="615" t="n">
        <v>1000000</v>
      </c>
      <c r="AV8" s="796" t="n"/>
      <c r="AW8" s="607" t="n"/>
      <c r="AX8" s="796" t="n"/>
      <c r="AY8" s="680" t="n"/>
      <c r="AZ8" s="798" t="n"/>
      <c r="BA8" s="615" t="n">
        <v>1000000</v>
      </c>
      <c r="BB8" s="796" t="n"/>
      <c r="BC8" s="615" t="n">
        <v>1000000</v>
      </c>
      <c r="BD8" s="796" t="n"/>
      <c r="BE8" s="608">
        <f>K8+M8+O8+Q8+S8+U8+W8+Y8+AA8+AC8+AE8+AG8+AI8+AK8+AM8+AO8+AQ8+AS8+AU8+AW8+AY8+BA8+BC8</f>
        <v/>
      </c>
      <c r="BF8" s="608">
        <f>#REF!+L8+N8+P8+R8+T8+V8+X8+Z8+AB8+AD8+AF8+AH8+AJ8+AL8+AN8+AP8+AR8+AT8+AV8+AX8</f>
        <v/>
      </c>
      <c r="BG8" s="602">
        <f>BE8-BF8</f>
        <v/>
      </c>
    </row>
    <row r="9">
      <c r="A9" s="591" t="inlineStr">
        <is>
          <t>Яндекс</t>
        </is>
      </c>
      <c r="B9" s="604" t="inlineStr">
        <is>
          <t>Приход</t>
        </is>
      </c>
      <c r="C9" s="680" t="n"/>
      <c r="D9" s="798" t="n"/>
      <c r="E9" s="680" t="n"/>
      <c r="F9" s="796" t="n"/>
      <c r="G9" s="680" t="n"/>
      <c r="H9" s="796" t="n"/>
      <c r="I9" s="615" t="n">
        <v>6000000</v>
      </c>
      <c r="J9" s="797" t="n"/>
      <c r="K9" s="680" t="n"/>
      <c r="L9" s="798" t="n"/>
      <c r="M9" s="615" t="n">
        <v>6000000</v>
      </c>
      <c r="N9" s="801" t="n"/>
      <c r="O9" s="680" t="n"/>
      <c r="P9" s="799" t="n"/>
      <c r="Q9" s="615" t="n">
        <v>10000000</v>
      </c>
      <c r="R9" s="796" t="n"/>
      <c r="S9" s="680" t="n"/>
      <c r="T9" s="796" t="n"/>
      <c r="U9" s="680" t="n"/>
      <c r="V9" s="798" t="n"/>
      <c r="W9" s="615" t="n">
        <v>6000000</v>
      </c>
      <c r="X9" s="796" t="n"/>
      <c r="Y9" s="680" t="n"/>
      <c r="Z9" s="796" t="n"/>
      <c r="AA9" s="615" t="n">
        <v>10000000</v>
      </c>
      <c r="AB9" s="796" t="n"/>
      <c r="AC9" s="680" t="n"/>
      <c r="AD9" s="796" t="n"/>
      <c r="AE9" s="680" t="n"/>
      <c r="AF9" s="798" t="n"/>
      <c r="AG9" s="615" t="n">
        <v>6000000</v>
      </c>
      <c r="AH9" s="796" t="n"/>
      <c r="AI9" s="680" t="n"/>
      <c r="AJ9" s="796" t="n"/>
      <c r="AK9" s="615" t="n">
        <v>10000000</v>
      </c>
      <c r="AL9" s="796" t="n"/>
      <c r="AM9" s="680" t="n"/>
      <c r="AN9" s="796" t="n"/>
      <c r="AO9" s="680" t="n"/>
      <c r="AP9" s="798" t="n"/>
      <c r="AQ9" s="615" t="n">
        <v>9000000</v>
      </c>
      <c r="AR9" s="796" t="n"/>
      <c r="AS9" s="680" t="n"/>
      <c r="AT9" s="796" t="n"/>
      <c r="AU9" s="615" t="n">
        <v>10000000</v>
      </c>
      <c r="AV9" s="796" t="n"/>
      <c r="AW9" s="680" t="n"/>
      <c r="AX9" s="796" t="n"/>
      <c r="AY9" s="680" t="n"/>
      <c r="AZ9" s="798" t="n"/>
      <c r="BA9" s="615" t="n">
        <v>9000000</v>
      </c>
      <c r="BB9" s="796" t="n"/>
      <c r="BC9" s="680" t="n"/>
      <c r="BD9" s="796" t="n"/>
      <c r="BE9" s="608">
        <f>K9+M9+O9+Q9+S9+U9+W9+Y9+AA9+AC9+AE9+AG9+AI9+AK9+AM9+AO9+AQ9+AS9+AU9+AW9+AY9+BA9+BC9</f>
        <v/>
      </c>
      <c r="BF9" s="608">
        <f>#REF!+L9+N9+P9+R9+T9+V9+X9+Z9+AB9+AD9+AF9+AH9+AJ9+AL9+AN9+AP9+AR9+AT9+AV9+AX9</f>
        <v/>
      </c>
      <c r="BG9" s="602">
        <f>BE9-BF9</f>
        <v/>
      </c>
    </row>
    <row r="10">
      <c r="A10" s="591" t="inlineStr">
        <is>
          <t>Май Март</t>
        </is>
      </c>
      <c r="B10" s="604" t="inlineStr">
        <is>
          <t>Приход</t>
        </is>
      </c>
      <c r="C10" s="680" t="n"/>
      <c r="D10" s="798" t="n"/>
      <c r="E10" s="680" t="n"/>
      <c r="F10" s="796" t="n"/>
      <c r="G10" s="615" t="n">
        <v>1000000</v>
      </c>
      <c r="H10" s="796" t="n"/>
      <c r="I10" s="680" t="n"/>
      <c r="J10" s="790" t="n"/>
      <c r="K10" s="680" t="n"/>
      <c r="L10" s="798" t="n"/>
      <c r="M10" s="615" t="n">
        <v>2000000</v>
      </c>
      <c r="N10" s="796" t="n"/>
      <c r="O10" s="680" t="n"/>
      <c r="P10" s="799" t="n"/>
      <c r="Q10" s="615" t="n">
        <v>2000000</v>
      </c>
      <c r="R10" s="796" t="n"/>
      <c r="S10" s="680" t="n"/>
      <c r="T10" s="796" t="n"/>
      <c r="U10" s="680" t="n"/>
      <c r="V10" s="798" t="n"/>
      <c r="W10" s="680" t="n"/>
      <c r="X10" s="796" t="n"/>
      <c r="Y10" s="680" t="n"/>
      <c r="Z10" s="796" t="n"/>
      <c r="AA10" s="615" t="n">
        <v>2000000</v>
      </c>
      <c r="AB10" s="796" t="n"/>
      <c r="AC10" s="607" t="n"/>
      <c r="AD10" s="796" t="n"/>
      <c r="AE10" s="680" t="n"/>
      <c r="AF10" s="798" t="n"/>
      <c r="AG10" s="680" t="n"/>
      <c r="AH10" s="796" t="n"/>
      <c r="AI10" s="607" t="n"/>
      <c r="AJ10" s="796" t="n"/>
      <c r="AK10" s="615" t="n">
        <v>2000000</v>
      </c>
      <c r="AL10" s="796" t="n"/>
      <c r="AM10" s="680" t="n"/>
      <c r="AN10" s="796" t="n"/>
      <c r="AO10" s="680" t="n"/>
      <c r="AP10" s="798" t="n"/>
      <c r="AQ10" s="615" t="n">
        <v>2000000</v>
      </c>
      <c r="AR10" s="796" t="n"/>
      <c r="AS10" s="680" t="n"/>
      <c r="AT10" s="796" t="n"/>
      <c r="AU10" s="615" t="n">
        <v>2000000</v>
      </c>
      <c r="AV10" s="796" t="n"/>
      <c r="AW10" s="680" t="n"/>
      <c r="AX10" s="796" t="n"/>
      <c r="AY10" s="680" t="n"/>
      <c r="AZ10" s="798" t="n"/>
      <c r="BA10" s="615" t="n">
        <v>2000000</v>
      </c>
      <c r="BB10" s="796" t="n"/>
      <c r="BC10" s="680" t="n"/>
      <c r="BD10" s="796" t="n"/>
      <c r="BE10" s="608">
        <f>K10+M10+O10+Q10+S10+U10+W10+Y10+AA10+AC10+AE10+AG10+AI10+AK10+AM10+AO10+AQ10+AS10+AU10+AW10+AY10+BA10+BC10</f>
        <v/>
      </c>
      <c r="BF10" s="608">
        <f>#REF!+L10+N10+P10+R10+T10+V10+X10+Z10+AB10+AD10+AF10+AH10+AJ10+AL10+AN10+AP10+AR10+AT10+AV10+AX10</f>
        <v/>
      </c>
      <c r="BG10" s="602">
        <f>BE10-BF10</f>
        <v/>
      </c>
    </row>
    <row r="11">
      <c r="A11" s="591" t="inlineStr">
        <is>
          <t xml:space="preserve">7-Kaspi Банк </t>
        </is>
      </c>
      <c r="B11" s="604" t="inlineStr">
        <is>
          <t>Приход</t>
        </is>
      </c>
      <c r="C11" s="680" t="n"/>
      <c r="D11" s="798" t="n"/>
      <c r="E11" s="680" t="n"/>
      <c r="F11" s="796" t="n"/>
      <c r="G11" s="607" t="n">
        <v>1000000</v>
      </c>
      <c r="H11" s="790" t="n"/>
      <c r="I11" s="615" t="n">
        <v>1500000</v>
      </c>
      <c r="J11" s="790" t="n"/>
      <c r="K11" s="680" t="n"/>
      <c r="L11" s="798" t="n"/>
      <c r="M11" s="680" t="n"/>
      <c r="N11" s="801" t="n"/>
      <c r="O11" s="615" t="n">
        <v>1000000</v>
      </c>
      <c r="P11" s="799" t="n"/>
      <c r="Q11" s="615" t="n">
        <v>1000000</v>
      </c>
      <c r="R11" s="796" t="n"/>
      <c r="S11" s="615" t="n">
        <v>1000000</v>
      </c>
      <c r="T11" s="796" t="n"/>
      <c r="U11" s="615" t="n">
        <v>1000000</v>
      </c>
      <c r="V11" s="798" t="n"/>
      <c r="W11" s="615" t="n">
        <v>1000000</v>
      </c>
      <c r="X11" s="796" t="n"/>
      <c r="Y11" s="615" t="n">
        <v>1000000</v>
      </c>
      <c r="Z11" s="796" t="n"/>
      <c r="AA11" s="615" t="n">
        <v>1000000</v>
      </c>
      <c r="AB11" s="796" t="n"/>
      <c r="AC11" s="615" t="n">
        <v>1000000</v>
      </c>
      <c r="AD11" s="796" t="n"/>
      <c r="AE11" s="615" t="n">
        <v>1000000</v>
      </c>
      <c r="AF11" s="796" t="n"/>
      <c r="AG11" s="615" t="n">
        <v>1000000</v>
      </c>
      <c r="AH11" s="796" t="n"/>
      <c r="AI11" s="615" t="n">
        <v>1000000</v>
      </c>
      <c r="AJ11" s="796" t="n"/>
      <c r="AK11" s="615" t="n">
        <v>1000000</v>
      </c>
      <c r="AL11" s="796" t="n"/>
      <c r="AM11" s="615" t="n">
        <v>1000000</v>
      </c>
      <c r="AN11" s="796" t="n"/>
      <c r="AO11" s="615" t="n">
        <v>1000000</v>
      </c>
      <c r="AP11" s="798" t="n"/>
      <c r="AQ11" s="680" t="n"/>
      <c r="AR11" s="796" t="n"/>
      <c r="AS11" s="615" t="n">
        <v>1000000</v>
      </c>
      <c r="AT11" s="796" t="n"/>
      <c r="AU11" s="680" t="n"/>
      <c r="AV11" s="796" t="n"/>
      <c r="AW11" s="615" t="n">
        <v>1000000</v>
      </c>
      <c r="AX11" s="796" t="n"/>
      <c r="AY11" s="615" t="n">
        <v>1000000</v>
      </c>
      <c r="AZ11" s="798" t="n"/>
      <c r="BA11" s="680" t="n"/>
      <c r="BB11" s="796" t="n"/>
      <c r="BC11" s="615" t="n">
        <v>1000000</v>
      </c>
      <c r="BD11" s="796" t="n"/>
      <c r="BE11" s="608">
        <f>K11+M11+O11+Q11+S11+U11+W11+Y11+AA11+AC11+AE11+AG11+AI11+AK11+AM11+AO11+AQ11+AS11+AU11+AW11+AY11+BA11+BC11</f>
        <v/>
      </c>
      <c r="BF11" s="608">
        <f>#REF!+L11+N11+P11+R11+T11+V11+X11+Z11+AB11+AD11+AF11+AH11+AJ11+AL11+AN11+AP11+AR11+AT11+AV11+AX11</f>
        <v/>
      </c>
      <c r="BG11" s="602">
        <f>BE11-BF11</f>
        <v/>
      </c>
    </row>
    <row r="12">
      <c r="A12" s="591" t="inlineStr">
        <is>
          <t>Crave</t>
        </is>
      </c>
      <c r="B12" s="604" t="inlineStr">
        <is>
          <t>Приход</t>
        </is>
      </c>
      <c r="C12" s="680" t="n"/>
      <c r="D12" s="798" t="n"/>
      <c r="E12" s="680" t="n"/>
      <c r="F12" s="796" t="n"/>
      <c r="G12" s="680" t="n"/>
      <c r="H12" s="796" t="n"/>
      <c r="I12" s="680" t="n"/>
      <c r="J12" s="796" t="n"/>
      <c r="K12" s="615" t="n"/>
      <c r="L12" s="798" t="n"/>
      <c r="M12" s="680" t="n"/>
      <c r="N12" s="796" t="n"/>
      <c r="O12" s="615" t="n"/>
      <c r="P12" s="796" t="n"/>
      <c r="Q12" s="680" t="n"/>
      <c r="R12" s="796" t="n"/>
      <c r="S12" s="615" t="n"/>
      <c r="T12" s="796" t="n"/>
      <c r="U12" s="615" t="n">
        <v>3000000</v>
      </c>
      <c r="V12" s="798" t="n"/>
      <c r="W12" s="680" t="n"/>
      <c r="X12" s="796" t="n"/>
      <c r="Y12" s="615" t="n">
        <v>3000000</v>
      </c>
      <c r="Z12" s="796" t="n"/>
      <c r="AA12" s="680" t="n"/>
      <c r="AB12" s="796" t="n"/>
      <c r="AC12" s="615" t="n">
        <v>3000000</v>
      </c>
      <c r="AD12" s="796" t="n"/>
      <c r="AE12" s="615" t="n">
        <v>3000000</v>
      </c>
      <c r="AF12" s="798" t="n"/>
      <c r="AG12" s="680" t="n"/>
      <c r="AH12" s="796" t="n"/>
      <c r="AI12" s="615" t="n">
        <v>3000000</v>
      </c>
      <c r="AJ12" s="796" t="n"/>
      <c r="AK12" s="680" t="n"/>
      <c r="AL12" s="796" t="n"/>
      <c r="AM12" s="615" t="n"/>
      <c r="AN12" s="796" t="n"/>
      <c r="AO12" s="615" t="n"/>
      <c r="AP12" s="798" t="n"/>
      <c r="AQ12" s="680" t="n"/>
      <c r="AR12" s="796" t="n"/>
      <c r="AS12" s="615" t="n">
        <v>3000000</v>
      </c>
      <c r="AT12" s="796" t="n"/>
      <c r="AU12" s="680" t="n"/>
      <c r="AV12" s="796" t="n"/>
      <c r="AW12" s="615" t="n">
        <v>3000000</v>
      </c>
      <c r="AX12" s="796" t="n"/>
      <c r="AY12" s="615" t="n">
        <v>3000000</v>
      </c>
      <c r="AZ12" s="798" t="n"/>
      <c r="BA12" s="680" t="n"/>
      <c r="BB12" s="796" t="n"/>
      <c r="BC12" s="615" t="n">
        <v>3000000</v>
      </c>
      <c r="BD12" s="796" t="n"/>
      <c r="BE12" s="608">
        <f>K12+M12+O12+Q12+S12+U12+W12+Y12+AA12+AC12+AE12+AG12+AI12+AK12+AM12+AO12+AQ12+AS12+AU12+AW12+AY12+BA12+BC12</f>
        <v/>
      </c>
      <c r="BF12" s="608">
        <f>#REF!+L12+N12+P12+R12+T12+V12+X12+Z12+AB12+AD12+AF12+AH12+AJ12+AL12+AN12+AP12+AR12+AT12+AV12+AX12</f>
        <v/>
      </c>
      <c r="BG12" s="602">
        <f>BE12-BF12</f>
        <v/>
      </c>
    </row>
    <row r="13">
      <c r="A13" s="591" t="inlineStr">
        <is>
          <t>99-RP АЗС</t>
        </is>
      </c>
      <c r="B13" s="604" t="inlineStr">
        <is>
          <t>Приход</t>
        </is>
      </c>
      <c r="C13" s="680" t="n"/>
      <c r="D13" s="798" t="n"/>
      <c r="E13" s="680" t="n"/>
      <c r="F13" s="796" t="n"/>
      <c r="G13" s="680" t="n"/>
      <c r="H13" s="796" t="n"/>
      <c r="I13" s="607" t="n">
        <v>5000000</v>
      </c>
      <c r="J13" s="790" t="n"/>
      <c r="K13" s="680" t="n"/>
      <c r="L13" s="798" t="n"/>
      <c r="M13" s="680" t="n"/>
      <c r="N13" s="796" t="n"/>
      <c r="O13" s="680" t="n"/>
      <c r="P13" s="799" t="n"/>
      <c r="Q13" s="615" t="n">
        <v>8000000</v>
      </c>
      <c r="R13" s="796" t="n"/>
      <c r="S13" s="680" t="n"/>
      <c r="T13" s="796" t="n"/>
      <c r="U13" s="680" t="n"/>
      <c r="V13" s="798" t="n"/>
      <c r="W13" s="680" t="n"/>
      <c r="X13" s="796" t="n"/>
      <c r="Y13" s="680" t="n"/>
      <c r="Z13" s="796" t="n"/>
      <c r="AA13" s="615" t="n">
        <v>6000000</v>
      </c>
      <c r="AB13" s="796" t="n"/>
      <c r="AC13" s="680" t="n"/>
      <c r="AD13" s="796" t="n"/>
      <c r="AE13" s="680" t="n"/>
      <c r="AF13" s="798" t="n"/>
      <c r="AG13" s="680" t="n"/>
      <c r="AH13" s="796" t="n"/>
      <c r="AI13" s="680" t="n"/>
      <c r="AJ13" s="796" t="n"/>
      <c r="AK13" s="615" t="n">
        <v>6000000</v>
      </c>
      <c r="AL13" s="796" t="n"/>
      <c r="AM13" s="680" t="n"/>
      <c r="AN13" s="796" t="n"/>
      <c r="AO13" s="680" t="n"/>
      <c r="AP13" s="798" t="n"/>
      <c r="AQ13" s="680" t="n"/>
      <c r="AR13" s="796" t="n"/>
      <c r="AS13" s="680" t="n"/>
      <c r="AT13" s="796" t="n"/>
      <c r="AU13" s="615" t="n">
        <v>6000000</v>
      </c>
      <c r="AV13" s="796" t="n"/>
      <c r="AW13" s="680" t="n"/>
      <c r="AX13" s="796" t="n"/>
      <c r="AY13" s="680" t="n"/>
      <c r="AZ13" s="798" t="n"/>
      <c r="BA13" s="680" t="n"/>
      <c r="BB13" s="796" t="n"/>
      <c r="BC13" s="680" t="n"/>
      <c r="BD13" s="796" t="n"/>
      <c r="BE13" s="608">
        <f>K13+M13+O13+Q13+S13+U13+W13+Y13+AA13+AC13+AE13+AG13+AI13+AK13+AM13+AO13+AQ13+AS13+AU13+AW13+AY13+BA13+BC13</f>
        <v/>
      </c>
      <c r="BF13" s="608">
        <f>#REF!+L13+N13+P13+R13+T13+V13+X13+Z13+AB13+AD13+AF13+AH13+AJ13+AL13+AN13+AP13+AR13+AT13+AV13+AX13</f>
        <v/>
      </c>
      <c r="BG13" s="602">
        <f>BE13-BF13</f>
        <v/>
      </c>
    </row>
    <row r="14">
      <c r="A14" s="591" t="inlineStr">
        <is>
          <t>96- DSF покупатель</t>
        </is>
      </c>
      <c r="B14" s="604" t="inlineStr">
        <is>
          <t>Приход</t>
        </is>
      </c>
      <c r="C14" s="680" t="n"/>
      <c r="D14" s="798" t="n"/>
      <c r="E14" s="680" t="n"/>
      <c r="F14" s="796" t="n"/>
      <c r="G14" s="615" t="n">
        <v>5000000</v>
      </c>
      <c r="H14" s="790" t="n"/>
      <c r="I14" s="680" t="n"/>
      <c r="J14" s="796" t="n"/>
      <c r="K14" s="615" t="n"/>
      <c r="L14" s="798" t="n"/>
      <c r="M14" s="615" t="n">
        <v>4000000</v>
      </c>
      <c r="N14" s="800" t="n"/>
      <c r="O14" s="680" t="n"/>
      <c r="P14" s="799" t="n"/>
      <c r="Q14" s="680" t="n"/>
      <c r="R14" s="796" t="n"/>
      <c r="S14" s="680" t="n"/>
      <c r="T14" s="796" t="n"/>
      <c r="U14" s="680" t="n"/>
      <c r="V14" s="798" t="n"/>
      <c r="W14" s="680" t="n"/>
      <c r="X14" s="796" t="n"/>
      <c r="Y14" s="680" t="n"/>
      <c r="Z14" s="796" t="n"/>
      <c r="AA14" s="680" t="n"/>
      <c r="AB14" s="796" t="n"/>
      <c r="AC14" s="615" t="n">
        <v>2000000</v>
      </c>
      <c r="AD14" s="796" t="n"/>
      <c r="AE14" s="680" t="n"/>
      <c r="AF14" s="798" t="n"/>
      <c r="AG14" s="680" t="n"/>
      <c r="AH14" s="796" t="n"/>
      <c r="AI14" s="680" t="n"/>
      <c r="AJ14" s="796" t="n"/>
      <c r="AK14" s="607" t="n">
        <v>2000000</v>
      </c>
      <c r="AL14" s="796" t="n"/>
      <c r="AM14" s="680" t="n"/>
      <c r="AN14" s="796" t="n"/>
      <c r="AO14" s="680" t="n"/>
      <c r="AP14" s="798" t="n"/>
      <c r="AQ14" s="680" t="n"/>
      <c r="AR14" s="796" t="n"/>
      <c r="AS14" s="615" t="n">
        <v>1000000</v>
      </c>
      <c r="AT14" s="796" t="n"/>
      <c r="AU14" s="680" t="n"/>
      <c r="AV14" s="796" t="n"/>
      <c r="AW14" s="680" t="n"/>
      <c r="AX14" s="796" t="n"/>
      <c r="AY14" s="680" t="n"/>
      <c r="AZ14" s="798" t="n"/>
      <c r="BA14" s="680" t="n"/>
      <c r="BB14" s="796" t="n"/>
      <c r="BC14" s="615" t="n">
        <v>1000000</v>
      </c>
      <c r="BD14" s="796" t="n"/>
      <c r="BE14" s="608">
        <f>K14+M14+O14+Q14+S14+U14+W14+Y14+AA14+AC14+AE14+AG14+AI14+AK14+AM14+AO14+AQ14+AS14+AU14+AW14+AY14+BA14+BC14</f>
        <v/>
      </c>
      <c r="BF14" s="608">
        <f>#REF!+L14+N14+P14+R14+T14+V14+X14+Z14+AB14+AD14+AF14+AH14+AJ14+AL14+AN14+AP14+AR14+AT14+AV14+AX14</f>
        <v/>
      </c>
      <c r="BG14" s="602">
        <f>BE14-BF14</f>
        <v/>
      </c>
    </row>
    <row r="15">
      <c r="A15" s="591" t="inlineStr">
        <is>
          <t>85-ДФЗ дистрибьютер ФЗ</t>
        </is>
      </c>
      <c r="B15" s="604" t="inlineStr">
        <is>
          <t>Приход</t>
        </is>
      </c>
      <c r="C15" s="680" t="n"/>
      <c r="D15" s="798" t="n"/>
      <c r="E15" s="680" t="n"/>
      <c r="F15" s="796" t="n"/>
      <c r="G15" s="615" t="n">
        <v>2000000</v>
      </c>
      <c r="H15" s="796" t="n"/>
      <c r="I15" s="615" t="n">
        <v>2200000</v>
      </c>
      <c r="J15" s="790" t="n"/>
      <c r="K15" s="615" t="n">
        <v>11900000</v>
      </c>
      <c r="L15" s="793" t="n"/>
      <c r="M15" s="615" t="n">
        <v>4000000</v>
      </c>
      <c r="N15" s="801" t="n"/>
      <c r="O15" s="615" t="n">
        <v>10000000</v>
      </c>
      <c r="P15" s="799" t="n"/>
      <c r="Q15" s="615" t="n">
        <v>4000000</v>
      </c>
      <c r="R15" s="796" t="n"/>
      <c r="S15" s="615" t="n">
        <v>2000000</v>
      </c>
      <c r="T15" s="796" t="n"/>
      <c r="U15" s="615" t="n">
        <v>2000000</v>
      </c>
      <c r="V15" s="798" t="n"/>
      <c r="W15" s="615" t="n">
        <v>2000000</v>
      </c>
      <c r="X15" s="796" t="n"/>
      <c r="Y15" s="615" t="n">
        <v>10000000</v>
      </c>
      <c r="Z15" s="796" t="n"/>
      <c r="AA15" s="615" t="n">
        <v>4000000</v>
      </c>
      <c r="AB15" s="796" t="n"/>
      <c r="AC15" s="615" t="n">
        <v>2000000</v>
      </c>
      <c r="AD15" s="796" t="n"/>
      <c r="AE15" s="615" t="n">
        <v>4000000</v>
      </c>
      <c r="AF15" s="798" t="n"/>
      <c r="AG15" s="615" t="n">
        <v>1000000</v>
      </c>
      <c r="AH15" s="796" t="n"/>
      <c r="AI15" s="615" t="n">
        <v>10000000</v>
      </c>
      <c r="AJ15" s="796" t="n"/>
      <c r="AK15" s="615" t="n">
        <v>4000000</v>
      </c>
      <c r="AL15" s="796" t="n"/>
      <c r="AM15" s="615" t="n">
        <v>2000000</v>
      </c>
      <c r="AN15" s="796" t="n"/>
      <c r="AO15" s="615" t="n">
        <v>2000000</v>
      </c>
      <c r="AP15" s="798" t="n"/>
      <c r="AQ15" s="615" t="n">
        <v>5000000</v>
      </c>
      <c r="AR15" s="796" t="n"/>
      <c r="AS15" s="615" t="n">
        <v>10000000</v>
      </c>
      <c r="AT15" s="796" t="n"/>
      <c r="AU15" s="615" t="n">
        <v>4000000</v>
      </c>
      <c r="AV15" s="796" t="n"/>
      <c r="AW15" s="615" t="n">
        <v>4000000</v>
      </c>
      <c r="AX15" s="796" t="n"/>
      <c r="AY15" s="615" t="n">
        <v>2000000</v>
      </c>
      <c r="AZ15" s="798" t="n"/>
      <c r="BA15" s="615" t="n">
        <v>5000000</v>
      </c>
      <c r="BB15" s="796" t="n"/>
      <c r="BC15" s="615" t="n">
        <v>10000000</v>
      </c>
      <c r="BD15" s="796" t="n"/>
      <c r="BE15" s="608">
        <f>K15+M15+O15+Q15+S15+U15+W15+Y15+AA15+AC15+AE15+AG15+AI15+AK15+AM15+AO15+AQ15+AS15+AU15+AW15+AY15+BA15+BC15</f>
        <v/>
      </c>
      <c r="BF15" s="608">
        <f>#REF!+L15+N15+P15+R15+T15+V15+X15+Z15+AB15+AD15+AF15+AH15+AJ15+AL15+AN15+AP15+AR15+AT15+AV15+AX15</f>
        <v/>
      </c>
      <c r="BG15" s="602">
        <f>BE15-BF15</f>
        <v/>
      </c>
    </row>
    <row r="16">
      <c r="A16" s="591" t="inlineStr">
        <is>
          <t xml:space="preserve">110 АЗС №67 "Sinooil" </t>
        </is>
      </c>
      <c r="B16" s="604" t="inlineStr">
        <is>
          <t>Приход</t>
        </is>
      </c>
      <c r="C16" s="680" t="n"/>
      <c r="D16" s="798" t="n"/>
      <c r="E16" s="680" t="n"/>
      <c r="F16" s="796" t="n"/>
      <c r="G16" s="680" t="n"/>
      <c r="H16" s="796" t="n"/>
      <c r="I16" s="680" t="n"/>
      <c r="J16" s="790" t="n"/>
      <c r="K16" s="680" t="n"/>
      <c r="L16" s="798" t="n"/>
      <c r="M16" s="680" t="n"/>
      <c r="N16" s="801" t="n"/>
      <c r="O16" s="680" t="n"/>
      <c r="P16" s="799" t="n"/>
      <c r="Q16" s="680" t="n"/>
      <c r="R16" s="796" t="n"/>
      <c r="S16" s="615" t="n">
        <v>1000000</v>
      </c>
      <c r="T16" s="796" t="n"/>
      <c r="U16" s="680" t="n"/>
      <c r="V16" s="798" t="n"/>
      <c r="W16" s="615" t="n">
        <v>1500000</v>
      </c>
      <c r="X16" s="796" t="n"/>
      <c r="Y16" s="680" t="n"/>
      <c r="Z16" s="796" t="n"/>
      <c r="AA16" s="680" t="n"/>
      <c r="AB16" s="796" t="n"/>
      <c r="AC16" s="680" t="n"/>
      <c r="AD16" s="796" t="n"/>
      <c r="AE16" s="615" t="n">
        <v>1000000</v>
      </c>
      <c r="AF16" s="798" t="n"/>
      <c r="AG16" s="680" t="n"/>
      <c r="AH16" s="796" t="n"/>
      <c r="AI16" s="680" t="n"/>
      <c r="AJ16" s="796" t="n"/>
      <c r="AK16" s="680" t="n"/>
      <c r="AL16" s="796" t="n"/>
      <c r="AM16" s="680" t="n"/>
      <c r="AN16" s="796" t="n"/>
      <c r="AO16" s="680" t="n"/>
      <c r="AP16" s="798" t="n"/>
      <c r="AQ16" s="680" t="n"/>
      <c r="AR16" s="796" t="n"/>
      <c r="AS16" s="615" t="n">
        <v>2000000</v>
      </c>
      <c r="AT16" s="796" t="n"/>
      <c r="AU16" s="680" t="n"/>
      <c r="AV16" s="796" t="n"/>
      <c r="AW16" s="680" t="n"/>
      <c r="AX16" s="796" t="n"/>
      <c r="AY16" s="680" t="n"/>
      <c r="AZ16" s="798" t="n"/>
      <c r="BA16" s="680" t="n"/>
      <c r="BB16" s="796" t="n"/>
      <c r="BC16" s="615" t="n">
        <v>2000000</v>
      </c>
      <c r="BD16" s="796" t="n"/>
      <c r="BE16" s="608">
        <f>K16+M16+O16+Q16+S16+U16+W16+Y16+AA16+AC16+AE16+AG16+AI16+AK16+AM16+AO16+AQ16+AS16+AU16+AW16+AY16+BA16+BC16</f>
        <v/>
      </c>
      <c r="BF16" s="608">
        <f>#REF!+L16+N16+P16+R16+T16+V16+X16+Z16+AB16+AD16+AF16+AH16+AJ16+AL16+AN16+AP16+AR16+AT16+AV16+AX16</f>
        <v/>
      </c>
      <c r="BG16" s="602">
        <f>BE16-BF16</f>
        <v/>
      </c>
    </row>
    <row r="17">
      <c r="A17" s="591" t="inlineStr">
        <is>
          <t>100 ТУАР (шинлайн)</t>
        </is>
      </c>
      <c r="B17" s="604" t="inlineStr">
        <is>
          <t>Приход</t>
        </is>
      </c>
      <c r="C17" s="680" t="n"/>
      <c r="D17" s="798" t="n"/>
      <c r="E17" s="680" t="n"/>
      <c r="F17" s="796" t="n"/>
      <c r="G17" s="615" t="n">
        <v>150000</v>
      </c>
      <c r="H17" s="796" t="n"/>
      <c r="I17" s="680" t="n"/>
      <c r="J17" s="796" t="n"/>
      <c r="K17" s="680" t="n"/>
      <c r="L17" s="798" t="n"/>
      <c r="M17" s="680" t="n"/>
      <c r="N17" s="796" t="n"/>
      <c r="O17" s="680" t="n"/>
      <c r="P17" s="799" t="n"/>
      <c r="Q17" s="680" t="n"/>
      <c r="R17" s="796" t="n"/>
      <c r="S17" s="680" t="n"/>
      <c r="T17" s="796" t="n"/>
      <c r="U17" s="680" t="n"/>
      <c r="V17" s="798" t="n"/>
      <c r="W17" s="680" t="n"/>
      <c r="X17" s="796" t="n"/>
      <c r="Y17" s="680" t="n"/>
      <c r="Z17" s="796" t="n"/>
      <c r="AA17" s="680" t="n"/>
      <c r="AB17" s="796" t="n"/>
      <c r="AC17" s="680" t="n"/>
      <c r="AD17" s="796" t="n"/>
      <c r="AE17" s="680" t="n"/>
      <c r="AF17" s="798" t="n"/>
      <c r="AG17" s="680" t="n"/>
      <c r="AH17" s="796" t="n"/>
      <c r="AI17" s="680" t="n"/>
      <c r="AJ17" s="796" t="n"/>
      <c r="AK17" s="680" t="n"/>
      <c r="AL17" s="796" t="n"/>
      <c r="AM17" s="680" t="n"/>
      <c r="AN17" s="796" t="n"/>
      <c r="AO17" s="680" t="n"/>
      <c r="AP17" s="798" t="n"/>
      <c r="AQ17" s="680" t="n"/>
      <c r="AR17" s="796" t="n"/>
      <c r="AS17" s="680" t="n"/>
      <c r="AT17" s="796" t="n"/>
      <c r="AU17" s="680" t="n"/>
      <c r="AV17" s="796" t="n"/>
      <c r="AW17" s="680" t="n"/>
      <c r="AX17" s="796" t="n"/>
      <c r="AY17" s="680" t="n"/>
      <c r="AZ17" s="798" t="n"/>
      <c r="BA17" s="680" t="n"/>
      <c r="BB17" s="796" t="n"/>
      <c r="BC17" s="680" t="n"/>
      <c r="BD17" s="796" t="n"/>
      <c r="BE17" s="608">
        <f>K17+M17+O17+Q17+S17+U17+W17+Y17+AA17+AC17+AE17+AG17+AI17+AK17+AM17+AO17+AQ17+AS17+AU17+AW17+AY17+BA17+BC17</f>
        <v/>
      </c>
      <c r="BF17" s="608">
        <f>#REF!+L17+N17+P17+R17+T17+V17+X17+Z17+AB17+AD17+AF17+AH17+AJ17+AL17+AN17+AP17+AR17+AT17+AV17+AX17</f>
        <v/>
      </c>
      <c r="BG17" s="602">
        <f>BE17-BF17</f>
        <v/>
      </c>
    </row>
    <row r="18">
      <c r="A18" s="591" t="inlineStr">
        <is>
          <t>Даркстор Чоко</t>
        </is>
      </c>
      <c r="B18" s="604" t="inlineStr">
        <is>
          <t>Приход</t>
        </is>
      </c>
      <c r="C18" s="680" t="n"/>
      <c r="D18" s="798" t="n"/>
      <c r="E18" s="680" t="n"/>
      <c r="F18" s="796" t="n"/>
      <c r="G18" s="680" t="n"/>
      <c r="H18" s="796" t="n"/>
      <c r="I18" s="680" t="n"/>
      <c r="J18" s="796" t="n"/>
      <c r="K18" s="680" t="n"/>
      <c r="L18" s="798" t="n"/>
      <c r="M18" s="615" t="n">
        <v>600000</v>
      </c>
      <c r="N18" s="796" t="n"/>
      <c r="O18" s="680" t="n"/>
      <c r="P18" s="799" t="n"/>
      <c r="Q18" s="680" t="n"/>
      <c r="R18" s="796" t="n"/>
      <c r="S18" s="680" t="n"/>
      <c r="T18" s="796" t="n"/>
      <c r="U18" s="615" t="n">
        <v>500000</v>
      </c>
      <c r="V18" s="798" t="n"/>
      <c r="W18" s="680" t="n"/>
      <c r="X18" s="796" t="n"/>
      <c r="Y18" s="615" t="n">
        <v>500000</v>
      </c>
      <c r="Z18" s="796" t="n"/>
      <c r="AA18" s="680" t="n"/>
      <c r="AB18" s="796" t="n"/>
      <c r="AC18" s="680" t="n"/>
      <c r="AD18" s="796" t="n"/>
      <c r="AE18" s="680" t="n"/>
      <c r="AF18" s="798" t="n"/>
      <c r="AG18" s="680" t="n"/>
      <c r="AH18" s="796" t="n"/>
      <c r="AI18" s="680" t="n"/>
      <c r="AJ18" s="796" t="n"/>
      <c r="AK18" s="615" t="n">
        <v>650000</v>
      </c>
      <c r="AL18" s="796" t="n"/>
      <c r="AM18" s="680" t="n"/>
      <c r="AN18" s="796" t="n"/>
      <c r="AO18" s="615" t="n">
        <v>150000</v>
      </c>
      <c r="AP18" s="798" t="n"/>
      <c r="AQ18" s="680" t="n"/>
      <c r="AR18" s="796" t="n"/>
      <c r="AS18" s="615" t="n">
        <v>150000</v>
      </c>
      <c r="AT18" s="796" t="n"/>
      <c r="AU18" s="680" t="n"/>
      <c r="AV18" s="796" t="n"/>
      <c r="AW18" s="680" t="n"/>
      <c r="AX18" s="796" t="n"/>
      <c r="AY18" s="615" t="n">
        <v>150000</v>
      </c>
      <c r="AZ18" s="798" t="n"/>
      <c r="BA18" s="680" t="n"/>
      <c r="BB18" s="796" t="n"/>
      <c r="BC18" s="615" t="n">
        <v>150000</v>
      </c>
      <c r="BD18" s="796" t="n"/>
      <c r="BE18" s="608">
        <f>K18+M18+O18+Q18+S18+U18+W18+Y18+AA18+AC18+AE18+AG18+AI18+AK18+AM18+AO18+AQ18+AS18+AU18+AW18+AY18+BA18+BC18</f>
        <v/>
      </c>
      <c r="BF18" s="608">
        <f>#REF!+L18+N18+P18+R18+T18+V18+X18+Z18+AB18+AD18+AF18+AH18+AJ18+AL18+AN18+AP18+AR18+AT18+AV18+AX18</f>
        <v/>
      </c>
      <c r="BG18" s="602">
        <f>BE18-BF18</f>
        <v/>
      </c>
    </row>
    <row r="19">
      <c r="A19" s="591" t="inlineStr">
        <is>
          <t>Глово, Вольт</t>
        </is>
      </c>
      <c r="B19" s="604" t="inlineStr">
        <is>
          <t>Приход</t>
        </is>
      </c>
      <c r="C19" s="680" t="n"/>
      <c r="D19" s="798" t="n"/>
      <c r="E19" s="680" t="n"/>
      <c r="F19" s="796" t="n"/>
      <c r="G19" s="680" t="n"/>
      <c r="H19" s="796" t="n"/>
      <c r="I19" s="680" t="n"/>
      <c r="J19" s="802" t="n"/>
      <c r="K19" s="615" t="n">
        <v>100000</v>
      </c>
      <c r="L19" s="798" t="n"/>
      <c r="M19" s="615" t="n"/>
      <c r="N19" s="801" t="n"/>
      <c r="O19" s="615" t="n">
        <v>200000</v>
      </c>
      <c r="P19" s="799" t="n"/>
      <c r="Q19" s="615" t="n">
        <v>200000</v>
      </c>
      <c r="R19" s="796" t="n"/>
      <c r="S19" s="615" t="n">
        <v>100000</v>
      </c>
      <c r="T19" s="796" t="n"/>
      <c r="U19" s="680" t="n"/>
      <c r="V19" s="798" t="n"/>
      <c r="W19" s="615" t="n">
        <v>100000</v>
      </c>
      <c r="X19" s="796" t="n"/>
      <c r="Y19" s="680" t="n"/>
      <c r="Z19" s="796" t="n"/>
      <c r="AA19" s="680" t="n"/>
      <c r="AB19" s="796" t="n"/>
      <c r="AC19" s="615" t="n">
        <v>100000</v>
      </c>
      <c r="AD19" s="796" t="n"/>
      <c r="AE19" s="615" t="n">
        <v>100000</v>
      </c>
      <c r="AF19" s="798" t="n"/>
      <c r="AG19" s="615" t="n">
        <v>100000</v>
      </c>
      <c r="AH19" s="796" t="n"/>
      <c r="AI19" s="615" t="n">
        <v>100000</v>
      </c>
      <c r="AJ19" s="796" t="n"/>
      <c r="AK19" s="615" t="n">
        <v>100000</v>
      </c>
      <c r="AL19" s="796" t="n"/>
      <c r="AM19" s="615" t="n">
        <v>100000</v>
      </c>
      <c r="AN19" s="796" t="n"/>
      <c r="AO19" s="615" t="n">
        <v>200000</v>
      </c>
      <c r="AP19" s="798" t="n"/>
      <c r="AQ19" s="615" t="n">
        <v>100000</v>
      </c>
      <c r="AR19" s="796" t="n"/>
      <c r="AS19" s="615" t="n">
        <v>200000</v>
      </c>
      <c r="AT19" s="796" t="n"/>
      <c r="AU19" s="615" t="n">
        <v>200000</v>
      </c>
      <c r="AV19" s="796" t="n"/>
      <c r="AW19" s="615" t="n">
        <v>200000</v>
      </c>
      <c r="AX19" s="796" t="n"/>
      <c r="AY19" s="615" t="n">
        <v>200000</v>
      </c>
      <c r="AZ19" s="798" t="n"/>
      <c r="BA19" s="615" t="n">
        <v>100000</v>
      </c>
      <c r="BB19" s="796" t="n"/>
      <c r="BC19" s="615" t="n">
        <v>200000</v>
      </c>
      <c r="BD19" s="796" t="n"/>
      <c r="BE19" s="608">
        <f>K19+M19+O19+Q19+S19+U19+W19+Y19+AA19+AC19+AE19+AG19+AI19+AK19+AM19+AO19+AQ19+AS19+AU19+AW19+AY19+BA19+BC19</f>
        <v/>
      </c>
      <c r="BF19" s="608">
        <f>#REF!+L19+N19+P19+R19+T19+V19+X19+Z19+AB19+AD19+AF19+AH19+AJ19+AL19+AN19+AP19+AR19+AT19+AV19+AX19</f>
        <v/>
      </c>
      <c r="BG19" s="602">
        <f>BE19-BF19</f>
        <v/>
      </c>
    </row>
    <row r="20">
      <c r="A20" s="591" t="inlineStr">
        <is>
          <t>Торты</t>
        </is>
      </c>
      <c r="B20" s="604" t="inlineStr">
        <is>
          <t>Приход</t>
        </is>
      </c>
      <c r="C20" s="680" t="n"/>
      <c r="D20" s="798" t="n"/>
      <c r="E20" s="680" t="n"/>
      <c r="F20" s="796" t="n"/>
      <c r="G20" s="680" t="n"/>
      <c r="H20" s="796" t="n"/>
      <c r="I20" s="680" t="n"/>
      <c r="J20" s="796" t="n"/>
      <c r="K20" s="680" t="n"/>
      <c r="L20" s="798" t="n"/>
      <c r="M20" s="680" t="n"/>
      <c r="N20" s="796" t="n"/>
      <c r="O20" s="680" t="n"/>
      <c r="P20" s="799" t="n"/>
      <c r="Q20" s="615" t="n">
        <v>500000</v>
      </c>
      <c r="R20" s="796" t="n"/>
      <c r="S20" s="680" t="n"/>
      <c r="T20" s="796" t="n"/>
      <c r="U20" s="680" t="n"/>
      <c r="V20" s="798" t="n"/>
      <c r="W20" s="680" t="n"/>
      <c r="X20" s="796" t="n"/>
      <c r="Y20" s="680" t="n"/>
      <c r="Z20" s="796" t="n"/>
      <c r="AA20" s="680" t="n"/>
      <c r="AB20" s="796" t="n"/>
      <c r="AC20" s="680" t="n"/>
      <c r="AD20" s="796" t="n"/>
      <c r="AE20" s="680" t="n"/>
      <c r="AF20" s="798" t="n"/>
      <c r="AG20" s="680" t="n"/>
      <c r="AH20" s="796" t="n"/>
      <c r="AI20" s="680" t="n"/>
      <c r="AJ20" s="796" t="n"/>
      <c r="AK20" s="615" t="n">
        <v>300000</v>
      </c>
      <c r="AL20" s="796" t="n"/>
      <c r="AM20" s="680" t="n"/>
      <c r="AN20" s="796" t="n"/>
      <c r="AO20" s="680" t="n"/>
      <c r="AP20" s="798" t="n"/>
      <c r="AQ20" s="680" t="n"/>
      <c r="AR20" s="796" t="n"/>
      <c r="AS20" s="680" t="n"/>
      <c r="AT20" s="796" t="n"/>
      <c r="AU20" s="615" t="n">
        <v>300000</v>
      </c>
      <c r="AV20" s="796" t="n"/>
      <c r="AW20" s="680" t="n"/>
      <c r="AX20" s="796" t="n"/>
      <c r="AY20" s="680" t="n"/>
      <c r="AZ20" s="798" t="n"/>
      <c r="BA20" s="680" t="n"/>
      <c r="BB20" s="796" t="n"/>
      <c r="BC20" s="680" t="n"/>
      <c r="BD20" s="796" t="n"/>
      <c r="BE20" s="608">
        <f>K20+M20+O20+Q20+S20+U20+W20+Y20+AA20+AC20+AE20+AG20+AI20+AK20+AM20+AO20+AQ20+AS20+AU20+AW20+AY20+BA20+BC20</f>
        <v/>
      </c>
      <c r="BF20" s="608">
        <f>#REF!+L20+N20+P20+R20+T20+V20+X20+Z20+AB20+AD20+AF20+AH20+AJ20+AL20+AN20+AP20+AR20+AT20+AV20+AX20</f>
        <v/>
      </c>
      <c r="BG20" s="602">
        <f>BE20-BF20</f>
        <v/>
      </c>
    </row>
    <row r="21">
      <c r="A21" s="623" t="inlineStr">
        <is>
          <t>Итого по банку</t>
        </is>
      </c>
      <c r="B21" s="624" t="inlineStr">
        <is>
          <t>Приход</t>
        </is>
      </c>
      <c r="C21" s="622" t="n">
        <v>0</v>
      </c>
      <c r="D21" s="622">
        <f>SUM(D7:D20)</f>
        <v/>
      </c>
      <c r="E21" s="622">
        <f>SUM(E7:E20)</f>
        <v/>
      </c>
      <c r="F21" s="622">
        <f>SUM(F7:F20)</f>
        <v/>
      </c>
      <c r="G21" s="622">
        <f>SUM(G7:G20)</f>
        <v/>
      </c>
      <c r="H21" s="622">
        <f>SUM(H7:H20)</f>
        <v/>
      </c>
      <c r="I21" s="622">
        <f>SUM(I7:I20)</f>
        <v/>
      </c>
      <c r="J21" s="622">
        <f>SUM(J7:J20)</f>
        <v/>
      </c>
      <c r="K21" s="622">
        <f>SUM(K7:K20)</f>
        <v/>
      </c>
      <c r="L21" s="622">
        <f>SUM(L7:L20)</f>
        <v/>
      </c>
      <c r="M21" s="622">
        <f>SUM(M7:M20)</f>
        <v/>
      </c>
      <c r="N21" s="622">
        <f>SUM(N7:N20)</f>
        <v/>
      </c>
      <c r="O21" s="622">
        <f>SUM(O7:O20)</f>
        <v/>
      </c>
      <c r="P21" s="622">
        <f>SUM(P7:P20)</f>
        <v/>
      </c>
      <c r="Q21" s="622">
        <f>SUM(Q7:Q20)</f>
        <v/>
      </c>
      <c r="R21" s="622">
        <f>SUM(R7:R20)</f>
        <v/>
      </c>
      <c r="S21" s="622">
        <f>SUM(S7:S20)</f>
        <v/>
      </c>
      <c r="T21" s="622">
        <f>SUM(T7:T20)</f>
        <v/>
      </c>
      <c r="U21" s="622">
        <f>SUM(U7:U20)</f>
        <v/>
      </c>
      <c r="V21" s="622">
        <f>SUM(V7:V20)</f>
        <v/>
      </c>
      <c r="W21" s="622">
        <f>SUM(W7:W20)</f>
        <v/>
      </c>
      <c r="X21" s="622">
        <f>SUM(X7:X20)</f>
        <v/>
      </c>
      <c r="Y21" s="622">
        <f>SUM(Y7:Y20)</f>
        <v/>
      </c>
      <c r="Z21" s="622">
        <f>SUM(Z7:Z20)</f>
        <v/>
      </c>
      <c r="AA21" s="622">
        <f>SUM(AA7:AA20)</f>
        <v/>
      </c>
      <c r="AB21" s="622">
        <f>SUM(AB7:AB20)</f>
        <v/>
      </c>
      <c r="AC21" s="622">
        <f>SUM(AC7:AC20)</f>
        <v/>
      </c>
      <c r="AD21" s="622">
        <f>SUM(AD7:AD20)</f>
        <v/>
      </c>
      <c r="AE21" s="622">
        <f>SUM(AE7:AE20)</f>
        <v/>
      </c>
      <c r="AF21" s="622">
        <f>SUM(AF7:AF20)</f>
        <v/>
      </c>
      <c r="AG21" s="622">
        <f>SUM(AG7:AG20)</f>
        <v/>
      </c>
      <c r="AH21" s="622">
        <f>SUM(AH7:AH20)</f>
        <v/>
      </c>
      <c r="AI21" s="622">
        <f>SUM(AI7:AI20)</f>
        <v/>
      </c>
      <c r="AJ21" s="622">
        <f>SUM(AJ7:AJ20)</f>
        <v/>
      </c>
      <c r="AK21" s="622">
        <f>SUM(AK7:AK20)</f>
        <v/>
      </c>
      <c r="AL21" s="622">
        <f>SUM(AL7:AL20)</f>
        <v/>
      </c>
      <c r="AM21" s="622">
        <f>SUM(AM7:AM20)</f>
        <v/>
      </c>
      <c r="AN21" s="622">
        <f>SUM(AN7:AN20)</f>
        <v/>
      </c>
      <c r="AO21" s="622">
        <f>SUM(AO7:AO20)</f>
        <v/>
      </c>
      <c r="AP21" s="622">
        <f>SUM(AP7:AP20)</f>
        <v/>
      </c>
      <c r="AQ21" s="622">
        <f>SUM(AQ7:AQ20)</f>
        <v/>
      </c>
      <c r="AR21" s="622">
        <f>SUM(AR7:AR20)</f>
        <v/>
      </c>
      <c r="AS21" s="622">
        <f>SUM(AS7:AS20)</f>
        <v/>
      </c>
      <c r="AT21" s="622">
        <f>SUM(AT7:AT20)</f>
        <v/>
      </c>
      <c r="AU21" s="622">
        <f>SUM(AU7:AU20)</f>
        <v/>
      </c>
      <c r="AV21" s="622">
        <f>SUM(AV7:AV20)</f>
        <v/>
      </c>
      <c r="AW21" s="622">
        <f>SUM(AW7:AW20)</f>
        <v/>
      </c>
      <c r="AX21" s="622">
        <f>SUM(AX7:AX20)</f>
        <v/>
      </c>
      <c r="AY21" s="622">
        <f>SUM(AY7:AY20)</f>
        <v/>
      </c>
      <c r="AZ21" s="622">
        <f>SUM(AZ7:AZ20)</f>
        <v/>
      </c>
      <c r="BA21" s="622">
        <f>SUM(BA7:BA20)</f>
        <v/>
      </c>
      <c r="BB21" s="622">
        <f>SUM(BB7:BB20)</f>
        <v/>
      </c>
      <c r="BC21" s="622">
        <f>SUM(BC7:BC20)</f>
        <v/>
      </c>
      <c r="BD21" s="622">
        <f>SUM(BD7:BD20)</f>
        <v/>
      </c>
      <c r="BE21" s="608">
        <f>K21+M21+O21+Q21+S21+U21+W21+Y21+AA21+AC21+AE21+AG21+AI21+AK21+AM21+AO21+AQ21+AS21+AU21+AW21+AY21+BA21+BC21</f>
        <v/>
      </c>
      <c r="BF21" s="625">
        <f>#REF!+L21+N21+P21+R21+T21+V21+X21+Z21+AB21+AD21+AF21+AH21+AJ21+AL21+AN21+AP21+AR21+AT21+AV21+AX21</f>
        <v/>
      </c>
      <c r="BG21" s="626">
        <f>BE21-BF21</f>
        <v/>
      </c>
    </row>
    <row r="22">
      <c r="A22" s="591" t="inlineStr">
        <is>
          <t>97- Кейтеринг гость</t>
        </is>
      </c>
      <c r="B22" s="604" t="inlineStr">
        <is>
          <t>Приход</t>
        </is>
      </c>
      <c r="C22" s="680" t="n"/>
      <c r="D22" s="798" t="n"/>
      <c r="E22" s="680" t="n"/>
      <c r="F22" s="796" t="n"/>
      <c r="G22" s="680" t="n"/>
      <c r="H22" s="796" t="n"/>
      <c r="I22" s="680" t="n"/>
      <c r="J22" s="796" t="n"/>
      <c r="K22" s="680" t="n"/>
      <c r="L22" s="798" t="n"/>
      <c r="M22" s="680" t="n"/>
      <c r="N22" s="796" t="n"/>
      <c r="O22" s="680" t="n"/>
      <c r="P22" s="796" t="n"/>
      <c r="Q22" s="615" t="n">
        <v>450000</v>
      </c>
      <c r="R22" s="796" t="n"/>
      <c r="S22" s="680" t="n"/>
      <c r="T22" s="796" t="n"/>
      <c r="U22" s="680" t="n"/>
      <c r="V22" s="798" t="n"/>
      <c r="W22" s="680" t="n"/>
      <c r="X22" s="796" t="n"/>
      <c r="Y22" s="680" t="n"/>
      <c r="Z22" s="796" t="n"/>
      <c r="AA22" s="615" t="n">
        <v>250000</v>
      </c>
      <c r="AB22" s="796" t="n"/>
      <c r="AC22" s="680" t="n"/>
      <c r="AD22" s="796" t="n"/>
      <c r="AE22" s="680" t="n"/>
      <c r="AF22" s="798" t="n"/>
      <c r="AG22" s="615" t="n">
        <v>300000</v>
      </c>
      <c r="AH22" s="796" t="n"/>
      <c r="AI22" s="680" t="n"/>
      <c r="AJ22" s="796" t="n"/>
      <c r="AK22" s="680" t="n"/>
      <c r="AL22" s="796" t="n"/>
      <c r="AM22" s="680" t="n"/>
      <c r="AN22" s="798" t="n"/>
      <c r="AO22" s="680" t="n"/>
      <c r="AP22" s="798" t="n"/>
      <c r="AQ22" s="615" t="n">
        <v>500000</v>
      </c>
      <c r="AR22" s="796" t="n"/>
      <c r="AS22" s="680" t="n"/>
      <c r="AT22" s="796" t="n"/>
      <c r="AU22" s="680" t="n"/>
      <c r="AV22" s="796" t="n"/>
      <c r="AW22" s="680" t="n"/>
      <c r="AX22" s="796" t="n"/>
      <c r="AY22" s="680" t="n"/>
      <c r="AZ22" s="798" t="n"/>
      <c r="BA22" s="615" t="n">
        <v>500000</v>
      </c>
      <c r="BB22" s="796" t="n"/>
      <c r="BC22" s="680" t="n"/>
      <c r="BD22" s="796" t="n"/>
      <c r="BE22" s="608">
        <f>K22+M22+O22+Q22+S22+U22+W22+Y22+AA22+AC22+AE22+AG22+AI22+AK22+AM22+AO22+AQ22+AS22+AU22+AW22+AY22+BA22+BC22</f>
        <v/>
      </c>
      <c r="BF22" s="608">
        <f>#REF!+L22+N22+P22+R22+T22+V22+X22+Z22+AB22+AD22+AF22+AH22+AJ22+AL22+AN22+AP22+AR22+AT22+AV22+AX22</f>
        <v/>
      </c>
      <c r="BG22" s="602">
        <f>BE22-BF22</f>
        <v/>
      </c>
    </row>
    <row r="23">
      <c r="A23" s="591" t="inlineStr">
        <is>
          <t>Возврат с подотчета, Кредит</t>
        </is>
      </c>
      <c r="B23" s="604" t="inlineStr">
        <is>
          <t>Приход</t>
        </is>
      </c>
      <c r="C23" s="680" t="n"/>
      <c r="D23" s="798" t="n"/>
      <c r="E23" s="680" t="n"/>
      <c r="F23" s="796" t="n"/>
      <c r="G23" s="680" t="n"/>
      <c r="H23" s="801" t="n">
        <v>40000</v>
      </c>
      <c r="I23" s="680" t="n"/>
      <c r="J23" s="796" t="n"/>
      <c r="K23" s="680" t="n"/>
      <c r="L23" s="798" t="n"/>
      <c r="M23" s="680" t="n"/>
      <c r="N23" s="796" t="n"/>
      <c r="O23" s="680" t="n"/>
      <c r="P23" s="796" t="n"/>
      <c r="Q23" s="680" t="n"/>
      <c r="R23" s="796" t="n"/>
      <c r="S23" s="680" t="n"/>
      <c r="T23" s="796" t="n"/>
      <c r="U23" s="680" t="n"/>
      <c r="V23" s="798" t="n"/>
      <c r="W23" s="680" t="n"/>
      <c r="X23" s="796" t="n"/>
      <c r="Y23" s="680" t="n"/>
      <c r="Z23" s="796" t="n"/>
      <c r="AA23" s="615" t="n"/>
      <c r="AB23" s="796" t="n"/>
      <c r="AC23" s="680" t="n"/>
      <c r="AD23" s="796" t="n"/>
      <c r="AE23" s="680" t="n"/>
      <c r="AF23" s="798" t="n"/>
      <c r="AG23" s="680" t="n"/>
      <c r="AH23" s="796" t="n"/>
      <c r="AI23" s="680" t="n"/>
      <c r="AJ23" s="796" t="n"/>
      <c r="AK23" s="680" t="n"/>
      <c r="AL23" s="796" t="n"/>
      <c r="AM23" s="680" t="n"/>
      <c r="AN23" s="798" t="n"/>
      <c r="AO23" s="680" t="n"/>
      <c r="AP23" s="798" t="n"/>
      <c r="AQ23" s="680" t="n"/>
      <c r="AR23" s="796" t="n"/>
      <c r="AS23" s="680" t="n"/>
      <c r="AT23" s="796" t="n"/>
      <c r="AU23" s="680" t="n"/>
      <c r="AV23" s="796" t="n"/>
      <c r="AW23" s="680" t="n"/>
      <c r="AX23" s="796" t="n"/>
      <c r="AY23" s="680" t="n"/>
      <c r="AZ23" s="798" t="n"/>
      <c r="BA23" s="680" t="n"/>
      <c r="BB23" s="796" t="n"/>
      <c r="BC23" s="680" t="n"/>
      <c r="BD23" s="796" t="n"/>
      <c r="BE23" s="608">
        <f>K23+M23+O23+Q23+S23+U23+W23+Y23+AA23+AC23+AE23+AG23+AI23+AK23+AM23+AO23+AQ23+AS23+AU23+AW23+AY23+BA23+BC23</f>
        <v/>
      </c>
      <c r="BF23" s="608">
        <f>#REF!+L23+N23+P23+R23+T23+V23+X23+Z23+AB23+AD23+AF23+AH23+AJ23+AL23+AN23+AP23+AR23+AT23+AV23+AX23</f>
        <v/>
      </c>
      <c r="BG23" s="602">
        <f>BE23-BF23</f>
        <v/>
      </c>
    </row>
    <row r="24">
      <c r="A24" s="591" t="inlineStr">
        <is>
          <t>Crave</t>
        </is>
      </c>
      <c r="B24" s="604" t="inlineStr">
        <is>
          <t>Приход</t>
        </is>
      </c>
      <c r="C24" s="680" t="n"/>
      <c r="D24" s="798" t="n"/>
      <c r="E24" s="680" t="n"/>
      <c r="F24" s="796" t="n"/>
      <c r="G24" s="680" t="n"/>
      <c r="H24" s="796" t="n"/>
      <c r="I24" s="680" t="n"/>
      <c r="J24" s="801" t="n">
        <v>600000</v>
      </c>
      <c r="K24" s="615" t="n">
        <v>600000</v>
      </c>
      <c r="L24" s="793" t="n"/>
      <c r="M24" s="680" t="n"/>
      <c r="N24" s="796" t="n"/>
      <c r="O24" s="680" t="n"/>
      <c r="P24" s="796" t="n"/>
      <c r="Q24" s="615" t="n">
        <v>600000</v>
      </c>
      <c r="R24" s="796" t="n"/>
      <c r="S24" s="680" t="n"/>
      <c r="T24" s="796" t="n"/>
      <c r="U24" s="615" t="n">
        <v>600000</v>
      </c>
      <c r="V24" s="793" t="n"/>
      <c r="W24" s="680" t="n"/>
      <c r="X24" s="796" t="n"/>
      <c r="Y24" s="680" t="n"/>
      <c r="Z24" s="796" t="n"/>
      <c r="AA24" s="615" t="n">
        <v>600000</v>
      </c>
      <c r="AB24" s="796" t="n"/>
      <c r="AC24" s="680" t="n"/>
      <c r="AD24" s="796" t="n"/>
      <c r="AE24" s="615" t="n">
        <v>600000</v>
      </c>
      <c r="AF24" s="793" t="n"/>
      <c r="AG24" s="680" t="n"/>
      <c r="AH24" s="796" t="n"/>
      <c r="AI24" s="680" t="n"/>
      <c r="AJ24" s="796" t="n"/>
      <c r="AK24" s="615" t="n">
        <v>600000</v>
      </c>
      <c r="AL24" s="796" t="n"/>
      <c r="AM24" s="680" t="n"/>
      <c r="AN24" s="798" t="n"/>
      <c r="AO24" s="615" t="n">
        <v>600000</v>
      </c>
      <c r="AP24" s="793" t="n"/>
      <c r="AQ24" s="680" t="n"/>
      <c r="AR24" s="796" t="n"/>
      <c r="AS24" s="680" t="n"/>
      <c r="AT24" s="796" t="n"/>
      <c r="AU24" s="615" t="n">
        <v>600000</v>
      </c>
      <c r="AV24" s="796" t="n"/>
      <c r="AW24" s="680" t="n"/>
      <c r="AX24" s="796" t="n"/>
      <c r="AY24" s="615" t="n">
        <v>600000</v>
      </c>
      <c r="AZ24" s="793" t="n"/>
      <c r="BA24" s="680" t="n"/>
      <c r="BB24" s="796" t="n"/>
      <c r="BC24" s="680" t="n"/>
      <c r="BD24" s="796" t="n"/>
      <c r="BE24" s="608">
        <f>K24+M24+O24+Q24+S24+U24+W24+Y24+AA24+AC24+AE24+AG24+AI24+AK24+AM24+AO24+AQ24+AS24+AU24+AW24+AY24+BA24+BC24</f>
        <v/>
      </c>
      <c r="BF24" s="608">
        <f>#REF!+L24+N24+P24+R24+T24+V24+X24+Z24+AB24+AD24+AF24+AH24+AJ24+AL24+AN24+AP24+AR24+AT24+AV24+AX24</f>
        <v/>
      </c>
      <c r="BG24" s="602">
        <f>BE24-BF24</f>
        <v/>
      </c>
    </row>
    <row r="25">
      <c r="A25" s="591" t="inlineStr">
        <is>
          <t>7-Kaspi Банк (нал)</t>
        </is>
      </c>
      <c r="B25" s="604" t="inlineStr">
        <is>
          <t>Приход</t>
        </is>
      </c>
      <c r="C25" s="680" t="n"/>
      <c r="D25" s="798" t="n"/>
      <c r="E25" s="680" t="n"/>
      <c r="F25" s="796" t="n"/>
      <c r="G25" s="680" t="n"/>
      <c r="H25" s="796" t="n"/>
      <c r="I25" s="680" t="n"/>
      <c r="J25" s="796" t="n"/>
      <c r="K25" s="680" t="n"/>
      <c r="L25" s="798" t="n"/>
      <c r="M25" s="680" t="n"/>
      <c r="N25" s="796" t="n"/>
      <c r="O25" s="615" t="n"/>
      <c r="P25" s="796" t="n"/>
      <c r="Q25" s="615" t="n">
        <v>1000000</v>
      </c>
      <c r="R25" s="796" t="n"/>
      <c r="S25" s="680" t="n"/>
      <c r="T25" s="796" t="n"/>
      <c r="U25" s="680" t="n"/>
      <c r="V25" s="798" t="n"/>
      <c r="W25" s="680" t="n"/>
      <c r="X25" s="796" t="n"/>
      <c r="Y25" s="615" t="n"/>
      <c r="Z25" s="796" t="n"/>
      <c r="AA25" s="615" t="n">
        <v>1000000</v>
      </c>
      <c r="AB25" s="796" t="n"/>
      <c r="AC25" s="680" t="n"/>
      <c r="AD25" s="796" t="n"/>
      <c r="AE25" s="680" t="n"/>
      <c r="AF25" s="798" t="n"/>
      <c r="AG25" s="680" t="n"/>
      <c r="AH25" s="796" t="n"/>
      <c r="AI25" s="615" t="n"/>
      <c r="AJ25" s="796" t="n"/>
      <c r="AK25" s="615" t="n">
        <v>1000000</v>
      </c>
      <c r="AL25" s="796" t="n"/>
      <c r="AM25" s="680" t="n"/>
      <c r="AN25" s="798" t="n"/>
      <c r="AO25" s="680" t="n"/>
      <c r="AP25" s="798" t="n"/>
      <c r="AQ25" s="680" t="n"/>
      <c r="AR25" s="796" t="n"/>
      <c r="AS25" s="615" t="n"/>
      <c r="AT25" s="796" t="n"/>
      <c r="AU25" s="615" t="n">
        <v>1000000</v>
      </c>
      <c r="AV25" s="796" t="n"/>
      <c r="AW25" s="680" t="n"/>
      <c r="AX25" s="796" t="n"/>
      <c r="AY25" s="680" t="n"/>
      <c r="AZ25" s="798" t="n"/>
      <c r="BA25" s="680" t="n"/>
      <c r="BB25" s="796" t="n"/>
      <c r="BC25" s="615" t="n"/>
      <c r="BD25" s="796" t="n"/>
      <c r="BE25" s="608">
        <f>K25+M25+O25+Q25+S25+U25+W25+Y25+AA25+AC25+AE25+AG25+AI25+AK25+AM25+AO25+AQ25+AS25+AU25+AW25+AY25+BA25+BC25</f>
        <v/>
      </c>
      <c r="BF25" s="608">
        <f>#REF!+L25+N25+P25+R25+T25+V25+X25+Z25+AB25+AD25+AF25+AH25+AJ25+AL25+AN25+AP25+AR25+AT25+AV25+AX25</f>
        <v/>
      </c>
      <c r="BG25" s="602">
        <f>BE25-BF25</f>
        <v/>
      </c>
    </row>
    <row r="26">
      <c r="A26" s="591" t="inlineStr">
        <is>
          <t>Частное лицо (Покупатель)</t>
        </is>
      </c>
      <c r="B26" s="604" t="inlineStr">
        <is>
          <t>Приход</t>
        </is>
      </c>
      <c r="C26" s="680" t="n"/>
      <c r="D26" s="798" t="n"/>
      <c r="E26" s="680" t="n"/>
      <c r="F26" s="796" t="n"/>
      <c r="G26" s="680" t="n"/>
      <c r="H26" s="796" t="n"/>
      <c r="I26" s="680" t="n"/>
      <c r="J26" s="796" t="n"/>
      <c r="K26" s="680" t="n"/>
      <c r="L26" s="798" t="n"/>
      <c r="M26" s="680" t="n"/>
      <c r="N26" s="796" t="n"/>
      <c r="O26" s="680" t="n"/>
      <c r="P26" s="799" t="n"/>
      <c r="Q26" s="615" t="n">
        <v>200000</v>
      </c>
      <c r="R26" s="796" t="n"/>
      <c r="S26" s="680" t="n"/>
      <c r="T26" s="796" t="n"/>
      <c r="U26" s="680" t="n"/>
      <c r="V26" s="798" t="n"/>
      <c r="W26" s="680" t="n"/>
      <c r="X26" s="796" t="n"/>
      <c r="Y26" s="680" t="n"/>
      <c r="Z26" s="796" t="n"/>
      <c r="AA26" s="615" t="n">
        <v>400000</v>
      </c>
      <c r="AB26" s="796" t="n"/>
      <c r="AC26" s="680" t="n"/>
      <c r="AD26" s="796" t="n"/>
      <c r="AE26" s="680" t="n"/>
      <c r="AF26" s="798" t="n"/>
      <c r="AG26" s="680" t="n"/>
      <c r="AH26" s="796" t="n"/>
      <c r="AI26" s="680" t="n"/>
      <c r="AJ26" s="796" t="n"/>
      <c r="AK26" s="615" t="n">
        <v>200000</v>
      </c>
      <c r="AL26" s="798" t="n"/>
      <c r="AM26" s="680" t="n"/>
      <c r="AN26" s="798" t="n"/>
      <c r="AO26" s="680" t="n"/>
      <c r="AP26" s="798" t="n"/>
      <c r="AQ26" s="615" t="n">
        <v>200000</v>
      </c>
      <c r="AR26" s="796" t="n"/>
      <c r="AS26" s="680" t="n"/>
      <c r="AT26" s="796" t="n"/>
      <c r="AU26" s="680" t="n"/>
      <c r="AV26" s="796" t="n"/>
      <c r="AW26" s="680" t="n"/>
      <c r="AX26" s="796" t="n"/>
      <c r="AY26" s="680" t="n"/>
      <c r="AZ26" s="798" t="n"/>
      <c r="BA26" s="615" t="n">
        <v>200000</v>
      </c>
      <c r="BB26" s="796" t="n"/>
      <c r="BC26" s="680" t="n"/>
      <c r="BD26" s="796" t="n"/>
      <c r="BE26" s="608">
        <f>K26+M26+O26+Q26+S26+U26+W26+Y26+AA26+AC26+AE26+AG26+AI26+AK26+AM26+AO26+AQ26+AS26+AU26+AW26+AY26+BA26+BC26</f>
        <v/>
      </c>
      <c r="BF26" s="608">
        <f>#REF!+L26+N26+P26+R26+T26+V26+X26+Z26+AB26+AD26+AF26+AH26+AJ26+AL26+AN26+AP26+AR26+AT26+AV26+AX26</f>
        <v/>
      </c>
      <c r="BG26" s="602">
        <f>BE26-BF26</f>
        <v/>
      </c>
    </row>
    <row r="27">
      <c r="A27" s="591" t="inlineStr">
        <is>
          <t>98-FOOD vending : СКЛАД АППАРАТ №1 (ФЗ Ермагамбет)</t>
        </is>
      </c>
      <c r="B27" s="604" t="inlineStr">
        <is>
          <t>Приход</t>
        </is>
      </c>
      <c r="C27" s="680" t="n"/>
      <c r="D27" s="798" t="n"/>
      <c r="E27" s="680" t="n"/>
      <c r="F27" s="796" t="n"/>
      <c r="G27" s="680" t="n"/>
      <c r="H27" s="796" t="n"/>
      <c r="I27" s="680" t="n"/>
      <c r="J27" s="796" t="n"/>
      <c r="K27" s="680" t="n"/>
      <c r="L27" s="798" t="n"/>
      <c r="M27" s="680" t="n"/>
      <c r="N27" s="796" t="n"/>
      <c r="O27" s="680" t="n"/>
      <c r="P27" s="796" t="n"/>
      <c r="Q27" s="615" t="n">
        <v>1500000</v>
      </c>
      <c r="R27" s="796" t="n"/>
      <c r="S27" s="680" t="n"/>
      <c r="T27" s="796" t="n"/>
      <c r="U27" s="680" t="n"/>
      <c r="V27" s="798" t="n"/>
      <c r="W27" s="680" t="n"/>
      <c r="X27" s="796" t="n"/>
      <c r="Y27" s="680" t="n"/>
      <c r="Z27" s="796" t="n"/>
      <c r="AA27" s="615" t="n">
        <v>1500000</v>
      </c>
      <c r="AB27" s="796" t="n"/>
      <c r="AC27" s="680" t="n"/>
      <c r="AD27" s="796" t="n"/>
      <c r="AE27" s="680" t="n"/>
      <c r="AF27" s="798" t="n"/>
      <c r="AG27" s="680" t="n"/>
      <c r="AH27" s="796" t="n"/>
      <c r="AI27" s="680" t="n"/>
      <c r="AJ27" s="796" t="n"/>
      <c r="AK27" s="615" t="n">
        <v>1500000</v>
      </c>
      <c r="AL27" s="796" t="n"/>
      <c r="AM27" s="680" t="n"/>
      <c r="AN27" s="798" t="n"/>
      <c r="AO27" s="680" t="n"/>
      <c r="AP27" s="798" t="n"/>
      <c r="AQ27" s="680" t="n"/>
      <c r="AR27" s="796" t="n"/>
      <c r="AS27" s="680" t="n"/>
      <c r="AT27" s="796" t="n"/>
      <c r="AU27" s="615" t="n">
        <v>1500000</v>
      </c>
      <c r="AV27" s="796" t="n"/>
      <c r="AW27" s="680" t="n"/>
      <c r="AX27" s="796" t="n"/>
      <c r="AY27" s="680" t="n"/>
      <c r="AZ27" s="798" t="n"/>
      <c r="BA27" s="680" t="n"/>
      <c r="BB27" s="796" t="n"/>
      <c r="BC27" s="680" t="n"/>
      <c r="BD27" s="796" t="n"/>
      <c r="BE27" s="608">
        <f>K27+M27+O27+Q27+S27+U27+W27+Y27+AA27+AC27+AE27+AG27+AI27+AK27+AM27+AO27+AQ27+AS27+AU27+AW27+AY27+BA27+BC27</f>
        <v/>
      </c>
      <c r="BF27" s="608">
        <f>#REF!+L27+N27+P27+R27+T27+V27+X27+Z27+AB27+AD27+AF27+AH27+AJ27+AL27+AN27+AP27+AR27+AT27+AV27+AX27</f>
        <v/>
      </c>
      <c r="BG27" s="602">
        <f>BE27-BF27</f>
        <v/>
      </c>
    </row>
    <row r="28">
      <c r="A28" s="627" t="inlineStr">
        <is>
          <t>Итого по кассе</t>
        </is>
      </c>
      <c r="B28" s="596" t="inlineStr">
        <is>
          <t>Приход</t>
        </is>
      </c>
      <c r="C28" s="783" t="n">
        <v>0</v>
      </c>
      <c r="D28" s="786">
        <f>SUM(D22:D27)</f>
        <v/>
      </c>
      <c r="E28" s="783">
        <f>SUM(E22:E27)</f>
        <v/>
      </c>
      <c r="F28" s="784">
        <f>SUM(F22:F27)</f>
        <v/>
      </c>
      <c r="G28" s="783">
        <f>SUM(G22:G27)</f>
        <v/>
      </c>
      <c r="H28" s="784">
        <f>SUM(H22:H27)</f>
        <v/>
      </c>
      <c r="I28" s="783">
        <f>SUM(I22:I27)</f>
        <v/>
      </c>
      <c r="J28" s="784">
        <f>SUM(J22:J27)</f>
        <v/>
      </c>
      <c r="K28" s="783">
        <f>SUM(K22:K27)</f>
        <v/>
      </c>
      <c r="L28" s="786">
        <f>SUM(L22:L27)</f>
        <v/>
      </c>
      <c r="M28" s="783">
        <f>SUM(M22:M27)</f>
        <v/>
      </c>
      <c r="N28" s="784">
        <f>SUM(N22:N27)</f>
        <v/>
      </c>
      <c r="O28" s="783">
        <f>SUM(O22:O27)</f>
        <v/>
      </c>
      <c r="P28" s="784">
        <f>SUM(P22:P27)</f>
        <v/>
      </c>
      <c r="Q28" s="783">
        <f>SUM(Q22:Q27)</f>
        <v/>
      </c>
      <c r="R28" s="784">
        <f>SUM(R22:R27)</f>
        <v/>
      </c>
      <c r="S28" s="783">
        <f>SUM(S22:S27)</f>
        <v/>
      </c>
      <c r="T28" s="784">
        <f>SUM(T22:T27)</f>
        <v/>
      </c>
      <c r="U28" s="783">
        <f>SUM(U22:U27)</f>
        <v/>
      </c>
      <c r="V28" s="786">
        <f>SUM(V22:V27)</f>
        <v/>
      </c>
      <c r="W28" s="783">
        <f>SUM(W22:W27)</f>
        <v/>
      </c>
      <c r="X28" s="784">
        <f>SUM(X22:X27)</f>
        <v/>
      </c>
      <c r="Y28" s="783">
        <f>SUM(Y22:Y27)</f>
        <v/>
      </c>
      <c r="Z28" s="784">
        <f>SUM(Z22:Z27)</f>
        <v/>
      </c>
      <c r="AA28" s="783">
        <f>SUM(AA22:AA27)</f>
        <v/>
      </c>
      <c r="AB28" s="784">
        <f>SUM(AB22:AB27)</f>
        <v/>
      </c>
      <c r="AC28" s="783">
        <f>SUM(AC22:AC27)</f>
        <v/>
      </c>
      <c r="AD28" s="784">
        <f>SUM(AD22:AD27)</f>
        <v/>
      </c>
      <c r="AE28" s="783">
        <f>SUM(AE22:AE27)</f>
        <v/>
      </c>
      <c r="AF28" s="784">
        <f>SUM(AF22:AF27)</f>
        <v/>
      </c>
      <c r="AG28" s="783">
        <f>SUM(AG22:AG27)</f>
        <v/>
      </c>
      <c r="AH28" s="784">
        <f>SUM(AH22:AH27)</f>
        <v/>
      </c>
      <c r="AI28" s="783">
        <f>SUM(AI22:AI27)</f>
        <v/>
      </c>
      <c r="AJ28" s="784">
        <f>SUM(AJ22:AJ27)</f>
        <v/>
      </c>
      <c r="AK28" s="783">
        <f>SUM(AK22:AK27)</f>
        <v/>
      </c>
      <c r="AL28" s="784">
        <f>SUM(AL22:AL27)</f>
        <v/>
      </c>
      <c r="AM28" s="783">
        <f>SUM(AM22:AM27)</f>
        <v/>
      </c>
      <c r="AN28" s="786">
        <f>SUM(AN22:AN27)</f>
        <v/>
      </c>
      <c r="AO28" s="783">
        <f>SUM(AO22:AO27)</f>
        <v/>
      </c>
      <c r="AP28" s="786">
        <f>SUM(AP22:AP27)</f>
        <v/>
      </c>
      <c r="AQ28" s="783">
        <f>SUM(AQ22:AQ27)</f>
        <v/>
      </c>
      <c r="AR28" s="784">
        <f>SUM(AR22:AR27)</f>
        <v/>
      </c>
      <c r="AS28" s="783">
        <f>SUM(AS22:AS27)</f>
        <v/>
      </c>
      <c r="AT28" s="784">
        <f>SUM(AT22:AT27)</f>
        <v/>
      </c>
      <c r="AU28" s="783">
        <f>SUM(AU22:AU27)</f>
        <v/>
      </c>
      <c r="AV28" s="784">
        <f>SUM(AV22:AV27)</f>
        <v/>
      </c>
      <c r="AW28" s="783">
        <f>SUM(AW22:AW27)</f>
        <v/>
      </c>
      <c r="AX28" s="784">
        <f>SUM(AX22:AX27)</f>
        <v/>
      </c>
      <c r="AY28" s="783">
        <f>SUM(AY22:AY27)</f>
        <v/>
      </c>
      <c r="AZ28" s="786">
        <f>SUM(AZ22:AZ27)</f>
        <v/>
      </c>
      <c r="BA28" s="783">
        <f>SUM(BA22:BA27)</f>
        <v/>
      </c>
      <c r="BB28" s="784">
        <f>SUM(BB22:BB27)</f>
        <v/>
      </c>
      <c r="BC28" s="783">
        <f>SUM(BC22:BC27)</f>
        <v/>
      </c>
      <c r="BD28" s="784">
        <f>SUM(BD22:BD27)</f>
        <v/>
      </c>
      <c r="BE28" s="608">
        <f>K28+M28+O28+Q28+S28+U28+W28+Y28+AA28+AC28+AE28+AG28+AI28+AK28+AM28+AO28+AQ28+AS28+AU28+AW28+AY28+BA28+BC28</f>
        <v/>
      </c>
      <c r="BF28" s="608">
        <f>#REF!+L28+N28+P28+R28+T28+V28+X28+Z28+AB28+AD28+AF28+AH28+AJ28+AL28+AN28+AP28+AR28+AT28+AV28+AX28</f>
        <v/>
      </c>
      <c r="BG28" s="602">
        <f>BE28-BF28</f>
        <v/>
      </c>
    </row>
    <row r="29">
      <c r="A29" s="629" t="inlineStr">
        <is>
          <t>1.Выручка</t>
        </is>
      </c>
      <c r="B29" s="630" t="inlineStr">
        <is>
          <t>Приход</t>
        </is>
      </c>
      <c r="C29" s="628" t="n">
        <v>0</v>
      </c>
      <c r="D29" s="628">
        <f>D21+D28</f>
        <v/>
      </c>
      <c r="E29" s="628">
        <f>E21+E28</f>
        <v/>
      </c>
      <c r="F29" s="628">
        <f>F21+F28</f>
        <v/>
      </c>
      <c r="G29" s="628">
        <f>G21+G28</f>
        <v/>
      </c>
      <c r="H29" s="628">
        <f>H21+H28</f>
        <v/>
      </c>
      <c r="I29" s="628">
        <f>I21+I28</f>
        <v/>
      </c>
      <c r="J29" s="628">
        <f>J21+J28</f>
        <v/>
      </c>
      <c r="K29" s="628">
        <f>K21+K28</f>
        <v/>
      </c>
      <c r="L29" s="628">
        <f>L21+L28</f>
        <v/>
      </c>
      <c r="M29" s="628">
        <f>M21+M28</f>
        <v/>
      </c>
      <c r="N29" s="628">
        <f>N21+N28</f>
        <v/>
      </c>
      <c r="O29" s="628">
        <f>O21+O28</f>
        <v/>
      </c>
      <c r="P29" s="628">
        <f>P21+P28</f>
        <v/>
      </c>
      <c r="Q29" s="628">
        <f>Q21+Q28</f>
        <v/>
      </c>
      <c r="R29" s="628">
        <f>R21+R28</f>
        <v/>
      </c>
      <c r="S29" s="628">
        <f>S21+S28</f>
        <v/>
      </c>
      <c r="T29" s="628">
        <f>T21+T28</f>
        <v/>
      </c>
      <c r="U29" s="628">
        <f>U21+U28</f>
        <v/>
      </c>
      <c r="V29" s="628">
        <f>V21+V28</f>
        <v/>
      </c>
      <c r="W29" s="628">
        <f>W21+W28</f>
        <v/>
      </c>
      <c r="X29" s="628">
        <f>X21+X28</f>
        <v/>
      </c>
      <c r="Y29" s="628">
        <f>Y21+Y28</f>
        <v/>
      </c>
      <c r="Z29" s="628">
        <f>Z21+Z28</f>
        <v/>
      </c>
      <c r="AA29" s="628">
        <f>AA21+AA28</f>
        <v/>
      </c>
      <c r="AB29" s="628">
        <f>AB21+AB28</f>
        <v/>
      </c>
      <c r="AC29" s="628">
        <f>AC21+AC28</f>
        <v/>
      </c>
      <c r="AD29" s="628">
        <f>AD21+AD28</f>
        <v/>
      </c>
      <c r="AE29" s="628">
        <f>AE21+AE28</f>
        <v/>
      </c>
      <c r="AF29" s="628">
        <f>AF21+AF28</f>
        <v/>
      </c>
      <c r="AG29" s="628">
        <f>AG21+AG28</f>
        <v/>
      </c>
      <c r="AH29" s="628">
        <f>AH21+AH28</f>
        <v/>
      </c>
      <c r="AI29" s="628">
        <f>AI21+AI28</f>
        <v/>
      </c>
      <c r="AJ29" s="628">
        <f>AJ21+AJ28</f>
        <v/>
      </c>
      <c r="AK29" s="628">
        <f>AK21+AK28</f>
        <v/>
      </c>
      <c r="AL29" s="628">
        <f>AL21+AL28</f>
        <v/>
      </c>
      <c r="AM29" s="628">
        <f>AM21+AM28</f>
        <v/>
      </c>
      <c r="AN29" s="628">
        <f>AN21+AN28</f>
        <v/>
      </c>
      <c r="AO29" s="628">
        <f>AO21+AO28</f>
        <v/>
      </c>
      <c r="AP29" s="628">
        <f>AP21+AP28</f>
        <v/>
      </c>
      <c r="AQ29" s="628">
        <f>AQ21+AQ28</f>
        <v/>
      </c>
      <c r="AR29" s="628">
        <f>AR21+AR28</f>
        <v/>
      </c>
      <c r="AS29" s="628">
        <f>AS21+AS28</f>
        <v/>
      </c>
      <c r="AT29" s="628">
        <f>AT21+AT28</f>
        <v/>
      </c>
      <c r="AU29" s="628">
        <f>AU21+AU28</f>
        <v/>
      </c>
      <c r="AV29" s="628">
        <f>AV21+AV28</f>
        <v/>
      </c>
      <c r="AW29" s="628">
        <f>AW21+AW28</f>
        <v/>
      </c>
      <c r="AX29" s="628">
        <f>AX21+AX28</f>
        <v/>
      </c>
      <c r="AY29" s="628">
        <f>AY21+AY28</f>
        <v/>
      </c>
      <c r="AZ29" s="628">
        <f>AZ21+AZ28</f>
        <v/>
      </c>
      <c r="BA29" s="628">
        <f>BA21+BA28</f>
        <v/>
      </c>
      <c r="BB29" s="628">
        <f>BB21+BB28</f>
        <v/>
      </c>
      <c r="BC29" s="628">
        <f>BC21+BC28</f>
        <v/>
      </c>
      <c r="BD29" s="628">
        <f>BD21+BD28</f>
        <v/>
      </c>
      <c r="BE29" s="608">
        <f>K29+M29+O29+Q29+S29+U29+W29+Y29+AA29+AC29+AE29+AG29+AI29+AK29+AM29+AO29+AQ29+AS29+AU29+AW29+AY29+BA29+BC29</f>
        <v/>
      </c>
      <c r="BF29" s="631">
        <f>#REF!+L29+N29+P29+R29+T29+V29+X29+Z29+AB29+AD29+AF29+AH29+AJ29+AL29+AN29+AP29+AR29+AT29+AV29+AX29</f>
        <v/>
      </c>
      <c r="BG29" s="632">
        <f>BE29-BF29</f>
        <v/>
      </c>
    </row>
    <row r="30">
      <c r="A30" s="633" t="inlineStr">
        <is>
          <t>IT-обслуживание,телефония,интернет</t>
        </is>
      </c>
      <c r="B30" s="604" t="inlineStr">
        <is>
          <t>Расход</t>
        </is>
      </c>
      <c r="C30" s="680" t="n"/>
      <c r="D30" s="796" t="n"/>
      <c r="E30" s="680" t="n"/>
      <c r="F30" s="796" t="n"/>
      <c r="G30" s="647" t="n">
        <v>-82240</v>
      </c>
      <c r="H30" s="641">
        <f>-85400-85177</f>
        <v/>
      </c>
      <c r="I30" s="642" t="n">
        <v>-220400</v>
      </c>
      <c r="J30" s="634" t="n"/>
      <c r="K30" s="643" t="n"/>
      <c r="L30" s="634" t="n"/>
      <c r="M30" s="645" t="n">
        <v>-90000</v>
      </c>
      <c r="N30" s="796" t="n"/>
      <c r="O30" s="680" t="n"/>
      <c r="P30" s="796" t="n"/>
      <c r="Q30" s="645" t="n">
        <v>-220400</v>
      </c>
      <c r="R30" s="796" t="n"/>
      <c r="S30" s="680" t="n"/>
      <c r="T30" s="796" t="n"/>
      <c r="U30" s="680" t="n"/>
      <c r="V30" s="796" t="n"/>
      <c r="W30" s="680" t="n"/>
      <c r="X30" s="796" t="n"/>
      <c r="Y30" s="680" t="n"/>
      <c r="Z30" s="796" t="n"/>
      <c r="AA30" s="680" t="n"/>
      <c r="AB30" s="796" t="n"/>
      <c r="AC30" s="680" t="n"/>
      <c r="AD30" s="796" t="n"/>
      <c r="AE30" s="637" t="n"/>
      <c r="AF30" s="796" t="n"/>
      <c r="AG30" s="680" t="n"/>
      <c r="AH30" s="796" t="n"/>
      <c r="AI30" s="680" t="n"/>
      <c r="AJ30" s="796" t="n"/>
      <c r="AK30" s="637" t="n"/>
      <c r="AL30" s="796" t="n"/>
      <c r="AM30" s="680" t="n"/>
      <c r="AN30" s="798" t="n"/>
      <c r="AO30" s="645" t="n">
        <v>-90000</v>
      </c>
      <c r="AP30" s="796" t="n"/>
      <c r="AQ30" s="645" t="n">
        <v>-90000</v>
      </c>
      <c r="AR30" s="796" t="n"/>
      <c r="AS30" s="680" t="n"/>
      <c r="AT30" s="796" t="n"/>
      <c r="AU30" s="680" t="n"/>
      <c r="AV30" s="796" t="n"/>
      <c r="AW30" s="680" t="n"/>
      <c r="AX30" s="796" t="n"/>
      <c r="AY30" s="645" t="n">
        <v>-90000</v>
      </c>
      <c r="AZ30" s="796" t="n"/>
      <c r="BA30" s="645" t="n">
        <v>-90000</v>
      </c>
      <c r="BB30" s="796" t="n"/>
      <c r="BC30" s="680" t="n"/>
      <c r="BD30" s="796" t="n"/>
      <c r="BE30" s="608">
        <f>K30+M30+O30+Q30+S30+U30+W30+Y30+AA30+AC30+AE30+AG30+AI30+AK30+AM30+AO30+AQ30+AS30+AU30+AW30+AY30+BA30+BC30</f>
        <v/>
      </c>
      <c r="BF30" s="608">
        <f>#REF!+L30+N30+P30+R30+T30+V30+X30+Z30+AB30+AD30+AF30+AH30+AJ30+AL30+AN30+AP30+AR30+AT30+AV30+AX30</f>
        <v/>
      </c>
      <c r="BG30" s="602">
        <f>BE30-BF30</f>
        <v/>
      </c>
    </row>
    <row r="31">
      <c r="A31" s="633" t="inlineStr">
        <is>
          <t>Авансы поставщикам</t>
        </is>
      </c>
      <c r="B31" s="604" t="inlineStr">
        <is>
          <t>Расход</t>
        </is>
      </c>
      <c r="C31" s="680" t="n"/>
      <c r="D31" s="796" t="n"/>
      <c r="E31" s="680" t="n"/>
      <c r="F31" s="796" t="n"/>
      <c r="G31" s="643" t="n"/>
      <c r="H31" s="634" t="n"/>
      <c r="I31" s="643" t="n"/>
      <c r="J31" s="634" t="n"/>
      <c r="K31" s="643" t="n"/>
      <c r="L31" s="634" t="n"/>
      <c r="M31" s="680" t="n"/>
      <c r="N31" s="796" t="n"/>
      <c r="O31" s="680" t="n"/>
      <c r="P31" s="796" t="n"/>
      <c r="Q31" s="680" t="n"/>
      <c r="R31" s="796" t="n"/>
      <c r="S31" s="680" t="n"/>
      <c r="T31" s="796" t="n"/>
      <c r="U31" s="680" t="n"/>
      <c r="V31" s="796" t="n"/>
      <c r="W31" s="680" t="n"/>
      <c r="X31" s="796" t="n"/>
      <c r="Y31" s="680" t="n"/>
      <c r="Z31" s="796" t="n"/>
      <c r="AA31" s="680" t="n"/>
      <c r="AB31" s="796" t="n"/>
      <c r="AC31" s="680" t="n"/>
      <c r="AD31" s="796" t="n"/>
      <c r="AE31" s="680" t="n"/>
      <c r="AF31" s="796" t="n"/>
      <c r="AG31" s="680" t="n"/>
      <c r="AH31" s="796" t="n"/>
      <c r="AI31" s="680" t="n"/>
      <c r="AJ31" s="796" t="n"/>
      <c r="AK31" s="680" t="n"/>
      <c r="AL31" s="796" t="n"/>
      <c r="AM31" s="680" t="n"/>
      <c r="AN31" s="798" t="n"/>
      <c r="AO31" s="680" t="n"/>
      <c r="AP31" s="796" t="n"/>
      <c r="AQ31" s="680" t="n"/>
      <c r="AR31" s="796" t="n"/>
      <c r="AS31" s="680" t="n"/>
      <c r="AT31" s="796" t="n"/>
      <c r="AU31" s="680" t="n"/>
      <c r="AV31" s="796" t="n"/>
      <c r="AW31" s="680" t="n"/>
      <c r="AX31" s="796" t="n"/>
      <c r="AY31" s="680" t="n"/>
      <c r="AZ31" s="796" t="n"/>
      <c r="BA31" s="680" t="n"/>
      <c r="BB31" s="796" t="n"/>
      <c r="BC31" s="680" t="n"/>
      <c r="BD31" s="796" t="n"/>
      <c r="BE31" s="608">
        <f>K31+M31+O31+Q31+S31+U31+W31+Y31+AA31+AC31+AE31+AG31+AI31+AK31+AM31+AO31+AQ31+AS31+AU31+AW31+AY31+BA31+BC31</f>
        <v/>
      </c>
      <c r="BF31" s="608">
        <f>#REF!+L31+N31+P31+R31+T31+V31+X31+Z31+AB31+AD31+AF31+AH31+AJ31+AL31+AN31+AP31+AR31+AT31+AV31+AX31</f>
        <v/>
      </c>
      <c r="BG31" s="602">
        <f>BE31-BF31</f>
        <v/>
      </c>
    </row>
    <row r="32">
      <c r="A32" s="633" t="inlineStr">
        <is>
          <t>Административные расходы</t>
        </is>
      </c>
      <c r="B32" s="604" t="inlineStr">
        <is>
          <t>Расход</t>
        </is>
      </c>
      <c r="C32" s="643" t="n"/>
      <c r="D32" s="796" t="n"/>
      <c r="E32" s="643" t="n"/>
      <c r="F32" s="796" t="n"/>
      <c r="G32" s="643" t="n"/>
      <c r="H32" s="641">
        <f>-4000-1950</f>
        <v/>
      </c>
      <c r="I32" s="642" t="n">
        <v>-3000</v>
      </c>
      <c r="J32" s="641" t="n">
        <v>-6050</v>
      </c>
      <c r="K32" s="642" t="n">
        <v>-55000</v>
      </c>
      <c r="L32" s="641" t="n"/>
      <c r="M32" s="642">
        <f>-400000</f>
        <v/>
      </c>
      <c r="N32" s="804" t="n"/>
      <c r="O32" s="649" t="n">
        <v>-55000</v>
      </c>
      <c r="P32" s="796" t="n"/>
      <c r="Q32" s="642" t="n">
        <v>-55000</v>
      </c>
      <c r="R32" s="796" t="n"/>
      <c r="S32" s="642" t="n">
        <v>-55000</v>
      </c>
      <c r="T32" s="796" t="n"/>
      <c r="U32" s="642" t="n">
        <v>-55000</v>
      </c>
      <c r="V32" s="796" t="n"/>
      <c r="W32" s="642" t="n">
        <v>-30000</v>
      </c>
      <c r="X32" s="796" t="n"/>
      <c r="Y32" s="642" t="n">
        <v>-55000</v>
      </c>
      <c r="Z32" s="796" t="n"/>
      <c r="AA32" s="642" t="n">
        <v>-55000</v>
      </c>
      <c r="AB32" s="796" t="n"/>
      <c r="AC32" s="642" t="n">
        <v>-55000</v>
      </c>
      <c r="AD32" s="796" t="n"/>
      <c r="AE32" s="642" t="n">
        <v>-55000</v>
      </c>
      <c r="AF32" s="796" t="n"/>
      <c r="AG32" s="642" t="n">
        <v>-55000</v>
      </c>
      <c r="AH32" s="796" t="n"/>
      <c r="AI32" s="642" t="n">
        <v>-55000</v>
      </c>
      <c r="AJ32" s="796" t="n"/>
      <c r="AK32" s="642" t="n">
        <v>-55000</v>
      </c>
      <c r="AL32" s="796" t="n"/>
      <c r="AM32" s="642" t="n">
        <v>-55000</v>
      </c>
      <c r="AN32" s="798" t="n"/>
      <c r="AO32" s="642" t="n">
        <v>-55000</v>
      </c>
      <c r="AP32" s="796" t="n"/>
      <c r="AQ32" s="642" t="n">
        <v>-55000</v>
      </c>
      <c r="AR32" s="796" t="n"/>
      <c r="AS32" s="642" t="n">
        <v>-55000</v>
      </c>
      <c r="AT32" s="796" t="n"/>
      <c r="AU32" s="642" t="n">
        <v>-55000</v>
      </c>
      <c r="AV32" s="796" t="n"/>
      <c r="AW32" s="642" t="n">
        <v>-55000</v>
      </c>
      <c r="AX32" s="796" t="n"/>
      <c r="AY32" s="642" t="n">
        <v>-55000</v>
      </c>
      <c r="AZ32" s="796" t="n"/>
      <c r="BA32" s="642" t="n">
        <v>-55000</v>
      </c>
      <c r="BB32" s="796" t="n"/>
      <c r="BC32" s="642" t="n">
        <v>-55000</v>
      </c>
      <c r="BD32" s="796" t="n"/>
      <c r="BE32" s="608">
        <f>K32+M32+O32+Q32+S32+U32+W32+Y32+AA32+AC32+AE32+AG32+AI32+AK32+AM32+AO32+AQ32+AS32+AU32+AW32+AY32+BA32+BC32</f>
        <v/>
      </c>
      <c r="BF32" s="608">
        <f>#REF!+L32+N32+P32+R32+T32+V32+X32+Z32+AB32+AD32+AF32+AH32+AJ32+AL32+AN32+AP32+AR32+AT32+AV32+AX32</f>
        <v/>
      </c>
      <c r="BG32" s="602">
        <f>BE32-BF32</f>
        <v/>
      </c>
    </row>
    <row r="33">
      <c r="A33" s="633" t="inlineStr">
        <is>
          <t>Возврат ВФП</t>
        </is>
      </c>
      <c r="B33" s="604" t="inlineStr">
        <is>
          <t>Расход</t>
        </is>
      </c>
      <c r="C33" s="680" t="n"/>
      <c r="D33" s="796" t="n"/>
      <c r="E33" s="680" t="n"/>
      <c r="F33" s="796" t="n"/>
      <c r="G33" s="643" t="n"/>
      <c r="H33" s="634" t="n"/>
      <c r="I33" s="643" t="n"/>
      <c r="J33" s="634" t="n"/>
      <c r="K33" s="643" t="n"/>
      <c r="L33" s="634" t="n"/>
      <c r="M33" s="680" t="n"/>
      <c r="N33" s="796" t="n"/>
      <c r="O33" s="680" t="n"/>
      <c r="P33" s="796" t="n"/>
      <c r="Q33" s="680" t="n"/>
      <c r="R33" s="796" t="n"/>
      <c r="S33" s="680" t="n"/>
      <c r="T33" s="796" t="n"/>
      <c r="U33" s="680" t="n"/>
      <c r="V33" s="796" t="n"/>
      <c r="W33" s="680" t="n"/>
      <c r="X33" s="796" t="n"/>
      <c r="Y33" s="680" t="n"/>
      <c r="Z33" s="796" t="n"/>
      <c r="AA33" s="680" t="n"/>
      <c r="AB33" s="796" t="n"/>
      <c r="AC33" s="680" t="n"/>
      <c r="AD33" s="796" t="n"/>
      <c r="AE33" s="680" t="n"/>
      <c r="AF33" s="796" t="n"/>
      <c r="AG33" s="680" t="n"/>
      <c r="AH33" s="796" t="n"/>
      <c r="AI33" s="680" t="n"/>
      <c r="AJ33" s="796" t="n"/>
      <c r="AK33" s="680" t="n"/>
      <c r="AL33" s="796" t="n"/>
      <c r="AM33" s="680" t="n"/>
      <c r="AN33" s="798" t="n"/>
      <c r="AO33" s="643" t="n"/>
      <c r="AP33" s="796" t="n"/>
      <c r="AQ33" s="680" t="n"/>
      <c r="AR33" s="796" t="n"/>
      <c r="AS33" s="680" t="n"/>
      <c r="AT33" s="796" t="n"/>
      <c r="AU33" s="680" t="n"/>
      <c r="AV33" s="796" t="n"/>
      <c r="AW33" s="680" t="n"/>
      <c r="AX33" s="796" t="n"/>
      <c r="AY33" s="643" t="n"/>
      <c r="AZ33" s="796" t="n"/>
      <c r="BA33" s="680" t="n"/>
      <c r="BB33" s="796" t="n"/>
      <c r="BC33" s="680" t="n"/>
      <c r="BD33" s="796" t="n"/>
      <c r="BE33" s="608">
        <f>K33+M33+O33+Q33+S33+U33+W33+Y33+AA33+AC33+AE33+AG33+AI33+AK33+AM33+AO33+AQ33+AS33+AU33+AW33+AY33+BA33+BC33</f>
        <v/>
      </c>
      <c r="BF33" s="608">
        <f>#REF!+L33+N33+P33+R33+T33+V33+X33+Z33+AB33+AD33+AF33+AH33+AJ33+AL33+AN33+AP33+AR33+AT33+AV33+AX33</f>
        <v/>
      </c>
      <c r="BG33" s="602">
        <f>BE33-BF33</f>
        <v/>
      </c>
    </row>
    <row r="34">
      <c r="A34" s="604" t="inlineStr">
        <is>
          <t>Представительские расходы</t>
        </is>
      </c>
      <c r="B34" s="604" t="inlineStr">
        <is>
          <t>Расход</t>
        </is>
      </c>
      <c r="C34" s="680" t="n"/>
      <c r="D34" s="796" t="n"/>
      <c r="E34" s="680" t="n"/>
      <c r="F34" s="796" t="n"/>
      <c r="G34" s="643" t="n"/>
      <c r="H34" s="634" t="n"/>
      <c r="I34" s="643" t="n"/>
      <c r="J34" s="634" t="n"/>
      <c r="K34" s="643" t="n"/>
      <c r="L34" s="634" t="n"/>
      <c r="M34" s="680" t="n"/>
      <c r="N34" s="796" t="n"/>
      <c r="O34" s="680" t="n"/>
      <c r="P34" s="796" t="n"/>
      <c r="Q34" s="680" t="n"/>
      <c r="R34" s="796" t="n"/>
      <c r="S34" s="680" t="n"/>
      <c r="T34" s="796" t="n"/>
      <c r="U34" s="680" t="n"/>
      <c r="V34" s="796" t="n"/>
      <c r="W34" s="680" t="n"/>
      <c r="X34" s="796" t="n"/>
      <c r="Y34" s="680" t="n"/>
      <c r="Z34" s="796" t="n"/>
      <c r="AA34" s="680" t="n"/>
      <c r="AB34" s="796" t="n"/>
      <c r="AC34" s="680" t="n"/>
      <c r="AD34" s="796" t="n"/>
      <c r="AE34" s="680" t="n"/>
      <c r="AF34" s="796" t="n"/>
      <c r="AG34" s="680" t="n"/>
      <c r="AH34" s="796" t="n"/>
      <c r="AI34" s="680" t="n"/>
      <c r="AJ34" s="796" t="n"/>
      <c r="AK34" s="680" t="n"/>
      <c r="AL34" s="796" t="n"/>
      <c r="AM34" s="680" t="n"/>
      <c r="AN34" s="798" t="n"/>
      <c r="AO34" s="643" t="n"/>
      <c r="AP34" s="796" t="n"/>
      <c r="AQ34" s="680" t="n"/>
      <c r="AR34" s="796" t="n"/>
      <c r="AS34" s="680" t="n"/>
      <c r="AT34" s="796" t="n"/>
      <c r="AU34" s="680" t="n"/>
      <c r="AV34" s="796" t="n"/>
      <c r="AW34" s="680" t="n"/>
      <c r="AX34" s="796" t="n"/>
      <c r="AY34" s="643" t="n"/>
      <c r="AZ34" s="796" t="n"/>
      <c r="BA34" s="680" t="n"/>
      <c r="BB34" s="796" t="n"/>
      <c r="BC34" s="680" t="n"/>
      <c r="BD34" s="796" t="n"/>
      <c r="BE34" s="608">
        <f>K34+M34+O34+Q34+S34+U34+W34+Y34+AA34+AC34+AE34+AG34+AI34+AK34+AM34+AO34+AQ34+AS34+AU34+AW34+AY34+BA34+BC34</f>
        <v/>
      </c>
      <c r="BF34" s="608">
        <f>#REF!+L34+N34+P34+R34+T34+V34+X34+Z34+AB34+AD34+AF34+AH34+AJ34+AL34+AN34+AP34+AR34+AT34+AV34+AX34</f>
        <v/>
      </c>
      <c r="BG34" s="602">
        <f>BE34-BF34</f>
        <v/>
      </c>
    </row>
    <row r="35">
      <c r="A35" s="633" t="inlineStr">
        <is>
          <t>Аренда помещений</t>
        </is>
      </c>
      <c r="B35" s="604" t="inlineStr">
        <is>
          <t>Расход</t>
        </is>
      </c>
      <c r="C35" s="680" t="n"/>
      <c r="D35" s="796" t="n"/>
      <c r="E35" s="680" t="n"/>
      <c r="F35" s="796" t="n"/>
      <c r="G35" s="643" t="n"/>
      <c r="H35" s="634" t="n"/>
      <c r="I35" s="643" t="n"/>
      <c r="J35" s="634" t="n"/>
      <c r="K35" s="643" t="n"/>
      <c r="L35" s="634" t="n"/>
      <c r="M35" s="680" t="n"/>
      <c r="N35" s="796" t="n"/>
      <c r="O35" s="680" t="n"/>
      <c r="P35" s="796" t="n"/>
      <c r="Q35" s="643" t="n"/>
      <c r="R35" s="796" t="n"/>
      <c r="S35" s="680" t="n"/>
      <c r="T35" s="796" t="n"/>
      <c r="U35" s="680" t="n"/>
      <c r="V35" s="796" t="n"/>
      <c r="W35" s="645" t="n">
        <v>-6655000</v>
      </c>
      <c r="X35" s="796" t="n"/>
      <c r="Y35" s="680" t="n"/>
      <c r="Z35" s="796" t="n"/>
      <c r="AA35" s="680" t="n"/>
      <c r="AB35" s="796" t="n"/>
      <c r="AC35" s="680" t="n"/>
      <c r="AD35" s="796" t="n"/>
      <c r="AE35" s="680" t="n"/>
      <c r="AF35" s="796" t="n"/>
      <c r="AG35" s="680" t="n"/>
      <c r="AH35" s="796" t="n"/>
      <c r="AI35" s="680" t="n"/>
      <c r="AJ35" s="796" t="n"/>
      <c r="AK35" s="680" t="n"/>
      <c r="AL35" s="796" t="n"/>
      <c r="AM35" s="680" t="n"/>
      <c r="AN35" s="798" t="n"/>
      <c r="AO35" s="643" t="n"/>
      <c r="AP35" s="796" t="n"/>
      <c r="AQ35" s="680" t="n"/>
      <c r="AR35" s="796" t="n"/>
      <c r="AS35" s="680" t="n"/>
      <c r="AT35" s="796" t="n"/>
      <c r="AU35" s="680" t="n"/>
      <c r="AV35" s="796" t="n"/>
      <c r="AW35" s="680" t="n"/>
      <c r="AX35" s="796" t="n"/>
      <c r="AY35" s="643" t="n"/>
      <c r="AZ35" s="796" t="n"/>
      <c r="BA35" s="680" t="n"/>
      <c r="BB35" s="796" t="n"/>
      <c r="BC35" s="680" t="n"/>
      <c r="BD35" s="796" t="n"/>
      <c r="BE35" s="608">
        <f>K35+M35+O35+Q35+S35+U35+W35+Y35+AA35+AC35+AE35+AG35+AI35+AK35+AM35+AO35+AQ35+AS35+AU35+AW35+AY35+BA35+BC35</f>
        <v/>
      </c>
      <c r="BF35" s="608">
        <f>#REF!+L35+N35+P35+R35+T35+V35+X35+Z35+AB35+AD35+AF35+AH35+AJ35+AL35+AN35+AP35+AR35+AT35+AV35+AX35</f>
        <v/>
      </c>
      <c r="BG35" s="602">
        <f>BE35-BF35</f>
        <v/>
      </c>
    </row>
    <row r="36">
      <c r="A36" s="633" t="inlineStr">
        <is>
          <t>Газ</t>
        </is>
      </c>
      <c r="B36" s="604" t="inlineStr">
        <is>
          <t>Расход</t>
        </is>
      </c>
      <c r="C36" s="680" t="n"/>
      <c r="D36" s="796" t="n"/>
      <c r="E36" s="680" t="n"/>
      <c r="F36" s="796" t="n"/>
      <c r="G36" s="643" t="n"/>
      <c r="H36" s="634" t="n"/>
      <c r="I36" s="643" t="n"/>
      <c r="J36" s="634" t="n"/>
      <c r="K36" s="643" t="n"/>
      <c r="L36" s="634" t="n"/>
      <c r="M36" s="680" t="n"/>
      <c r="N36" s="796" t="n"/>
      <c r="O36" s="680" t="n"/>
      <c r="P36" s="796" t="n"/>
      <c r="Q36" s="680" t="n"/>
      <c r="R36" s="796" t="n"/>
      <c r="S36" s="680" t="n"/>
      <c r="T36" s="796" t="n"/>
      <c r="U36" s="680" t="n"/>
      <c r="V36" s="796" t="n"/>
      <c r="W36" s="680" t="n"/>
      <c r="X36" s="796" t="n"/>
      <c r="Y36" s="680" t="n"/>
      <c r="Z36" s="796" t="n"/>
      <c r="AA36" s="680" t="n"/>
      <c r="AB36" s="796" t="n"/>
      <c r="AC36" s="680" t="n"/>
      <c r="AD36" s="796" t="n"/>
      <c r="AE36" s="680" t="n"/>
      <c r="AF36" s="796" t="n"/>
      <c r="AG36" s="680" t="n"/>
      <c r="AH36" s="796" t="n"/>
      <c r="AI36" s="680" t="n"/>
      <c r="AJ36" s="796" t="n"/>
      <c r="AK36" s="680" t="n"/>
      <c r="AL36" s="796" t="n"/>
      <c r="AM36" s="680" t="n"/>
      <c r="AN36" s="798" t="n"/>
      <c r="AO36" s="645" t="n">
        <v>-630000</v>
      </c>
      <c r="AP36" s="796" t="n"/>
      <c r="AQ36" s="680" t="n"/>
      <c r="AR36" s="796" t="n"/>
      <c r="AS36" s="680" t="n"/>
      <c r="AT36" s="796" t="n"/>
      <c r="AU36" s="680" t="n"/>
      <c r="AV36" s="796" t="n"/>
      <c r="AW36" s="680" t="n"/>
      <c r="AX36" s="796" t="n"/>
      <c r="AY36" s="645" t="n">
        <v>-630000</v>
      </c>
      <c r="AZ36" s="796" t="n"/>
      <c r="BA36" s="680" t="n"/>
      <c r="BB36" s="796" t="n"/>
      <c r="BC36" s="680" t="n"/>
      <c r="BD36" s="796" t="n"/>
      <c r="BE36" s="608">
        <f>K36+M36+O36+Q36+S36+U36+W36+Y36+AA36+AC36+AE36+AG36+AI36+AK36+AM36+AO36+AQ36+AS36+AU36+AW36+AY36+BA36+BC36</f>
        <v/>
      </c>
      <c r="BF36" s="608">
        <f>#REF!+L36+N36+P36+R36+T36+V36+X36+Z36+AB36+AD36+AF36+AH36+AJ36+AL36+AN36+AP36+AR36+AT36+AV36+AX36</f>
        <v/>
      </c>
      <c r="BG36" s="602">
        <f>BE36-BF36</f>
        <v/>
      </c>
    </row>
    <row r="37">
      <c r="A37" s="633" t="inlineStr">
        <is>
          <t>Маркетинг</t>
        </is>
      </c>
      <c r="B37" s="604" t="inlineStr">
        <is>
          <t>Расход</t>
        </is>
      </c>
      <c r="C37" s="680" t="n"/>
      <c r="D37" s="796" t="n"/>
      <c r="E37" s="680" t="n"/>
      <c r="F37" s="796" t="n"/>
      <c r="G37" s="643" t="n"/>
      <c r="H37" s="634" t="n"/>
      <c r="I37" s="643" t="n"/>
      <c r="J37" s="634" t="n"/>
      <c r="K37" s="643" t="n"/>
      <c r="L37" s="634" t="n"/>
      <c r="M37" s="680" t="n"/>
      <c r="N37" s="796" t="n"/>
      <c r="O37" s="680" t="n"/>
      <c r="P37" s="796" t="n"/>
      <c r="Q37" s="680" t="n"/>
      <c r="R37" s="796" t="n"/>
      <c r="S37" s="680" t="n"/>
      <c r="T37" s="796" t="n"/>
      <c r="U37" s="680" t="n"/>
      <c r="V37" s="796" t="n"/>
      <c r="W37" s="680" t="n"/>
      <c r="X37" s="796" t="n"/>
      <c r="Y37" s="680" t="n"/>
      <c r="Z37" s="796" t="n"/>
      <c r="AA37" s="680" t="n"/>
      <c r="AB37" s="796" t="n"/>
      <c r="AC37" s="680" t="n"/>
      <c r="AD37" s="796" t="n"/>
      <c r="AE37" s="680" t="n"/>
      <c r="AF37" s="796" t="n"/>
      <c r="AG37" s="680" t="n"/>
      <c r="AH37" s="796" t="n"/>
      <c r="AI37" s="680" t="n"/>
      <c r="AJ37" s="796" t="n"/>
      <c r="AK37" s="680" t="n"/>
      <c r="AL37" s="796" t="n"/>
      <c r="AM37" s="680" t="n"/>
      <c r="AN37" s="798" t="n"/>
      <c r="AO37" s="643" t="n"/>
      <c r="AP37" s="796" t="n"/>
      <c r="AQ37" s="680" t="n"/>
      <c r="AR37" s="796" t="n"/>
      <c r="AS37" s="680" t="n"/>
      <c r="AT37" s="796" t="n"/>
      <c r="AU37" s="680" t="n"/>
      <c r="AV37" s="796" t="n"/>
      <c r="AW37" s="680" t="n"/>
      <c r="AX37" s="796" t="n"/>
      <c r="AY37" s="643" t="n"/>
      <c r="AZ37" s="796" t="n"/>
      <c r="BA37" s="680" t="n"/>
      <c r="BB37" s="796" t="n"/>
      <c r="BC37" s="680" t="n"/>
      <c r="BD37" s="796" t="n"/>
      <c r="BE37" s="608">
        <f>K37+M37+O37+Q37+S37+U37+W37+Y37+AA37+AC37+AE37+AG37+AI37+AK37+AM37+AO37+AQ37+AS37+AU37+AW37+AY37+BA37+BC37</f>
        <v/>
      </c>
      <c r="BF37" s="608">
        <f>#REF!+L37+N37+P37+R37+T37+V37+X37+Z37+AB37+AD37+AF37+AH37+AJ37+AL37+AN37+AP37+AR37+AT37+AV37+AX37</f>
        <v/>
      </c>
      <c r="BG37" s="602">
        <f>BE37-BF37</f>
        <v/>
      </c>
    </row>
    <row r="38">
      <c r="A38" s="633" t="inlineStr">
        <is>
          <t>Мусор</t>
        </is>
      </c>
      <c r="B38" s="604" t="inlineStr">
        <is>
          <t>Расход</t>
        </is>
      </c>
      <c r="C38" s="680" t="n"/>
      <c r="D38" s="796" t="n"/>
      <c r="E38" s="680" t="n"/>
      <c r="F38" s="796" t="n"/>
      <c r="G38" s="643" t="n"/>
      <c r="H38" s="634" t="n"/>
      <c r="I38" s="643" t="n"/>
      <c r="J38" s="634" t="n"/>
      <c r="K38" s="643" t="n"/>
      <c r="L38" s="634" t="n"/>
      <c r="M38" s="680" t="n"/>
      <c r="N38" s="796" t="n"/>
      <c r="O38" s="680" t="n"/>
      <c r="P38" s="796" t="n"/>
      <c r="Q38" s="680" t="n"/>
      <c r="R38" s="796" t="n"/>
      <c r="S38" s="680" t="n"/>
      <c r="T38" s="796" t="n"/>
      <c r="U38" s="680" t="n"/>
      <c r="V38" s="796" t="n"/>
      <c r="W38" s="680" t="n"/>
      <c r="X38" s="796" t="n"/>
      <c r="Y38" s="680" t="n"/>
      <c r="Z38" s="796" t="n"/>
      <c r="AA38" s="680" t="n"/>
      <c r="AB38" s="796" t="n"/>
      <c r="AC38" s="645" t="n">
        <v>-100000</v>
      </c>
      <c r="AD38" s="796" t="n"/>
      <c r="AE38" s="680" t="n"/>
      <c r="AF38" s="796" t="n"/>
      <c r="AG38" s="680" t="n"/>
      <c r="AH38" s="796" t="n"/>
      <c r="AI38" s="680" t="n"/>
      <c r="AJ38" s="796" t="n"/>
      <c r="AK38" s="642" t="n">
        <v>-642920</v>
      </c>
      <c r="AL38" s="796" t="n"/>
      <c r="AM38" s="647" t="n"/>
      <c r="AN38" s="798" t="n"/>
      <c r="AO38" s="642" t="n"/>
      <c r="AP38" s="796" t="n"/>
      <c r="AQ38" s="680" t="n"/>
      <c r="AR38" s="796" t="n"/>
      <c r="AS38" s="680" t="n"/>
      <c r="AT38" s="796" t="n"/>
      <c r="AU38" s="680" t="n"/>
      <c r="AV38" s="796" t="n"/>
      <c r="AW38" s="680" t="n"/>
      <c r="AX38" s="796" t="n"/>
      <c r="AY38" s="642" t="n"/>
      <c r="AZ38" s="796" t="n"/>
      <c r="BA38" s="680" t="n"/>
      <c r="BB38" s="796" t="n"/>
      <c r="BC38" s="680" t="n"/>
      <c r="BD38" s="796" t="n"/>
      <c r="BE38" s="608">
        <f>K38+M38+O38+Q38+S38+U38+W38+Y38+AA38+AC38+AE38+AG38+AI38+AK38+AM38+AO38+AQ38+AS38+AU38+AW38+AY38+BA38+BC38</f>
        <v/>
      </c>
      <c r="BF38" s="608">
        <f>#REF!+L38+N38+P38+R38+T38+V38+X38+Z38+AB38+AD38+AF38+AH38+AJ38+AL38+AN38+AP38+AR38+AT38+AV38+AX38</f>
        <v/>
      </c>
      <c r="BG38" s="602">
        <f>BE38-BF38</f>
        <v/>
      </c>
    </row>
    <row r="39">
      <c r="A39" s="633" t="inlineStr">
        <is>
          <t>Налоги и другие платежи в бюджет</t>
        </is>
      </c>
      <c r="B39" s="604" t="inlineStr">
        <is>
          <t>Расход</t>
        </is>
      </c>
      <c r="C39" s="680" t="n"/>
      <c r="D39" s="796" t="n"/>
      <c r="E39" s="680" t="n"/>
      <c r="F39" s="796" t="n"/>
      <c r="G39" s="643" t="n"/>
      <c r="H39" s="634" t="n"/>
      <c r="I39" s="680" t="n"/>
      <c r="J39" s="634" t="n"/>
      <c r="K39" s="642" t="n"/>
      <c r="L39" s="641" t="n"/>
      <c r="M39" s="642" t="n"/>
      <c r="N39" s="804" t="n"/>
      <c r="O39" s="642" t="n"/>
      <c r="P39" s="796" t="n"/>
      <c r="Q39" s="642" t="n"/>
      <c r="R39" s="796" t="n"/>
      <c r="S39" s="680" t="n"/>
      <c r="T39" s="796" t="n"/>
      <c r="U39" s="680" t="n"/>
      <c r="V39" s="796" t="n"/>
      <c r="W39" s="680" t="n"/>
      <c r="X39" s="796" t="n"/>
      <c r="Y39" s="680" t="n"/>
      <c r="Z39" s="796" t="n"/>
      <c r="AA39" s="680" t="n"/>
      <c r="AB39" s="796" t="n"/>
      <c r="AC39" s="645" t="n">
        <v>-8000000</v>
      </c>
      <c r="AD39" s="796" t="n"/>
      <c r="AE39" s="645" t="n">
        <v>-6000000</v>
      </c>
      <c r="AF39" s="796" t="n"/>
      <c r="AG39" s="680" t="n"/>
      <c r="AH39" s="796" t="n"/>
      <c r="AI39" s="680" t="n"/>
      <c r="AJ39" s="796" t="n"/>
      <c r="AK39" s="645" t="n"/>
      <c r="AL39" s="796" t="n"/>
      <c r="AM39" s="645" t="n"/>
      <c r="AN39" s="798" t="n"/>
      <c r="AO39" s="643" t="n"/>
      <c r="AP39" s="796" t="n"/>
      <c r="AQ39" s="642" t="n">
        <v>-12000000</v>
      </c>
      <c r="AR39" s="796" t="n"/>
      <c r="AS39" s="680" t="n"/>
      <c r="AT39" s="796" t="n"/>
      <c r="AU39" s="680" t="n"/>
      <c r="AV39" s="796" t="n"/>
      <c r="AW39" s="680" t="n"/>
      <c r="AX39" s="796" t="n"/>
      <c r="AY39" s="643" t="n"/>
      <c r="AZ39" s="796" t="n"/>
      <c r="BA39" s="642" t="n">
        <v>-12000000</v>
      </c>
      <c r="BB39" s="796" t="n"/>
      <c r="BC39" s="680" t="n"/>
      <c r="BD39" s="796" t="n"/>
      <c r="BE39" s="608">
        <f>K39+M39+O39+Q39+S39+U39+W39+Y39+AA39+AC39+AE39+AG39+AI39+AK39+AM39+AO39+AQ39+AS39+AU39+AW39+AY39+BA39+BC39</f>
        <v/>
      </c>
      <c r="BF39" s="608">
        <f>#REF!+L39+N39+P39+R39+T39+V39+X39+Z39+AB39+AD39+AF39+AH39+AJ39+AL39+AN39+AP39+AR39+AT39+AV39+AX39</f>
        <v/>
      </c>
      <c r="BG39" s="602">
        <f>BE39-BF39</f>
        <v/>
      </c>
    </row>
    <row r="40">
      <c r="A40" s="633" t="inlineStr">
        <is>
          <t>Оплата труда</t>
        </is>
      </c>
      <c r="B40" s="604" t="inlineStr">
        <is>
          <t>Расход</t>
        </is>
      </c>
      <c r="C40" s="680" t="n"/>
      <c r="D40" s="796" t="n"/>
      <c r="E40" s="680" t="n"/>
      <c r="F40" s="796" t="n"/>
      <c r="G40" s="643" t="n"/>
      <c r="H40" s="634" t="n"/>
      <c r="I40" s="643" t="n"/>
      <c r="J40" s="634" t="n"/>
      <c r="K40" s="643" t="n"/>
      <c r="L40" s="634" t="n"/>
      <c r="M40" s="642" t="n"/>
      <c r="N40" s="796" t="n"/>
      <c r="O40" s="680" t="n"/>
      <c r="P40" s="796" t="n"/>
      <c r="Q40" s="642" t="n">
        <v>-18500000</v>
      </c>
      <c r="R40" s="796" t="n"/>
      <c r="S40" s="680" t="n"/>
      <c r="T40" s="796" t="n"/>
      <c r="U40" s="680" t="n"/>
      <c r="V40" s="796" t="n"/>
      <c r="W40" s="680" t="n"/>
      <c r="X40" s="796" t="n"/>
      <c r="Y40" s="680" t="n"/>
      <c r="Z40" s="796" t="n"/>
      <c r="AA40" s="680" t="n"/>
      <c r="AB40" s="796" t="n"/>
      <c r="AC40" s="680" t="n"/>
      <c r="AD40" s="796" t="n"/>
      <c r="AE40" s="680" t="n"/>
      <c r="AF40" s="796" t="n"/>
      <c r="AG40" s="680" t="n"/>
      <c r="AH40" s="796" t="n"/>
      <c r="AI40" s="680" t="n"/>
      <c r="AJ40" s="796" t="n"/>
      <c r="AK40" s="647" t="n">
        <v>-2030000</v>
      </c>
      <c r="AL40" s="796" t="n"/>
      <c r="AM40" s="680" t="n"/>
      <c r="AN40" s="798" t="n"/>
      <c r="AO40" s="680" t="n"/>
      <c r="AP40" s="796" t="n"/>
      <c r="AQ40" s="680" t="n"/>
      <c r="AR40" s="796" t="n"/>
      <c r="AS40" s="680" t="n"/>
      <c r="AT40" s="796" t="n"/>
      <c r="AU40" s="680" t="n"/>
      <c r="AV40" s="796" t="n"/>
      <c r="AW40" s="680" t="n"/>
      <c r="AX40" s="796" t="n"/>
      <c r="AY40" s="680" t="n"/>
      <c r="AZ40" s="796" t="n"/>
      <c r="BA40" s="680" t="n"/>
      <c r="BB40" s="796" t="n"/>
      <c r="BC40" s="680" t="n"/>
      <c r="BD40" s="796" t="n"/>
      <c r="BE40" s="608">
        <f>K40+M40+O40+Q40+S40+U40+W40+Y40+AA40+AC40+AE40+AG40+AI40+AK40+AM40+AO40+AQ40+AS40+AU40+AW40+AY40+BA40+BC40</f>
        <v/>
      </c>
      <c r="BF40" s="608">
        <f>#REF!+L40+N40+P40+R40+T40+V40+X40+Z40+AB40+AD40+AF40+AH40+AJ40+AL40+AN40+AP40+AR40+AT40+AV40+AX40</f>
        <v/>
      </c>
      <c r="BG40" s="602">
        <f>BE40-BF40</f>
        <v/>
      </c>
    </row>
    <row r="41">
      <c r="A41" s="633" t="inlineStr">
        <is>
          <t>Охрана</t>
        </is>
      </c>
      <c r="B41" s="604" t="inlineStr">
        <is>
          <t>Расход</t>
        </is>
      </c>
      <c r="C41" s="680" t="n"/>
      <c r="D41" s="796" t="n"/>
      <c r="E41" s="680" t="n"/>
      <c r="F41" s="796" t="n"/>
      <c r="G41" s="643" t="n"/>
      <c r="H41" s="634" t="n"/>
      <c r="I41" s="643" t="n"/>
      <c r="J41" s="634" t="n"/>
      <c r="K41" s="680" t="n"/>
      <c r="L41" s="634" t="n"/>
      <c r="M41" s="680" t="n"/>
      <c r="N41" s="796" t="n"/>
      <c r="O41" s="680" t="n"/>
      <c r="P41" s="796" t="n"/>
      <c r="Q41" s="680" t="n"/>
      <c r="R41" s="796" t="n"/>
      <c r="S41" s="680" t="n"/>
      <c r="T41" s="796" t="n"/>
      <c r="U41" s="680" t="n"/>
      <c r="V41" s="796" t="n"/>
      <c r="W41" s="645" t="n">
        <v>-1000000</v>
      </c>
      <c r="X41" s="796" t="n"/>
      <c r="Y41" s="680" t="n"/>
      <c r="Z41" s="796" t="n"/>
      <c r="AA41" s="680" t="n"/>
      <c r="AB41" s="796" t="n"/>
      <c r="AC41" s="680" t="n"/>
      <c r="AD41" s="796" t="n"/>
      <c r="AE41" s="680" t="n"/>
      <c r="AF41" s="796" t="n"/>
      <c r="AG41" s="680" t="n"/>
      <c r="AH41" s="796" t="n"/>
      <c r="AI41" s="680" t="n"/>
      <c r="AJ41" s="796" t="n"/>
      <c r="AK41" s="680" t="n"/>
      <c r="AL41" s="796" t="n"/>
      <c r="AM41" s="680" t="n"/>
      <c r="AN41" s="798" t="n"/>
      <c r="AO41" s="643" t="n"/>
      <c r="AP41" s="796" t="n"/>
      <c r="AQ41" s="680" t="n"/>
      <c r="AR41" s="796" t="n"/>
      <c r="AS41" s="680" t="n"/>
      <c r="AT41" s="796" t="n"/>
      <c r="AU41" s="680" t="n"/>
      <c r="AV41" s="796" t="n"/>
      <c r="AW41" s="680" t="n"/>
      <c r="AX41" s="796" t="n"/>
      <c r="AY41" s="643" t="n"/>
      <c r="AZ41" s="796" t="n"/>
      <c r="BA41" s="680" t="n"/>
      <c r="BB41" s="796" t="n"/>
      <c r="BC41" s="680" t="n"/>
      <c r="BD41" s="796" t="n"/>
      <c r="BE41" s="608">
        <f>K41+M41+O41+Q41+S41+U41+W41+Y41+AA41+AC41+AE41+AG41+AI41+AK41+AM41+AO41+AQ41+AS41+AU41+AW41+AY41+BA41+BC41</f>
        <v/>
      </c>
      <c r="BF41" s="608">
        <f>#REF!+L41+N41+P41+R41+T41+V41+X41+Z41+AB41+AD41+AF41+AH41+AJ41+AL41+AN41+AP41+AR41+AT41+AV41+AX41</f>
        <v/>
      </c>
      <c r="BG41" s="602">
        <f>BE41-BF41</f>
        <v/>
      </c>
    </row>
    <row r="42">
      <c r="A42" s="633" t="inlineStr">
        <is>
          <t>Платежи поставщикам Прочее</t>
        </is>
      </c>
      <c r="B42" s="604" t="inlineStr">
        <is>
          <t>Расход</t>
        </is>
      </c>
      <c r="C42" s="680" t="n"/>
      <c r="D42" s="796" t="n"/>
      <c r="E42" s="680" t="n"/>
      <c r="F42" s="796" t="n"/>
      <c r="G42" s="642" t="n">
        <v>-180000</v>
      </c>
      <c r="H42" s="634" t="n"/>
      <c r="I42" s="643" t="n"/>
      <c r="J42" s="634" t="n"/>
      <c r="K42" s="680" t="n"/>
      <c r="L42" s="634" t="n"/>
      <c r="M42" s="680" t="n"/>
      <c r="N42" s="796" t="n"/>
      <c r="O42" s="680" t="n"/>
      <c r="P42" s="796" t="n"/>
      <c r="Q42" s="680" t="n"/>
      <c r="R42" s="796" t="n"/>
      <c r="S42" s="680" t="n"/>
      <c r="T42" s="796" t="n"/>
      <c r="U42" s="680" t="n"/>
      <c r="V42" s="796" t="n"/>
      <c r="W42" s="680" t="n"/>
      <c r="X42" s="796" t="n"/>
      <c r="Y42" s="680" t="n"/>
      <c r="Z42" s="796" t="n"/>
      <c r="AA42" s="680" t="n"/>
      <c r="AB42" s="796" t="n"/>
      <c r="AC42" s="680" t="n"/>
      <c r="AD42" s="796" t="n"/>
      <c r="AE42" s="680" t="n"/>
      <c r="AF42" s="796" t="n"/>
      <c r="AG42" s="680" t="n"/>
      <c r="AH42" s="796" t="n"/>
      <c r="AI42" s="680" t="n"/>
      <c r="AJ42" s="796" t="n"/>
      <c r="AK42" s="680" t="n"/>
      <c r="AL42" s="796" t="n"/>
      <c r="AM42" s="680" t="n"/>
      <c r="AN42" s="798" t="n"/>
      <c r="AO42" s="643" t="n"/>
      <c r="AP42" s="796" t="n"/>
      <c r="AQ42" s="680" t="n"/>
      <c r="AR42" s="796" t="n"/>
      <c r="AS42" s="680" t="n"/>
      <c r="AT42" s="796" t="n"/>
      <c r="AU42" s="680" t="n"/>
      <c r="AV42" s="796" t="n"/>
      <c r="AW42" s="680" t="n"/>
      <c r="AX42" s="796" t="n"/>
      <c r="AY42" s="643" t="n"/>
      <c r="AZ42" s="796" t="n"/>
      <c r="BA42" s="680" t="n"/>
      <c r="BB42" s="796" t="n"/>
      <c r="BC42" s="680" t="n"/>
      <c r="BD42" s="796" t="n"/>
      <c r="BE42" s="608">
        <f>K42+M42+O42+Q42+S42+U42+W42+Y42+AA42+AC42+AE42+AG42+AI42+AK42+AM42+AO42+AQ42+AS42+AU42+AW42+AY42+BA42+BC42</f>
        <v/>
      </c>
      <c r="BF42" s="608">
        <f>#REF!+L42+N42+P42+R42+T42+V42+X42+Z42+AB42+AD42+AF42+AH42+AJ42+AL42+AN42+AP42+AR42+AT42+AV42+AX42</f>
        <v/>
      </c>
      <c r="BG42" s="602">
        <f>BE42-BF42</f>
        <v/>
      </c>
    </row>
    <row r="43">
      <c r="A43" s="633" t="inlineStr">
        <is>
          <t xml:space="preserve">Производственные расходы </t>
        </is>
      </c>
      <c r="B43" s="604" t="inlineStr">
        <is>
          <t>Расход</t>
        </is>
      </c>
      <c r="C43" s="680" t="n"/>
      <c r="D43" s="796" t="n"/>
      <c r="E43" s="680" t="n"/>
      <c r="F43" s="796" t="n"/>
      <c r="G43" s="643" t="n"/>
      <c r="H43" s="634" t="n"/>
      <c r="I43" s="643" t="n"/>
      <c r="J43" s="634" t="n"/>
      <c r="K43" s="680" t="n"/>
      <c r="L43" s="641" t="n"/>
      <c r="M43" s="642" t="n">
        <v>-3000000</v>
      </c>
      <c r="N43" s="804" t="n"/>
      <c r="O43" s="643" t="n"/>
      <c r="P43" s="796" t="n"/>
      <c r="Q43" s="642" t="n">
        <v>-3000000</v>
      </c>
      <c r="R43" s="796" t="n"/>
      <c r="S43" s="680" t="n"/>
      <c r="T43" s="796" t="n"/>
      <c r="U43" s="680" t="n"/>
      <c r="V43" s="641" t="n"/>
      <c r="W43" s="642" t="n">
        <v>-3000000</v>
      </c>
      <c r="X43" s="804" t="n"/>
      <c r="Y43" s="642" t="n">
        <v>-3000000</v>
      </c>
      <c r="Z43" s="796" t="n"/>
      <c r="AA43" s="642" t="n">
        <v>-3000000</v>
      </c>
      <c r="AB43" s="796" t="n"/>
      <c r="AC43" s="680" t="n"/>
      <c r="AD43" s="796" t="n"/>
      <c r="AE43" s="680" t="n"/>
      <c r="AF43" s="641" t="n"/>
      <c r="AG43" s="642" t="n"/>
      <c r="AH43" s="804" t="n"/>
      <c r="AI43" s="643" t="n"/>
      <c r="AJ43" s="796" t="n"/>
      <c r="AK43" s="642" t="n">
        <v>-3000000</v>
      </c>
      <c r="AL43" s="796" t="n"/>
      <c r="AM43" s="680" t="n"/>
      <c r="AN43" s="798" t="n"/>
      <c r="AO43" s="642" t="n">
        <v>-3000000</v>
      </c>
      <c r="AP43" s="641" t="n"/>
      <c r="AQ43" s="642" t="n"/>
      <c r="AR43" s="804" t="n"/>
      <c r="AS43" s="643" t="n"/>
      <c r="AT43" s="796" t="n"/>
      <c r="AU43" s="642" t="n">
        <v>-3000000</v>
      </c>
      <c r="AV43" s="796" t="n"/>
      <c r="AW43" s="680" t="n"/>
      <c r="AX43" s="796" t="n"/>
      <c r="AY43" s="642" t="n">
        <v>-3000000</v>
      </c>
      <c r="AZ43" s="641" t="n"/>
      <c r="BA43" s="642" t="n"/>
      <c r="BB43" s="804" t="n"/>
      <c r="BC43" s="643" t="n"/>
      <c r="BD43" s="796" t="n"/>
      <c r="BE43" s="608">
        <f>K43+M43+O43+Q43+S43+U43+W43+Y43+AA43+AC43+AE43+AG43+AI43+AK43+AM43+AO43+AQ43+AS43+AU43+AW43+AY43+BA43+BC43</f>
        <v/>
      </c>
      <c r="BF43" s="608">
        <f>#REF!+L43+N43+P43+R43+T43+V43+X43+Z43+AB43+AD43+AF43+AH43+AJ43+AL43+AN43+AP43+AR43+AT43+AV43+AX43</f>
        <v/>
      </c>
      <c r="BG43" s="602">
        <f>BE43-BF43</f>
        <v/>
      </c>
    </row>
    <row r="44">
      <c r="A44" s="633" t="inlineStr">
        <is>
          <t>Инвентарь</t>
        </is>
      </c>
      <c r="B44" s="604" t="inlineStr">
        <is>
          <t>Расход</t>
        </is>
      </c>
      <c r="C44" s="680" t="n"/>
      <c r="D44" s="796" t="n"/>
      <c r="E44" s="680" t="n"/>
      <c r="F44" s="796" t="n"/>
      <c r="G44" s="643" t="n"/>
      <c r="H44" s="634" t="n"/>
      <c r="I44" s="643" t="n"/>
      <c r="J44" s="634" t="n"/>
      <c r="K44" s="643" t="n"/>
      <c r="L44" s="634" t="n"/>
      <c r="M44" s="680" t="n"/>
      <c r="N44" s="796" t="n"/>
      <c r="O44" s="680" t="n"/>
      <c r="P44" s="796" t="n"/>
      <c r="Q44" s="680" t="n"/>
      <c r="R44" s="796" t="n"/>
      <c r="S44" s="680" t="n"/>
      <c r="T44" s="796" t="n"/>
      <c r="U44" s="680" t="n"/>
      <c r="V44" s="796" t="n"/>
      <c r="W44" s="680" t="n"/>
      <c r="X44" s="796" t="n"/>
      <c r="Y44" s="680" t="n"/>
      <c r="Z44" s="796" t="n"/>
      <c r="AA44" s="680" t="n"/>
      <c r="AB44" s="796" t="n"/>
      <c r="AC44" s="680" t="n"/>
      <c r="AD44" s="796" t="n"/>
      <c r="AE44" s="680" t="n"/>
      <c r="AF44" s="796" t="n"/>
      <c r="AG44" s="680" t="n"/>
      <c r="AH44" s="796" t="n"/>
      <c r="AI44" s="680" t="n"/>
      <c r="AJ44" s="796" t="n"/>
      <c r="AK44" s="680" t="n"/>
      <c r="AL44" s="796" t="n"/>
      <c r="AM44" s="680" t="n"/>
      <c r="AN44" s="798" t="n"/>
      <c r="AO44" s="643" t="n"/>
      <c r="AP44" s="796" t="n"/>
      <c r="AQ44" s="680" t="n"/>
      <c r="AR44" s="796" t="n"/>
      <c r="AS44" s="680" t="n"/>
      <c r="AT44" s="796" t="n"/>
      <c r="AU44" s="680" t="n"/>
      <c r="AV44" s="796" t="n"/>
      <c r="AW44" s="680" t="n"/>
      <c r="AX44" s="796" t="n"/>
      <c r="AY44" s="643" t="n"/>
      <c r="AZ44" s="796" t="n"/>
      <c r="BA44" s="680" t="n"/>
      <c r="BB44" s="796" t="n"/>
      <c r="BC44" s="680" t="n"/>
      <c r="BD44" s="796" t="n"/>
      <c r="BE44" s="608">
        <f>K44+M44+O44+Q44+S44+U44+W44+Y44+AA44+AC44+AE44+AG44+AI44+AK44+AM44+AO44+AQ44+AS44+AU44+AW44+AY44+BA44+BC44</f>
        <v/>
      </c>
      <c r="BF44" s="608">
        <f>#REF!+L44+N44+P44+R44+T44+V44+X44+Z44+AB44+AD44+AF44+AH44+AJ44+AL44+AN44+AP44+AR44+AT44+AV44+AX44</f>
        <v/>
      </c>
      <c r="BG44" s="602">
        <f>BE44-BF44</f>
        <v/>
      </c>
    </row>
    <row r="45">
      <c r="A45" s="633" t="inlineStr">
        <is>
          <t>Униформа</t>
        </is>
      </c>
      <c r="B45" s="604" t="inlineStr">
        <is>
          <t>Расход</t>
        </is>
      </c>
      <c r="C45" s="680" t="n"/>
      <c r="D45" s="796" t="n"/>
      <c r="E45" s="680" t="n"/>
      <c r="F45" s="796" t="n"/>
      <c r="G45" s="643" t="n"/>
      <c r="H45" s="634" t="n"/>
      <c r="I45" s="643" t="n"/>
      <c r="J45" s="634" t="n"/>
      <c r="K45" s="643" t="n"/>
      <c r="L45" s="641" t="n"/>
      <c r="M45" s="680" t="n"/>
      <c r="N45" s="796" t="n"/>
      <c r="O45" s="680" t="n"/>
      <c r="P45" s="796" t="n"/>
      <c r="Q45" s="680" t="n"/>
      <c r="R45" s="796" t="n"/>
      <c r="S45" s="680" t="n"/>
      <c r="T45" s="796" t="n"/>
      <c r="U45" s="680" t="n"/>
      <c r="V45" s="796" t="n"/>
      <c r="W45" s="680" t="n"/>
      <c r="X45" s="796" t="n"/>
      <c r="Y45" s="680" t="n"/>
      <c r="Z45" s="796" t="n"/>
      <c r="AA45" s="680" t="n"/>
      <c r="AB45" s="796" t="n"/>
      <c r="AC45" s="680" t="n"/>
      <c r="AD45" s="796" t="n"/>
      <c r="AE45" s="680" t="n"/>
      <c r="AF45" s="796" t="n"/>
      <c r="AG45" s="680" t="n"/>
      <c r="AH45" s="796" t="n"/>
      <c r="AI45" s="680" t="n"/>
      <c r="AJ45" s="796" t="n"/>
      <c r="AK45" s="680" t="n"/>
      <c r="AL45" s="796" t="n"/>
      <c r="AM45" s="680" t="n"/>
      <c r="AN45" s="798" t="n"/>
      <c r="AO45" s="643" t="n"/>
      <c r="AP45" s="796" t="n"/>
      <c r="AQ45" s="680" t="n"/>
      <c r="AR45" s="796" t="n"/>
      <c r="AS45" s="680" t="n"/>
      <c r="AT45" s="796" t="n"/>
      <c r="AU45" s="680" t="n"/>
      <c r="AV45" s="796" t="n"/>
      <c r="AW45" s="680" t="n"/>
      <c r="AX45" s="796" t="n"/>
      <c r="AY45" s="643" t="n"/>
      <c r="AZ45" s="796" t="n"/>
      <c r="BA45" s="680" t="n"/>
      <c r="BB45" s="796" t="n"/>
      <c r="BC45" s="680" t="n"/>
      <c r="BD45" s="796" t="n"/>
      <c r="BE45" s="608">
        <f>K45+M45+O45+Q45+S45+U45+W45+Y45+AA45+AC45+AE45+AG45+AI45+AK45+AM45+AO45+AQ45+AS45+AU45+AW45+AY45+BA45+BC45</f>
        <v/>
      </c>
      <c r="BF45" s="608">
        <f>#REF!+L45+N45+P45+R45+T45+V45+X45+Z45+AB45+AD45+AF45+AH45+AJ45+AL45+AN45+AP45+AR45+AT45+AV45+AX45</f>
        <v/>
      </c>
      <c r="BG45" s="602">
        <f>BE45-BF45</f>
        <v/>
      </c>
    </row>
    <row r="46">
      <c r="A46" s="633" t="inlineStr">
        <is>
          <t>Упаковка</t>
        </is>
      </c>
      <c r="B46" s="604" t="inlineStr">
        <is>
          <t>Расход</t>
        </is>
      </c>
      <c r="C46" s="680" t="n"/>
      <c r="D46" s="796" t="n"/>
      <c r="E46" s="643" t="n"/>
      <c r="F46" s="796" t="n"/>
      <c r="G46" s="643" t="n"/>
      <c r="H46" s="634" t="n"/>
      <c r="I46" s="643" t="n"/>
      <c r="J46" s="641">
        <f>-510400</f>
        <v/>
      </c>
      <c r="K46" s="643" t="n"/>
      <c r="L46" s="641" t="n"/>
      <c r="M46" s="649" t="n">
        <v>-2500000</v>
      </c>
      <c r="N46" s="804" t="n"/>
      <c r="O46" s="680" t="n"/>
      <c r="P46" s="796" t="n"/>
      <c r="Q46" s="680" t="n"/>
      <c r="R46" s="796" t="n"/>
      <c r="S46" s="649" t="n">
        <v>-2000000</v>
      </c>
      <c r="T46" s="796" t="n"/>
      <c r="U46" s="680" t="n"/>
      <c r="V46" s="796" t="n"/>
      <c r="W46" s="643" t="n"/>
      <c r="X46" s="796" t="n"/>
      <c r="Y46" s="642" t="n">
        <v>-1500000</v>
      </c>
      <c r="Z46" s="796" t="n"/>
      <c r="AA46" s="645" t="n">
        <v>-900000</v>
      </c>
      <c r="AB46" s="796" t="n"/>
      <c r="AC46" s="649" t="n">
        <v>-600000</v>
      </c>
      <c r="AD46" s="796" t="n"/>
      <c r="AE46" s="680" t="n"/>
      <c r="AF46" s="796" t="n"/>
      <c r="AG46" s="645" t="n">
        <v>-1000000</v>
      </c>
      <c r="AH46" s="796" t="n"/>
      <c r="AI46" s="643" t="n"/>
      <c r="AJ46" s="796" t="n"/>
      <c r="AK46" s="647" t="n">
        <v>-1000000</v>
      </c>
      <c r="AL46" s="796" t="n"/>
      <c r="AM46" s="649" t="n">
        <v>-2000000</v>
      </c>
      <c r="AN46" s="798" t="n"/>
      <c r="AO46" s="643" t="n"/>
      <c r="AP46" s="796" t="n"/>
      <c r="AQ46" s="642" t="n"/>
      <c r="AR46" s="796" t="n"/>
      <c r="AS46" s="680" t="n"/>
      <c r="AT46" s="796" t="n"/>
      <c r="AU46" s="680" t="n"/>
      <c r="AV46" s="796" t="n"/>
      <c r="AW46" s="680" t="n"/>
      <c r="AX46" s="796" t="n"/>
      <c r="AY46" s="643" t="n"/>
      <c r="AZ46" s="796" t="n"/>
      <c r="BA46" s="642" t="n"/>
      <c r="BB46" s="796" t="n"/>
      <c r="BC46" s="680" t="n"/>
      <c r="BD46" s="796" t="n"/>
      <c r="BE46" s="608">
        <f>K46+M46+O46+Q46+S46+U46+W46+Y46+AA46+AC46+AE46+AG46+AI46+AK46+AM46+AO46+AQ46+AS46+AU46+AW46+AY46+BA46+BC46</f>
        <v/>
      </c>
      <c r="BF46" s="608">
        <f>#REF!+L46+N46+P46+R46+T46+V46+X46+Z46+AB46+AD46+AF46+AH46+AJ46+AL46+AN46+AP46+AR46+AT46+AV46+AX46</f>
        <v/>
      </c>
      <c r="BG46" s="602">
        <f>BE46-BF46</f>
        <v/>
      </c>
    </row>
    <row r="47">
      <c r="A47" s="633" t="inlineStr">
        <is>
          <t>Хоз.товара</t>
        </is>
      </c>
      <c r="B47" s="604" t="inlineStr">
        <is>
          <t>Расход</t>
        </is>
      </c>
      <c r="C47" s="680" t="n"/>
      <c r="D47" s="796" t="n"/>
      <c r="E47" s="680" t="n"/>
      <c r="F47" s="796" t="n"/>
      <c r="G47" s="643" t="n"/>
      <c r="H47" s="634" t="n"/>
      <c r="I47" s="643" t="n"/>
      <c r="J47" s="634" t="n"/>
      <c r="K47" s="643" t="n"/>
      <c r="L47" s="634" t="n"/>
      <c r="M47" s="680" t="n"/>
      <c r="N47" s="804" t="n"/>
      <c r="O47" s="680" t="n"/>
      <c r="P47" s="796" t="n"/>
      <c r="Q47" s="680" t="n"/>
      <c r="R47" s="796" t="n"/>
      <c r="S47" s="680" t="n"/>
      <c r="T47" s="796" t="n"/>
      <c r="U47" s="680" t="n"/>
      <c r="V47" s="796" t="n"/>
      <c r="W47" s="680" t="n"/>
      <c r="X47" s="796" t="n"/>
      <c r="Y47" s="680" t="n"/>
      <c r="Z47" s="796" t="n"/>
      <c r="AA47" s="680" t="n"/>
      <c r="AB47" s="796" t="n"/>
      <c r="AC47" s="649" t="n">
        <v>-300000</v>
      </c>
      <c r="AD47" s="796" t="n"/>
      <c r="AE47" s="680" t="n"/>
      <c r="AF47" s="796" t="n"/>
      <c r="AG47" s="680" t="n"/>
      <c r="AH47" s="796" t="n"/>
      <c r="AI47" s="680" t="n"/>
      <c r="AJ47" s="796" t="n"/>
      <c r="AK47" s="680" t="n"/>
      <c r="AL47" s="796" t="n"/>
      <c r="AM47" s="680" t="n"/>
      <c r="AN47" s="798" t="n"/>
      <c r="AO47" s="643" t="n"/>
      <c r="AP47" s="796" t="n"/>
      <c r="AQ47" s="680" t="n"/>
      <c r="AR47" s="796" t="n"/>
      <c r="AS47" s="680" t="n"/>
      <c r="AT47" s="796" t="n"/>
      <c r="AU47" s="680" t="n"/>
      <c r="AV47" s="796" t="n"/>
      <c r="AW47" s="680" t="n"/>
      <c r="AX47" s="796" t="n"/>
      <c r="AY47" s="643" t="n"/>
      <c r="AZ47" s="796" t="n"/>
      <c r="BA47" s="680" t="n"/>
      <c r="BB47" s="796" t="n"/>
      <c r="BC47" s="680" t="n"/>
      <c r="BD47" s="796" t="n"/>
      <c r="BE47" s="608">
        <f>K47+M47+O47+Q47+S47+U47+W47+Y47+AA47+AC47+AE47+AG47+AI47+AK47+AM47+AO47+AQ47+AS47+AU47+AW47+AY47+BA47+BC47</f>
        <v/>
      </c>
      <c r="BF47" s="608">
        <f>#REF!+L47+N47+P47+R47+T47+V47+X47+Z47+AB47+AD47+AF47+AH47+AJ47+AL47+AN47+AP47+AR47+AT47+AV47+AX47</f>
        <v/>
      </c>
      <c r="BG47" s="602">
        <f>BE47-BF47</f>
        <v/>
      </c>
    </row>
    <row r="48">
      <c r="A48" s="633" t="inlineStr">
        <is>
          <t>Погашение кредита и %%</t>
        </is>
      </c>
      <c r="B48" s="604" t="inlineStr">
        <is>
          <t>Расход</t>
        </is>
      </c>
      <c r="C48" s="680" t="n"/>
      <c r="D48" s="796" t="n"/>
      <c r="E48" s="680" t="n"/>
      <c r="F48" s="796" t="n"/>
      <c r="G48" s="643" t="n"/>
      <c r="H48" s="634" t="n"/>
      <c r="I48" s="643" t="n"/>
      <c r="J48" s="634" t="n"/>
      <c r="K48" s="643" t="n"/>
      <c r="L48" s="634" t="n"/>
      <c r="M48" s="680" t="n"/>
      <c r="N48" s="796" t="n"/>
      <c r="O48" s="680" t="n"/>
      <c r="P48" s="796" t="n"/>
      <c r="Q48" s="680" t="n"/>
      <c r="R48" s="796" t="n"/>
      <c r="S48" s="680" t="n"/>
      <c r="T48" s="796" t="n"/>
      <c r="U48" s="680" t="n"/>
      <c r="V48" s="796" t="n"/>
      <c r="W48" s="680" t="n"/>
      <c r="X48" s="796" t="n"/>
      <c r="Y48" s="680" t="n"/>
      <c r="Z48" s="796" t="n"/>
      <c r="AA48" s="680" t="n"/>
      <c r="AB48" s="796" t="n"/>
      <c r="AC48" s="680" t="n"/>
      <c r="AD48" s="796" t="n"/>
      <c r="AE48" s="680" t="n"/>
      <c r="AF48" s="796" t="n"/>
      <c r="AG48" s="680" t="n"/>
      <c r="AH48" s="796" t="n"/>
      <c r="AI48" s="680" t="n"/>
      <c r="AJ48" s="796" t="n"/>
      <c r="AK48" s="680" t="n"/>
      <c r="AL48" s="796" t="n"/>
      <c r="AM48" s="680" t="n"/>
      <c r="AN48" s="798" t="n"/>
      <c r="AO48" s="649" t="n">
        <v>-1198352</v>
      </c>
      <c r="AP48" s="796" t="n"/>
      <c r="AQ48" s="680" t="n"/>
      <c r="AR48" s="796" t="n"/>
      <c r="AS48" s="680" t="n"/>
      <c r="AT48" s="796" t="n"/>
      <c r="AU48" s="649">
        <f>-915358-1770150</f>
        <v/>
      </c>
      <c r="AV48" s="796" t="n"/>
      <c r="AW48" s="649">
        <f>-915358-1770150</f>
        <v/>
      </c>
      <c r="AX48" s="796" t="n"/>
      <c r="AY48" s="649" t="n">
        <v>-1198352</v>
      </c>
      <c r="AZ48" s="796" t="n"/>
      <c r="BA48" s="680" t="n"/>
      <c r="BB48" s="796" t="n"/>
      <c r="BC48" s="680" t="n"/>
      <c r="BD48" s="796" t="n"/>
      <c r="BE48" s="608">
        <f>K48+M48+O48+Q48+S48+U48+W48+Y48+AA48+AC48+AE48+AG48+AI48+AK48+AM48+AO48+AQ48+AS48+AU48+AW48+AY48+BA48+BC48</f>
        <v/>
      </c>
      <c r="BF48" s="608">
        <f>#REF!+L48+N48+P48+R48+T48+V48+X48+Z48+AB48+AD48+AF48+AH48+AJ48+AL48+AN48+AP48+AR48+AT48+AV48+AX48</f>
        <v/>
      </c>
      <c r="BG48" s="602">
        <f>BE48-BF48</f>
        <v/>
      </c>
    </row>
    <row r="49">
      <c r="A49" s="633" t="inlineStr">
        <is>
          <t>Расходы по реализации Разные(Логистика)</t>
        </is>
      </c>
      <c r="B49" s="604" t="inlineStr">
        <is>
          <t>Расход</t>
        </is>
      </c>
      <c r="C49" s="680" t="n"/>
      <c r="D49" s="796" t="n"/>
      <c r="E49" s="680" t="n"/>
      <c r="F49" s="796" t="n"/>
      <c r="G49" s="643" t="n"/>
      <c r="H49" s="634" t="n"/>
      <c r="I49" s="649" t="n">
        <v>-2000000</v>
      </c>
      <c r="J49" s="634" t="n"/>
      <c r="K49" s="643" t="n"/>
      <c r="L49" s="634" t="n"/>
      <c r="M49" s="642" t="n">
        <v>-800000</v>
      </c>
      <c r="N49" s="796" t="n"/>
      <c r="O49" s="680" t="n"/>
      <c r="P49" s="796" t="n"/>
      <c r="Q49" s="680" t="n"/>
      <c r="R49" s="796" t="n"/>
      <c r="S49" s="649" t="n">
        <v>-2725000</v>
      </c>
      <c r="T49" s="796" t="n"/>
      <c r="U49" s="680" t="n"/>
      <c r="V49" s="796" t="n"/>
      <c r="W49" s="642" t="n">
        <v>-800000</v>
      </c>
      <c r="X49" s="796" t="n"/>
      <c r="Y49" s="680" t="n"/>
      <c r="Z49" s="796" t="n"/>
      <c r="AA49" s="680" t="n"/>
      <c r="AB49" s="796" t="n"/>
      <c r="AC49" s="649" t="n">
        <v>-2725000</v>
      </c>
      <c r="AD49" s="796" t="n"/>
      <c r="AE49" s="680" t="n"/>
      <c r="AF49" s="796" t="n"/>
      <c r="AG49" s="642" t="n">
        <v>-800000</v>
      </c>
      <c r="AH49" s="796" t="n"/>
      <c r="AI49" s="680" t="n"/>
      <c r="AJ49" s="796" t="n"/>
      <c r="AK49" s="680" t="n"/>
      <c r="AL49" s="796" t="n"/>
      <c r="AM49" s="649" t="n">
        <v>-2725000</v>
      </c>
      <c r="AN49" s="798" t="n"/>
      <c r="AO49" s="643" t="n"/>
      <c r="AP49" s="796" t="n"/>
      <c r="AQ49" s="642" t="n">
        <v>-800000</v>
      </c>
      <c r="AR49" s="796" t="n"/>
      <c r="AS49" s="680" t="n"/>
      <c r="AT49" s="796" t="n"/>
      <c r="AU49" s="680" t="n"/>
      <c r="AV49" s="796" t="n"/>
      <c r="AW49" s="649" t="n">
        <v>-2725000</v>
      </c>
      <c r="AX49" s="796" t="n"/>
      <c r="AY49" s="643" t="n"/>
      <c r="AZ49" s="796" t="n"/>
      <c r="BA49" s="642" t="n">
        <v>-800000</v>
      </c>
      <c r="BB49" s="796" t="n"/>
      <c r="BC49" s="680" t="n"/>
      <c r="BD49" s="796" t="n"/>
      <c r="BE49" s="608">
        <f>K49+M49+O49+Q49+S49+U49+W49+Y49+AA49+AC49+AE49+AG49+AI49+AK49+AM49+AO49+AQ49+AS49+AU49+AW49+AY49+BA49+BC49</f>
        <v/>
      </c>
      <c r="BF49" s="608">
        <f>#REF!+L49+N49+P49+R49+T49+V49+X49+Z49+AB49+AD49+AF49+AH49+AJ49+AL49+AN49+AP49+AR49+AT49+AV49+AX49</f>
        <v/>
      </c>
      <c r="BG49" s="602">
        <f>BE49-BF49</f>
        <v/>
      </c>
    </row>
    <row r="50">
      <c r="A50" s="633" t="inlineStr">
        <is>
          <t>Ремонт помещений</t>
        </is>
      </c>
      <c r="B50" s="604" t="inlineStr">
        <is>
          <t>Расход</t>
        </is>
      </c>
      <c r="C50" s="680" t="n"/>
      <c r="D50" s="796" t="n"/>
      <c r="E50" s="680" t="n"/>
      <c r="F50" s="796" t="n"/>
      <c r="G50" s="643" t="n"/>
      <c r="H50" s="634" t="n"/>
      <c r="I50" s="643" t="n"/>
      <c r="J50" s="634" t="n"/>
      <c r="K50" s="643" t="n"/>
      <c r="L50" s="634" t="n"/>
      <c r="M50" s="680" t="n"/>
      <c r="N50" s="796" t="n"/>
      <c r="O50" s="680" t="n"/>
      <c r="P50" s="796" t="n"/>
      <c r="Q50" s="680" t="n"/>
      <c r="R50" s="796" t="n"/>
      <c r="S50" s="680" t="n"/>
      <c r="T50" s="796" t="n"/>
      <c r="U50" s="680" t="n"/>
      <c r="V50" s="796" t="n"/>
      <c r="W50" s="680" t="n"/>
      <c r="X50" s="796" t="n"/>
      <c r="Y50" s="680" t="n"/>
      <c r="Z50" s="796" t="n"/>
      <c r="AA50" s="680" t="n"/>
      <c r="AB50" s="796" t="n"/>
      <c r="AC50" s="680" t="n"/>
      <c r="AD50" s="796" t="n"/>
      <c r="AE50" s="680" t="n"/>
      <c r="AF50" s="796" t="n"/>
      <c r="AG50" s="680" t="n"/>
      <c r="AH50" s="796" t="n"/>
      <c r="AI50" s="680" t="n"/>
      <c r="AJ50" s="796" t="n"/>
      <c r="AK50" s="680" t="n"/>
      <c r="AL50" s="796" t="n"/>
      <c r="AM50" s="680" t="n"/>
      <c r="AN50" s="798" t="n"/>
      <c r="AO50" s="643" t="n"/>
      <c r="AP50" s="796" t="n"/>
      <c r="AQ50" s="680" t="n"/>
      <c r="AR50" s="796" t="n"/>
      <c r="AS50" s="680" t="n"/>
      <c r="AT50" s="796" t="n"/>
      <c r="AU50" s="680" t="n"/>
      <c r="AV50" s="796" t="n"/>
      <c r="AW50" s="680" t="n"/>
      <c r="AX50" s="796" t="n"/>
      <c r="AY50" s="643" t="n"/>
      <c r="AZ50" s="796" t="n"/>
      <c r="BA50" s="680" t="n"/>
      <c r="BB50" s="796" t="n"/>
      <c r="BC50" s="680" t="n"/>
      <c r="BD50" s="796" t="n"/>
      <c r="BE50" s="608">
        <f>K50+M50+O50+Q50+S50+U50+W50+Y50+AA50+AC50+AE50+AG50+AI50+AK50+AM50+AO50+AQ50+AS50+AU50+AW50+AY50+BA50+BC50</f>
        <v/>
      </c>
      <c r="BF50" s="608">
        <f>#REF!+L50+N50+P50+R50+T50+V50+X50+Z50+AB50+AD50+AF50+AH50+AJ50+AL50+AN50+AP50+AR50+AT50+AV50+AX50</f>
        <v/>
      </c>
      <c r="BG50" s="602">
        <f>BE50-BF50</f>
        <v/>
      </c>
    </row>
    <row r="51">
      <c r="A51" s="633" t="inlineStr">
        <is>
          <t>Ремонт оборудования</t>
        </is>
      </c>
      <c r="B51" s="604" t="inlineStr">
        <is>
          <t>Расход</t>
        </is>
      </c>
      <c r="C51" s="680" t="n"/>
      <c r="D51" s="796" t="n"/>
      <c r="E51" s="680" t="n"/>
      <c r="F51" s="796" t="n"/>
      <c r="G51" s="643" t="n"/>
      <c r="H51" s="634" t="n"/>
      <c r="I51" s="643" t="n"/>
      <c r="J51" s="634" t="n"/>
      <c r="K51" s="643" t="n"/>
      <c r="L51" s="634" t="n"/>
      <c r="M51" s="680" t="n"/>
      <c r="N51" s="796" t="n"/>
      <c r="O51" s="680" t="n"/>
      <c r="P51" s="796" t="n"/>
      <c r="Q51" s="680" t="n"/>
      <c r="R51" s="796" t="n"/>
      <c r="S51" s="680" t="n"/>
      <c r="T51" s="796" t="n"/>
      <c r="U51" s="680" t="n"/>
      <c r="V51" s="796" t="n"/>
      <c r="W51" s="680" t="n"/>
      <c r="X51" s="796" t="n"/>
      <c r="Y51" s="680" t="n"/>
      <c r="Z51" s="796" t="n"/>
      <c r="AA51" s="680" t="n"/>
      <c r="AB51" s="796" t="n"/>
      <c r="AC51" s="680" t="n"/>
      <c r="AD51" s="796" t="n"/>
      <c r="AE51" s="680" t="n"/>
      <c r="AF51" s="796" t="n"/>
      <c r="AG51" s="680" t="n"/>
      <c r="AH51" s="796" t="n"/>
      <c r="AI51" s="680" t="n"/>
      <c r="AJ51" s="796" t="n"/>
      <c r="AK51" s="680" t="n"/>
      <c r="AL51" s="796" t="n"/>
      <c r="AM51" s="680" t="n"/>
      <c r="AN51" s="798" t="n"/>
      <c r="AO51" s="643" t="n"/>
      <c r="AP51" s="796" t="n"/>
      <c r="AQ51" s="680" t="n"/>
      <c r="AR51" s="796" t="n"/>
      <c r="AS51" s="680" t="n"/>
      <c r="AT51" s="796" t="n"/>
      <c r="AU51" s="680" t="n"/>
      <c r="AV51" s="796" t="n"/>
      <c r="AW51" s="680" t="n"/>
      <c r="AX51" s="796" t="n"/>
      <c r="AY51" s="643" t="n"/>
      <c r="AZ51" s="796" t="n"/>
      <c r="BA51" s="680" t="n"/>
      <c r="BB51" s="796" t="n"/>
      <c r="BC51" s="680" t="n"/>
      <c r="BD51" s="796" t="n"/>
      <c r="BE51" s="608">
        <f>K51+M51+O51+Q51+S51+U51+W51+Y51+AA51+AC51+AE51+AG51+AI51+AK51+AM51+AO51+AQ51+AS51+AU51+AW51+AY51+BA51+BC51</f>
        <v/>
      </c>
      <c r="BF51" s="608">
        <f>#REF!+L51+N51+P51+R51+T51+V51+X51+Z51+AB51+AD51+AF51+AH51+AJ51+AL51+AN51+AP51+AR51+AT51+AV51+AX51</f>
        <v/>
      </c>
      <c r="BG51" s="602">
        <f>BE51-BF51</f>
        <v/>
      </c>
    </row>
    <row r="52">
      <c r="A52" s="633" t="inlineStr">
        <is>
          <t>Приобретение основных средств</t>
        </is>
      </c>
      <c r="B52" s="604" t="inlineStr">
        <is>
          <t>Расход</t>
        </is>
      </c>
      <c r="C52" s="680" t="n"/>
      <c r="D52" s="796" t="n"/>
      <c r="E52" s="680" t="n"/>
      <c r="F52" s="796" t="n"/>
      <c r="G52" s="643" t="n"/>
      <c r="H52" s="634" t="n"/>
      <c r="I52" s="643" t="n"/>
      <c r="J52" s="634" t="n"/>
      <c r="K52" s="643" t="n"/>
      <c r="L52" s="634" t="n"/>
      <c r="M52" s="680" t="n"/>
      <c r="N52" s="796" t="n"/>
      <c r="O52" s="680" t="n"/>
      <c r="P52" s="796" t="n"/>
      <c r="Q52" s="680" t="n"/>
      <c r="R52" s="796" t="n"/>
      <c r="S52" s="680" t="n"/>
      <c r="T52" s="796" t="n"/>
      <c r="U52" s="680" t="n"/>
      <c r="V52" s="796" t="n"/>
      <c r="W52" s="680" t="n"/>
      <c r="X52" s="796" t="n"/>
      <c r="Y52" s="680" t="n"/>
      <c r="Z52" s="796" t="n"/>
      <c r="AA52" s="680" t="n"/>
      <c r="AB52" s="796" t="n"/>
      <c r="AC52" s="680" t="n"/>
      <c r="AD52" s="796" t="n"/>
      <c r="AE52" s="680" t="n"/>
      <c r="AF52" s="796" t="n"/>
      <c r="AG52" s="680" t="n"/>
      <c r="AH52" s="796" t="n"/>
      <c r="AI52" s="680" t="n"/>
      <c r="AJ52" s="796" t="n"/>
      <c r="AK52" s="680" t="n"/>
      <c r="AL52" s="796" t="n"/>
      <c r="AM52" s="680" t="n"/>
      <c r="AN52" s="798" t="n"/>
      <c r="AO52" s="643" t="n"/>
      <c r="AP52" s="796" t="n"/>
      <c r="AQ52" s="680" t="n"/>
      <c r="AR52" s="796" t="n"/>
      <c r="AS52" s="680" t="n"/>
      <c r="AT52" s="796" t="n"/>
      <c r="AU52" s="680" t="n"/>
      <c r="AV52" s="796" t="n"/>
      <c r="AW52" s="680" t="n"/>
      <c r="AX52" s="796" t="n"/>
      <c r="AY52" s="643" t="n"/>
      <c r="AZ52" s="796" t="n"/>
      <c r="BA52" s="680" t="n"/>
      <c r="BB52" s="796" t="n"/>
      <c r="BC52" s="680" t="n"/>
      <c r="BD52" s="796" t="n"/>
      <c r="BE52" s="608">
        <f>K52+M52+O52+Q52+S52+U52+W52+Y52+AA52+AC52+AE52+AG52+AI52+AK52+AM52+AO52+AQ52+AS52+AU52+AW52+AY52+BA52+BC52</f>
        <v/>
      </c>
      <c r="BF52" s="608">
        <f>#REF!+L52+N52+P52+R52+T52+V52+X52+Z52+AB52+AD52+AF52+AH52+AJ52+AL52+AN52+AP52+AR52+AT52+AV52+AX52</f>
        <v/>
      </c>
      <c r="BG52" s="602">
        <f>BE52-BF52</f>
        <v/>
      </c>
    </row>
    <row r="53">
      <c r="A53" s="633" t="inlineStr">
        <is>
          <t>Сырье Платежи поставщикам</t>
        </is>
      </c>
      <c r="B53" s="604" t="inlineStr">
        <is>
          <t>Расход</t>
        </is>
      </c>
      <c r="C53" s="680" t="n"/>
      <c r="D53" s="796" t="n"/>
      <c r="E53" s="643" t="n"/>
      <c r="F53" s="796" t="n"/>
      <c r="G53" s="643" t="n"/>
      <c r="H53" s="641">
        <f>-7743006</f>
        <v/>
      </c>
      <c r="I53" s="643" t="n"/>
      <c r="J53" s="641">
        <f>-7167264</f>
        <v/>
      </c>
      <c r="K53" s="642" t="n">
        <v>-5000000</v>
      </c>
      <c r="L53" s="641" t="n"/>
      <c r="M53" s="642" t="n">
        <v>-5000000</v>
      </c>
      <c r="N53" s="804" t="n"/>
      <c r="O53" s="642" t="n">
        <v>-5000000</v>
      </c>
      <c r="P53" s="796" t="n"/>
      <c r="Q53" s="642" t="n">
        <v>-5000000</v>
      </c>
      <c r="R53" s="796" t="n"/>
      <c r="S53" s="642" t="n">
        <v>-5000000</v>
      </c>
      <c r="T53" s="796" t="n"/>
      <c r="U53" s="642" t="n">
        <v>-5000000</v>
      </c>
      <c r="V53" s="641" t="n"/>
      <c r="W53" s="642" t="n">
        <v>-8000000</v>
      </c>
      <c r="X53" s="804" t="n"/>
      <c r="Y53" s="649" t="n">
        <v>-5000000</v>
      </c>
      <c r="Z53" s="796" t="n"/>
      <c r="AA53" s="642" t="n">
        <v>-6000000</v>
      </c>
      <c r="AB53" s="796" t="n"/>
      <c r="AC53" s="642" t="n">
        <v>-5000000</v>
      </c>
      <c r="AD53" s="796" t="n"/>
      <c r="AE53" s="649" t="n">
        <v>-5000000</v>
      </c>
      <c r="AF53" s="641" t="n"/>
      <c r="AG53" s="642" t="n">
        <v>-5000000</v>
      </c>
      <c r="AH53" s="804" t="n"/>
      <c r="AI53" s="649" t="n">
        <v>-5000000</v>
      </c>
      <c r="AJ53" s="796" t="n"/>
      <c r="AK53" s="642" t="n">
        <v>-5000000</v>
      </c>
      <c r="AL53" s="796" t="n"/>
      <c r="AM53" s="642" t="n">
        <v>-5000000</v>
      </c>
      <c r="AN53" s="798" t="n"/>
      <c r="AO53" s="649" t="n">
        <v>-5000000</v>
      </c>
      <c r="AP53" s="641" t="n"/>
      <c r="AQ53" s="642" t="n">
        <v>-5000000</v>
      </c>
      <c r="AR53" s="804" t="n"/>
      <c r="AS53" s="649" t="n">
        <v>-5000000</v>
      </c>
      <c r="AT53" s="796" t="n"/>
      <c r="AU53" s="642" t="n">
        <v>-5000000</v>
      </c>
      <c r="AV53" s="796" t="n"/>
      <c r="AW53" s="642" t="n">
        <v>-5000000</v>
      </c>
      <c r="AX53" s="796" t="n"/>
      <c r="AY53" s="649" t="n">
        <v>-5000000</v>
      </c>
      <c r="AZ53" s="641" t="n"/>
      <c r="BA53" s="642" t="n">
        <v>-5000000</v>
      </c>
      <c r="BB53" s="804" t="n"/>
      <c r="BC53" s="649" t="n">
        <v>-5000000</v>
      </c>
      <c r="BD53" s="796" t="n"/>
      <c r="BE53" s="608">
        <f>K53+M53+O53+Q53+S53+U53+W53+Y53+AA53+AC53+AE53+AG53+AI53+AK53+AM53+AO53+AQ53+AS53+AU53+AW53+AY53+BA53+BC53</f>
        <v/>
      </c>
      <c r="BF53" s="608">
        <f>#REF!+L53+N53+P53+R53+T53+V53+X53+Z53+AB53+AD53+AF53+AH53+AJ53+AL53+AN53+AP53+AR53+AT53+AV53+AX53</f>
        <v/>
      </c>
      <c r="BG53" s="602">
        <f>BE53-BF53</f>
        <v/>
      </c>
    </row>
    <row r="54">
      <c r="A54" s="633" t="inlineStr">
        <is>
          <t>Электроэнергия</t>
        </is>
      </c>
      <c r="B54" s="604" t="inlineStr">
        <is>
          <t>Расход</t>
        </is>
      </c>
      <c r="C54" s="680" t="n"/>
      <c r="D54" s="796" t="n"/>
      <c r="E54" s="680" t="n"/>
      <c r="F54" s="796" t="n"/>
      <c r="G54" s="680" t="n"/>
      <c r="H54" s="634" t="n"/>
      <c r="I54" s="680" t="n"/>
      <c r="J54" s="634" t="n"/>
      <c r="K54" s="680" t="n"/>
      <c r="L54" s="798" t="n"/>
      <c r="M54" s="680" t="n"/>
      <c r="N54" s="796" t="n"/>
      <c r="O54" s="680" t="n"/>
      <c r="P54" s="796" t="n"/>
      <c r="Q54" s="680" t="n"/>
      <c r="R54" s="796" t="n"/>
      <c r="S54" s="680" t="n"/>
      <c r="T54" s="796" t="n"/>
      <c r="U54" s="680" t="n"/>
      <c r="V54" s="796" t="n"/>
      <c r="W54" s="680" t="n"/>
      <c r="X54" s="796" t="n"/>
      <c r="Y54" s="680" t="n"/>
      <c r="Z54" s="796" t="n"/>
      <c r="AA54" s="680" t="n"/>
      <c r="AB54" s="796" t="n"/>
      <c r="AC54" s="680" t="n"/>
      <c r="AD54" s="796" t="n"/>
      <c r="AE54" s="680" t="n"/>
      <c r="AF54" s="796" t="n"/>
      <c r="AG54" s="680" t="n"/>
      <c r="AH54" s="796" t="n"/>
      <c r="AI54" s="680" t="n"/>
      <c r="AJ54" s="796" t="n"/>
      <c r="AK54" s="680" t="n"/>
      <c r="AL54" s="796" t="n"/>
      <c r="AM54" s="680" t="n"/>
      <c r="AN54" s="798" t="n"/>
      <c r="AO54" s="645" t="n">
        <v>-6900000</v>
      </c>
      <c r="AP54" s="796" t="n"/>
      <c r="AQ54" s="680" t="n"/>
      <c r="AR54" s="796" t="n"/>
      <c r="AS54" s="680" t="n"/>
      <c r="AT54" s="796" t="n"/>
      <c r="AU54" s="680" t="n"/>
      <c r="AV54" s="796" t="n"/>
      <c r="AW54" s="680" t="n"/>
      <c r="AX54" s="796" t="n"/>
      <c r="AY54" s="645" t="n">
        <v>-6900000</v>
      </c>
      <c r="AZ54" s="796" t="n"/>
      <c r="BA54" s="680" t="n"/>
      <c r="BB54" s="796" t="n"/>
      <c r="BC54" s="680" t="n"/>
      <c r="BD54" s="796" t="n"/>
      <c r="BE54" s="608">
        <f>K54+M54+O54+Q54+S54+U54+W54+Y54+AA54+AC54+AE54+AG54+AI54+AK54+AM54+AO54+AQ54+AS54+AU54+AW54+AY54+BA54+BC54</f>
        <v/>
      </c>
      <c r="BF54" s="608">
        <f>#REF!+L54+N54+P54+R54+T54+V54+X54+Z54+AB54+AD54+AF54+AH54+AJ54+AL54+AN54+AP54+AR54+AT54+AV54+AX54</f>
        <v/>
      </c>
      <c r="BG54" s="602">
        <f>BE54-BF54</f>
        <v/>
      </c>
    </row>
    <row r="55">
      <c r="A55" s="651" t="inlineStr">
        <is>
          <t>Итого по банку</t>
        </is>
      </c>
      <c r="B55" s="652" t="inlineStr">
        <is>
          <t>Расход</t>
        </is>
      </c>
      <c r="C55" s="650" t="n">
        <v>0</v>
      </c>
      <c r="D55" s="650">
        <f>SUM(D30:D54)</f>
        <v/>
      </c>
      <c r="E55" s="650">
        <f>SUM(E30:E54)</f>
        <v/>
      </c>
      <c r="F55" s="650">
        <f>SUM(F30:F54)</f>
        <v/>
      </c>
      <c r="G55" s="650">
        <f>SUM(G30:G54)</f>
        <v/>
      </c>
      <c r="H55" s="650">
        <f>SUM(H30:H54)</f>
        <v/>
      </c>
      <c r="I55" s="650">
        <f>SUM(I30:I54)</f>
        <v/>
      </c>
      <c r="J55" s="650">
        <f>SUM(J30:J54)</f>
        <v/>
      </c>
      <c r="K55" s="650">
        <f>SUM(K30:K54)</f>
        <v/>
      </c>
      <c r="L55" s="650">
        <f>SUM(L30:L54)</f>
        <v/>
      </c>
      <c r="M55" s="650">
        <f>SUM(M30:M54)</f>
        <v/>
      </c>
      <c r="N55" s="650">
        <f>SUM(N30:N54)</f>
        <v/>
      </c>
      <c r="O55" s="650">
        <f>SUM(O30:O54)</f>
        <v/>
      </c>
      <c r="P55" s="650">
        <f>SUM(P30:P54)</f>
        <v/>
      </c>
      <c r="Q55" s="650">
        <f>SUM(Q30:Q54)</f>
        <v/>
      </c>
      <c r="R55" s="650">
        <f>SUM(R30:R54)</f>
        <v/>
      </c>
      <c r="S55" s="650">
        <f>SUM(S30:S54)</f>
        <v/>
      </c>
      <c r="T55" s="650">
        <f>SUM(T30:T54)</f>
        <v/>
      </c>
      <c r="U55" s="650">
        <f>SUM(U30:U54)</f>
        <v/>
      </c>
      <c r="V55" s="650">
        <f>SUM(V30:V54)</f>
        <v/>
      </c>
      <c r="W55" s="650">
        <f>SUM(W30:W54)</f>
        <v/>
      </c>
      <c r="X55" s="650">
        <f>SUM(X30:X54)</f>
        <v/>
      </c>
      <c r="Y55" s="650">
        <f>SUM(Y30:Y54)</f>
        <v/>
      </c>
      <c r="Z55" s="650">
        <f>SUM(Z30:Z54)</f>
        <v/>
      </c>
      <c r="AA55" s="650">
        <f>SUM(AA30:AA54)</f>
        <v/>
      </c>
      <c r="AB55" s="650">
        <f>SUM(AB30:AB54)</f>
        <v/>
      </c>
      <c r="AC55" s="650">
        <f>SUM(AC30:AC54)</f>
        <v/>
      </c>
      <c r="AD55" s="650">
        <f>SUM(AD30:AD54)</f>
        <v/>
      </c>
      <c r="AE55" s="650">
        <f>SUM(AE30:AE54)</f>
        <v/>
      </c>
      <c r="AF55" s="650">
        <f>SUM(AF30:AF54)</f>
        <v/>
      </c>
      <c r="AG55" s="650">
        <f>SUM(AG30:AG54)</f>
        <v/>
      </c>
      <c r="AH55" s="650">
        <f>SUM(AH30:AH54)</f>
        <v/>
      </c>
      <c r="AI55" s="650">
        <f>SUM(AI30:AI54)</f>
        <v/>
      </c>
      <c r="AJ55" s="650">
        <f>SUM(AJ30:AJ54)</f>
        <v/>
      </c>
      <c r="AK55" s="650">
        <f>SUM(AK30:AK54)</f>
        <v/>
      </c>
      <c r="AL55" s="650">
        <f>SUM(AL30:AL54)</f>
        <v/>
      </c>
      <c r="AM55" s="650">
        <f>SUM(AM30:AM54)</f>
        <v/>
      </c>
      <c r="AN55" s="650">
        <f>SUM(AN30:AN54)</f>
        <v/>
      </c>
      <c r="AO55" s="650">
        <f>SUM(AO30:AO54)</f>
        <v/>
      </c>
      <c r="AP55" s="650">
        <f>SUM(AP30:AP54)</f>
        <v/>
      </c>
      <c r="AQ55" s="650">
        <f>SUM(AQ30:AQ54)</f>
        <v/>
      </c>
      <c r="AR55" s="650">
        <f>SUM(AR30:AR54)</f>
        <v/>
      </c>
      <c r="AS55" s="650">
        <f>SUM(AS30:AS54)</f>
        <v/>
      </c>
      <c r="AT55" s="650">
        <f>SUM(AT30:AT54)</f>
        <v/>
      </c>
      <c r="AU55" s="650">
        <f>SUM(AU30:AU54)</f>
        <v/>
      </c>
      <c r="AV55" s="650">
        <f>SUM(AV30:AV54)</f>
        <v/>
      </c>
      <c r="AW55" s="650">
        <f>SUM(AW30:AW54)</f>
        <v/>
      </c>
      <c r="AX55" s="650">
        <f>SUM(AX30:AX54)</f>
        <v/>
      </c>
      <c r="AY55" s="650">
        <f>SUM(AY30:AY54)</f>
        <v/>
      </c>
      <c r="AZ55" s="650">
        <f>SUM(AZ30:AZ54)</f>
        <v/>
      </c>
      <c r="BA55" s="650">
        <f>SUM(BA30:BA54)</f>
        <v/>
      </c>
      <c r="BB55" s="650">
        <f>SUM(BB30:BB54)</f>
        <v/>
      </c>
      <c r="BC55" s="650">
        <f>SUM(BC30:BC54)</f>
        <v/>
      </c>
      <c r="BD55" s="650">
        <f>SUM(BD30:BD54)</f>
        <v/>
      </c>
      <c r="BE55" s="608">
        <f>K55+M55+O55+Q55+S55+U55+W55+Y55+AA55+AC55+AE55+AG55+AI55+AK55+AM55+AO55+AQ55+AS55+AU55+AW55+AY55+BA55+BC55</f>
        <v/>
      </c>
      <c r="BF55" s="653">
        <f>#REF!+L55+N55+P55+R55+T55+V55+X55+Z55+AB55+AD55+AF55+AH55+AJ55+AL55+AN55+AP55+AR55+AT55+AV55+AX55</f>
        <v/>
      </c>
      <c r="BG55" s="654">
        <f>BE55-BF55</f>
        <v/>
      </c>
    </row>
    <row r="56">
      <c r="A56" s="633" t="inlineStr">
        <is>
          <t>Подотчет (Рынок сырье, Рынок ТМЦ)</t>
        </is>
      </c>
      <c r="B56" s="604" t="inlineStr">
        <is>
          <t>Расход</t>
        </is>
      </c>
      <c r="C56" s="680" t="n"/>
      <c r="D56" s="796" t="n"/>
      <c r="E56" s="680" t="n"/>
      <c r="F56" s="796" t="n"/>
      <c r="G56" s="680" t="n"/>
      <c r="H56" s="804">
        <f>-500000</f>
        <v/>
      </c>
      <c r="I56" s="649" t="n">
        <v>-500000</v>
      </c>
      <c r="J56" s="796" t="n"/>
      <c r="K56" s="649" t="n">
        <v>-300000</v>
      </c>
      <c r="L56" s="798" t="n"/>
      <c r="M56" s="649" t="n"/>
      <c r="N56" s="796" t="n"/>
      <c r="O56" s="649" t="n"/>
      <c r="P56" s="796" t="n"/>
      <c r="Q56" s="649" t="n">
        <v>-500000</v>
      </c>
      <c r="R56" s="796" t="n"/>
      <c r="S56" s="649" t="n">
        <v>-500000</v>
      </c>
      <c r="T56" s="796" t="n"/>
      <c r="U56" s="649" t="n">
        <v>-500000</v>
      </c>
      <c r="V56" s="796" t="n"/>
      <c r="W56" s="649" t="n"/>
      <c r="X56" s="796" t="n"/>
      <c r="Y56" s="649" t="n"/>
      <c r="Z56" s="796" t="n"/>
      <c r="AA56" s="649" t="n">
        <v>-500000</v>
      </c>
      <c r="AB56" s="796" t="n"/>
      <c r="AC56" s="649" t="n">
        <v>-500000</v>
      </c>
      <c r="AD56" s="796" t="n"/>
      <c r="AE56" s="680" t="n"/>
      <c r="AF56" s="796" t="n"/>
      <c r="AG56" s="649" t="n"/>
      <c r="AH56" s="796" t="n"/>
      <c r="AI56" s="649" t="n"/>
      <c r="AJ56" s="796" t="n"/>
      <c r="AK56" s="649" t="n">
        <v>-800000</v>
      </c>
      <c r="AL56" s="796" t="n"/>
      <c r="AM56" s="680" t="n"/>
      <c r="AN56" s="798" t="n"/>
      <c r="AO56" s="649" t="n"/>
      <c r="AP56" s="796" t="n"/>
      <c r="AQ56" s="649" t="n"/>
      <c r="AR56" s="796" t="n"/>
      <c r="AS56" s="649" t="n"/>
      <c r="AT56" s="796" t="n"/>
      <c r="AU56" s="649" t="n">
        <v>-500000</v>
      </c>
      <c r="AV56" s="796" t="n"/>
      <c r="AW56" s="649" t="n">
        <v>-500000</v>
      </c>
      <c r="AX56" s="796" t="n"/>
      <c r="AY56" s="649" t="n"/>
      <c r="AZ56" s="796" t="n"/>
      <c r="BA56" s="649" t="n"/>
      <c r="BB56" s="796" t="n"/>
      <c r="BC56" s="649" t="n"/>
      <c r="BD56" s="796" t="n"/>
      <c r="BE56" s="608">
        <f>K56+M56+O56+Q56+S56+U56+W56+Y56+AA56+AC56+AE56+AG56+AI56+AK56+AM56+AO56+AQ56+AS56+AU56+AW56+AY56+BA56+BC56</f>
        <v/>
      </c>
      <c r="BF56" s="608">
        <f>#REF!+L56+N56+P56+R56+T56+V56+X56+Z56+AB56+AD56+AF56+AH56+AJ56+AL56+AN56+AP56+AR56+AT56+AV56+AX56</f>
        <v/>
      </c>
      <c r="BG56" s="602">
        <f>BE56-BF56</f>
        <v/>
      </c>
    </row>
    <row r="57">
      <c r="A57" s="633" t="inlineStr">
        <is>
          <t>Административные расходы</t>
        </is>
      </c>
      <c r="B57" s="604" t="inlineStr">
        <is>
          <t>Расход</t>
        </is>
      </c>
      <c r="C57" s="680" t="n"/>
      <c r="D57" s="796" t="n"/>
      <c r="E57" s="680" t="n"/>
      <c r="F57" s="796" t="n"/>
      <c r="G57" s="680" t="n"/>
      <c r="H57" s="804">
        <f>-2580</f>
        <v/>
      </c>
      <c r="I57" s="805" t="n">
        <v>-109000</v>
      </c>
      <c r="J57" s="796" t="n"/>
      <c r="K57" s="680" t="n"/>
      <c r="L57" s="806" t="n"/>
      <c r="M57" s="649" t="n">
        <v>-55000</v>
      </c>
      <c r="N57" s="796" t="n"/>
      <c r="O57" s="642" t="n">
        <v>-55000</v>
      </c>
      <c r="P57" s="796" t="n"/>
      <c r="Q57" s="642" t="n">
        <v>-55000</v>
      </c>
      <c r="R57" s="796" t="n"/>
      <c r="S57" s="642" t="n">
        <v>-55000</v>
      </c>
      <c r="T57" s="796" t="n"/>
      <c r="U57" s="642" t="n">
        <v>-30000</v>
      </c>
      <c r="V57" s="796" t="n"/>
      <c r="W57" s="642" t="n">
        <v>-55000</v>
      </c>
      <c r="X57" s="796" t="n"/>
      <c r="Y57" s="642" t="n">
        <v>-55000</v>
      </c>
      <c r="Z57" s="796" t="n"/>
      <c r="AA57" s="642" t="n">
        <v>-55000</v>
      </c>
      <c r="AB57" s="796" t="n"/>
      <c r="AC57" s="642" t="n">
        <v>-55000</v>
      </c>
      <c r="AD57" s="796" t="n"/>
      <c r="AE57" s="642" t="n">
        <v>-55000</v>
      </c>
      <c r="AF57" s="796" t="n"/>
      <c r="AG57" s="642" t="n">
        <v>-55000</v>
      </c>
      <c r="AH57" s="796" t="n"/>
      <c r="AI57" s="642" t="n">
        <v>-55000</v>
      </c>
      <c r="AJ57" s="796" t="n"/>
      <c r="AK57" s="642" t="n">
        <v>-55000</v>
      </c>
      <c r="AL57" s="798" t="n"/>
      <c r="AM57" s="642" t="n">
        <v>-55000</v>
      </c>
      <c r="AN57" s="796" t="n"/>
      <c r="AO57" s="642" t="n">
        <v>-55000</v>
      </c>
      <c r="AP57" s="796" t="n"/>
      <c r="AQ57" s="642" t="n">
        <v>-55000</v>
      </c>
      <c r="AR57" s="796" t="n"/>
      <c r="AS57" s="642" t="n">
        <v>-55000</v>
      </c>
      <c r="AT57" s="796" t="n"/>
      <c r="AU57" s="642" t="n">
        <v>-55000</v>
      </c>
      <c r="AV57" s="796" t="n"/>
      <c r="AW57" s="680" t="n"/>
      <c r="AX57" s="796" t="n"/>
      <c r="AY57" s="642" t="n">
        <v>-55000</v>
      </c>
      <c r="AZ57" s="796" t="n"/>
      <c r="BA57" s="642" t="n">
        <v>-55000</v>
      </c>
      <c r="BB57" s="796" t="n"/>
      <c r="BC57" s="642" t="n">
        <v>-55000</v>
      </c>
      <c r="BD57" s="796" t="n"/>
      <c r="BE57" s="608">
        <f>K57+M57+O57+Q57+S57+U57+W57+Y57+AA57+AC57+AE57+AG57+AI57+AK57+AM57+AO57+AQ57+AS57+AU57+AW57+AY57+BA57+BC57</f>
        <v/>
      </c>
      <c r="BF57" s="608">
        <f>#REF!+L57+N57+P57+R57+T57+V57+X57+Z57+AB57+AD57+AF57+AH57+AJ57+AL57+AN57+AP57+AR57+AT57+AV57+AX57</f>
        <v/>
      </c>
      <c r="BG57" s="602">
        <f>BE57-BF57</f>
        <v/>
      </c>
    </row>
    <row r="58">
      <c r="A58" s="633" t="inlineStr">
        <is>
          <t>Представительские расходы</t>
        </is>
      </c>
      <c r="B58" s="604" t="inlineStr">
        <is>
          <t>Расход</t>
        </is>
      </c>
      <c r="C58" s="680" t="n"/>
      <c r="D58" s="796" t="n"/>
      <c r="E58" s="680" t="n"/>
      <c r="F58" s="796" t="n"/>
      <c r="G58" s="680" t="n"/>
      <c r="H58" s="796" t="n"/>
      <c r="I58" s="680" t="n"/>
      <c r="J58" s="796" t="n"/>
      <c r="K58" s="680" t="n"/>
      <c r="L58" s="798" t="n"/>
      <c r="M58" s="680" t="n"/>
      <c r="N58" s="796" t="n"/>
      <c r="O58" s="680" t="n"/>
      <c r="P58" s="796" t="n"/>
      <c r="Q58" s="680" t="n"/>
      <c r="R58" s="796" t="n"/>
      <c r="S58" s="680" t="n"/>
      <c r="T58" s="796" t="n"/>
      <c r="U58" s="680" t="n"/>
      <c r="V58" s="796" t="n"/>
      <c r="W58" s="680" t="n"/>
      <c r="X58" s="796" t="n"/>
      <c r="Y58" s="680" t="n"/>
      <c r="Z58" s="796" t="n"/>
      <c r="AA58" s="680" t="n"/>
      <c r="AB58" s="796" t="n"/>
      <c r="AC58" s="680" t="n"/>
      <c r="AD58" s="796" t="n"/>
      <c r="AE58" s="680" t="n"/>
      <c r="AF58" s="796" t="n"/>
      <c r="AG58" s="680" t="n"/>
      <c r="AH58" s="796" t="n"/>
      <c r="AI58" s="680" t="n"/>
      <c r="AJ58" s="796" t="n"/>
      <c r="AK58" s="680" t="n"/>
      <c r="AL58" s="796" t="n"/>
      <c r="AM58" s="680" t="n"/>
      <c r="AN58" s="798" t="n"/>
      <c r="AO58" s="680" t="n"/>
      <c r="AP58" s="796" t="n"/>
      <c r="AQ58" s="680" t="n"/>
      <c r="AR58" s="796" t="n"/>
      <c r="AS58" s="680" t="n"/>
      <c r="AT58" s="796" t="n"/>
      <c r="AU58" s="680" t="n"/>
      <c r="AV58" s="796" t="n"/>
      <c r="AW58" s="680" t="n"/>
      <c r="AX58" s="796" t="n"/>
      <c r="AY58" s="680" t="n"/>
      <c r="AZ58" s="796" t="n"/>
      <c r="BA58" s="680" t="n"/>
      <c r="BB58" s="796" t="n"/>
      <c r="BC58" s="680" t="n"/>
      <c r="BD58" s="796" t="n"/>
      <c r="BE58" s="608">
        <f>K58+M58+O58+Q58+S58+U58+W58+Y58+AA58+AC58+AE58+AG58+AI58+AK58+AM58+AO58+AQ58+AS58+AU58+AW58+AY58+BA58+BC58</f>
        <v/>
      </c>
      <c r="BF58" s="608">
        <f>#REF!+L58+N58+P58+R58+T58+V58+X58+Z58+AB58+AD58+AF58+AH58+AJ58+AL58+AN58+AP58+AR58+AT58+AV58+AX58</f>
        <v/>
      </c>
      <c r="BG58" s="602">
        <f>BE58-BF58</f>
        <v/>
      </c>
    </row>
    <row r="59">
      <c r="A59" s="633" t="inlineStr">
        <is>
          <t>Аренда квартир</t>
        </is>
      </c>
      <c r="B59" s="604" t="inlineStr">
        <is>
          <t>Расход</t>
        </is>
      </c>
      <c r="C59" s="680" t="n"/>
      <c r="D59" s="796" t="n"/>
      <c r="E59" s="680" t="n"/>
      <c r="F59" s="796" t="n"/>
      <c r="G59" s="680" t="n"/>
      <c r="H59" s="796" t="n"/>
      <c r="I59" s="680" t="n"/>
      <c r="J59" s="796" t="n"/>
      <c r="K59" s="680" t="n"/>
      <c r="L59" s="798" t="n"/>
      <c r="M59" s="680" t="n"/>
      <c r="N59" s="796" t="n"/>
      <c r="O59" s="680" t="n"/>
      <c r="P59" s="796" t="n"/>
      <c r="Q59" s="680" t="n"/>
      <c r="R59" s="796" t="n"/>
      <c r="S59" s="680" t="n"/>
      <c r="T59" s="796" t="n"/>
      <c r="U59" s="645">
        <f>-175000-300000</f>
        <v/>
      </c>
      <c r="V59" s="796" t="n"/>
      <c r="W59" s="649" t="n">
        <v>-500000</v>
      </c>
      <c r="X59" s="796" t="n"/>
      <c r="Y59" s="680" t="n"/>
      <c r="Z59" s="796" t="n"/>
      <c r="AA59" s="680" t="n"/>
      <c r="AB59" s="796" t="n"/>
      <c r="AC59" s="649" t="n">
        <v>-500000</v>
      </c>
      <c r="AD59" s="796" t="n"/>
      <c r="AE59" s="680" t="n"/>
      <c r="AF59" s="796" t="n"/>
      <c r="AG59" s="680" t="n"/>
      <c r="AH59" s="796" t="n"/>
      <c r="AI59" s="680" t="n"/>
      <c r="AJ59" s="796" t="n"/>
      <c r="AK59" s="645" t="n">
        <v>-350149</v>
      </c>
      <c r="AL59" s="796" t="n"/>
      <c r="AM59" s="680" t="n"/>
      <c r="AN59" s="798" t="n"/>
      <c r="AO59" s="680" t="n"/>
      <c r="AP59" s="796" t="n"/>
      <c r="AQ59" s="680" t="n"/>
      <c r="AR59" s="796" t="n"/>
      <c r="AS59" s="680" t="n"/>
      <c r="AT59" s="796" t="n"/>
      <c r="AU59" s="680" t="n"/>
      <c r="AV59" s="796" t="n"/>
      <c r="AW59" s="680" t="n"/>
      <c r="AX59" s="796" t="n"/>
      <c r="AY59" s="680" t="n"/>
      <c r="AZ59" s="796" t="n"/>
      <c r="BA59" s="680" t="n"/>
      <c r="BB59" s="796" t="n"/>
      <c r="BC59" s="680" t="n"/>
      <c r="BD59" s="796" t="n"/>
      <c r="BE59" s="608">
        <f>K59+M59+O59+Q59+S59+U59+W59+Y59+AA59+AC59+AE59+AG59+AI59+AK59+AM59+AO59+AQ59+AS59+AU59+AW59+AY59+BA59+BC59</f>
        <v/>
      </c>
      <c r="BF59" s="608">
        <f>#REF!+L59+N59+P59+R59+T59+V59+X59+Z59+AB59+AD59+AF59+AH59+AJ59+AL59+AN59+AP59+AR59+AT59+AV59+AX59</f>
        <v/>
      </c>
      <c r="BG59" s="602">
        <f>BE59-BF59</f>
        <v/>
      </c>
    </row>
    <row r="60">
      <c r="A60" s="633" t="inlineStr">
        <is>
          <t>Налоги и другие платежи в бюджет</t>
        </is>
      </c>
      <c r="B60" s="604" t="inlineStr">
        <is>
          <t>Расход</t>
        </is>
      </c>
      <c r="C60" s="680" t="n"/>
      <c r="D60" s="796" t="n"/>
      <c r="E60" s="680" t="n"/>
      <c r="F60" s="807" t="n">
        <v>-746</v>
      </c>
      <c r="G60" s="680" t="n"/>
      <c r="H60" s="796" t="n"/>
      <c r="I60" s="680" t="n"/>
      <c r="J60" s="796" t="n"/>
      <c r="K60" s="680" t="n"/>
      <c r="L60" s="798" t="n"/>
      <c r="M60" s="680" t="n"/>
      <c r="N60" s="796" t="n"/>
      <c r="O60" s="680" t="n"/>
      <c r="P60" s="796" t="n"/>
      <c r="Q60" s="680" t="n"/>
      <c r="R60" s="796" t="n"/>
      <c r="S60" s="680" t="n"/>
      <c r="T60" s="796" t="n"/>
      <c r="U60" s="680" t="n"/>
      <c r="V60" s="796" t="n"/>
      <c r="W60" s="680" t="n"/>
      <c r="X60" s="796" t="n"/>
      <c r="Y60" s="680" t="n"/>
      <c r="Z60" s="796" t="n"/>
      <c r="AA60" s="680" t="n"/>
      <c r="AB60" s="796" t="n"/>
      <c r="AC60" s="680" t="n"/>
      <c r="AD60" s="796" t="n"/>
      <c r="AE60" s="680" t="n"/>
      <c r="AF60" s="796" t="n"/>
      <c r="AG60" s="680" t="n"/>
      <c r="AH60" s="796" t="n"/>
      <c r="AI60" s="680" t="n"/>
      <c r="AJ60" s="796" t="n"/>
      <c r="AK60" s="680" t="n"/>
      <c r="AL60" s="796" t="n"/>
      <c r="AM60" s="680" t="n"/>
      <c r="AN60" s="798" t="n"/>
      <c r="AO60" s="680" t="n"/>
      <c r="AP60" s="796" t="n"/>
      <c r="AQ60" s="680" t="n"/>
      <c r="AR60" s="796" t="n"/>
      <c r="AS60" s="680" t="n"/>
      <c r="AT60" s="796" t="n"/>
      <c r="AU60" s="680" t="n"/>
      <c r="AV60" s="796" t="n"/>
      <c r="AW60" s="680" t="n"/>
      <c r="AX60" s="796" t="n"/>
      <c r="AY60" s="680" t="n"/>
      <c r="AZ60" s="796" t="n"/>
      <c r="BA60" s="680" t="n"/>
      <c r="BB60" s="796" t="n"/>
      <c r="BC60" s="680" t="n"/>
      <c r="BD60" s="796" t="n"/>
      <c r="BE60" s="608">
        <f>K60+M60+O60+Q60+S60+U60+W60+Y60+AA60+AC60+AE60+AG60+AI60+AK60+AM60+AO60+AQ60+AS60+AU60+AW60+AY60+BA60+BC60</f>
        <v/>
      </c>
      <c r="BF60" s="608">
        <f>#REF!+L60+N60+P60+R60+T60+V60+X60+Z60+AB60+AD60+AF60+AH60+AJ60+AL60+AN60+AP60+AR60+AT60+AV60+AX60</f>
        <v/>
      </c>
      <c r="BG60" s="602">
        <f>BE60-BF60</f>
        <v/>
      </c>
    </row>
    <row r="61">
      <c r="A61" s="633" t="inlineStr">
        <is>
          <t>Маркетинг</t>
        </is>
      </c>
      <c r="B61" s="604" t="inlineStr">
        <is>
          <t>Расход</t>
        </is>
      </c>
      <c r="C61" s="680" t="n"/>
      <c r="D61" s="796" t="n"/>
      <c r="E61" s="680" t="n"/>
      <c r="F61" s="796" t="n"/>
      <c r="G61" s="680" t="n"/>
      <c r="H61" s="796" t="n"/>
      <c r="I61" s="680" t="n"/>
      <c r="J61" s="796" t="n"/>
      <c r="K61" s="680" t="n"/>
      <c r="L61" s="798" t="n"/>
      <c r="M61" s="680" t="n"/>
      <c r="N61" s="796" t="n"/>
      <c r="O61" s="680" t="n"/>
      <c r="P61" s="796" t="n"/>
      <c r="Q61" s="649" t="n">
        <v>-450000</v>
      </c>
      <c r="R61" s="796" t="n"/>
      <c r="S61" s="680" t="n"/>
      <c r="T61" s="796" t="n"/>
      <c r="U61" s="680" t="n"/>
      <c r="V61" s="796" t="n"/>
      <c r="W61" s="680" t="n"/>
      <c r="X61" s="796" t="n"/>
      <c r="Y61" s="680" t="n"/>
      <c r="Z61" s="796" t="n"/>
      <c r="AA61" s="680" t="n"/>
      <c r="AB61" s="796" t="n"/>
      <c r="AC61" s="680" t="n"/>
      <c r="AD61" s="796" t="n"/>
      <c r="AE61" s="680" t="n"/>
      <c r="AF61" s="796" t="n"/>
      <c r="AG61" s="680" t="n"/>
      <c r="AH61" s="796" t="n"/>
      <c r="AI61" s="680" t="n"/>
      <c r="AJ61" s="796" t="n"/>
      <c r="AK61" s="680" t="n"/>
      <c r="AL61" s="796" t="n"/>
      <c r="AM61" s="680" t="n"/>
      <c r="AN61" s="798" t="n"/>
      <c r="AO61" s="680" t="n"/>
      <c r="AP61" s="796" t="n"/>
      <c r="AQ61" s="680" t="n"/>
      <c r="AR61" s="796" t="n"/>
      <c r="AS61" s="680" t="n"/>
      <c r="AT61" s="796" t="n"/>
      <c r="AU61" s="680" t="n"/>
      <c r="AV61" s="796" t="n"/>
      <c r="AW61" s="680" t="n"/>
      <c r="AX61" s="796" t="n"/>
      <c r="AY61" s="680" t="n"/>
      <c r="AZ61" s="796" t="n"/>
      <c r="BA61" s="680" t="n"/>
      <c r="BB61" s="796" t="n"/>
      <c r="BC61" s="680" t="n"/>
      <c r="BD61" s="796" t="n"/>
      <c r="BE61" s="608">
        <f>K61+M61+O61+Q61+S61+U61+W61+Y61+AA61+AC61+AE61+AG61+AI61+AK61+AM61+AO61+AQ61+AS61+AU61+AW61+AY61+BA61+BC61</f>
        <v/>
      </c>
      <c r="BF61" s="608">
        <f>#REF!+L61+N61+P61+R61+T61+V61+X61+Z61+AB61+AD61+AF61+AH61+AJ61+AL61+AN61+AP61+AR61+AT61+AV61+AX61</f>
        <v/>
      </c>
      <c r="BG61" s="602">
        <f>BE61-BF61</f>
        <v/>
      </c>
    </row>
    <row r="62">
      <c r="A62" s="633" t="inlineStr">
        <is>
          <t>Оплата труда</t>
        </is>
      </c>
      <c r="B62" s="604" t="inlineStr">
        <is>
          <t>Расход</t>
        </is>
      </c>
      <c r="C62" s="680" t="n"/>
      <c r="D62" s="796" t="n"/>
      <c r="E62" s="680" t="n"/>
      <c r="F62" s="796" t="n"/>
      <c r="G62" s="680" t="n"/>
      <c r="H62" s="804">
        <f>-100000-40000</f>
        <v/>
      </c>
      <c r="I62" s="680" t="n"/>
      <c r="J62" s="804" t="n">
        <v>-1261000</v>
      </c>
      <c r="K62" s="649" t="n">
        <v>-3000000</v>
      </c>
      <c r="L62" s="798" t="n"/>
      <c r="M62" s="649" t="n">
        <v>-3000000</v>
      </c>
      <c r="N62" s="796" t="n"/>
      <c r="O62" s="649" t="n"/>
      <c r="P62" s="796" t="n"/>
      <c r="Q62" s="810" t="n">
        <v>-10000000</v>
      </c>
      <c r="R62" s="796" t="n"/>
      <c r="S62" s="649" t="n"/>
      <c r="T62" s="796" t="n"/>
      <c r="U62" s="647" t="n"/>
      <c r="V62" s="796" t="n"/>
      <c r="W62" s="680" t="n"/>
      <c r="X62" s="796" t="n"/>
      <c r="Y62" s="649" t="n">
        <v>-2500000</v>
      </c>
      <c r="Z62" s="796" t="n"/>
      <c r="AA62" s="645" t="n">
        <v>-8000000</v>
      </c>
      <c r="AB62" s="796" t="n"/>
      <c r="AC62" s="649" t="n">
        <v>-7000000</v>
      </c>
      <c r="AD62" s="796" t="n"/>
      <c r="AE62" s="680" t="n"/>
      <c r="AF62" s="796" t="n"/>
      <c r="AG62" s="680" t="n"/>
      <c r="AH62" s="796" t="n"/>
      <c r="AI62" s="680" t="n"/>
      <c r="AJ62" s="796" t="n"/>
      <c r="AK62" s="645" t="n">
        <v>-800000</v>
      </c>
      <c r="AL62" s="796" t="n"/>
      <c r="AM62" s="649" t="n">
        <v>-7000000</v>
      </c>
      <c r="AN62" s="798" t="n"/>
      <c r="AO62" s="649" t="n">
        <v>-5000000</v>
      </c>
      <c r="AP62" s="796" t="n"/>
      <c r="AQ62" s="649" t="n">
        <v>-2000000</v>
      </c>
      <c r="AR62" s="796" t="n"/>
      <c r="AS62" s="649" t="n">
        <v>-2000000</v>
      </c>
      <c r="AT62" s="796" t="n"/>
      <c r="AU62" s="647" t="n">
        <v>-3000000</v>
      </c>
      <c r="AV62" s="796" t="n"/>
      <c r="AW62" s="647" t="n">
        <v>-2000000</v>
      </c>
      <c r="AX62" s="796" t="n"/>
      <c r="AY62" s="649" t="n">
        <v>-5000000</v>
      </c>
      <c r="AZ62" s="796" t="n"/>
      <c r="BA62" s="649" t="n">
        <v>-2000000</v>
      </c>
      <c r="BB62" s="796" t="n"/>
      <c r="BC62" s="649" t="n">
        <v>-2000000</v>
      </c>
      <c r="BD62" s="796" t="n"/>
      <c r="BE62" s="608">
        <f>K62+M62+O62+Q62+S62+U62+W62+Y62+AA62+AC62+AE62+AG62+AI62+AK62+AM62+AO62+AQ62+AS62+AU62+AW62+AY62+BA62+BC62</f>
        <v/>
      </c>
      <c r="BF62" s="608">
        <f>#REF!+L62+N62+P62+R62+T62+V62+X62+Z62+AB62+AD62+AF62+AH62+AJ62+AL62+AN62+AP62+AR62+AT62+AV62+AX62</f>
        <v/>
      </c>
      <c r="BG62" s="602">
        <f>BE62-BF62</f>
        <v/>
      </c>
    </row>
    <row r="63">
      <c r="A63" s="633" t="inlineStr">
        <is>
          <t>Платежи поставщикам Прочее</t>
        </is>
      </c>
      <c r="B63" s="604" t="inlineStr">
        <is>
          <t>Расход</t>
        </is>
      </c>
      <c r="C63" s="680" t="n"/>
      <c r="D63" s="796" t="n"/>
      <c r="E63" s="680" t="n"/>
      <c r="F63" s="796" t="n"/>
      <c r="G63" s="680" t="n"/>
      <c r="H63" s="796" t="n"/>
      <c r="I63" s="680" t="n"/>
      <c r="J63" s="796" t="n"/>
      <c r="K63" s="680" t="n"/>
      <c r="L63" s="798" t="n"/>
      <c r="M63" s="680" t="n"/>
      <c r="N63" s="796" t="n"/>
      <c r="O63" s="680" t="n"/>
      <c r="P63" s="796" t="n"/>
      <c r="Q63" s="680" t="n"/>
      <c r="R63" s="796" t="n"/>
      <c r="S63" s="680" t="n"/>
      <c r="T63" s="796" t="n"/>
      <c r="U63" s="680" t="n"/>
      <c r="V63" s="796" t="n"/>
      <c r="W63" s="680" t="n"/>
      <c r="X63" s="796" t="n"/>
      <c r="Y63" s="680" t="n"/>
      <c r="Z63" s="796" t="n"/>
      <c r="AA63" s="680" t="n"/>
      <c r="AB63" s="796" t="n"/>
      <c r="AC63" s="680" t="n"/>
      <c r="AD63" s="796" t="n"/>
      <c r="AE63" s="680" t="n"/>
      <c r="AF63" s="796" t="n"/>
      <c r="AG63" s="680" t="n"/>
      <c r="AH63" s="796" t="n"/>
      <c r="AI63" s="680" t="n"/>
      <c r="AJ63" s="796" t="n"/>
      <c r="AK63" s="680" t="n"/>
      <c r="AL63" s="796" t="n"/>
      <c r="AM63" s="680" t="n"/>
      <c r="AN63" s="798" t="n"/>
      <c r="AO63" s="680" t="n"/>
      <c r="AP63" s="796" t="n"/>
      <c r="AQ63" s="680" t="n"/>
      <c r="AR63" s="796" t="n"/>
      <c r="AS63" s="680" t="n"/>
      <c r="AT63" s="796" t="n"/>
      <c r="AU63" s="680" t="n"/>
      <c r="AV63" s="796" t="n"/>
      <c r="AW63" s="680" t="n"/>
      <c r="AX63" s="796" t="n"/>
      <c r="AY63" s="680" t="n"/>
      <c r="AZ63" s="796" t="n"/>
      <c r="BA63" s="680" t="n"/>
      <c r="BB63" s="796" t="n"/>
      <c r="BC63" s="680" t="n"/>
      <c r="BD63" s="796" t="n"/>
      <c r="BE63" s="608">
        <f>K63+M63+O63+Q63+S63+U63+W63+Y63+AA63+AC63+AE63+AG63+AI63+AK63+AM63+AO63+AQ63+AS63+AU63+AW63+AY63+BA63+BC63</f>
        <v/>
      </c>
      <c r="BF63" s="608">
        <f>#REF!+L63+N63+P63+R63+T63+V63+X63+Z63+AB63+AD63+AF63+AH63+AJ63+AL63+AN63+AP63+AR63+AT63+AV63+AX63</f>
        <v/>
      </c>
      <c r="BG63" s="602">
        <f>BE63-BF63</f>
        <v/>
      </c>
    </row>
    <row r="64">
      <c r="A64" s="633" t="inlineStr">
        <is>
          <t xml:space="preserve">Производственные расходы </t>
        </is>
      </c>
      <c r="B64" s="604" t="inlineStr">
        <is>
          <t>Расход</t>
        </is>
      </c>
      <c r="C64" s="680" t="n"/>
      <c r="D64" s="796" t="n"/>
      <c r="E64" s="680" t="n"/>
      <c r="F64" s="796" t="n"/>
      <c r="G64" s="680" t="n"/>
      <c r="H64" s="796" t="n"/>
      <c r="I64" s="649" t="n">
        <v>-48000</v>
      </c>
      <c r="J64" s="804">
        <f>-48000</f>
        <v/>
      </c>
      <c r="K64" s="809" t="n">
        <v>-48000</v>
      </c>
      <c r="L64" s="806" t="n"/>
      <c r="M64" s="680" t="n"/>
      <c r="N64" s="796" t="n"/>
      <c r="O64" s="680" t="n"/>
      <c r="P64" s="796" t="n"/>
      <c r="Q64" s="810" t="n">
        <v>-48000</v>
      </c>
      <c r="R64" s="796" t="n"/>
      <c r="S64" s="680" t="n"/>
      <c r="T64" s="796" t="n"/>
      <c r="U64" s="645" t="n">
        <v>-42000</v>
      </c>
      <c r="V64" s="796" t="n"/>
      <c r="W64" s="645" t="n">
        <v>-42000</v>
      </c>
      <c r="X64" s="796" t="n"/>
      <c r="Y64" s="680" t="n"/>
      <c r="Z64" s="796" t="n"/>
      <c r="AA64" s="680" t="n"/>
      <c r="AB64" s="796" t="n"/>
      <c r="AC64" s="680" t="n"/>
      <c r="AD64" s="796" t="n"/>
      <c r="AE64" s="680" t="n"/>
      <c r="AF64" s="796" t="n"/>
      <c r="AG64" s="645" t="n">
        <v>-48000</v>
      </c>
      <c r="AH64" s="796" t="n"/>
      <c r="AI64" s="680" t="n"/>
      <c r="AJ64" s="796" t="n"/>
      <c r="AK64" s="645" t="n">
        <v>-48000</v>
      </c>
      <c r="AL64" s="796" t="n"/>
      <c r="AM64" s="680" t="n"/>
      <c r="AN64" s="798" t="n"/>
      <c r="AO64" s="680" t="n"/>
      <c r="AP64" s="796" t="n"/>
      <c r="AQ64" s="649" t="n">
        <v>-48000</v>
      </c>
      <c r="AR64" s="796" t="n"/>
      <c r="AS64" s="680" t="n"/>
      <c r="AT64" s="796" t="n"/>
      <c r="AU64" s="680" t="n"/>
      <c r="AV64" s="796" t="n"/>
      <c r="AW64" s="680" t="n"/>
      <c r="AX64" s="796" t="n"/>
      <c r="AY64" s="680" t="n"/>
      <c r="AZ64" s="796" t="n"/>
      <c r="BA64" s="649" t="n">
        <v>-48000</v>
      </c>
      <c r="BB64" s="796" t="n"/>
      <c r="BC64" s="680" t="n"/>
      <c r="BD64" s="796" t="n"/>
      <c r="BE64" s="608">
        <f>K64+M64+O64+Q64+S64+U64+W64+Y64+AA64+AC64+AE64+AG64+AI64+AK64+AM64+AO64+AQ64+AS64+AU64+AW64+AY64+BA64+BC64</f>
        <v/>
      </c>
      <c r="BF64" s="608">
        <f>#REF!+L64+N64+P64+R64+T64+V64+X64+Z64+AB64+AD64+AF64+AH64+AJ64+AL64+AN64+AP64+AR64+AT64+AV64+AX64</f>
        <v/>
      </c>
      <c r="BG64" s="602">
        <f>BE64-BF64</f>
        <v/>
      </c>
    </row>
    <row r="65">
      <c r="A65" s="633" t="inlineStr">
        <is>
          <t>Инвентарь</t>
        </is>
      </c>
      <c r="B65" s="604" t="inlineStr">
        <is>
          <t>Расход</t>
        </is>
      </c>
      <c r="C65" s="680" t="n"/>
      <c r="D65" s="796" t="n"/>
      <c r="E65" s="680" t="n"/>
      <c r="F65" s="796" t="n"/>
      <c r="G65" s="680" t="n"/>
      <c r="H65" s="796" t="n"/>
      <c r="I65" s="649">
        <f>-15000-69000</f>
        <v/>
      </c>
      <c r="J65" s="796" t="n"/>
      <c r="K65" s="649">
        <f>-15000-27000</f>
        <v/>
      </c>
      <c r="L65" s="798" t="n"/>
      <c r="M65" s="649" t="n">
        <v>-40000</v>
      </c>
      <c r="N65" s="796" t="n"/>
      <c r="O65" s="680" t="n"/>
      <c r="P65" s="796" t="n"/>
      <c r="Q65" s="680" t="n"/>
      <c r="R65" s="796" t="n"/>
      <c r="S65" s="680" t="n"/>
      <c r="T65" s="796" t="n"/>
      <c r="U65" s="680" t="n"/>
      <c r="V65" s="796" t="n"/>
      <c r="W65" s="649">
        <f>-116000-19100</f>
        <v/>
      </c>
      <c r="X65" s="796" t="n"/>
      <c r="Y65" s="680" t="n"/>
      <c r="Z65" s="796" t="n"/>
      <c r="AA65" s="680" t="n"/>
      <c r="AB65" s="796" t="n"/>
      <c r="AC65" s="680" t="n"/>
      <c r="AD65" s="796" t="n"/>
      <c r="AE65" s="680" t="n"/>
      <c r="AF65" s="796" t="n"/>
      <c r="AG65" s="645" t="n">
        <v>-32000</v>
      </c>
      <c r="AH65" s="796" t="n"/>
      <c r="AI65" s="649" t="n">
        <v>-35000</v>
      </c>
      <c r="AJ65" s="796" t="n"/>
      <c r="AK65" s="680" t="n"/>
      <c r="AL65" s="796" t="n"/>
      <c r="AM65" s="680" t="n"/>
      <c r="AN65" s="798" t="n"/>
      <c r="AO65" s="680" t="n"/>
      <c r="AP65" s="796" t="n"/>
      <c r="AQ65" s="680" t="n"/>
      <c r="AR65" s="796" t="n"/>
      <c r="AS65" s="680" t="n"/>
      <c r="AT65" s="796" t="n"/>
      <c r="AU65" s="680" t="n"/>
      <c r="AV65" s="796" t="n"/>
      <c r="AW65" s="680" t="n"/>
      <c r="AX65" s="796" t="n"/>
      <c r="AY65" s="680" t="n"/>
      <c r="AZ65" s="796" t="n"/>
      <c r="BA65" s="680" t="n"/>
      <c r="BB65" s="796" t="n"/>
      <c r="BC65" s="680" t="n"/>
      <c r="BD65" s="796" t="n"/>
      <c r="BE65" s="608">
        <f>K65+M65+O65+Q65+S65+U65+W65+Y65+AA65+AC65+AE65+AG65+AI65+AK65+AM65+AO65+AQ65+AS65+AU65+AW65+AY65+BA65+BC65</f>
        <v/>
      </c>
      <c r="BF65" s="608">
        <f>#REF!+L65+N65+P65+R65+T65+V65+X65+Z65+AB65+AD65+AF65+AH65+AJ65+AL65+AN65+AP65+AR65+AT65+AV65+AX65</f>
        <v/>
      </c>
      <c r="BG65" s="602">
        <f>BE65-BF65</f>
        <v/>
      </c>
    </row>
    <row r="66">
      <c r="A66" s="633" t="inlineStr">
        <is>
          <t>Погашение кредита и %%</t>
        </is>
      </c>
      <c r="B66" s="604" t="inlineStr">
        <is>
          <t>Расход</t>
        </is>
      </c>
      <c r="C66" s="680" t="n"/>
      <c r="D66" s="796" t="n"/>
      <c r="E66" s="680" t="n"/>
      <c r="F66" s="796" t="n"/>
      <c r="G66" s="680" t="n"/>
      <c r="H66" s="796" t="n"/>
      <c r="I66" s="680" t="n"/>
      <c r="J66" s="796" t="n"/>
      <c r="K66" s="680" t="n"/>
      <c r="L66" s="798" t="n"/>
      <c r="M66" s="680" t="n"/>
      <c r="N66" s="796" t="n"/>
      <c r="O66" s="680" t="n"/>
      <c r="P66" s="796" t="n"/>
      <c r="Q66" s="680" t="n"/>
      <c r="R66" s="796" t="n"/>
      <c r="S66" s="680" t="n"/>
      <c r="T66" s="796" t="n"/>
      <c r="U66" s="680" t="n"/>
      <c r="V66" s="796" t="n"/>
      <c r="W66" s="680" t="n"/>
      <c r="X66" s="796" t="n"/>
      <c r="Y66" s="680" t="n"/>
      <c r="Z66" s="796" t="n"/>
      <c r="AA66" s="680" t="n"/>
      <c r="AB66" s="796" t="n"/>
      <c r="AC66" s="680" t="n"/>
      <c r="AD66" s="796" t="n"/>
      <c r="AE66" s="680" t="n"/>
      <c r="AF66" s="796" t="n"/>
      <c r="AG66" s="680" t="n"/>
      <c r="AH66" s="796" t="n"/>
      <c r="AI66" s="680" t="n"/>
      <c r="AJ66" s="796" t="n"/>
      <c r="AK66" s="680" t="n"/>
      <c r="AL66" s="796" t="n"/>
      <c r="AM66" s="680" t="n"/>
      <c r="AN66" s="798" t="n"/>
      <c r="AO66" s="680" t="n"/>
      <c r="AP66" s="796" t="n"/>
      <c r="AQ66" s="680" t="n"/>
      <c r="AR66" s="796" t="n"/>
      <c r="AS66" s="680" t="n"/>
      <c r="AT66" s="796" t="n"/>
      <c r="AU66" s="680" t="n"/>
      <c r="AV66" s="796" t="n"/>
      <c r="AW66" s="680" t="n"/>
      <c r="AX66" s="796" t="n"/>
      <c r="AY66" s="680" t="n"/>
      <c r="AZ66" s="796" t="n"/>
      <c r="BA66" s="680" t="n"/>
      <c r="BB66" s="796" t="n"/>
      <c r="BC66" s="680" t="n"/>
      <c r="BD66" s="796" t="n"/>
      <c r="BE66" s="608">
        <f>K66+M66+O66+Q66+S66+U66+W66+Y66+AA66+AC66+AE66+AG66+AI66+AK66+AM66+AO66+AQ66+AS66+AU66+AW66+AY66+BA66+BC66</f>
        <v/>
      </c>
      <c r="BF66" s="608">
        <f>#REF!+L66+N66+P66+R66+T66+V66+X66+Z66+AB66+AD66+AF66+AH66+AJ66+AL66+AN66+AP66+AR66+AT66+AV66+AX66</f>
        <v/>
      </c>
      <c r="BG66" s="602">
        <f>BE66-BF66</f>
        <v/>
      </c>
    </row>
    <row r="67">
      <c r="A67" s="633" t="inlineStr">
        <is>
          <t>Хоз.товара</t>
        </is>
      </c>
      <c r="B67" s="604" t="inlineStr">
        <is>
          <t>Расход</t>
        </is>
      </c>
      <c r="C67" s="680" t="n"/>
      <c r="D67" s="796" t="n"/>
      <c r="E67" s="680" t="n"/>
      <c r="F67" s="796" t="n"/>
      <c r="G67" s="680" t="n"/>
      <c r="H67" s="796" t="n"/>
      <c r="I67" s="680" t="n"/>
      <c r="J67" s="796" t="n"/>
      <c r="K67" s="680" t="n"/>
      <c r="L67" s="798" t="n"/>
      <c r="M67" s="680" t="n"/>
      <c r="N67" s="796" t="n"/>
      <c r="O67" s="680" t="n"/>
      <c r="P67" s="796" t="n"/>
      <c r="Q67" s="680" t="n"/>
      <c r="R67" s="796" t="n"/>
      <c r="S67" s="680" t="n"/>
      <c r="T67" s="796" t="n"/>
      <c r="U67" s="680" t="n"/>
      <c r="V67" s="796" t="n"/>
      <c r="W67" s="680" t="n"/>
      <c r="X67" s="796" t="n"/>
      <c r="Y67" s="680" t="n"/>
      <c r="Z67" s="796" t="n"/>
      <c r="AA67" s="680" t="n"/>
      <c r="AB67" s="796" t="n"/>
      <c r="AC67" s="680" t="n"/>
      <c r="AD67" s="796" t="n"/>
      <c r="AE67" s="680" t="n"/>
      <c r="AF67" s="796" t="n"/>
      <c r="AG67" s="680" t="n"/>
      <c r="AH67" s="796" t="n"/>
      <c r="AI67" s="680" t="n"/>
      <c r="AJ67" s="796" t="n"/>
      <c r="AK67" s="680" t="n"/>
      <c r="AL67" s="796" t="n"/>
      <c r="AM67" s="680" t="n"/>
      <c r="AN67" s="798" t="n"/>
      <c r="AO67" s="680" t="n"/>
      <c r="AP67" s="796" t="n"/>
      <c r="AQ67" s="680" t="n"/>
      <c r="AR67" s="796" t="n"/>
      <c r="AS67" s="680" t="n"/>
      <c r="AT67" s="796" t="n"/>
      <c r="AU67" s="680" t="n"/>
      <c r="AV67" s="796" t="n"/>
      <c r="AW67" s="680" t="n"/>
      <c r="AX67" s="796" t="n"/>
      <c r="AY67" s="680" t="n"/>
      <c r="AZ67" s="796" t="n"/>
      <c r="BA67" s="680" t="n"/>
      <c r="BB67" s="796" t="n"/>
      <c r="BC67" s="680" t="n"/>
      <c r="BD67" s="796" t="n"/>
      <c r="BE67" s="608">
        <f>K67+M67+O67+Q67+S67+U67+W67+Y67+AA67+AC67+AE67+AG67+AI67+AK67+AM67+AO67+AQ67+AS67+AU67+AW67+AY67+BA67+BC67</f>
        <v/>
      </c>
      <c r="BF67" s="608">
        <f>#REF!+L67+N67+P67+R67+T67+V67+X67+Z67+AB67+AD67+AF67+AH67+AJ67+AL67+AN67+AP67+AR67+AT67+AV67+AX67</f>
        <v/>
      </c>
      <c r="BG67" s="602">
        <f>BE67-BF67</f>
        <v/>
      </c>
    </row>
    <row r="68">
      <c r="A68" s="633" t="inlineStr">
        <is>
          <t>Канц.товары</t>
        </is>
      </c>
      <c r="B68" s="604" t="inlineStr">
        <is>
          <t>Расход</t>
        </is>
      </c>
      <c r="C68" s="680" t="n"/>
      <c r="D68" s="796" t="n"/>
      <c r="E68" s="680" t="n"/>
      <c r="F68" s="796" t="n"/>
      <c r="G68" s="680" t="n"/>
      <c r="H68" s="796" t="n"/>
      <c r="I68" s="680" t="n"/>
      <c r="J68" s="796" t="n"/>
      <c r="K68" s="680" t="n"/>
      <c r="L68" s="798" t="n"/>
      <c r="M68" s="680" t="n"/>
      <c r="N68" s="796" t="n"/>
      <c r="O68" s="680" t="n"/>
      <c r="P68" s="796" t="n"/>
      <c r="Q68" s="680" t="n"/>
      <c r="R68" s="796" t="n"/>
      <c r="S68" s="680" t="n"/>
      <c r="T68" s="796" t="n"/>
      <c r="U68" s="680" t="n"/>
      <c r="V68" s="796" t="n"/>
      <c r="W68" s="680" t="n"/>
      <c r="X68" s="796" t="n"/>
      <c r="Y68" s="680" t="n"/>
      <c r="Z68" s="796" t="n"/>
      <c r="AA68" s="680" t="n"/>
      <c r="AB68" s="796" t="n"/>
      <c r="AC68" s="680" t="n"/>
      <c r="AD68" s="796" t="n"/>
      <c r="AE68" s="680" t="n"/>
      <c r="AF68" s="796" t="n"/>
      <c r="AG68" s="680" t="n"/>
      <c r="AH68" s="796" t="n"/>
      <c r="AI68" s="680" t="n"/>
      <c r="AJ68" s="796" t="n"/>
      <c r="AK68" s="680" t="n"/>
      <c r="AL68" s="796" t="n"/>
      <c r="AM68" s="680" t="n"/>
      <c r="AN68" s="798" t="n"/>
      <c r="AO68" s="680" t="n"/>
      <c r="AP68" s="796" t="n"/>
      <c r="AQ68" s="680" t="n"/>
      <c r="AR68" s="796" t="n"/>
      <c r="AS68" s="680" t="n"/>
      <c r="AT68" s="796" t="n"/>
      <c r="AU68" s="680" t="n"/>
      <c r="AV68" s="796" t="n"/>
      <c r="AW68" s="680" t="n"/>
      <c r="AX68" s="796" t="n"/>
      <c r="AY68" s="680" t="n"/>
      <c r="AZ68" s="796" t="n"/>
      <c r="BA68" s="680" t="n"/>
      <c r="BB68" s="796" t="n"/>
      <c r="BC68" s="680" t="n"/>
      <c r="BD68" s="796" t="n"/>
      <c r="BE68" s="608">
        <f>K68+M68+O68+Q68+S68+U68+W68+Y68+AA68+AC68+AE68+AG68+AI68+AK68+AM68+AO68+AQ68+AS68+AU68+AW68+AY68+BA68+BC68</f>
        <v/>
      </c>
      <c r="BF68" s="608">
        <f>#REF!+L68+N68+P68+R68+T68+V68+X68+Z68+AB68+AD68+AF68+AH68+AJ68+AL68+AN68+AP68+AR68+AT68+AV68+AX68</f>
        <v/>
      </c>
      <c r="BG68" s="602">
        <f>BE68-BF68</f>
        <v/>
      </c>
    </row>
    <row r="69">
      <c r="A69" s="633" t="inlineStr">
        <is>
          <t>Расходы по реализации Разные</t>
        </is>
      </c>
      <c r="B69" s="604" t="inlineStr">
        <is>
          <t>Расход</t>
        </is>
      </c>
      <c r="C69" s="680" t="n"/>
      <c r="D69" s="796" t="n"/>
      <c r="E69" s="680" t="n"/>
      <c r="F69" s="796" t="n"/>
      <c r="G69" s="680" t="n"/>
      <c r="H69" s="796" t="n"/>
      <c r="I69" s="680" t="n"/>
      <c r="J69" s="804" t="n">
        <v>-8000</v>
      </c>
      <c r="K69" s="680" t="n"/>
      <c r="L69" s="798" t="n"/>
      <c r="M69" s="680" t="n"/>
      <c r="N69" s="796" t="n"/>
      <c r="O69" s="680" t="n"/>
      <c r="P69" s="796" t="n"/>
      <c r="Q69" s="680" t="n"/>
      <c r="R69" s="796" t="n"/>
      <c r="S69" s="680" t="n"/>
      <c r="T69" s="796" t="n"/>
      <c r="U69" s="680" t="n"/>
      <c r="V69" s="796" t="n"/>
      <c r="W69" s="680" t="n"/>
      <c r="X69" s="796" t="n"/>
      <c r="Y69" s="680" t="n"/>
      <c r="Z69" s="796" t="n"/>
      <c r="AA69" s="680" t="n"/>
      <c r="AB69" s="796" t="n"/>
      <c r="AC69" s="680" t="n"/>
      <c r="AD69" s="796" t="n"/>
      <c r="AE69" s="680" t="n"/>
      <c r="AF69" s="796" t="n"/>
      <c r="AG69" s="680" t="n"/>
      <c r="AH69" s="796" t="n"/>
      <c r="AI69" s="680" t="n"/>
      <c r="AJ69" s="796" t="n"/>
      <c r="AK69" s="680" t="n"/>
      <c r="AL69" s="796" t="n"/>
      <c r="AM69" s="680" t="n"/>
      <c r="AN69" s="798" t="n"/>
      <c r="AO69" s="680" t="n"/>
      <c r="AP69" s="796" t="n"/>
      <c r="AQ69" s="680" t="n"/>
      <c r="AR69" s="796" t="n"/>
      <c r="AS69" s="680" t="n"/>
      <c r="AT69" s="796" t="n"/>
      <c r="AU69" s="680" t="n"/>
      <c r="AV69" s="796" t="n"/>
      <c r="AW69" s="680" t="n"/>
      <c r="AX69" s="796" t="n"/>
      <c r="AY69" s="680" t="n"/>
      <c r="AZ69" s="796" t="n"/>
      <c r="BA69" s="680" t="n"/>
      <c r="BB69" s="796" t="n"/>
      <c r="BC69" s="680" t="n"/>
      <c r="BD69" s="796" t="n"/>
      <c r="BE69" s="608">
        <f>K69+M69+O69+Q69+S69+U69+W69+Y69+AA69+AC69+AE69+AG69+AI69+AK69+AM69+AO69+AQ69+AS69+AU69+AW69+AY69+BA69+BC69</f>
        <v/>
      </c>
      <c r="BF69" s="608">
        <f>#REF!+L69+N69+P69+R69+T69+V69+X69+Z69+AB69+AD69+AF69+AH69+AJ69+AL69+AN69+AP69+AR69+AT69+AV69+AX69</f>
        <v/>
      </c>
      <c r="BG69" s="602">
        <f>BE69-BF69</f>
        <v/>
      </c>
    </row>
    <row r="70">
      <c r="A70" s="633" t="inlineStr">
        <is>
          <t>Ремонт помещений</t>
        </is>
      </c>
      <c r="B70" s="604" t="inlineStr">
        <is>
          <t>Расход</t>
        </is>
      </c>
      <c r="C70" s="680" t="n"/>
      <c r="D70" s="796" t="n"/>
      <c r="E70" s="680" t="n"/>
      <c r="F70" s="796" t="n"/>
      <c r="G70" s="680" t="n"/>
      <c r="H70" s="796" t="n"/>
      <c r="I70" s="680" t="n"/>
      <c r="J70" s="796" t="n"/>
      <c r="K70" s="680" t="n"/>
      <c r="L70" s="798" t="n"/>
      <c r="M70" s="680" t="n"/>
      <c r="N70" s="796" t="n"/>
      <c r="O70" s="680" t="n"/>
      <c r="P70" s="796" t="n"/>
      <c r="Q70" s="680" t="n"/>
      <c r="R70" s="796" t="n"/>
      <c r="S70" s="680" t="n"/>
      <c r="T70" s="796" t="n"/>
      <c r="U70" s="680" t="n"/>
      <c r="V70" s="796" t="n"/>
      <c r="W70" s="680" t="n"/>
      <c r="X70" s="796" t="n"/>
      <c r="Y70" s="680" t="n"/>
      <c r="Z70" s="796" t="n"/>
      <c r="AA70" s="680" t="n"/>
      <c r="AB70" s="796" t="n"/>
      <c r="AC70" s="680" t="n"/>
      <c r="AD70" s="796" t="n"/>
      <c r="AE70" s="680" t="n"/>
      <c r="AF70" s="796" t="n"/>
      <c r="AG70" s="680" t="n"/>
      <c r="AH70" s="796" t="n"/>
      <c r="AI70" s="680" t="n"/>
      <c r="AJ70" s="796" t="n"/>
      <c r="AK70" s="680" t="n"/>
      <c r="AL70" s="796" t="n"/>
      <c r="AM70" s="680" t="n"/>
      <c r="AN70" s="798" t="n"/>
      <c r="AO70" s="680" t="n"/>
      <c r="AP70" s="796" t="n"/>
      <c r="AQ70" s="680" t="n"/>
      <c r="AR70" s="796" t="n"/>
      <c r="AS70" s="680" t="n"/>
      <c r="AT70" s="796" t="n"/>
      <c r="AU70" s="680" t="n"/>
      <c r="AV70" s="796" t="n"/>
      <c r="AW70" s="680" t="n"/>
      <c r="AX70" s="796" t="n"/>
      <c r="AY70" s="680" t="n"/>
      <c r="AZ70" s="796" t="n"/>
      <c r="BA70" s="680" t="n"/>
      <c r="BB70" s="796" t="n"/>
      <c r="BC70" s="680" t="n"/>
      <c r="BD70" s="796" t="n"/>
      <c r="BE70" s="608">
        <f>K70+M70+O70+Q70+S70+U70+W70+Y70+AA70+AC70+AE70+AG70+AI70+AK70+AM70+AO70+AQ70+AS70+AU70+AW70+AY70+BA70+BC70</f>
        <v/>
      </c>
      <c r="BF70" s="608">
        <f>#REF!+L70+N70+P70+R70+T70+V70+X70+Z70+AB70+AD70+AF70+AH70+AJ70+AL70+AN70+AP70+AR70+AT70+AV70+AX70</f>
        <v/>
      </c>
      <c r="BG70" s="602">
        <f>BE70-BF70</f>
        <v/>
      </c>
    </row>
    <row r="71">
      <c r="A71" s="633" t="inlineStr">
        <is>
          <t>Ремонт оборудования</t>
        </is>
      </c>
      <c r="B71" s="604" t="inlineStr">
        <is>
          <t>Расход</t>
        </is>
      </c>
      <c r="C71" s="680" t="n"/>
      <c r="D71" s="796" t="n"/>
      <c r="E71" s="680" t="n"/>
      <c r="F71" s="796" t="n"/>
      <c r="G71" s="680" t="n"/>
      <c r="H71" s="796" t="n"/>
      <c r="I71" s="649" t="n">
        <v>-171500</v>
      </c>
      <c r="J71" s="804">
        <f>-75000</f>
        <v/>
      </c>
      <c r="K71" s="680" t="n"/>
      <c r="L71" s="798" t="n"/>
      <c r="M71" s="649" t="n"/>
      <c r="N71" s="796" t="n"/>
      <c r="O71" s="680" t="n"/>
      <c r="P71" s="796" t="n"/>
      <c r="Q71" s="680" t="n"/>
      <c r="R71" s="796" t="n"/>
      <c r="S71" s="680" t="n"/>
      <c r="T71" s="796" t="n"/>
      <c r="U71" s="680" t="n"/>
      <c r="V71" s="796" t="n"/>
      <c r="W71" s="645" t="n"/>
      <c r="X71" s="796" t="n"/>
      <c r="Y71" s="680" t="n"/>
      <c r="Z71" s="796" t="n"/>
      <c r="AA71" s="680" t="n"/>
      <c r="AB71" s="796" t="n"/>
      <c r="AC71" s="680" t="n"/>
      <c r="AD71" s="796" t="n"/>
      <c r="AE71" s="680" t="n"/>
      <c r="AF71" s="796" t="n"/>
      <c r="AG71" s="680" t="n"/>
      <c r="AH71" s="796" t="n"/>
      <c r="AI71" s="649" t="n"/>
      <c r="AJ71" s="796" t="n"/>
      <c r="AK71" s="680" t="n"/>
      <c r="AL71" s="796" t="n"/>
      <c r="AM71" s="680" t="n"/>
      <c r="AN71" s="798" t="n"/>
      <c r="AO71" s="680" t="n"/>
      <c r="AP71" s="796" t="n"/>
      <c r="AQ71" s="680" t="n"/>
      <c r="AR71" s="796" t="n"/>
      <c r="AS71" s="680" t="n"/>
      <c r="AT71" s="796" t="n"/>
      <c r="AU71" s="680" t="n"/>
      <c r="AV71" s="796" t="n"/>
      <c r="AW71" s="680" t="n"/>
      <c r="AX71" s="796" t="n"/>
      <c r="AY71" s="680" t="n"/>
      <c r="AZ71" s="796" t="n"/>
      <c r="BA71" s="680" t="n"/>
      <c r="BB71" s="796" t="n"/>
      <c r="BC71" s="680" t="n"/>
      <c r="BD71" s="796" t="n"/>
      <c r="BE71" s="608">
        <f>K71+M71+O71+Q71+S71+U71+W71+Y71+AA71+AC71+AE71+AG71+AI71+AK71+AM71+AO71+AQ71+AS71+AU71+AW71+AY71+BA71+BC71</f>
        <v/>
      </c>
      <c r="BF71" s="608">
        <f>#REF!+L71+N71+P71+R71+T71+V71+X71+Z71+AB71+AD71+AF71+AH71+AJ71+AL71+AN71+AP71+AR71+AT71+AV71+AX71</f>
        <v/>
      </c>
      <c r="BG71" s="602">
        <f>BE71-BF71</f>
        <v/>
      </c>
    </row>
    <row r="72">
      <c r="A72" s="633" t="inlineStr">
        <is>
          <t>Приобретение основных средств</t>
        </is>
      </c>
      <c r="B72" s="604" t="inlineStr">
        <is>
          <t>Расход</t>
        </is>
      </c>
      <c r="C72" s="680" t="n"/>
      <c r="D72" s="796" t="n"/>
      <c r="E72" s="680" t="n"/>
      <c r="F72" s="796" t="n"/>
      <c r="G72" s="680" t="n"/>
      <c r="H72" s="796" t="n"/>
      <c r="I72" s="680" t="n"/>
      <c r="J72" s="796" t="n"/>
      <c r="K72" s="680" t="n"/>
      <c r="L72" s="798" t="n"/>
      <c r="M72" s="680" t="n"/>
      <c r="N72" s="796" t="n"/>
      <c r="O72" s="680" t="n"/>
      <c r="P72" s="796" t="n"/>
      <c r="Q72" s="680" t="n"/>
      <c r="R72" s="796" t="n"/>
      <c r="S72" s="680" t="n"/>
      <c r="T72" s="796" t="n"/>
      <c r="U72" s="680" t="n"/>
      <c r="V72" s="796" t="n"/>
      <c r="W72" s="680" t="n"/>
      <c r="X72" s="796" t="n"/>
      <c r="Y72" s="680" t="n"/>
      <c r="Z72" s="796" t="n"/>
      <c r="AA72" s="680" t="n"/>
      <c r="AB72" s="796" t="n"/>
      <c r="AC72" s="680" t="n"/>
      <c r="AD72" s="796" t="n"/>
      <c r="AE72" s="680" t="n"/>
      <c r="AF72" s="796" t="n"/>
      <c r="AG72" s="680" t="n"/>
      <c r="AH72" s="796" t="n"/>
      <c r="AI72" s="680" t="n"/>
      <c r="AJ72" s="796" t="n"/>
      <c r="AK72" s="680" t="n"/>
      <c r="AL72" s="796" t="n"/>
      <c r="AM72" s="680" t="n"/>
      <c r="AN72" s="798" t="n"/>
      <c r="AO72" s="680" t="n"/>
      <c r="AP72" s="796" t="n"/>
      <c r="AQ72" s="680" t="n"/>
      <c r="AR72" s="796" t="n"/>
      <c r="AS72" s="680" t="n"/>
      <c r="AT72" s="796" t="n"/>
      <c r="AU72" s="680" t="n"/>
      <c r="AV72" s="796" t="n"/>
      <c r="AW72" s="680" t="n"/>
      <c r="AX72" s="796" t="n"/>
      <c r="AY72" s="680" t="n"/>
      <c r="AZ72" s="796" t="n"/>
      <c r="BA72" s="680" t="n"/>
      <c r="BB72" s="796" t="n"/>
      <c r="BC72" s="680" t="n"/>
      <c r="BD72" s="796" t="n"/>
      <c r="BE72" s="608">
        <f>K72+M72+O72+Q72+S72+U72+W72+Y72+AA72+AC72+AE72+AG72+AI72+AK72+AM72+AO72+AQ72+AS72+AU72+AW72+AY72+BA72+BC72</f>
        <v/>
      </c>
      <c r="BF72" s="608">
        <f>#REF!+L72+N72+P72+R72+T72+V72+X72+Z72+AB72+AD72+AF72+AH72+AJ72+AL72+AN72+AP72+AR72+AT72+AV72+AX72</f>
        <v/>
      </c>
      <c r="BG72" s="602">
        <f>BE72-BF72</f>
        <v/>
      </c>
    </row>
    <row r="73">
      <c r="A73" s="633" t="inlineStr">
        <is>
          <t>Сырье Платежи поставщикам</t>
        </is>
      </c>
      <c r="B73" s="604" t="inlineStr">
        <is>
          <t>Расход</t>
        </is>
      </c>
      <c r="C73" s="680" t="n"/>
      <c r="D73" s="796" t="n"/>
      <c r="E73" s="680" t="n"/>
      <c r="F73" s="796" t="n"/>
      <c r="G73" s="680" t="n"/>
      <c r="H73" s="804">
        <f>-248600</f>
        <v/>
      </c>
      <c r="I73" s="680" t="n"/>
      <c r="J73" s="796" t="n"/>
      <c r="K73" s="680" t="n"/>
      <c r="L73" s="806" t="n"/>
      <c r="M73" s="649" t="n">
        <v>-500000</v>
      </c>
      <c r="N73" s="796" t="n"/>
      <c r="O73" s="649" t="n">
        <v>-500000</v>
      </c>
      <c r="P73" s="796" t="n"/>
      <c r="Q73" s="649" t="n">
        <v>-500000</v>
      </c>
      <c r="R73" s="796" t="n"/>
      <c r="S73" s="680" t="n"/>
      <c r="T73" s="796" t="n"/>
      <c r="U73" s="680" t="n"/>
      <c r="V73" s="806" t="n"/>
      <c r="W73" s="649" t="n">
        <v>-500000</v>
      </c>
      <c r="X73" s="796" t="n"/>
      <c r="Y73" s="649" t="n">
        <v>-500000</v>
      </c>
      <c r="Z73" s="796" t="n"/>
      <c r="AA73" s="649" t="n">
        <v>-500000</v>
      </c>
      <c r="AB73" s="796" t="n"/>
      <c r="AC73" s="680" t="n"/>
      <c r="AD73" s="796" t="n"/>
      <c r="AE73" s="680" t="n"/>
      <c r="AF73" s="806" t="n"/>
      <c r="AG73" s="649" t="n">
        <v>-500000</v>
      </c>
      <c r="AH73" s="796" t="n"/>
      <c r="AI73" s="649" t="n">
        <v>-500000</v>
      </c>
      <c r="AJ73" s="796" t="n"/>
      <c r="AK73" s="649" t="n">
        <v>-500000</v>
      </c>
      <c r="AL73" s="796" t="n"/>
      <c r="AM73" s="680" t="n"/>
      <c r="AN73" s="798" t="n"/>
      <c r="AO73" s="680" t="n"/>
      <c r="AP73" s="806" t="n"/>
      <c r="AQ73" s="649" t="n">
        <v>-500000</v>
      </c>
      <c r="AR73" s="796" t="n"/>
      <c r="AS73" s="649" t="n">
        <v>-500000</v>
      </c>
      <c r="AT73" s="796" t="n"/>
      <c r="AU73" s="649" t="n">
        <v>-500000</v>
      </c>
      <c r="AV73" s="796" t="n"/>
      <c r="AW73" s="680" t="n"/>
      <c r="AX73" s="796" t="n"/>
      <c r="AY73" s="680" t="n"/>
      <c r="AZ73" s="806" t="n"/>
      <c r="BA73" s="649" t="n">
        <v>-500000</v>
      </c>
      <c r="BB73" s="796" t="n"/>
      <c r="BC73" s="649" t="n">
        <v>-500000</v>
      </c>
      <c r="BD73" s="796" t="n"/>
      <c r="BE73" s="608">
        <f>K73+M73+O73+Q73+S73+U73+W73+Y73+AA73+AC73+AE73+AG73+AI73+AK73+AM73+AO73+AQ73+AS73+AU73+AW73+AY73+BA73+BC73</f>
        <v/>
      </c>
      <c r="BF73" s="608">
        <f>#REF!+L73+N73+P73+R73+T73+V73+X73+Z73+AB73+AD73+AF73+AH73+AJ73+AL73+AN73+AP73+AR73+AT73+AV73+AX73</f>
        <v/>
      </c>
      <c r="BG73" s="602">
        <f>BE73-BF73</f>
        <v/>
      </c>
    </row>
    <row r="74">
      <c r="A74" s="661" t="inlineStr">
        <is>
          <t>Итого по кассе</t>
        </is>
      </c>
      <c r="B74" s="662" t="inlineStr">
        <is>
          <t>Расход</t>
        </is>
      </c>
      <c r="C74" s="660" t="n">
        <v>0</v>
      </c>
      <c r="D74" s="660">
        <f>SUM(D56:D73)</f>
        <v/>
      </c>
      <c r="E74" s="660">
        <f>SUM(E56:E73)</f>
        <v/>
      </c>
      <c r="F74" s="660">
        <f>SUM(F56:F73)</f>
        <v/>
      </c>
      <c r="G74" s="660">
        <f>SUM(G56:G73)</f>
        <v/>
      </c>
      <c r="H74" s="660">
        <f>SUM(H56:H73)</f>
        <v/>
      </c>
      <c r="I74" s="660">
        <f>SUM(I56:I73)</f>
        <v/>
      </c>
      <c r="J74" s="660">
        <f>SUM(J56:J73)</f>
        <v/>
      </c>
      <c r="K74" s="660">
        <f>SUM(K56:K73)</f>
        <v/>
      </c>
      <c r="L74" s="660">
        <f>SUM(L56:L73)</f>
        <v/>
      </c>
      <c r="M74" s="660">
        <f>SUM(M56:M73)</f>
        <v/>
      </c>
      <c r="N74" s="660">
        <f>SUM(N56:N73)</f>
        <v/>
      </c>
      <c r="O74" s="660">
        <f>SUM(O56:O73)</f>
        <v/>
      </c>
      <c r="P74" s="660">
        <f>SUM(P56:P73)</f>
        <v/>
      </c>
      <c r="Q74" s="660">
        <f>SUM(Q56:Q73)</f>
        <v/>
      </c>
      <c r="R74" s="660">
        <f>SUM(R56:R73)</f>
        <v/>
      </c>
      <c r="S74" s="660">
        <f>SUM(S56:S73)</f>
        <v/>
      </c>
      <c r="T74" s="660">
        <f>SUM(T56:T73)</f>
        <v/>
      </c>
      <c r="U74" s="660">
        <f>SUM(U56:U73)</f>
        <v/>
      </c>
      <c r="V74" s="660">
        <f>SUM(V56:V73)</f>
        <v/>
      </c>
      <c r="W74" s="660">
        <f>SUM(W56:W73)</f>
        <v/>
      </c>
      <c r="X74" s="660">
        <f>SUM(X56:X73)</f>
        <v/>
      </c>
      <c r="Y74" s="660">
        <f>SUM(Y56:Y73)</f>
        <v/>
      </c>
      <c r="Z74" s="660">
        <f>SUM(Z56:Z73)</f>
        <v/>
      </c>
      <c r="AA74" s="660">
        <f>SUM(AA56:AA73)</f>
        <v/>
      </c>
      <c r="AB74" s="660">
        <f>SUM(AB56:AB73)</f>
        <v/>
      </c>
      <c r="AC74" s="660">
        <f>SUM(AC56:AC73)</f>
        <v/>
      </c>
      <c r="AD74" s="660">
        <f>SUM(AD56:AD73)</f>
        <v/>
      </c>
      <c r="AE74" s="660">
        <f>SUM(AE56:AE73)</f>
        <v/>
      </c>
      <c r="AF74" s="660">
        <f>SUM(AF56:AF73)</f>
        <v/>
      </c>
      <c r="AG74" s="660">
        <f>SUM(AG56:AG73)</f>
        <v/>
      </c>
      <c r="AH74" s="660">
        <f>SUM(AH56:AH73)</f>
        <v/>
      </c>
      <c r="AI74" s="660">
        <f>SUM(AI56:AI73)</f>
        <v/>
      </c>
      <c r="AJ74" s="660">
        <f>SUM(AJ56:AJ73)</f>
        <v/>
      </c>
      <c r="AK74" s="660">
        <f>SUM(AK56:AK73)</f>
        <v/>
      </c>
      <c r="AL74" s="660">
        <f>SUM(AL56:AL73)</f>
        <v/>
      </c>
      <c r="AM74" s="660">
        <f>SUM(AM56:AM73)</f>
        <v/>
      </c>
      <c r="AN74" s="660">
        <f>SUM(AN56:AN73)</f>
        <v/>
      </c>
      <c r="AO74" s="660">
        <f>SUM(AO56:AO73)</f>
        <v/>
      </c>
      <c r="AP74" s="660">
        <f>SUM(AP56:AP73)</f>
        <v/>
      </c>
      <c r="AQ74" s="660">
        <f>SUM(AQ56:AQ73)</f>
        <v/>
      </c>
      <c r="AR74" s="660">
        <f>SUM(AR56:AR73)</f>
        <v/>
      </c>
      <c r="AS74" s="660">
        <f>SUM(AS56:AS73)</f>
        <v/>
      </c>
      <c r="AT74" s="660">
        <f>SUM(AT56:AT73)</f>
        <v/>
      </c>
      <c r="AU74" s="660">
        <f>SUM(AU56:AU73)</f>
        <v/>
      </c>
      <c r="AV74" s="660">
        <f>SUM(AV56:AV73)</f>
        <v/>
      </c>
      <c r="AW74" s="660">
        <f>SUM(AW56:AW73)</f>
        <v/>
      </c>
      <c r="AX74" s="660">
        <f>SUM(AX56:AX73)</f>
        <v/>
      </c>
      <c r="AY74" s="660">
        <f>SUM(AY56:AY73)</f>
        <v/>
      </c>
      <c r="AZ74" s="660">
        <f>SUM(AZ56:AZ73)</f>
        <v/>
      </c>
      <c r="BA74" s="660">
        <f>SUM(BA56:BA73)</f>
        <v/>
      </c>
      <c r="BB74" s="660">
        <f>SUM(BB56:BB73)</f>
        <v/>
      </c>
      <c r="BC74" s="660">
        <f>SUM(BC56:BC73)</f>
        <v/>
      </c>
      <c r="BD74" s="660">
        <f>SUM(BD56:BD73)</f>
        <v/>
      </c>
      <c r="BE74" s="664">
        <f>SUM(BE56:BE73)</f>
        <v/>
      </c>
      <c r="BF74" s="653">
        <f>#REF!+L74+N74+P74+R74+T74+V74+X74+Z74+AB74+AD74+AF74+AH74+AJ74+AL74+AN74+AP74+AR74+AT74+AV74+AX74</f>
        <v/>
      </c>
      <c r="BG74" s="654">
        <f>BE74-BF74</f>
        <v/>
      </c>
    </row>
    <row r="75">
      <c r="A75" s="665" t="inlineStr">
        <is>
          <t>ИТОГО РАСХОДЫ</t>
        </is>
      </c>
      <c r="B75" s="666" t="n"/>
      <c r="C75" s="663" t="n">
        <v>0</v>
      </c>
      <c r="D75" s="663">
        <f>D55+D74</f>
        <v/>
      </c>
      <c r="E75" s="663">
        <f>E55+E74</f>
        <v/>
      </c>
      <c r="F75" s="663">
        <f>F55+F74</f>
        <v/>
      </c>
      <c r="G75" s="663">
        <f>G55+G74</f>
        <v/>
      </c>
      <c r="H75" s="663">
        <f>H55+H74</f>
        <v/>
      </c>
      <c r="I75" s="663">
        <f>I55+I74</f>
        <v/>
      </c>
      <c r="J75" s="663">
        <f>J55+J74</f>
        <v/>
      </c>
      <c r="K75" s="663">
        <f>K55+K74</f>
        <v/>
      </c>
      <c r="L75" s="663">
        <f>L55+L74</f>
        <v/>
      </c>
      <c r="M75" s="663">
        <f>M55+M74</f>
        <v/>
      </c>
      <c r="N75" s="663">
        <f>N55+N74</f>
        <v/>
      </c>
      <c r="O75" s="663">
        <f>O55+O74</f>
        <v/>
      </c>
      <c r="P75" s="663">
        <f>P55+P74</f>
        <v/>
      </c>
      <c r="Q75" s="663">
        <f>Q55+Q74</f>
        <v/>
      </c>
      <c r="R75" s="663">
        <f>R55+R74</f>
        <v/>
      </c>
      <c r="S75" s="663">
        <f>S55+S74</f>
        <v/>
      </c>
      <c r="T75" s="663">
        <f>T55+T74</f>
        <v/>
      </c>
      <c r="U75" s="663">
        <f>U55+U74</f>
        <v/>
      </c>
      <c r="V75" s="663">
        <f>V55+V74</f>
        <v/>
      </c>
      <c r="W75" s="663">
        <f>W55+W74</f>
        <v/>
      </c>
      <c r="X75" s="663">
        <f>X55+X74</f>
        <v/>
      </c>
      <c r="Y75" s="663">
        <f>Y55+Y74</f>
        <v/>
      </c>
      <c r="Z75" s="663">
        <f>Z55+Z74</f>
        <v/>
      </c>
      <c r="AA75" s="663">
        <f>AA55+AA74</f>
        <v/>
      </c>
      <c r="AB75" s="663">
        <f>AB55+AB74</f>
        <v/>
      </c>
      <c r="AC75" s="663">
        <f>AC55+AC74</f>
        <v/>
      </c>
      <c r="AD75" s="663">
        <f>AD55+AD74</f>
        <v/>
      </c>
      <c r="AE75" s="663">
        <f>AE55+AE74</f>
        <v/>
      </c>
      <c r="AF75" s="663">
        <f>AF55+AF74</f>
        <v/>
      </c>
      <c r="AG75" s="663">
        <f>AG55+AG74</f>
        <v/>
      </c>
      <c r="AH75" s="663">
        <f>AH55+AH74</f>
        <v/>
      </c>
      <c r="AI75" s="663">
        <f>AI55+AI74</f>
        <v/>
      </c>
      <c r="AJ75" s="663">
        <f>AJ55+AJ74</f>
        <v/>
      </c>
      <c r="AK75" s="663">
        <f>AK55+AK74</f>
        <v/>
      </c>
      <c r="AL75" s="663">
        <f>AL55+AL74</f>
        <v/>
      </c>
      <c r="AM75" s="663">
        <f>AM55+AM74</f>
        <v/>
      </c>
      <c r="AN75" s="663">
        <f>AN55+AN74</f>
        <v/>
      </c>
      <c r="AO75" s="663">
        <f>AO55+AO74</f>
        <v/>
      </c>
      <c r="AP75" s="663">
        <f>AP55+AP74</f>
        <v/>
      </c>
      <c r="AQ75" s="663">
        <f>AQ55+AQ74</f>
        <v/>
      </c>
      <c r="AR75" s="663">
        <f>AR55+AR74</f>
        <v/>
      </c>
      <c r="AS75" s="663">
        <f>AS55+AS74</f>
        <v/>
      </c>
      <c r="AT75" s="663">
        <f>AT55+AT74</f>
        <v/>
      </c>
      <c r="AU75" s="663">
        <f>AU55+AU74</f>
        <v/>
      </c>
      <c r="AV75" s="663">
        <f>AV55+AV74</f>
        <v/>
      </c>
      <c r="AW75" s="663">
        <f>AW55+AW74</f>
        <v/>
      </c>
      <c r="AX75" s="663">
        <f>AX55+AX74</f>
        <v/>
      </c>
      <c r="AY75" s="663">
        <f>AY55+AY74</f>
        <v/>
      </c>
      <c r="AZ75" s="663">
        <f>AZ55+AZ74</f>
        <v/>
      </c>
      <c r="BA75" s="663">
        <f>BA55+BA74</f>
        <v/>
      </c>
      <c r="BB75" s="663">
        <f>BB55+BB74</f>
        <v/>
      </c>
      <c r="BC75" s="663">
        <f>BC55+BC74</f>
        <v/>
      </c>
      <c r="BD75" s="663">
        <f>BD55+BD74</f>
        <v/>
      </c>
      <c r="BE75" s="668">
        <f>BE55+BE74</f>
        <v/>
      </c>
      <c r="BF75" s="669">
        <f>#REF!+L75+N75+P75+R75+T75+V75+X75+Z75+AB75+AD75+AF75+AH75+AJ75+AL75+AN75+AP75+AR75+AT75+AV75+AX75</f>
        <v/>
      </c>
      <c r="BG75" s="670">
        <f>BE75-BF75</f>
        <v/>
      </c>
    </row>
    <row r="76">
      <c r="A76" s="671" t="inlineStr">
        <is>
          <t>Операционная деятельность</t>
        </is>
      </c>
      <c r="B76" s="672" t="n"/>
      <c r="C76" s="667" t="n">
        <v>0</v>
      </c>
      <c r="D76" s="811">
        <f>D29-(-D55-D74)</f>
        <v/>
      </c>
      <c r="E76" s="667">
        <f>E29-(-E55-E74)</f>
        <v/>
      </c>
      <c r="F76" s="811">
        <f>F29-(-F55-F74)</f>
        <v/>
      </c>
      <c r="G76" s="667">
        <f>G29-(-G55-G74)</f>
        <v/>
      </c>
      <c r="H76" s="811">
        <f>H29-(-H55-H74)</f>
        <v/>
      </c>
      <c r="I76" s="667">
        <f>I29-(-I55-I74)</f>
        <v/>
      </c>
      <c r="J76" s="811">
        <f>J29-(-J55-J74)</f>
        <v/>
      </c>
      <c r="K76" s="667">
        <f>K29-(-K55-K74)</f>
        <v/>
      </c>
      <c r="L76" s="812" t="n"/>
      <c r="M76" s="667">
        <f>M29-(-M55-M74)</f>
        <v/>
      </c>
      <c r="N76" s="811">
        <f>N29-(-N55-N74)</f>
        <v/>
      </c>
      <c r="O76" s="667">
        <f>O29-(-O55-O74)</f>
        <v/>
      </c>
      <c r="P76" s="811">
        <f>P29-(-P55-P74)</f>
        <v/>
      </c>
      <c r="Q76" s="667">
        <f>Q29-(-Q55-Q74)</f>
        <v/>
      </c>
      <c r="R76" s="811">
        <f>R29-(-R55-R74)</f>
        <v/>
      </c>
      <c r="S76" s="667">
        <f>S29-(-S55-S74)</f>
        <v/>
      </c>
      <c r="T76" s="811">
        <f>T29-(-T55-T74)</f>
        <v/>
      </c>
      <c r="U76" s="667">
        <f>U29-(-U55-U74)</f>
        <v/>
      </c>
      <c r="V76" s="811">
        <f>V29-(-V55-V74)</f>
        <v/>
      </c>
      <c r="W76" s="667">
        <f>W29-(-W55-W74)</f>
        <v/>
      </c>
      <c r="X76" s="811">
        <f>X29-(-X55-X74)</f>
        <v/>
      </c>
      <c r="Y76" s="667">
        <f>Y29-(-Y55-Y74)</f>
        <v/>
      </c>
      <c r="Z76" s="811">
        <f>Z29-(-Z55-Z74)</f>
        <v/>
      </c>
      <c r="AA76" s="667">
        <f>AA29-(-AA55-AA74)</f>
        <v/>
      </c>
      <c r="AB76" s="811">
        <f>AB29-(-AB55-AB74)</f>
        <v/>
      </c>
      <c r="AC76" s="673" t="n"/>
      <c r="AD76" s="813" t="n"/>
      <c r="AE76" s="667">
        <f>AE29-(-AE55-AE74)</f>
        <v/>
      </c>
      <c r="AF76" s="811">
        <f>AF29-(-AF55-AF74)</f>
        <v/>
      </c>
      <c r="AG76" s="667">
        <f>AG29-(-AG55-AG74)</f>
        <v/>
      </c>
      <c r="AH76" s="811">
        <f>AH29-(-AH55-AH74)</f>
        <v/>
      </c>
      <c r="AI76" s="667">
        <f>AI29-(-AJ56-AI74)</f>
        <v/>
      </c>
      <c r="AJ76" s="811">
        <f>AJ29-(-AJ55-AJ74)</f>
        <v/>
      </c>
      <c r="AK76" s="667">
        <f>AK29-(-AK74)</f>
        <v/>
      </c>
      <c r="AL76" s="814">
        <f>AL29-(-AL55-AL74)</f>
        <v/>
      </c>
      <c r="AM76" s="667">
        <f>AM29-(-AN56-AM74)</f>
        <v/>
      </c>
      <c r="AN76" s="815">
        <f>AN29-(-AN55-AN74)</f>
        <v/>
      </c>
      <c r="AO76" s="667">
        <f>AO29-(-AO55-AO74)</f>
        <v/>
      </c>
      <c r="AP76" s="811">
        <f>AP29-(-AP55-AP74)</f>
        <v/>
      </c>
      <c r="AQ76" s="667">
        <f>AQ29-(-AQ55-AQ74)</f>
        <v/>
      </c>
      <c r="AR76" s="811">
        <f>AR29-(-AR55-AR74)</f>
        <v/>
      </c>
      <c r="AS76" s="667">
        <f>AS29-(-AS55-AS74)</f>
        <v/>
      </c>
      <c r="AT76" s="811">
        <f>AT29-(-AT55-AT74)</f>
        <v/>
      </c>
      <c r="AU76" s="667">
        <f>AU29-(-AU55-AU74)</f>
        <v/>
      </c>
      <c r="AV76" s="811">
        <f>AV29-(-AV55-AV74)</f>
        <v/>
      </c>
      <c r="AW76" s="667">
        <f>AW29-(-AW55-AW74)</f>
        <v/>
      </c>
      <c r="AX76" s="811">
        <f>AX29-(-AX55-AX74)</f>
        <v/>
      </c>
      <c r="AY76" s="667">
        <f>AY29-(-AY55-AY74)</f>
        <v/>
      </c>
      <c r="AZ76" s="811">
        <f>AZ29-(-AZ55-AZ74)</f>
        <v/>
      </c>
      <c r="BA76" s="667">
        <f>BA29-(-BA55-BA74)</f>
        <v/>
      </c>
      <c r="BB76" s="811">
        <f>BB29-(-BB55-BB74)</f>
        <v/>
      </c>
      <c r="BC76" s="667">
        <f>BC29-(-BC55-BC74)</f>
        <v/>
      </c>
      <c r="BD76" s="811">
        <f>BD29-(-BD55-BD74)</f>
        <v/>
      </c>
      <c r="BE76" s="675">
        <f>BE29-(-BE55-BE74)</f>
        <v/>
      </c>
      <c r="BF76" s="608">
        <f>#REF!+L76+N76+P76+R76+T76+V76+X76+Z76+AB76+AD76+AF76+AH76+AJ76+AL76+AN76+AP76+AR76+AT76+AV76+AX76</f>
        <v/>
      </c>
      <c r="BG76" s="676" t="n"/>
    </row>
    <row r="77">
      <c r="A77" s="1218" t="inlineStr">
        <is>
          <t>ВФП Учредители поступление (НАЛ)</t>
        </is>
      </c>
      <c r="B77" s="678" t="inlineStr">
        <is>
          <t>Приход</t>
        </is>
      </c>
      <c r="C77" s="674" t="n"/>
      <c r="D77" s="822" t="n"/>
      <c r="E77" s="674" t="n"/>
      <c r="F77" s="822" t="n"/>
      <c r="G77" s="674" t="n"/>
      <c r="H77" s="822" t="n"/>
      <c r="I77" s="674" t="n"/>
      <c r="J77" s="822" t="n"/>
      <c r="K77" s="674" t="n"/>
      <c r="L77" s="817" t="n"/>
      <c r="M77" s="674" t="n"/>
      <c r="N77" s="822" t="n"/>
      <c r="O77" s="674" t="n"/>
      <c r="P77" s="822" t="n"/>
      <c r="Q77" s="674" t="n"/>
      <c r="R77" s="822" t="n"/>
      <c r="S77" s="674" t="n"/>
      <c r="T77" s="818" t="n"/>
      <c r="U77" s="674" t="n"/>
      <c r="V77" s="822" t="n"/>
      <c r="W77" s="674" t="n"/>
      <c r="X77" s="822" t="n"/>
      <c r="Y77" s="674" t="n"/>
      <c r="Z77" s="822" t="n"/>
      <c r="AA77" s="674" t="n"/>
      <c r="AB77" s="822" t="n"/>
      <c r="AC77" s="674" t="n"/>
      <c r="AD77" s="822" t="n"/>
      <c r="AE77" s="674" t="n"/>
      <c r="AF77" s="822" t="n"/>
      <c r="AG77" s="674" t="n"/>
      <c r="AH77" s="822" t="n"/>
      <c r="AI77" s="674" t="n"/>
      <c r="AJ77" s="822" t="n"/>
      <c r="AK77" s="674" t="n"/>
      <c r="AL77" s="818" t="n"/>
      <c r="AM77" s="674" t="n"/>
      <c r="AN77" s="817" t="n"/>
      <c r="AO77" s="674" t="n"/>
      <c r="AP77" s="822" t="n"/>
      <c r="AQ77" s="674" t="n"/>
      <c r="AR77" s="822" t="n"/>
      <c r="AS77" s="674" t="n"/>
      <c r="AT77" s="822" t="n"/>
      <c r="AU77" s="674" t="n"/>
      <c r="AV77" s="822" t="n"/>
      <c r="AW77" s="674" t="n"/>
      <c r="AX77" s="822" t="n"/>
      <c r="AY77" s="674" t="n"/>
      <c r="AZ77" s="822" t="n"/>
      <c r="BA77" s="674" t="n"/>
      <c r="BB77" s="822" t="n"/>
      <c r="BC77" s="674" t="n"/>
      <c r="BD77" s="822" t="n"/>
      <c r="BE77" s="675">
        <f>BE30-(-BE56-BE75)</f>
        <v/>
      </c>
      <c r="BF77" s="608">
        <f>#REF!+L77+N77+P77+R77+T77+V77+X77+Z77+AB77+AD77+AF77+AH77+AJ77+AL77+AN77+AP77+AR77+AT77+AV77+AX77</f>
        <v/>
      </c>
      <c r="BG77" s="676" t="n"/>
    </row>
    <row r="78">
      <c r="A78" s="1219" t="n"/>
      <c r="B78" s="604" t="inlineStr">
        <is>
          <t>Расход</t>
        </is>
      </c>
      <c r="C78" s="680" t="n"/>
      <c r="D78" s="796" t="n"/>
      <c r="E78" s="680" t="n"/>
      <c r="F78" s="796" t="n"/>
      <c r="G78" s="680" t="n"/>
      <c r="H78" s="796" t="n"/>
      <c r="I78" s="680" t="n"/>
      <c r="J78" s="796" t="n"/>
      <c r="K78" s="680" t="n"/>
      <c r="L78" s="817" t="n"/>
      <c r="M78" s="680" t="n"/>
      <c r="N78" s="796" t="n"/>
      <c r="O78" s="680" t="n"/>
      <c r="P78" s="822" t="n"/>
      <c r="Q78" s="680" t="n"/>
      <c r="R78" s="796" t="n"/>
      <c r="S78" s="680" t="n"/>
      <c r="T78" s="796" t="n"/>
      <c r="U78" s="674" t="n"/>
      <c r="V78" s="822" t="n"/>
      <c r="W78" s="674" t="n"/>
      <c r="X78" s="822" t="n"/>
      <c r="Y78" s="674" t="n"/>
      <c r="Z78" s="822" t="n"/>
      <c r="AA78" s="674" t="n"/>
      <c r="AB78" s="822" t="n"/>
      <c r="AC78" s="674" t="n"/>
      <c r="AD78" s="822" t="n"/>
      <c r="AE78" s="674" t="n"/>
      <c r="AF78" s="822" t="n"/>
      <c r="AG78" s="674" t="n"/>
      <c r="AH78" s="822" t="n"/>
      <c r="AI78" s="674" t="n"/>
      <c r="AJ78" s="822" t="n"/>
      <c r="AK78" s="674" t="n"/>
      <c r="AL78" s="818" t="n"/>
      <c r="AM78" s="674" t="n"/>
      <c r="AN78" s="817" t="n"/>
      <c r="AO78" s="674" t="n"/>
      <c r="AP78" s="822" t="n"/>
      <c r="AQ78" s="674" t="n"/>
      <c r="AR78" s="822" t="n"/>
      <c r="AS78" s="674" t="n"/>
      <c r="AT78" s="822" t="n"/>
      <c r="AU78" s="674" t="n"/>
      <c r="AV78" s="822" t="n"/>
      <c r="AW78" s="674" t="n"/>
      <c r="AX78" s="822" t="n"/>
      <c r="AY78" s="674" t="n"/>
      <c r="AZ78" s="822" t="n"/>
      <c r="BA78" s="674" t="n"/>
      <c r="BB78" s="822" t="n"/>
      <c r="BC78" s="674" t="n"/>
      <c r="BD78" s="822" t="n"/>
      <c r="BE78" s="675">
        <f>BE31-(-BE57-BE76)</f>
        <v/>
      </c>
      <c r="BF78" s="608">
        <f>#REF!+L78+N78+P78+R78+T78+V78+X78+Z78+AB78+AD78+AF78+AH78+AJ78+AL78+AN78+AP78+AR78+AT78+AV78+AX78</f>
        <v/>
      </c>
      <c r="BG78" s="676" t="n"/>
    </row>
    <row r="79">
      <c r="A79" s="1134" t="inlineStr">
        <is>
          <t>Касса взаиморасчета банк</t>
        </is>
      </c>
      <c r="B79" s="604" t="inlineStr">
        <is>
          <t>Расход</t>
        </is>
      </c>
      <c r="C79" s="819" t="n">
        <v>4000000</v>
      </c>
      <c r="D79" s="796" t="n"/>
      <c r="E79" s="819" t="n">
        <v>500000</v>
      </c>
      <c r="F79" s="822" t="n"/>
      <c r="G79" s="819" t="n">
        <v>2000000</v>
      </c>
      <c r="H79" s="822" t="n"/>
      <c r="I79" s="680" t="n"/>
      <c r="J79" s="820" t="n">
        <v>1575000</v>
      </c>
      <c r="K79" s="680" t="n"/>
      <c r="L79" s="821" t="n"/>
      <c r="M79" s="680" t="n"/>
      <c r="N79" s="822" t="n"/>
      <c r="O79" s="680" t="n"/>
      <c r="P79" s="822" t="n"/>
      <c r="Q79" s="680" t="n"/>
      <c r="R79" s="822" t="n"/>
      <c r="S79" s="680" t="n"/>
      <c r="T79" s="822" t="n"/>
      <c r="U79" s="680" t="n"/>
      <c r="V79" s="822" t="n"/>
      <c r="W79" s="680" t="n"/>
      <c r="X79" s="822" t="n"/>
      <c r="Y79" s="680" t="n"/>
      <c r="Z79" s="822" t="n"/>
      <c r="AA79" s="680" t="n"/>
      <c r="AB79" s="822" t="n"/>
      <c r="AC79" s="680" t="n"/>
      <c r="AD79" s="822" t="n"/>
      <c r="AE79" s="680" t="n"/>
      <c r="AF79" s="822" t="n"/>
      <c r="AG79" s="680" t="n"/>
      <c r="AH79" s="822" t="n"/>
      <c r="AI79" s="680" t="n"/>
      <c r="AJ79" s="822" t="n"/>
      <c r="AK79" s="680" t="n"/>
      <c r="AL79" s="818" t="n"/>
      <c r="AM79" s="680" t="n"/>
      <c r="AN79" s="817" t="n"/>
      <c r="AO79" s="674" t="n"/>
      <c r="AP79" s="822" t="n"/>
      <c r="AQ79" s="674" t="n"/>
      <c r="AR79" s="822" t="n"/>
      <c r="AS79" s="674" t="n"/>
      <c r="AT79" s="822" t="n"/>
      <c r="AU79" s="674" t="n"/>
      <c r="AV79" s="822" t="n"/>
      <c r="AW79" s="674" t="n"/>
      <c r="AX79" s="822" t="n"/>
      <c r="AY79" s="674" t="n"/>
      <c r="AZ79" s="822" t="n"/>
      <c r="BA79" s="674" t="n"/>
      <c r="BB79" s="822" t="n"/>
      <c r="BC79" s="674" t="n"/>
      <c r="BD79" s="822" t="n"/>
      <c r="BE79" s="675">
        <f>BE32-(-BE58-BE77)</f>
        <v/>
      </c>
      <c r="BF79" s="608">
        <f>#REF!+L79+N79+P79+R79+T79+V79+X79+Z79+AB79+AD79+AF79+AH79+AJ79+AL79+AN79+AP79+AR79+AT79+AV79+AX79</f>
        <v/>
      </c>
      <c r="BG79" s="676" t="n"/>
    </row>
    <row r="80">
      <c r="A80" s="1134" t="inlineStr">
        <is>
          <t>Касса взаиморасчета касса</t>
        </is>
      </c>
      <c r="B80" s="678" t="inlineStr">
        <is>
          <t>Приход</t>
        </is>
      </c>
      <c r="C80" s="819" t="n">
        <v>4000000</v>
      </c>
      <c r="D80" s="796" t="n"/>
      <c r="E80" s="819" t="n">
        <v>500000</v>
      </c>
      <c r="F80" s="822" t="n"/>
      <c r="G80" s="819" t="n">
        <v>2000000</v>
      </c>
      <c r="H80" s="796" t="n"/>
      <c r="I80" s="680" t="n"/>
      <c r="J80" s="823" t="n">
        <v>1575000</v>
      </c>
      <c r="K80" s="680" t="n"/>
      <c r="L80" s="821" t="n"/>
      <c r="M80" s="680" t="n"/>
      <c r="N80" s="796" t="n"/>
      <c r="O80" s="680" t="n"/>
      <c r="P80" s="822" t="n"/>
      <c r="Q80" s="680" t="n"/>
      <c r="R80" s="822" t="n">
        <v>14990</v>
      </c>
      <c r="S80" s="680" t="n"/>
      <c r="T80" s="822" t="n"/>
      <c r="U80" s="680" t="n"/>
      <c r="V80" s="822" t="n"/>
      <c r="W80" s="680" t="n"/>
      <c r="X80" s="822" t="n"/>
      <c r="Y80" s="680" t="n"/>
      <c r="Z80" s="822" t="n"/>
      <c r="AA80" s="680" t="n"/>
      <c r="AB80" s="822" t="n"/>
      <c r="AC80" s="680" t="n"/>
      <c r="AD80" s="822" t="n"/>
      <c r="AE80" s="680" t="n"/>
      <c r="AF80" s="822" t="n"/>
      <c r="AG80" s="680" t="n"/>
      <c r="AH80" s="822" t="n"/>
      <c r="AI80" s="680" t="n"/>
      <c r="AJ80" s="822" t="n"/>
      <c r="AK80" s="680" t="n"/>
      <c r="AL80" s="818" t="n"/>
      <c r="AM80" s="680" t="n"/>
      <c r="AN80" s="817" t="n"/>
      <c r="AO80" s="674" t="n"/>
      <c r="AP80" s="822" t="n"/>
      <c r="AQ80" s="674" t="n"/>
      <c r="AR80" s="822" t="n"/>
      <c r="AS80" s="674" t="n"/>
      <c r="AT80" s="822" t="n"/>
      <c r="AU80" s="674" t="n"/>
      <c r="AV80" s="822" t="n"/>
      <c r="AW80" s="674" t="n"/>
      <c r="AX80" s="822" t="n"/>
      <c r="AY80" s="674" t="n"/>
      <c r="AZ80" s="822" t="n"/>
      <c r="BA80" s="674" t="n"/>
      <c r="BB80" s="822" t="n"/>
      <c r="BC80" s="674" t="n"/>
      <c r="BD80" s="822" t="n"/>
      <c r="BE80" s="675">
        <f>BE33-(-BE59-BE78)</f>
        <v/>
      </c>
      <c r="BF80" s="608">
        <f>#REF!+L80+N80+P80+R80+T80+V80+X80+Z80+AB80+AD80+AF80+AH80+AJ80+AL80+AN80+AP80+AR80+AT80+AV80+AX80</f>
        <v/>
      </c>
      <c r="BG80" s="676" t="n"/>
    </row>
    <row r="81">
      <c r="A81" s="682" t="inlineStr">
        <is>
          <t>Остаток на конец ПО БАНКУ</t>
        </is>
      </c>
      <c r="B81" s="597" t="n"/>
      <c r="C81" s="824" t="n">
        <v>-859672</v>
      </c>
      <c r="D81" s="825">
        <f>D5+D21-(-D55)-D79</f>
        <v/>
      </c>
      <c r="E81" s="826">
        <f>E5+E21-(-E55)-E79</f>
        <v/>
      </c>
      <c r="F81" s="825">
        <f>F5+F21-(-F55)-F79</f>
        <v/>
      </c>
      <c r="G81" s="827">
        <f>G5+G21-(-G55)-G79</f>
        <v/>
      </c>
      <c r="H81" s="683">
        <f>H5+H21-(-H55)-H79</f>
        <v/>
      </c>
      <c r="I81" s="828">
        <f>I5+I21-(-I55)-I79</f>
        <v/>
      </c>
      <c r="J81" s="683">
        <f>J5+J21-(-J55)-J79</f>
        <v/>
      </c>
      <c r="K81" s="867" t="n">
        <v>0</v>
      </c>
      <c r="L81" s="830">
        <f>L5+L21-(-L55)-L79</f>
        <v/>
      </c>
      <c r="M81" s="831">
        <f>M5+M21-(-M55)-M79</f>
        <v/>
      </c>
      <c r="N81" s="832">
        <f>N5+N21-(-N55)-N79</f>
        <v/>
      </c>
      <c r="O81" s="683">
        <f>O5+O21-(-O55)-O79</f>
        <v/>
      </c>
      <c r="P81" s="832">
        <f>P5+P21-(-P55)-P79</f>
        <v/>
      </c>
      <c r="Q81" s="684">
        <f>Q5+Q21-(-Q55)-Q79</f>
        <v/>
      </c>
      <c r="R81" s="832">
        <f>R5+R21-(-R55)-R79</f>
        <v/>
      </c>
      <c r="S81" s="685">
        <f>S5+S21-(-S55)-S79</f>
        <v/>
      </c>
      <c r="T81" s="832">
        <f>T5+T21-(-T55)-T79+T77</f>
        <v/>
      </c>
      <c r="U81" s="686">
        <f>U5+U21-(-U55)-U79</f>
        <v/>
      </c>
      <c r="V81" s="695">
        <f>V5+V21+V55-V79+V77</f>
        <v/>
      </c>
      <c r="W81" s="687">
        <f>W5+W21-(-W55)-W79</f>
        <v/>
      </c>
      <c r="X81" s="695">
        <f>X5+X21+X55-X79</f>
        <v/>
      </c>
      <c r="Y81" s="688">
        <f>Y5+Y21-(-Y55)-Y79</f>
        <v/>
      </c>
      <c r="Z81" s="695">
        <f>Z5+Z21-(-Z55)+Z77-Z79</f>
        <v/>
      </c>
      <c r="AA81" s="689">
        <f>AA5+AA21-(-AA55)-AA79</f>
        <v/>
      </c>
      <c r="AB81" s="695">
        <f>AB5+AB21-(-AB55)-AB79</f>
        <v/>
      </c>
      <c r="AC81" s="690">
        <f>AC5+AC21-(-AC55)-AC79</f>
        <v/>
      </c>
      <c r="AD81" s="695">
        <f>AD5+AD21-(-AD55)-AD79+AD77</f>
        <v/>
      </c>
      <c r="AE81" s="689">
        <f>AE5+AE21-(-AE55)-AE79</f>
        <v/>
      </c>
      <c r="AF81" s="695">
        <f>AF5+AF21-(-AF55)-AF79</f>
        <v/>
      </c>
      <c r="AG81" s="689">
        <f>AG5+AG21-(-AG55)-AG79</f>
        <v/>
      </c>
      <c r="AH81" s="695">
        <f>AH5+AH21-(-AH55)-AH79</f>
        <v/>
      </c>
      <c r="AI81" s="689">
        <f>AI5+AI21-(-AI55)-AI79</f>
        <v/>
      </c>
      <c r="AJ81" s="695">
        <f>AJ5+AJ21-(-AJ55)-AJ79</f>
        <v/>
      </c>
      <c r="AK81" s="689">
        <f>AK5+AK21-(-AK55)-AK79</f>
        <v/>
      </c>
      <c r="AL81" s="695">
        <f>AL5+AL21-(-AL55)-AL79+AL77</f>
        <v/>
      </c>
      <c r="AM81" s="689">
        <f>AM5+AM21-(-AM55)-AM79</f>
        <v/>
      </c>
      <c r="AN81" s="695">
        <f>AN5+AN21-(-AN55)-AN79+AN77-AN78</f>
        <v/>
      </c>
      <c r="AO81" s="691">
        <f>AO5+AO21-(-AO55)-AO79</f>
        <v/>
      </c>
      <c r="AP81" s="695">
        <f>AP5+AP21-(-AP55)-AP79</f>
        <v/>
      </c>
      <c r="AQ81" s="692">
        <f>AQ5+AQ21-(-AQ55)-AQ79</f>
        <v/>
      </c>
      <c r="AR81" s="695">
        <f>AR5+AR21-(-AR55)-AR79</f>
        <v/>
      </c>
      <c r="AS81" s="693">
        <f>AS5+AS21-(-AS55)-AS79</f>
        <v/>
      </c>
      <c r="AT81" s="695">
        <f>AT5+AT21-(-AT55)-AT79</f>
        <v/>
      </c>
      <c r="AU81" s="681">
        <f>AU5+AU21-(-AU55)-AU79+AU77-AU78</f>
        <v/>
      </c>
      <c r="AV81" s="695">
        <f>AV5+AV21-(-AV55)-AV79</f>
        <v/>
      </c>
      <c r="AW81" s="681">
        <f>AW5+AW21-(-AW55)-AW79+AW77-AW78</f>
        <v/>
      </c>
      <c r="AX81" s="695">
        <f>AX5+AX21-(-AX55)-AX79</f>
        <v/>
      </c>
      <c r="AY81" s="691">
        <f>AY5+AY21-(-AY55)-AY79</f>
        <v/>
      </c>
      <c r="AZ81" s="695">
        <f>AZ5+AZ21-(-AZ55)-AZ79</f>
        <v/>
      </c>
      <c r="BA81" s="692">
        <f>BA5+BA21-(-BA55)-BA79</f>
        <v/>
      </c>
      <c r="BB81" s="695">
        <f>BB5+BB21-(-BB55)-BB79</f>
        <v/>
      </c>
      <c r="BC81" s="693">
        <f>BC5+BC21-(-BC55)-BC79</f>
        <v/>
      </c>
      <c r="BD81" s="695">
        <f>BD5+BD21-(-BD55)-BD79</f>
        <v/>
      </c>
      <c r="BE81" s="681">
        <f>BE5+BE21-(-BE55)-BE79</f>
        <v/>
      </c>
      <c r="BF81" s="695">
        <f>BF5+BF21-(-BF55)-BF79</f>
        <v/>
      </c>
      <c r="BG81" s="676" t="n"/>
    </row>
    <row r="82">
      <c r="A82" s="682" t="inlineStr">
        <is>
          <t>Остаток на конец ПО КАССЕ</t>
        </is>
      </c>
      <c r="B82" s="597" t="n"/>
      <c r="C82" s="833" t="n">
        <v>4917728</v>
      </c>
      <c r="D82" s="834">
        <f>D6+D28-(-D74)+D77-D78+D80</f>
        <v/>
      </c>
      <c r="E82" s="835">
        <f>E6+E28-(-E74)+E77-E78+E80</f>
        <v/>
      </c>
      <c r="F82" s="834">
        <f>F6+F28-(-F74)+F77-F78+F80</f>
        <v/>
      </c>
      <c r="G82" s="836">
        <f>G6+G28-(-G74)+G77-G78+G80</f>
        <v/>
      </c>
      <c r="H82" s="837">
        <f>H6+H28-(-H74)+H77-H78+H80</f>
        <v/>
      </c>
      <c r="I82" s="827">
        <f>I6+I28-(-I74)+I77-I78+I80</f>
        <v/>
      </c>
      <c r="J82" s="834">
        <f>J6+J28-(-J74)+J77-J78+J80</f>
        <v/>
      </c>
      <c r="K82" s="825">
        <f>K6+K28-(-K74)+K77-K78+K80</f>
        <v/>
      </c>
      <c r="L82" s="838">
        <f>L6+L28-(-L74)+L77-L78+L80</f>
        <v/>
      </c>
      <c r="M82" s="834">
        <f>M6+M28-(-M74)+M77-M78+M80</f>
        <v/>
      </c>
      <c r="N82" s="838">
        <f>N6+N28-(-N74)+N77-N78+N80</f>
        <v/>
      </c>
      <c r="O82" s="696">
        <f>O6+O28-(-O74)+O77-O78+O80</f>
        <v/>
      </c>
      <c r="P82" s="838">
        <f>P6+P28-(-P74)+P77-P78+P80</f>
        <v/>
      </c>
      <c r="Q82" s="697">
        <f>Q6+Q28-(-Q74)+Q77-Q78+Q80</f>
        <v/>
      </c>
      <c r="R82" s="838">
        <f>R6+R28-(-R74)+R77-R78+R80</f>
        <v/>
      </c>
      <c r="S82" s="698">
        <f>S6+S28-(-S74)+S77-S78+S80</f>
        <v/>
      </c>
      <c r="T82" s="838">
        <f>T6+T28-(-T74)-T78+T80</f>
        <v/>
      </c>
      <c r="U82" s="699">
        <f>U6+U28-(-U74)+U77-U78+U80</f>
        <v/>
      </c>
      <c r="V82" s="712">
        <f>V6+V28-(-V74)+V80</f>
        <v/>
      </c>
      <c r="W82" s="700">
        <f>W6+W28-(-W74)+W77-W78+W80</f>
        <v/>
      </c>
      <c r="X82" s="712">
        <f>X6+X28-(-X74)+X77-X78+X80</f>
        <v/>
      </c>
      <c r="Y82" s="701">
        <f>Y6+Y28-(-Y74)+Y77-Y78+Y80</f>
        <v/>
      </c>
      <c r="Z82" s="712">
        <f>Z6+Z28-(-Z74)+Z80</f>
        <v/>
      </c>
      <c r="AA82" s="702">
        <f>AA6+AA28-(-AA74)+AA77-AA78+AA80</f>
        <v/>
      </c>
      <c r="AB82" s="712">
        <f>AB6+AB28-(-AB74)+AB77-AB78+AB80</f>
        <v/>
      </c>
      <c r="AC82" s="703">
        <f>AC6+AC28-(-AC74)+AC77-AC78+AC80</f>
        <v/>
      </c>
      <c r="AD82" s="712">
        <f>AD6+AD28-(-AD74)+AD80</f>
        <v/>
      </c>
      <c r="AE82" s="703">
        <f>AE6+AE28-(-AE74)+AE77-AE78+AE80</f>
        <v/>
      </c>
      <c r="AF82" s="712">
        <f>AF6+AF28-(-AF74)+AF77-AF78+AF80</f>
        <v/>
      </c>
      <c r="AG82" s="704">
        <f>AG6+AG28-(-AG74)+AG77-AG78+AG80</f>
        <v/>
      </c>
      <c r="AH82" s="712">
        <f>AH6+AH28-(-AH74)+AH77-AH78+AH80</f>
        <v/>
      </c>
      <c r="AI82" s="705">
        <f>AI6+AI28-(-AI74)+AI77-AI78+AI80</f>
        <v/>
      </c>
      <c r="AJ82" s="712">
        <f>AJ6+AJ28-(-AJ74)+AJ77-AJ78+AJ80</f>
        <v/>
      </c>
      <c r="AK82" s="706">
        <f>AK6+AK28-(-AK74)+AK77-AK78+AK80</f>
        <v/>
      </c>
      <c r="AL82" s="712">
        <f>AL6+AL28-(-AL74)-AL78+AL80</f>
        <v/>
      </c>
      <c r="AM82" s="707">
        <f>AM6+AM28-(-AM74)+AM77-AM78+AM80</f>
        <v/>
      </c>
      <c r="AN82" s="712">
        <f>AN6+AN28-(-AN74)+AN80</f>
        <v/>
      </c>
      <c r="AO82" s="708">
        <f>AO6+AO28-(-AO74)+AO77-AO78+AO80</f>
        <v/>
      </c>
      <c r="AP82" s="712">
        <f>AP6+AP28-(-AP74)+AP77-AP78+AP80</f>
        <v/>
      </c>
      <c r="AQ82" s="709">
        <f>AQ6+AQ28-(-AQ74)+AQ77-AQ78+AQ80</f>
        <v/>
      </c>
      <c r="AR82" s="712">
        <f>AR6+AR28-(-AR74)+AR77+AR80</f>
        <v/>
      </c>
      <c r="AS82" s="710">
        <f>AS6+AS28-(-AS74)+AS77-AS78+AS80</f>
        <v/>
      </c>
      <c r="AT82" s="712">
        <f>AT6+AT28-(-AT74)+AT77-AT78+AT80</f>
        <v/>
      </c>
      <c r="AU82" s="694">
        <f>AU6+AU28-(-AU74)+AU80</f>
        <v/>
      </c>
      <c r="AV82" s="712">
        <f>AV6+AV28-(-AV74)+AV77-AV78+AV80</f>
        <v/>
      </c>
      <c r="AW82" s="694">
        <f>AW6+AW28-(-AW74)+AW80</f>
        <v/>
      </c>
      <c r="AX82" s="712">
        <f>AX6+AX28-(-AX74)+AX77-AX78+AX80</f>
        <v/>
      </c>
      <c r="AY82" s="708">
        <f>AY6+AY28-(-AY74)+AY77-AY78+AY80</f>
        <v/>
      </c>
      <c r="AZ82" s="712">
        <f>AZ6+AZ28-(-AZ74)+AZ77-AZ78+AZ80</f>
        <v/>
      </c>
      <c r="BA82" s="709">
        <f>BA6+BA28-(-BA74)+BA77-BA78+BA80</f>
        <v/>
      </c>
      <c r="BB82" s="712">
        <f>BB6+BB28-(-BB74)+BB77+BB80</f>
        <v/>
      </c>
      <c r="BC82" s="710">
        <f>BC6+BC28-(-BC74)+BC77-BC78+BC80</f>
        <v/>
      </c>
      <c r="BD82" s="712">
        <f>BD6+BD28-(-BD74)+BD77-BD78+BD80</f>
        <v/>
      </c>
      <c r="BE82" s="694">
        <f>BE6+BE28-(-BE74)+BE77-BE78+BE80</f>
        <v/>
      </c>
      <c r="BF82" s="712">
        <f>BF6+BF28-(-BF74)+BF77-BF78+BF80</f>
        <v/>
      </c>
      <c r="BG82" s="676" t="n"/>
    </row>
    <row r="83">
      <c r="A83" s="713" t="inlineStr">
        <is>
          <t>Итого</t>
        </is>
      </c>
      <c r="B83" s="714" t="n"/>
      <c r="C83" s="711" t="n">
        <v>4058056</v>
      </c>
      <c r="D83" s="711">
        <f>D81+D82</f>
        <v/>
      </c>
      <c r="E83" s="711">
        <f>E81+E82</f>
        <v/>
      </c>
      <c r="F83" s="711">
        <f>F81+F82</f>
        <v/>
      </c>
      <c r="G83" s="711">
        <f>G81+G82</f>
        <v/>
      </c>
      <c r="H83" s="711">
        <f>H81+H82</f>
        <v/>
      </c>
      <c r="I83" s="711">
        <f>I81+I82</f>
        <v/>
      </c>
      <c r="J83" s="711">
        <f>J81+J82</f>
        <v/>
      </c>
      <c r="K83" s="711">
        <f>K81+K82</f>
        <v/>
      </c>
      <c r="L83" s="711">
        <f>L81+L82</f>
        <v/>
      </c>
      <c r="M83" s="711">
        <f>M81+M82</f>
        <v/>
      </c>
      <c r="N83" s="711">
        <f>N81+N82</f>
        <v/>
      </c>
      <c r="O83" s="711">
        <f>O81+O82</f>
        <v/>
      </c>
      <c r="P83" s="711">
        <f>P81+P82</f>
        <v/>
      </c>
      <c r="Q83" s="711">
        <f>Q81+Q82</f>
        <v/>
      </c>
      <c r="R83" s="711">
        <f>R81+R82</f>
        <v/>
      </c>
      <c r="S83" s="711">
        <f>S81+S82</f>
        <v/>
      </c>
      <c r="T83" s="711">
        <f>T81+T82</f>
        <v/>
      </c>
      <c r="U83" s="711">
        <f>U81+U82</f>
        <v/>
      </c>
      <c r="V83" s="711">
        <f>V81+V82</f>
        <v/>
      </c>
      <c r="W83" s="711">
        <f>W81+W82</f>
        <v/>
      </c>
      <c r="X83" s="711">
        <f>X81+X82</f>
        <v/>
      </c>
      <c r="Y83" s="711">
        <f>Y81+Y82</f>
        <v/>
      </c>
      <c r="Z83" s="711">
        <f>Z81+Z82</f>
        <v/>
      </c>
      <c r="AA83" s="711">
        <f>AA81+AA82</f>
        <v/>
      </c>
      <c r="AB83" s="711">
        <f>AB81+AB82</f>
        <v/>
      </c>
      <c r="AC83" s="711">
        <f>AC81+AC82</f>
        <v/>
      </c>
      <c r="AD83" s="711">
        <f>AD81+AD82</f>
        <v/>
      </c>
      <c r="AE83" s="711">
        <f>AE81+AE82</f>
        <v/>
      </c>
      <c r="AF83" s="711">
        <f>AF81+AF82</f>
        <v/>
      </c>
      <c r="AG83" s="711">
        <f>AG81+AG82</f>
        <v/>
      </c>
      <c r="AH83" s="711">
        <f>AH81+AH82</f>
        <v/>
      </c>
      <c r="AI83" s="711">
        <f>AI81+AI82</f>
        <v/>
      </c>
      <c r="AJ83" s="711">
        <f>AJ81+AJ82</f>
        <v/>
      </c>
      <c r="AK83" s="711">
        <f>AK81+AK82</f>
        <v/>
      </c>
      <c r="AL83" s="711">
        <f>AL81+AL82</f>
        <v/>
      </c>
      <c r="AM83" s="711">
        <f>AM81+AM82</f>
        <v/>
      </c>
      <c r="AN83" s="711">
        <f>AN81+AN82</f>
        <v/>
      </c>
      <c r="AO83" s="711">
        <f>AO81+AO82</f>
        <v/>
      </c>
      <c r="AP83" s="711">
        <f>AP81+AP82</f>
        <v/>
      </c>
      <c r="AQ83" s="711">
        <f>AQ81+AQ82</f>
        <v/>
      </c>
      <c r="AR83" s="711">
        <f>AR81+AR82</f>
        <v/>
      </c>
      <c r="AS83" s="711">
        <f>AS81+AS82</f>
        <v/>
      </c>
      <c r="AT83" s="711">
        <f>AT81+AT82</f>
        <v/>
      </c>
      <c r="AU83" s="711">
        <f>AU81+AU82</f>
        <v/>
      </c>
      <c r="AV83" s="711">
        <f>AV81+AV82</f>
        <v/>
      </c>
      <c r="AW83" s="711">
        <f>AW81+AW82</f>
        <v/>
      </c>
      <c r="AX83" s="711">
        <f>AX81+AX82</f>
        <v/>
      </c>
      <c r="AY83" s="711">
        <f>AY81+AY82</f>
        <v/>
      </c>
      <c r="AZ83" s="711">
        <f>AZ81+AZ82</f>
        <v/>
      </c>
      <c r="BA83" s="711">
        <f>BA81+BA82</f>
        <v/>
      </c>
      <c r="BB83" s="711">
        <f>BB81+BB82</f>
        <v/>
      </c>
      <c r="BC83" s="711">
        <f>BC81+BC82</f>
        <v/>
      </c>
      <c r="BD83" s="711">
        <f>BD81+BD82</f>
        <v/>
      </c>
      <c r="BE83" s="715">
        <f>BE81+BE82</f>
        <v/>
      </c>
      <c r="BF83" s="715">
        <f>BF81+BF82</f>
        <v/>
      </c>
      <c r="BG83" s="716" t="n"/>
    </row>
    <row r="84">
      <c r="A84" s="717" t="n"/>
      <c r="B84" s="839" t="n"/>
      <c r="C84" s="839" t="n"/>
      <c r="D84" s="773" t="n"/>
      <c r="E84" s="839" t="n"/>
      <c r="F84" s="773" t="n"/>
      <c r="G84" s="840" t="n"/>
      <c r="H84" s="842" t="n"/>
      <c r="I84" s="842" t="n"/>
      <c r="J84" s="842" t="n"/>
      <c r="K84" s="842" t="n"/>
      <c r="L84" s="842" t="n"/>
      <c r="M84" s="842" t="n"/>
      <c r="N84" s="842" t="n"/>
      <c r="O84" s="842" t="n"/>
      <c r="P84" s="1027" t="n"/>
      <c r="Q84" s="842" t="n"/>
      <c r="R84" s="1027" t="n"/>
      <c r="S84" s="842" t="n"/>
      <c r="T84" s="1027" t="n">
        <v>2104029</v>
      </c>
      <c r="U84" s="842" t="n"/>
      <c r="V84" s="842" t="n"/>
      <c r="W84" s="842" t="n"/>
      <c r="X84" s="842" t="n"/>
      <c r="Y84" s="842" t="n"/>
      <c r="Z84" s="842" t="n"/>
      <c r="AA84" s="842" t="n"/>
      <c r="AB84" s="842" t="n"/>
      <c r="AC84" s="842" t="n"/>
      <c r="AD84" s="842" t="n"/>
      <c r="AE84" s="842" t="n"/>
      <c r="AF84" s="842" t="n"/>
      <c r="AG84" s="842" t="n"/>
      <c r="AH84" s="842" t="n"/>
      <c r="AI84" s="842" t="n"/>
      <c r="AJ84" s="842" t="n"/>
      <c r="AK84" s="842" t="n"/>
      <c r="AL84" s="842" t="n"/>
      <c r="AM84" s="720" t="n"/>
      <c r="AN84" s="720" t="n"/>
      <c r="AO84" s="842" t="n"/>
      <c r="AP84" s="842" t="n"/>
      <c r="AQ84" s="842" t="n"/>
      <c r="AR84" s="842" t="n"/>
      <c r="AS84" s="842" t="n"/>
      <c r="AT84" s="842" t="n"/>
      <c r="AU84" s="842" t="n"/>
      <c r="AV84" s="842" t="n"/>
      <c r="AW84" s="842" t="n"/>
      <c r="AX84" s="842" t="n"/>
      <c r="AY84" s="842" t="n"/>
      <c r="AZ84" s="842" t="n"/>
      <c r="BA84" s="842" t="n"/>
      <c r="BB84" s="842" t="n"/>
      <c r="BC84" s="842" t="n"/>
      <c r="BD84" s="842" t="n"/>
      <c r="BE84" s="1220" t="inlineStr">
        <is>
          <t>Итого май (+если есть деньги, - кас.разрыв)</t>
        </is>
      </c>
      <c r="BG84" s="721">
        <f>BG75+BG29</f>
        <v/>
      </c>
    </row>
    <row r="85">
      <c r="A85" s="842" t="n"/>
      <c r="B85" s="842" t="n"/>
      <c r="C85" s="842" t="n"/>
      <c r="D85" s="842" t="n"/>
      <c r="E85" s="842" t="n"/>
      <c r="F85" s="842" t="n"/>
      <c r="G85" s="842" t="n"/>
      <c r="H85" s="842" t="n"/>
      <c r="I85" s="842" t="n"/>
      <c r="J85" s="841" t="n"/>
      <c r="K85" s="722" t="n"/>
      <c r="L85" s="842" t="n"/>
      <c r="M85" s="842" t="n"/>
      <c r="N85" s="1027" t="n"/>
      <c r="O85" s="1027" t="n"/>
      <c r="P85" s="1027" t="n"/>
      <c r="Q85" s="842" t="n"/>
      <c r="R85" s="842" t="n"/>
      <c r="S85" s="242" t="n"/>
      <c r="T85" s="242" t="n"/>
      <c r="U85" s="842" t="n"/>
      <c r="V85" s="842" t="n"/>
      <c r="W85" s="842" t="n"/>
      <c r="X85" s="842" t="n"/>
      <c r="Y85" s="842" t="n"/>
      <c r="Z85" s="842" t="n"/>
      <c r="AA85" s="842" t="n"/>
      <c r="AB85" s="842" t="n"/>
      <c r="AC85" s="242" t="n"/>
      <c r="AD85" s="242" t="n"/>
      <c r="AE85" s="842" t="n"/>
      <c r="AF85" s="842" t="n"/>
      <c r="AG85" s="842" t="n"/>
      <c r="AH85" s="842" t="n"/>
      <c r="AI85" s="842" t="n"/>
      <c r="AJ85" s="842" t="n"/>
      <c r="AK85" s="842" t="n"/>
      <c r="AL85" s="841" t="n"/>
      <c r="AM85" s="773" t="n"/>
      <c r="AN85" s="773" t="n"/>
      <c r="AO85" s="722" t="n"/>
      <c r="AP85" s="842" t="n"/>
      <c r="AQ85" s="842" t="n"/>
      <c r="AR85" s="842" t="n"/>
      <c r="AS85" s="842" t="n"/>
      <c r="AT85" s="842" t="n"/>
      <c r="AU85" s="842" t="n"/>
      <c r="AV85" s="842" t="inlineStr">
        <is>
          <t>Факт АПРЕЛЬ</t>
        </is>
      </c>
      <c r="AW85" s="242" t="n"/>
      <c r="AX85" s="242" t="n"/>
      <c r="AY85" s="722" t="n"/>
      <c r="AZ85" s="842" t="n"/>
      <c r="BA85" s="842" t="n"/>
      <c r="BB85" s="842" t="n"/>
      <c r="BC85" s="842" t="n"/>
      <c r="BD85" s="842" t="n"/>
      <c r="BE85" s="724" t="inlineStr">
        <is>
          <t>План</t>
        </is>
      </c>
      <c r="BF85" s="724" t="inlineStr">
        <is>
          <t>Факт</t>
        </is>
      </c>
      <c r="BG85" s="725" t="inlineStr">
        <is>
          <t>Отклонение</t>
        </is>
      </c>
    </row>
    <row r="86">
      <c r="A86" s="842" t="n"/>
      <c r="B86" s="842" t="n"/>
      <c r="C86" s="842" t="n"/>
      <c r="D86" s="842" t="n"/>
      <c r="E86" s="842" t="n"/>
      <c r="F86" s="842" t="n"/>
      <c r="G86" s="842" t="n"/>
      <c r="H86" s="842" t="n"/>
      <c r="I86" s="842" t="n"/>
      <c r="J86" s="841" t="n"/>
      <c r="K86" s="722" t="n"/>
      <c r="L86" s="842" t="n"/>
      <c r="M86" s="842" t="n"/>
      <c r="N86" s="842" t="n"/>
      <c r="O86" s="842" t="n"/>
      <c r="P86" s="842" t="n"/>
      <c r="Q86" s="842" t="n"/>
      <c r="R86" s="842" t="n"/>
      <c r="S86" s="730" t="inlineStr">
        <is>
          <t>Выплата поставщикам</t>
        </is>
      </c>
      <c r="T86" s="242" t="n"/>
      <c r="U86" s="842" t="n"/>
      <c r="V86" s="842" t="n"/>
      <c r="W86" s="842" t="n"/>
      <c r="X86" s="842" t="n"/>
      <c r="Y86" s="842" t="n"/>
      <c r="Z86" s="842" t="n"/>
      <c r="AA86" s="842" t="n"/>
      <c r="AB86" s="842" t="n"/>
      <c r="AC86" s="730" t="inlineStr">
        <is>
          <t>Выплата поставщикам</t>
        </is>
      </c>
      <c r="AD86" s="242" t="n"/>
      <c r="AE86" s="842" t="n"/>
      <c r="AF86" s="842" t="n"/>
      <c r="AG86" s="842" t="n"/>
      <c r="AH86" s="842" t="n"/>
      <c r="AI86" s="842" t="n"/>
      <c r="AJ86" s="842" t="n"/>
      <c r="AK86" s="842" t="n"/>
      <c r="AL86" s="841" t="n"/>
      <c r="AM86" s="727" t="n"/>
      <c r="AN86" s="773" t="n"/>
      <c r="AO86" s="722" t="n"/>
      <c r="AP86" s="842" t="n"/>
      <c r="AQ86" s="842" t="n"/>
      <c r="AR86" s="842" t="n"/>
      <c r="AS86" s="842" t="n"/>
      <c r="AT86" s="842" t="n"/>
      <c r="AU86" s="842" t="n"/>
      <c r="AV86" s="843">
        <f>'ДДС ФАКТ Апрель'!I27+'ДДС ФАКТ Апрель'!I26+'ДДС ФАКТ Апрель'!I34+'ДДС ФАКТ Апрель'!I32+'ДДС ФАКТ Апрель'!I35</f>
        <v/>
      </c>
      <c r="AW86" s="730" t="inlineStr">
        <is>
          <t>Выплата поставщикам</t>
        </is>
      </c>
      <c r="AX86" s="242" t="n"/>
      <c r="AY86" s="722" t="n"/>
      <c r="AZ86" s="842" t="n"/>
      <c r="BA86" s="842" t="n"/>
      <c r="BB86" s="842" t="n"/>
      <c r="BC86" s="842" t="n"/>
      <c r="BD86" s="842" t="n"/>
      <c r="BE86" s="728">
        <f>BE31+BE46+BE47+BE53+BE73+BE56+BE49</f>
        <v/>
      </c>
      <c r="BF86" s="728">
        <f>BF31+BF46+BF47+BF53+BF73+BF56</f>
        <v/>
      </c>
      <c r="BG86" s="729">
        <f>BE86-BF86</f>
        <v/>
      </c>
    </row>
    <row r="87">
      <c r="A87" s="842" t="n"/>
      <c r="B87" s="842" t="n"/>
      <c r="C87" s="842" t="n"/>
      <c r="D87" s="842" t="n"/>
      <c r="E87" s="842" t="n"/>
      <c r="F87" s="842" t="n"/>
      <c r="G87" s="842" t="n"/>
      <c r="H87" s="842" t="n"/>
      <c r="I87" s="842" t="n"/>
      <c r="J87" s="841" t="n"/>
      <c r="K87" s="722" t="n"/>
      <c r="L87" s="842" t="n"/>
      <c r="M87" s="842" t="n"/>
      <c r="N87" s="842" t="n"/>
      <c r="O87" s="842" t="n"/>
      <c r="P87" s="842" t="n"/>
      <c r="Q87" s="842" t="n"/>
      <c r="R87" s="842" t="n"/>
      <c r="S87" s="730" t="inlineStr">
        <is>
          <t>Налоги</t>
        </is>
      </c>
      <c r="T87" s="242" t="n"/>
      <c r="U87" s="842" t="n"/>
      <c r="V87" s="842" t="n"/>
      <c r="W87" s="842" t="n"/>
      <c r="X87" s="842" t="n"/>
      <c r="Y87" s="842" t="n"/>
      <c r="Z87" s="842" t="n"/>
      <c r="AA87" s="842" t="n"/>
      <c r="AB87" s="842" t="n"/>
      <c r="AC87" s="730" t="inlineStr">
        <is>
          <t>Налоги</t>
        </is>
      </c>
      <c r="AD87" s="242" t="n"/>
      <c r="AE87" s="842" t="n"/>
      <c r="AF87" s="842" t="n"/>
      <c r="AG87" s="842" t="n"/>
      <c r="AH87" s="842" t="n"/>
      <c r="AI87" s="842" t="n"/>
      <c r="AJ87" s="842" t="n"/>
      <c r="AK87" s="842" t="n"/>
      <c r="AL87" s="841" t="n"/>
      <c r="AM87" s="727" t="n"/>
      <c r="AN87" s="773" t="n"/>
      <c r="AO87" s="722" t="n"/>
      <c r="AP87" s="842" t="n"/>
      <c r="AQ87" s="842" t="n"/>
      <c r="AR87" s="842" t="n"/>
      <c r="AS87" s="842" t="n"/>
      <c r="AT87" s="842" t="n"/>
      <c r="AU87" s="842" t="n"/>
      <c r="AV87" s="842">
        <f>'ДДС ФАКТ Апрель'!I24</f>
        <v/>
      </c>
      <c r="AW87" s="730" t="inlineStr">
        <is>
          <t>Налоги</t>
        </is>
      </c>
      <c r="AX87" s="242" t="n"/>
      <c r="AY87" s="722" t="n"/>
      <c r="AZ87" s="842" t="n"/>
      <c r="BA87" s="842" t="n"/>
      <c r="BB87" s="842" t="n"/>
      <c r="BC87" s="842" t="n"/>
      <c r="BD87" s="842" t="n"/>
      <c r="BE87" s="728">
        <f>BE39</f>
        <v/>
      </c>
      <c r="BF87" s="728">
        <f>BF39</f>
        <v/>
      </c>
      <c r="BG87" s="729">
        <f>BE87-BF87</f>
        <v/>
      </c>
    </row>
    <row r="88">
      <c r="A88" s="842" t="n"/>
      <c r="B88" s="842" t="n"/>
      <c r="C88" s="842" t="n"/>
      <c r="D88" s="842" t="n"/>
      <c r="E88" s="842" t="n"/>
      <c r="F88" s="842" t="n"/>
      <c r="G88" s="842" t="n"/>
      <c r="H88" s="842" t="n"/>
      <c r="I88" s="842" t="n"/>
      <c r="J88" s="841" t="n"/>
      <c r="K88" s="722" t="n"/>
      <c r="L88" s="842" t="n"/>
      <c r="M88" s="842" t="n"/>
      <c r="N88" s="842" t="n"/>
      <c r="O88" s="842" t="n"/>
      <c r="P88" s="842" t="n"/>
      <c r="Q88" s="842" t="n"/>
      <c r="R88" s="842" t="n"/>
      <c r="S88" s="730" t="inlineStr">
        <is>
          <t>Оплата труда</t>
        </is>
      </c>
      <c r="T88" s="242" t="n"/>
      <c r="U88" s="842" t="n"/>
      <c r="V88" s="842" t="n"/>
      <c r="W88" s="842" t="n"/>
      <c r="X88" s="842" t="n"/>
      <c r="Y88" s="842" t="n"/>
      <c r="Z88" s="842" t="n"/>
      <c r="AA88" s="842" t="n"/>
      <c r="AB88" s="842" t="n"/>
      <c r="AC88" s="730" t="inlineStr">
        <is>
          <t>Оплата труда</t>
        </is>
      </c>
      <c r="AD88" s="242" t="n"/>
      <c r="AE88" s="842" t="n"/>
      <c r="AF88" s="842" t="n"/>
      <c r="AG88" s="842" t="n"/>
      <c r="AH88" s="842" t="n"/>
      <c r="AI88" s="842" t="n"/>
      <c r="AJ88" s="842" t="n"/>
      <c r="AK88" s="842" t="n"/>
      <c r="AL88" s="841" t="n"/>
      <c r="AM88" s="727" t="n"/>
      <c r="AN88" s="773" t="n"/>
      <c r="AO88" s="722" t="n"/>
      <c r="AP88" s="842" t="n"/>
      <c r="AQ88" s="842" t="n"/>
      <c r="AR88" s="842" t="n"/>
      <c r="AS88" s="842" t="n"/>
      <c r="AT88" s="842" t="n"/>
      <c r="AU88" s="842" t="n"/>
      <c r="AV88" s="842">
        <f>'ДДС ФАКТ Апрель'!I25</f>
        <v/>
      </c>
      <c r="AW88" s="730" t="inlineStr">
        <is>
          <t>Оплата труда</t>
        </is>
      </c>
      <c r="AX88" s="242" t="n"/>
      <c r="AY88" s="722" t="n"/>
      <c r="AZ88" s="842" t="n"/>
      <c r="BA88" s="842" t="n"/>
      <c r="BB88" s="842" t="n"/>
      <c r="BC88" s="842" t="n"/>
      <c r="BD88" s="842" t="n"/>
      <c r="BE88" s="728">
        <f>BE40+BE62</f>
        <v/>
      </c>
      <c r="BF88" s="728">
        <f>BF40+BF62</f>
        <v/>
      </c>
      <c r="BG88" s="729">
        <f>BE88-BF88</f>
        <v/>
      </c>
    </row>
    <row r="89">
      <c r="A89" s="842" t="n"/>
      <c r="B89" s="842" t="n"/>
      <c r="C89" s="842" t="n"/>
      <c r="D89" s="842" t="n"/>
      <c r="E89" s="842" t="n"/>
      <c r="F89" s="842" t="n"/>
      <c r="G89" s="842" t="n"/>
      <c r="H89" s="842" t="n"/>
      <c r="I89" s="842" t="n"/>
      <c r="J89" s="841" t="n"/>
      <c r="K89" s="722" t="n"/>
      <c r="L89" s="842" t="n"/>
      <c r="M89" s="842" t="n"/>
      <c r="N89" s="842" t="n"/>
      <c r="O89" s="842" t="n"/>
      <c r="P89" s="842" t="n"/>
      <c r="Q89" s="842" t="n"/>
      <c r="R89" s="842" t="n"/>
      <c r="S89" s="730" t="inlineStr">
        <is>
          <t>Ремонт</t>
        </is>
      </c>
      <c r="T89" s="242" t="n"/>
      <c r="U89" s="842" t="n"/>
      <c r="V89" s="842" t="n"/>
      <c r="W89" s="842" t="n"/>
      <c r="X89" s="842" t="n"/>
      <c r="Y89" s="842" t="n"/>
      <c r="Z89" s="842" t="n"/>
      <c r="AA89" s="842" t="n"/>
      <c r="AB89" s="842" t="n"/>
      <c r="AC89" s="730" t="inlineStr">
        <is>
          <t>Ремонт</t>
        </is>
      </c>
      <c r="AD89" s="242" t="n"/>
      <c r="AE89" s="842" t="n"/>
      <c r="AF89" s="842" t="n"/>
      <c r="AG89" s="842" t="n"/>
      <c r="AH89" s="842" t="n"/>
      <c r="AI89" s="842" t="n"/>
      <c r="AJ89" s="842" t="n"/>
      <c r="AK89" s="842" t="n"/>
      <c r="AL89" s="841" t="n"/>
      <c r="AM89" s="727" t="n"/>
      <c r="AN89" s="773" t="n"/>
      <c r="AO89" s="722" t="n"/>
      <c r="AP89" s="842" t="n"/>
      <c r="AQ89" s="842" t="n"/>
      <c r="AR89" s="842" t="n"/>
      <c r="AS89" s="842" t="n"/>
      <c r="AT89" s="842" t="n"/>
      <c r="AU89" s="842" t="n"/>
      <c r="AV89" s="844">
        <f>'ДДС ФАКТ Апрель'!I28+'ДДС ФАКТ Апрель'!I30</f>
        <v/>
      </c>
      <c r="AW89" s="730" t="inlineStr">
        <is>
          <t>Произв. расх</t>
        </is>
      </c>
      <c r="AX89" s="242" t="n"/>
      <c r="AY89" s="722" t="n"/>
      <c r="AZ89" s="842" t="n"/>
      <c r="BA89" s="842" t="n"/>
      <c r="BB89" s="842" t="n"/>
      <c r="BC89" s="842" t="n"/>
      <c r="BD89" s="842" t="n"/>
      <c r="BE89" s="728">
        <f>BE64+BE43+BE44+BE51+BE65</f>
        <v/>
      </c>
      <c r="BF89" s="728">
        <f>BF51+BF50+BF70+BF71</f>
        <v/>
      </c>
      <c r="BG89" s="729">
        <f>BE89-BF89</f>
        <v/>
      </c>
    </row>
    <row r="90">
      <c r="A90" s="842" t="n"/>
      <c r="B90" s="842" t="n"/>
      <c r="C90" s="842" t="n"/>
      <c r="D90" s="842" t="n"/>
      <c r="E90" s="842" t="n"/>
      <c r="F90" s="842" t="n"/>
      <c r="G90" s="842" t="n"/>
      <c r="H90" s="842" t="n"/>
      <c r="I90" s="842" t="n"/>
      <c r="J90" s="841" t="n"/>
      <c r="K90" s="722" t="n"/>
      <c r="L90" s="842" t="n"/>
      <c r="M90" s="842" t="n"/>
      <c r="N90" s="842" t="n"/>
      <c r="O90" s="842" t="n"/>
      <c r="P90" s="842" t="n"/>
      <c r="Q90" s="842" t="n"/>
      <c r="R90" s="842" t="n"/>
      <c r="S90" s="730" t="inlineStr">
        <is>
          <t>ОС</t>
        </is>
      </c>
      <c r="T90" s="242" t="n"/>
      <c r="U90" s="842" t="n"/>
      <c r="V90" s="842" t="n"/>
      <c r="W90" s="842" t="n"/>
      <c r="X90" s="842" t="n"/>
      <c r="Y90" s="842" t="n"/>
      <c r="Z90" s="842" t="n"/>
      <c r="AA90" s="842" t="n"/>
      <c r="AB90" s="842" t="n"/>
      <c r="AC90" s="730" t="inlineStr">
        <is>
          <t>ОС</t>
        </is>
      </c>
      <c r="AD90" s="242" t="n"/>
      <c r="AE90" s="842" t="n"/>
      <c r="AF90" s="842" t="n"/>
      <c r="AG90" s="842" t="n"/>
      <c r="AH90" s="842" t="n"/>
      <c r="AI90" s="842" t="n"/>
      <c r="AJ90" s="842" t="n"/>
      <c r="AK90" s="842" t="n"/>
      <c r="AL90" s="841" t="n"/>
      <c r="AM90" s="727" t="n"/>
      <c r="AN90" s="773" t="n"/>
      <c r="AO90" s="722" t="n"/>
      <c r="AP90" s="842" t="n"/>
      <c r="AQ90" s="842" t="n"/>
      <c r="AR90" s="842" t="n"/>
      <c r="AS90" s="842" t="n"/>
      <c r="AT90" s="842" t="n"/>
      <c r="AU90" s="842" t="n"/>
      <c r="AV90" s="842" t="n"/>
      <c r="AW90" s="730" t="inlineStr">
        <is>
          <t>ОС</t>
        </is>
      </c>
      <c r="AX90" s="242" t="n"/>
      <c r="AY90" s="722" t="n"/>
      <c r="AZ90" s="842" t="n"/>
      <c r="BA90" s="842" t="n"/>
      <c r="BB90" s="842" t="n"/>
      <c r="BC90" s="842" t="n"/>
      <c r="BD90" s="842" t="n"/>
      <c r="BE90" s="728">
        <f>BE52+BE72</f>
        <v/>
      </c>
      <c r="BF90" s="728">
        <f>BF52+BF72</f>
        <v/>
      </c>
      <c r="BG90" s="729">
        <f>BE90-BF90</f>
        <v/>
      </c>
    </row>
    <row r="91">
      <c r="A91" s="772" t="n"/>
      <c r="B91" s="772" t="n"/>
      <c r="C91" s="772" t="n"/>
      <c r="D91" s="772" t="n"/>
      <c r="E91" s="772" t="n"/>
      <c r="F91" s="772" t="n"/>
      <c r="G91" s="772" t="n"/>
      <c r="H91" s="772" t="n"/>
      <c r="I91" s="772" t="n"/>
      <c r="J91" s="772" t="n"/>
      <c r="K91" s="772" t="n"/>
      <c r="L91" s="772" t="n"/>
      <c r="M91" s="772" t="n"/>
      <c r="N91" s="772" t="n"/>
      <c r="O91" s="772" t="n"/>
      <c r="P91" s="772" t="n"/>
      <c r="Q91" s="772" t="n"/>
      <c r="R91" s="772" t="n"/>
      <c r="S91" s="772" t="n"/>
      <c r="T91" s="772" t="n"/>
      <c r="U91" s="772" t="n"/>
      <c r="V91" s="772" t="n"/>
      <c r="W91" s="772" t="n"/>
      <c r="X91" s="772" t="n"/>
      <c r="Y91" s="772" t="n"/>
      <c r="Z91" s="772" t="n"/>
      <c r="AA91" s="772" t="n"/>
      <c r="AB91" s="772" t="n"/>
      <c r="AC91" s="772" t="n"/>
      <c r="AD91" s="772" t="n"/>
      <c r="AE91" s="772" t="n"/>
      <c r="AF91" s="772" t="n"/>
      <c r="AG91" s="772" t="n"/>
      <c r="AH91" s="772" t="n"/>
      <c r="AI91" s="772" t="n"/>
      <c r="AJ91" s="772" t="n"/>
      <c r="AK91" s="772" t="n"/>
      <c r="AL91" s="772" t="n"/>
      <c r="AM91" s="772" t="n"/>
      <c r="AN91" s="772" t="n"/>
      <c r="AO91" s="772" t="n"/>
      <c r="AP91" s="772" t="n"/>
      <c r="AQ91" s="772" t="n"/>
      <c r="AR91" s="772" t="n"/>
      <c r="AS91" s="772" t="n"/>
      <c r="AT91" s="772" t="n"/>
      <c r="AU91" s="772" t="n"/>
      <c r="AV91" s="772" t="n"/>
      <c r="AW91" s="772" t="n"/>
      <c r="AX91" s="772" t="n"/>
      <c r="AY91" s="772" t="n"/>
      <c r="AZ91" s="772" t="n"/>
      <c r="BA91" s="772" t="n"/>
      <c r="BB91" s="772" t="n"/>
      <c r="BC91" s="772" t="n"/>
      <c r="BD91" s="772" t="n"/>
      <c r="BE91" s="731" t="n"/>
      <c r="BF91" s="731" t="n"/>
      <c r="BG91" s="731" t="n"/>
    </row>
    <row r="92">
      <c r="A92" s="772" t="n"/>
      <c r="B92" s="772" t="n"/>
      <c r="C92" s="772" t="n"/>
      <c r="D92" s="772" t="n"/>
      <c r="E92" s="772" t="n"/>
      <c r="F92" s="772" t="n"/>
      <c r="G92" s="772" t="n"/>
      <c r="H92" s="772" t="n"/>
      <c r="I92" s="772" t="n"/>
      <c r="J92" s="772" t="n"/>
      <c r="K92" s="772" t="n"/>
      <c r="L92" s="772" t="n"/>
      <c r="M92" s="772" t="n"/>
      <c r="N92" s="772" t="n"/>
      <c r="O92" s="772" t="n"/>
      <c r="P92" s="772" t="n"/>
      <c r="Q92" s="772" t="n"/>
      <c r="R92" s="772" t="n"/>
      <c r="S92" s="772" t="n"/>
      <c r="T92" s="772" t="n"/>
      <c r="U92" s="772" t="n"/>
      <c r="V92" s="772" t="n"/>
      <c r="W92" s="772" t="n"/>
      <c r="X92" s="772" t="n"/>
      <c r="Y92" s="772" t="n"/>
      <c r="Z92" s="772" t="n"/>
      <c r="AA92" s="772" t="n"/>
      <c r="AB92" s="772" t="n"/>
      <c r="AC92" s="772" t="n"/>
      <c r="AD92" s="772" t="n"/>
      <c r="AE92" s="772" t="n"/>
      <c r="AF92" s="772" t="n"/>
      <c r="AG92" s="772" t="n"/>
      <c r="AH92" s="772" t="n"/>
      <c r="AI92" s="772" t="n"/>
      <c r="AJ92" s="772" t="n"/>
      <c r="AK92" s="772" t="n"/>
      <c r="AL92" s="772" t="n"/>
      <c r="AM92" s="772" t="n"/>
      <c r="AN92" s="772" t="n"/>
      <c r="AO92" s="772" t="n"/>
      <c r="AP92" s="772" t="n"/>
      <c r="AQ92" s="772" t="n"/>
      <c r="AR92" s="772" t="n"/>
      <c r="AS92" s="772" t="n"/>
      <c r="AT92" s="772" t="n"/>
      <c r="AU92" s="772" t="n"/>
      <c r="AV92" s="772" t="n"/>
      <c r="AW92" s="772" t="n"/>
      <c r="AX92" s="772" t="n"/>
      <c r="AY92" s="772" t="n"/>
      <c r="AZ92" s="772" t="n"/>
      <c r="BA92" s="772" t="n"/>
      <c r="BB92" s="772" t="n"/>
      <c r="BC92" s="772" t="n"/>
      <c r="BD92" s="772" t="n"/>
      <c r="BE92" s="731" t="n"/>
      <c r="BF92" s="731" t="n"/>
      <c r="BG92" s="731" t="n"/>
    </row>
    <row r="93">
      <c r="A93" s="772" t="n"/>
      <c r="B93" s="772" t="n"/>
      <c r="C93" s="772" t="n"/>
      <c r="D93" s="772" t="n"/>
      <c r="E93" s="772" t="n"/>
      <c r="F93" s="772" t="n"/>
      <c r="G93" s="772" t="n"/>
      <c r="H93" s="772" t="n"/>
      <c r="I93" s="772" t="n"/>
      <c r="J93" s="772" t="n"/>
      <c r="K93" s="772" t="n"/>
      <c r="L93" s="772" t="n"/>
      <c r="M93" s="772" t="n"/>
      <c r="N93" s="772" t="n"/>
      <c r="O93" s="772" t="n"/>
      <c r="P93" s="772" t="n"/>
      <c r="Q93" s="772" t="n"/>
      <c r="R93" s="772" t="n"/>
      <c r="S93" s="772" t="n"/>
      <c r="T93" s="772" t="n"/>
      <c r="U93" s="772" t="n"/>
      <c r="V93" s="772" t="n"/>
      <c r="W93" s="772" t="n"/>
      <c r="X93" s="772" t="n"/>
      <c r="Y93" s="772" t="n"/>
      <c r="Z93" s="772" t="n"/>
      <c r="AA93" s="772" t="n"/>
      <c r="AB93" s="772" t="n"/>
      <c r="AC93" s="772" t="n"/>
      <c r="AD93" s="772" t="n"/>
      <c r="AE93" s="772" t="n"/>
      <c r="AF93" s="772" t="n"/>
      <c r="AG93" s="772" t="n"/>
      <c r="AH93" s="772" t="n"/>
      <c r="AI93" s="772" t="n"/>
      <c r="AJ93" s="772" t="n"/>
      <c r="AK93" s="772" t="n"/>
      <c r="AL93" s="772" t="n"/>
      <c r="AM93" s="772" t="n"/>
      <c r="AN93" s="772" t="n"/>
      <c r="AO93" s="772" t="n"/>
      <c r="AP93" s="772" t="n"/>
      <c r="AQ93" s="772" t="n"/>
      <c r="AR93" s="772" t="n"/>
      <c r="AS93" s="772" t="n"/>
      <c r="AT93" s="772" t="n"/>
      <c r="AU93" s="772" t="n"/>
      <c r="AV93" s="772" t="n"/>
      <c r="AW93" s="772" t="n"/>
      <c r="AX93" s="772" t="n"/>
      <c r="AY93" s="772" t="n"/>
      <c r="AZ93" s="772" t="n"/>
      <c r="BA93" s="772" t="n"/>
      <c r="BB93" s="772" t="n"/>
      <c r="BC93" s="772" t="n"/>
      <c r="BD93" s="772" t="n"/>
      <c r="BE93" s="731" t="n"/>
      <c r="BF93" s="731" t="n"/>
      <c r="BG93" s="731" t="n"/>
    </row>
    <row r="94">
      <c r="A94" s="772" t="n"/>
      <c r="B94" s="772" t="n"/>
      <c r="C94" s="772" t="n"/>
      <c r="D94" s="772" t="n"/>
      <c r="E94" s="772" t="n"/>
      <c r="F94" s="772" t="n"/>
      <c r="G94" s="772" t="n"/>
      <c r="H94" s="772" t="n"/>
      <c r="I94" s="772" t="n"/>
      <c r="J94" s="772" t="n"/>
      <c r="K94" s="772" t="n"/>
      <c r="L94" s="772" t="n"/>
      <c r="M94" s="772" t="n"/>
      <c r="N94" s="772" t="n"/>
      <c r="O94" s="772" t="n"/>
      <c r="P94" s="772" t="n"/>
      <c r="Q94" s="772" t="n"/>
      <c r="R94" s="772" t="n"/>
      <c r="S94" s="772" t="n"/>
      <c r="T94" s="772" t="n"/>
      <c r="U94" s="772" t="n"/>
      <c r="V94" s="772" t="n"/>
      <c r="W94" s="772" t="n"/>
      <c r="X94" s="772" t="n"/>
      <c r="Y94" s="772" t="n"/>
      <c r="Z94" s="772" t="n"/>
      <c r="AA94" s="772" t="n"/>
      <c r="AB94" s="772" t="n"/>
      <c r="AC94" s="772" t="n"/>
      <c r="AD94" s="772" t="n"/>
      <c r="AE94" s="772" t="n"/>
      <c r="AF94" s="772" t="n"/>
      <c r="AG94" s="772" t="n"/>
      <c r="AH94" s="772" t="n"/>
      <c r="AI94" s="772" t="n"/>
      <c r="AJ94" s="772" t="n"/>
      <c r="AK94" s="772" t="n"/>
      <c r="AL94" s="772" t="n"/>
      <c r="AM94" s="772" t="n"/>
      <c r="AN94" s="772" t="n"/>
      <c r="AO94" s="772" t="n"/>
      <c r="AP94" s="772" t="n"/>
      <c r="AQ94" s="772" t="n"/>
      <c r="AR94" s="772" t="n"/>
      <c r="AS94" s="772" t="n"/>
      <c r="AT94" s="772" t="n"/>
      <c r="AU94" s="772" t="n"/>
      <c r="AV94" s="772" t="n"/>
      <c r="AW94" s="772" t="n"/>
      <c r="AX94" s="772" t="n"/>
      <c r="AY94" s="772" t="n"/>
      <c r="AZ94" s="772" t="n"/>
      <c r="BA94" s="772" t="n"/>
      <c r="BB94" s="772" t="n"/>
      <c r="BC94" s="772" t="n"/>
      <c r="BD94" s="772" t="n"/>
      <c r="BE94" s="731" t="n"/>
      <c r="BF94" s="731" t="n"/>
      <c r="BG94" s="731" t="n"/>
    </row>
    <row r="95">
      <c r="A95" s="772" t="n"/>
      <c r="B95" s="772" t="n"/>
      <c r="C95" s="772" t="n"/>
      <c r="D95" s="772" t="n"/>
      <c r="E95" s="772" t="n"/>
      <c r="F95" s="772" t="n"/>
      <c r="G95" s="772" t="n"/>
      <c r="H95" s="772" t="n"/>
      <c r="I95" s="772" t="n"/>
      <c r="J95" s="772" t="n"/>
      <c r="K95" s="772" t="n"/>
      <c r="L95" s="772" t="n"/>
      <c r="M95" s="772" t="n"/>
      <c r="N95" s="772" t="n"/>
      <c r="O95" s="772" t="n"/>
      <c r="P95" s="772" t="n"/>
      <c r="Q95" s="772" t="n"/>
      <c r="R95" s="772" t="n"/>
      <c r="S95" s="772" t="n"/>
      <c r="T95" s="772" t="n"/>
      <c r="U95" s="772" t="n"/>
      <c r="V95" s="772" t="n"/>
      <c r="W95" s="772" t="n"/>
      <c r="X95" s="772" t="n"/>
      <c r="Y95" s="772" t="n"/>
      <c r="Z95" s="772" t="n"/>
      <c r="AA95" s="772" t="n"/>
      <c r="AB95" s="772" t="n"/>
      <c r="AC95" s="772" t="n"/>
      <c r="AD95" s="772" t="n"/>
      <c r="AE95" s="772" t="n"/>
      <c r="AF95" s="772" t="n"/>
      <c r="AG95" s="772" t="n"/>
      <c r="AH95" s="772" t="n"/>
      <c r="AI95" s="772" t="n"/>
      <c r="AJ95" s="772" t="n"/>
      <c r="AK95" s="772" t="n"/>
      <c r="AL95" s="772" t="n"/>
      <c r="AM95" s="772" t="n"/>
      <c r="AN95" s="772" t="n"/>
      <c r="AO95" s="772" t="n"/>
      <c r="AP95" s="772" t="n"/>
      <c r="AQ95" s="772" t="n"/>
      <c r="AR95" s="772" t="n"/>
      <c r="AS95" s="772" t="n"/>
      <c r="AT95" s="772" t="n"/>
      <c r="AU95" s="772" t="n"/>
      <c r="AV95" s="772" t="n"/>
      <c r="AW95" s="772" t="n"/>
      <c r="AX95" s="772" t="n"/>
      <c r="AY95" s="772" t="n"/>
      <c r="AZ95" s="772" t="n"/>
      <c r="BA95" s="772" t="n"/>
      <c r="BB95" s="772" t="n"/>
      <c r="BC95" s="772" t="n"/>
      <c r="BD95" s="772" t="n"/>
      <c r="BE95" s="731" t="n"/>
      <c r="BF95" s="731" t="n"/>
      <c r="BG95" s="731" t="n"/>
    </row>
    <row r="96">
      <c r="A96" s="772" t="n"/>
      <c r="B96" s="772" t="n"/>
      <c r="C96" s="772" t="n"/>
      <c r="D96" s="772" t="n"/>
      <c r="E96" s="772" t="n"/>
      <c r="F96" s="772" t="n"/>
      <c r="G96" s="772" t="n"/>
      <c r="H96" s="772" t="n"/>
      <c r="I96" s="772" t="n"/>
      <c r="J96" s="772" t="n"/>
      <c r="K96" s="772" t="n"/>
      <c r="L96" s="772" t="n"/>
      <c r="M96" s="772" t="n"/>
      <c r="N96" s="772" t="n"/>
      <c r="O96" s="772" t="n"/>
      <c r="P96" s="772" t="n"/>
      <c r="Q96" s="772" t="n"/>
      <c r="R96" s="772" t="n"/>
      <c r="S96" s="772" t="n"/>
      <c r="T96" s="772" t="n"/>
      <c r="U96" s="772" t="n"/>
      <c r="V96" s="772" t="n"/>
      <c r="W96" s="772" t="n"/>
      <c r="X96" s="772" t="n"/>
      <c r="Y96" s="772" t="n"/>
      <c r="Z96" s="772" t="n"/>
      <c r="AA96" s="772" t="n"/>
      <c r="AB96" s="772" t="n"/>
      <c r="AC96" s="772" t="n"/>
      <c r="AD96" s="772" t="n"/>
      <c r="AE96" s="772" t="n"/>
      <c r="AF96" s="772" t="n"/>
      <c r="AG96" s="772" t="n"/>
      <c r="AH96" s="772" t="n"/>
      <c r="AI96" s="772" t="n"/>
      <c r="AJ96" s="772" t="n"/>
      <c r="AK96" s="772" t="n"/>
      <c r="AL96" s="772" t="n"/>
      <c r="AM96" s="772" t="n"/>
      <c r="AN96" s="772" t="n"/>
      <c r="AO96" s="772" t="n"/>
      <c r="AP96" s="772" t="n"/>
      <c r="AQ96" s="772" t="n"/>
      <c r="AR96" s="772" t="n"/>
      <c r="AS96" s="772" t="n"/>
      <c r="AT96" s="772" t="n"/>
      <c r="AU96" s="772" t="n"/>
      <c r="AV96" s="772" t="n"/>
      <c r="AW96" s="772" t="n"/>
      <c r="AX96" s="772" t="n"/>
      <c r="AY96" s="772" t="n"/>
      <c r="AZ96" s="772" t="n"/>
      <c r="BA96" s="772" t="n"/>
      <c r="BB96" s="772" t="n"/>
      <c r="BC96" s="772" t="n"/>
      <c r="BD96" s="772" t="n"/>
      <c r="BE96" s="731" t="n"/>
      <c r="BF96" s="731" t="n"/>
      <c r="BG96" s="731" t="n"/>
    </row>
    <row r="97">
      <c r="A97" s="772" t="n"/>
      <c r="B97" s="772" t="n"/>
      <c r="C97" s="772" t="n"/>
      <c r="D97" s="772" t="n"/>
      <c r="E97" s="772" t="n"/>
      <c r="F97" s="772" t="n"/>
      <c r="G97" s="772" t="n"/>
      <c r="H97" s="772" t="n"/>
      <c r="I97" s="772" t="n"/>
      <c r="J97" s="772" t="n"/>
      <c r="K97" s="772" t="n"/>
      <c r="L97" s="772" t="n"/>
      <c r="M97" s="772" t="n"/>
      <c r="N97" s="772" t="n"/>
      <c r="O97" s="772" t="n"/>
      <c r="P97" s="772" t="n"/>
      <c r="Q97" s="772" t="n"/>
      <c r="R97" s="772" t="n"/>
      <c r="S97" s="772" t="n"/>
      <c r="T97" s="772" t="n"/>
      <c r="U97" s="772" t="n"/>
      <c r="V97" s="772" t="n"/>
      <c r="W97" s="772" t="n"/>
      <c r="X97" s="772" t="n"/>
      <c r="Y97" s="772" t="n"/>
      <c r="Z97" s="772" t="n"/>
      <c r="AA97" s="772" t="n"/>
      <c r="AB97" s="772" t="n"/>
      <c r="AC97" s="772" t="n"/>
      <c r="AD97" s="772" t="n"/>
      <c r="AE97" s="772" t="n"/>
      <c r="AF97" s="772" t="n"/>
      <c r="AG97" s="772" t="n"/>
      <c r="AH97" s="772" t="n"/>
      <c r="AI97" s="772" t="n"/>
      <c r="AJ97" s="772" t="n"/>
      <c r="AK97" s="772" t="n"/>
      <c r="AL97" s="772" t="n"/>
      <c r="AM97" s="772" t="n"/>
      <c r="AN97" s="772" t="n"/>
      <c r="AO97" s="772" t="n"/>
      <c r="AP97" s="772" t="n"/>
      <c r="AQ97" s="772" t="n"/>
      <c r="AR97" s="772" t="n"/>
      <c r="AS97" s="772" t="n"/>
      <c r="AT97" s="772" t="n"/>
      <c r="AU97" s="772" t="n"/>
      <c r="AV97" s="772" t="n"/>
      <c r="AW97" s="772" t="n"/>
      <c r="AX97" s="772" t="n"/>
      <c r="AY97" s="772" t="n"/>
      <c r="AZ97" s="772" t="n"/>
      <c r="BA97" s="772" t="n"/>
      <c r="BB97" s="772" t="n"/>
      <c r="BC97" s="772" t="n"/>
      <c r="BD97" s="772" t="n"/>
      <c r="BE97" s="731" t="n"/>
      <c r="BF97" s="731" t="n"/>
      <c r="BG97" s="731" t="n"/>
    </row>
    <row r="98">
      <c r="A98" s="772" t="n"/>
      <c r="B98" s="772" t="n"/>
      <c r="C98" s="772" t="n"/>
      <c r="D98" s="772" t="n"/>
      <c r="E98" s="772" t="n"/>
      <c r="F98" s="772" t="n"/>
      <c r="G98" s="772" t="n"/>
      <c r="H98" s="772" t="n"/>
      <c r="I98" s="772" t="n"/>
      <c r="J98" s="772" t="n"/>
      <c r="K98" s="772" t="n"/>
      <c r="L98" s="772" t="n"/>
      <c r="M98" s="772" t="n"/>
      <c r="N98" s="772" t="n"/>
      <c r="O98" s="772" t="n"/>
      <c r="P98" s="772" t="n"/>
      <c r="Q98" s="772" t="n"/>
      <c r="R98" s="772" t="n"/>
      <c r="S98" s="772" t="n"/>
      <c r="T98" s="772" t="n"/>
      <c r="U98" s="772" t="n"/>
      <c r="V98" s="772" t="n"/>
      <c r="W98" s="772" t="n"/>
      <c r="X98" s="772" t="n"/>
      <c r="Y98" s="772" t="n"/>
      <c r="Z98" s="772" t="n"/>
      <c r="AA98" s="772" t="n"/>
      <c r="AB98" s="772" t="n"/>
      <c r="AC98" s="772" t="n"/>
      <c r="AD98" s="772" t="n"/>
      <c r="AE98" s="772" t="n"/>
      <c r="AF98" s="772" t="n"/>
      <c r="AG98" s="772" t="n"/>
      <c r="AH98" s="772" t="n"/>
      <c r="AI98" s="772" t="n"/>
      <c r="AJ98" s="772" t="n"/>
      <c r="AK98" s="772" t="n"/>
      <c r="AL98" s="772" t="n"/>
      <c r="AM98" s="772" t="n"/>
      <c r="AN98" s="772" t="n"/>
      <c r="AO98" s="772" t="n"/>
      <c r="AP98" s="772" t="n"/>
      <c r="AQ98" s="772" t="n"/>
      <c r="AR98" s="772" t="n"/>
      <c r="AS98" s="772" t="n"/>
      <c r="AT98" s="772" t="n"/>
      <c r="AU98" s="772" t="n"/>
      <c r="AV98" s="772" t="n"/>
      <c r="AW98" s="772" t="n"/>
      <c r="AX98" s="772" t="n"/>
      <c r="AY98" s="772" t="n"/>
      <c r="AZ98" s="772" t="n"/>
      <c r="BA98" s="772" t="n"/>
      <c r="BB98" s="772" t="n"/>
      <c r="BC98" s="772" t="n"/>
      <c r="BD98" s="772" t="n"/>
      <c r="BE98" s="731" t="n"/>
      <c r="BF98" s="731" t="n"/>
      <c r="BG98" s="731" t="n"/>
    </row>
    <row r="99">
      <c r="A99" s="772" t="n"/>
      <c r="B99" s="772" t="n"/>
      <c r="C99" s="772" t="n"/>
      <c r="D99" s="772" t="n"/>
      <c r="E99" s="772" t="n"/>
      <c r="F99" s="772" t="n"/>
      <c r="G99" s="772" t="n"/>
      <c r="H99" s="772" t="n"/>
      <c r="I99" s="772" t="n"/>
      <c r="J99" s="772" t="n"/>
      <c r="K99" s="772" t="n"/>
      <c r="L99" s="772" t="n"/>
      <c r="M99" s="772" t="n"/>
      <c r="N99" s="772" t="n"/>
      <c r="O99" s="772" t="n"/>
      <c r="P99" s="772" t="n"/>
      <c r="Q99" s="772" t="n"/>
      <c r="R99" s="772" t="n"/>
      <c r="S99" s="772" t="n"/>
      <c r="T99" s="772" t="n"/>
      <c r="U99" s="772" t="n"/>
      <c r="V99" s="772" t="n"/>
      <c r="W99" s="772" t="n"/>
      <c r="X99" s="772" t="n"/>
      <c r="Y99" s="772" t="n"/>
      <c r="Z99" s="772" t="n"/>
      <c r="AA99" s="772" t="n"/>
      <c r="AB99" s="772" t="n"/>
      <c r="AC99" s="772" t="n"/>
      <c r="AD99" s="772" t="n"/>
      <c r="AE99" s="772" t="n"/>
      <c r="AF99" s="772" t="n"/>
      <c r="AG99" s="772" t="n"/>
      <c r="AH99" s="772" t="n"/>
      <c r="AI99" s="772" t="n"/>
      <c r="AJ99" s="772" t="n"/>
      <c r="AK99" s="772" t="n"/>
      <c r="AL99" s="772" t="n"/>
      <c r="AM99" s="772" t="n"/>
      <c r="AN99" s="772" t="n"/>
      <c r="AO99" s="772" t="n"/>
      <c r="AP99" s="772" t="n"/>
      <c r="AQ99" s="772" t="n"/>
      <c r="AR99" s="772" t="n"/>
      <c r="AS99" s="772" t="n"/>
      <c r="AT99" s="772" t="n"/>
      <c r="AU99" s="772" t="n"/>
      <c r="AV99" s="772" t="n"/>
      <c r="AW99" s="772" t="n"/>
      <c r="AX99" s="772" t="n"/>
      <c r="AY99" s="772" t="n"/>
      <c r="AZ99" s="772" t="n"/>
      <c r="BA99" s="772" t="n"/>
      <c r="BB99" s="772" t="n"/>
      <c r="BC99" s="772" t="n"/>
      <c r="BD99" s="772" t="n"/>
      <c r="BE99" s="731" t="n"/>
      <c r="BF99" s="731" t="n"/>
      <c r="BG99" s="731" t="n"/>
    </row>
    <row r="100">
      <c r="A100" s="772" t="n"/>
      <c r="B100" s="772" t="n"/>
      <c r="C100" s="772" t="n"/>
      <c r="D100" s="772" t="n"/>
      <c r="E100" s="772" t="n"/>
      <c r="F100" s="772" t="n"/>
      <c r="G100" s="772" t="n"/>
      <c r="H100" s="772" t="n"/>
      <c r="I100" s="772" t="n"/>
      <c r="J100" s="772" t="n"/>
      <c r="K100" s="772" t="n"/>
      <c r="L100" s="772" t="n"/>
      <c r="M100" s="772" t="n"/>
      <c r="N100" s="772" t="n"/>
      <c r="O100" s="772" t="n"/>
      <c r="P100" s="772" t="n"/>
      <c r="Q100" s="772" t="n"/>
      <c r="R100" s="772" t="n"/>
      <c r="S100" s="772" t="n"/>
      <c r="T100" s="772" t="n"/>
      <c r="U100" s="772" t="n"/>
      <c r="V100" s="772" t="n"/>
      <c r="W100" s="772" t="n"/>
      <c r="X100" s="772" t="n"/>
      <c r="Y100" s="772" t="n"/>
      <c r="Z100" s="772" t="n"/>
      <c r="AA100" s="772" t="n"/>
      <c r="AB100" s="772" t="n"/>
      <c r="AC100" s="772" t="n"/>
      <c r="AD100" s="772" t="n"/>
      <c r="AE100" s="772" t="n"/>
      <c r="AF100" s="772" t="n"/>
      <c r="AG100" s="772" t="n"/>
      <c r="AH100" s="772" t="n"/>
      <c r="AI100" s="772" t="n"/>
      <c r="AJ100" s="772" t="n"/>
      <c r="AK100" s="772" t="n"/>
      <c r="AL100" s="772" t="n"/>
      <c r="AM100" s="772" t="n"/>
      <c r="AN100" s="772" t="n"/>
      <c r="AO100" s="772" t="n"/>
      <c r="AP100" s="772" t="n"/>
      <c r="AQ100" s="772" t="n"/>
      <c r="AR100" s="772" t="n"/>
      <c r="AS100" s="772" t="n"/>
      <c r="AT100" s="772" t="n"/>
      <c r="AU100" s="772" t="n"/>
      <c r="AV100" s="772" t="n"/>
      <c r="AW100" s="772" t="n"/>
      <c r="AX100" s="772" t="n"/>
      <c r="AY100" s="772" t="n"/>
      <c r="AZ100" s="772" t="n"/>
      <c r="BA100" s="772" t="n"/>
      <c r="BB100" s="772" t="n"/>
      <c r="BC100" s="772" t="n"/>
      <c r="BD100" s="772" t="n"/>
      <c r="BE100" s="731" t="n"/>
      <c r="BF100" s="731" t="n"/>
      <c r="BG100" s="731" t="n"/>
    </row>
    <row r="101">
      <c r="A101" s="772" t="n"/>
      <c r="B101" s="772" t="n"/>
      <c r="C101" s="772" t="n"/>
      <c r="D101" s="772" t="n"/>
      <c r="E101" s="772" t="n"/>
      <c r="F101" s="772" t="n"/>
      <c r="G101" s="772" t="n"/>
      <c r="H101" s="772" t="n"/>
      <c r="I101" s="772" t="n"/>
      <c r="J101" s="772" t="n"/>
      <c r="K101" s="772" t="n"/>
      <c r="L101" s="772" t="n"/>
      <c r="M101" s="772" t="n"/>
      <c r="N101" s="772" t="n"/>
      <c r="O101" s="772" t="n"/>
      <c r="P101" s="772" t="n"/>
      <c r="Q101" s="772" t="n"/>
      <c r="R101" s="772" t="n"/>
      <c r="S101" s="772" t="n"/>
      <c r="T101" s="772" t="n"/>
      <c r="U101" s="772" t="n"/>
      <c r="V101" s="772" t="n"/>
      <c r="W101" s="772" t="n"/>
      <c r="X101" s="772" t="n"/>
      <c r="Y101" s="772" t="n"/>
      <c r="Z101" s="772" t="n"/>
      <c r="AA101" s="772" t="n"/>
      <c r="AB101" s="772" t="n"/>
      <c r="AC101" s="772" t="n"/>
      <c r="AD101" s="772" t="n"/>
      <c r="AE101" s="772" t="n"/>
      <c r="AF101" s="772" t="n"/>
      <c r="AG101" s="772" t="n"/>
      <c r="AH101" s="772" t="n"/>
      <c r="AI101" s="772" t="n"/>
      <c r="AJ101" s="772" t="n"/>
      <c r="AK101" s="772" t="n"/>
      <c r="AL101" s="772" t="n"/>
      <c r="AM101" s="772" t="n"/>
      <c r="AN101" s="772" t="n"/>
      <c r="AO101" s="772" t="n"/>
      <c r="AP101" s="772" t="n"/>
      <c r="AQ101" s="772" t="n"/>
      <c r="AR101" s="772" t="n"/>
      <c r="AS101" s="772" t="n"/>
      <c r="AT101" s="772" t="n"/>
      <c r="AU101" s="772" t="n"/>
      <c r="AV101" s="772" t="n"/>
      <c r="AW101" s="772" t="n"/>
      <c r="AX101" s="772" t="n"/>
      <c r="AY101" s="772" t="n"/>
      <c r="AZ101" s="772" t="n"/>
      <c r="BA101" s="772" t="n"/>
      <c r="BB101" s="772" t="n"/>
      <c r="BC101" s="772" t="n"/>
      <c r="BD101" s="772" t="n"/>
      <c r="BE101" s="731" t="n"/>
      <c r="BF101" s="731" t="n"/>
      <c r="BG101" s="731" t="n"/>
    </row>
    <row r="102">
      <c r="A102" s="772" t="n"/>
      <c r="B102" s="772" t="n"/>
      <c r="C102" s="772" t="n"/>
      <c r="D102" s="772" t="n"/>
      <c r="E102" s="772" t="n"/>
      <c r="F102" s="772" t="n"/>
      <c r="G102" s="772" t="n"/>
      <c r="H102" s="772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2" t="n"/>
      <c r="W102" s="772" t="n"/>
      <c r="X102" s="772" t="n"/>
      <c r="Y102" s="772" t="n"/>
      <c r="Z102" s="772" t="n"/>
      <c r="AA102" s="772" t="n"/>
      <c r="AB102" s="772" t="n"/>
      <c r="AC102" s="772" t="n"/>
      <c r="AD102" s="772" t="n"/>
      <c r="AE102" s="772" t="n"/>
      <c r="AF102" s="772" t="n"/>
      <c r="AG102" s="772" t="n"/>
      <c r="AH102" s="772" t="n"/>
      <c r="AI102" s="772" t="n"/>
      <c r="AJ102" s="772" t="n"/>
      <c r="AK102" s="772" t="n"/>
      <c r="AL102" s="772" t="n"/>
      <c r="AM102" s="772" t="n"/>
      <c r="AN102" s="772" t="n"/>
      <c r="AO102" s="772" t="n"/>
      <c r="AP102" s="772" t="n"/>
      <c r="AQ102" s="772" t="n"/>
      <c r="AR102" s="772" t="n"/>
      <c r="AS102" s="772" t="n"/>
      <c r="AT102" s="772" t="n"/>
      <c r="AU102" s="772" t="n"/>
      <c r="AV102" s="772" t="n"/>
      <c r="AW102" s="772" t="n"/>
      <c r="AX102" s="772" t="n"/>
      <c r="AY102" s="772" t="n"/>
      <c r="AZ102" s="772" t="n"/>
      <c r="BA102" s="772" t="n"/>
      <c r="BB102" s="772" t="n"/>
      <c r="BC102" s="772" t="n"/>
      <c r="BD102" s="772" t="n"/>
      <c r="BE102" s="731" t="n"/>
      <c r="BF102" s="731" t="n"/>
      <c r="BG102" s="731" t="n"/>
    </row>
    <row r="103">
      <c r="A103" s="772" t="n"/>
      <c r="B103" s="772" t="n"/>
      <c r="C103" s="772" t="n"/>
      <c r="D103" s="772" t="n"/>
      <c r="E103" s="772" t="n"/>
      <c r="F103" s="772" t="n"/>
      <c r="G103" s="772" t="n"/>
      <c r="H103" s="772" t="n"/>
      <c r="I103" s="772" t="n"/>
      <c r="J103" s="772" t="n"/>
      <c r="K103" s="772" t="n"/>
      <c r="L103" s="772" t="n"/>
      <c r="M103" s="772" t="n"/>
      <c r="N103" s="772" t="n"/>
      <c r="O103" s="772" t="n"/>
      <c r="P103" s="772" t="n"/>
      <c r="Q103" s="772" t="n"/>
      <c r="R103" s="772" t="n"/>
      <c r="S103" s="772" t="n"/>
      <c r="T103" s="772" t="n"/>
      <c r="U103" s="772" t="n"/>
      <c r="V103" s="772" t="n"/>
      <c r="W103" s="772" t="n"/>
      <c r="X103" s="772" t="n"/>
      <c r="Y103" s="772" t="n"/>
      <c r="Z103" s="772" t="n"/>
      <c r="AA103" s="772" t="n"/>
      <c r="AB103" s="772" t="n"/>
      <c r="AC103" s="772" t="n"/>
      <c r="AD103" s="772" t="n"/>
      <c r="AE103" s="772" t="n"/>
      <c r="AF103" s="772" t="n"/>
      <c r="AG103" s="772" t="n"/>
      <c r="AH103" s="772" t="n"/>
      <c r="AI103" s="772" t="n"/>
      <c r="AJ103" s="772" t="n"/>
      <c r="AK103" s="772" t="n"/>
      <c r="AL103" s="772" t="n"/>
      <c r="AM103" s="772" t="n"/>
      <c r="AN103" s="772" t="n"/>
      <c r="AO103" s="772" t="n"/>
      <c r="AP103" s="772" t="n"/>
      <c r="AQ103" s="772" t="n"/>
      <c r="AR103" s="772" t="n"/>
      <c r="AS103" s="772" t="n"/>
      <c r="AT103" s="772" t="n"/>
      <c r="AU103" s="772" t="n"/>
      <c r="AV103" s="772" t="n"/>
      <c r="AW103" s="772" t="n"/>
      <c r="AX103" s="772" t="n"/>
      <c r="AY103" s="772" t="n"/>
      <c r="AZ103" s="772" t="n"/>
      <c r="BA103" s="772" t="n"/>
      <c r="BB103" s="772" t="n"/>
      <c r="BC103" s="772" t="n"/>
      <c r="BD103" s="772" t="n"/>
      <c r="BE103" s="731" t="n"/>
      <c r="BF103" s="731" t="n"/>
      <c r="BG103" s="731" t="n"/>
    </row>
    <row r="104">
      <c r="A104" s="772" t="n"/>
      <c r="B104" s="772" t="n"/>
      <c r="C104" s="772" t="n"/>
      <c r="D104" s="772" t="n"/>
      <c r="E104" s="772" t="n"/>
      <c r="F104" s="772" t="n"/>
      <c r="G104" s="772" t="n"/>
      <c r="H104" s="772" t="n"/>
      <c r="I104" s="772" t="n"/>
      <c r="J104" s="772" t="n"/>
      <c r="K104" s="772" t="n"/>
      <c r="L104" s="772" t="n"/>
      <c r="M104" s="772" t="n"/>
      <c r="N104" s="772" t="n"/>
      <c r="O104" s="772" t="n"/>
      <c r="P104" s="772" t="n"/>
      <c r="Q104" s="772" t="n"/>
      <c r="R104" s="772" t="n"/>
      <c r="S104" s="772" t="n"/>
      <c r="T104" s="772" t="n"/>
      <c r="U104" s="772" t="n"/>
      <c r="V104" s="772" t="n"/>
      <c r="W104" s="772" t="n"/>
      <c r="X104" s="772" t="n"/>
      <c r="Y104" s="772" t="n"/>
      <c r="Z104" s="772" t="n"/>
      <c r="AA104" s="772" t="n"/>
      <c r="AB104" s="772" t="n"/>
      <c r="AC104" s="772" t="n"/>
      <c r="AD104" s="772" t="n"/>
      <c r="AE104" s="772" t="n"/>
      <c r="AF104" s="772" t="n"/>
      <c r="AG104" s="772" t="n"/>
      <c r="AH104" s="772" t="n"/>
      <c r="AI104" s="772" t="n"/>
      <c r="AJ104" s="772" t="n"/>
      <c r="AK104" s="772" t="n"/>
      <c r="AL104" s="772" t="n"/>
      <c r="AM104" s="772" t="n"/>
      <c r="AN104" s="772" t="n"/>
      <c r="AO104" s="772" t="n"/>
      <c r="AP104" s="772" t="n"/>
      <c r="AQ104" s="772" t="n"/>
      <c r="AR104" s="772" t="n"/>
      <c r="AS104" s="772" t="n"/>
      <c r="AT104" s="772" t="n"/>
      <c r="AU104" s="772" t="n"/>
      <c r="AV104" s="772" t="n"/>
      <c r="AW104" s="772" t="n"/>
      <c r="AX104" s="772" t="n"/>
      <c r="AY104" s="772" t="n"/>
      <c r="AZ104" s="772" t="n"/>
      <c r="BA104" s="772" t="n"/>
      <c r="BB104" s="772" t="n"/>
      <c r="BC104" s="772" t="n"/>
      <c r="BD104" s="772" t="n"/>
      <c r="BE104" s="731" t="n"/>
      <c r="BF104" s="731" t="n"/>
      <c r="BG104" s="731" t="n"/>
    </row>
    <row r="105">
      <c r="A105" s="772" t="n"/>
      <c r="B105" s="772" t="n"/>
      <c r="C105" s="772" t="n"/>
      <c r="D105" s="772" t="n"/>
      <c r="E105" s="772" t="n"/>
      <c r="F105" s="772" t="n"/>
      <c r="G105" s="772" t="n"/>
      <c r="H105" s="772" t="n"/>
      <c r="I105" s="772" t="n"/>
      <c r="J105" s="772" t="n"/>
      <c r="K105" s="772" t="n"/>
      <c r="L105" s="772" t="n"/>
      <c r="M105" s="772" t="n"/>
      <c r="N105" s="772" t="n"/>
      <c r="O105" s="772" t="n"/>
      <c r="P105" s="772" t="n"/>
      <c r="Q105" s="772" t="n"/>
      <c r="R105" s="772" t="n"/>
      <c r="S105" s="772" t="n"/>
      <c r="T105" s="772" t="n"/>
      <c r="U105" s="772" t="n"/>
      <c r="V105" s="772" t="n"/>
      <c r="W105" s="772" t="n"/>
      <c r="X105" s="772" t="n"/>
      <c r="Y105" s="772" t="n"/>
      <c r="Z105" s="772" t="n"/>
      <c r="AA105" s="772" t="n"/>
      <c r="AB105" s="772" t="n"/>
      <c r="AC105" s="772" t="n"/>
      <c r="AD105" s="772" t="n"/>
      <c r="AE105" s="772" t="n"/>
      <c r="AF105" s="772" t="n"/>
      <c r="AG105" s="772" t="n"/>
      <c r="AH105" s="772" t="n"/>
      <c r="AI105" s="772" t="n"/>
      <c r="AJ105" s="772" t="n"/>
      <c r="AK105" s="772" t="n"/>
      <c r="AL105" s="772" t="n"/>
      <c r="AM105" s="772" t="n"/>
      <c r="AN105" s="772" t="n"/>
      <c r="AO105" s="772" t="n"/>
      <c r="AP105" s="772" t="n"/>
      <c r="AQ105" s="772" t="n"/>
      <c r="AR105" s="772" t="n"/>
      <c r="AS105" s="772" t="n"/>
      <c r="AT105" s="772" t="n"/>
      <c r="AU105" s="772" t="n"/>
      <c r="AV105" s="772" t="n"/>
      <c r="AW105" s="772" t="n"/>
      <c r="AX105" s="772" t="n"/>
      <c r="AY105" s="772" t="n"/>
      <c r="AZ105" s="772" t="n"/>
      <c r="BA105" s="772" t="n"/>
      <c r="BB105" s="772" t="n"/>
      <c r="BC105" s="772" t="n"/>
      <c r="BD105" s="772" t="n"/>
      <c r="BE105" s="731" t="n"/>
      <c r="BF105" s="731" t="n"/>
      <c r="BG105" s="731" t="n"/>
    </row>
    <row r="106">
      <c r="A106" s="772" t="n"/>
      <c r="B106" s="772" t="n"/>
      <c r="C106" s="772" t="n"/>
      <c r="D106" s="772" t="n"/>
      <c r="E106" s="772" t="n"/>
      <c r="F106" s="772" t="n"/>
      <c r="G106" s="772" t="n"/>
      <c r="H106" s="772" t="n"/>
      <c r="I106" s="772" t="n"/>
      <c r="J106" s="772" t="n"/>
      <c r="K106" s="772" t="n"/>
      <c r="L106" s="772" t="n"/>
      <c r="M106" s="772" t="n"/>
      <c r="N106" s="772" t="n"/>
      <c r="O106" s="772" t="n"/>
      <c r="P106" s="772" t="n"/>
      <c r="Q106" s="772" t="n"/>
      <c r="R106" s="772" t="n"/>
      <c r="S106" s="772" t="n"/>
      <c r="T106" s="772" t="n"/>
      <c r="U106" s="772" t="n"/>
      <c r="V106" s="772" t="n"/>
      <c r="W106" s="772" t="n"/>
      <c r="X106" s="772" t="n"/>
      <c r="Y106" s="772" t="n"/>
      <c r="Z106" s="772" t="n"/>
      <c r="AA106" s="772" t="n"/>
      <c r="AB106" s="772" t="n"/>
      <c r="AC106" s="772" t="n"/>
      <c r="AD106" s="772" t="n"/>
      <c r="AE106" s="772" t="n"/>
      <c r="AF106" s="772" t="n"/>
      <c r="AG106" s="772" t="n"/>
      <c r="AH106" s="772" t="n"/>
      <c r="AI106" s="772" t="n"/>
      <c r="AJ106" s="772" t="n"/>
      <c r="AK106" s="772" t="n"/>
      <c r="AL106" s="772" t="n"/>
      <c r="AM106" s="772" t="n"/>
      <c r="AN106" s="772" t="n"/>
      <c r="AO106" s="772" t="n"/>
      <c r="AP106" s="772" t="n"/>
      <c r="AQ106" s="772" t="n"/>
      <c r="AR106" s="772" t="n"/>
      <c r="AS106" s="772" t="n"/>
      <c r="AT106" s="772" t="n"/>
      <c r="AU106" s="772" t="n"/>
      <c r="AV106" s="772" t="n"/>
      <c r="AW106" s="772" t="n"/>
      <c r="AX106" s="772" t="n"/>
      <c r="AY106" s="772" t="n"/>
      <c r="AZ106" s="772" t="n"/>
      <c r="BA106" s="772" t="n"/>
      <c r="BB106" s="772" t="n"/>
      <c r="BC106" s="772" t="n"/>
      <c r="BD106" s="772" t="n"/>
      <c r="BE106" s="731" t="n"/>
      <c r="BF106" s="731" t="n"/>
      <c r="BG106" s="731" t="n"/>
    </row>
    <row r="107">
      <c r="A107" s="772" t="n"/>
      <c r="B107" s="772" t="n"/>
      <c r="C107" s="772" t="n"/>
      <c r="D107" s="772" t="n"/>
      <c r="E107" s="772" t="n"/>
      <c r="F107" s="772" t="n"/>
      <c r="G107" s="772" t="n"/>
      <c r="H107" s="772" t="n"/>
      <c r="I107" s="772" t="n"/>
      <c r="J107" s="772" t="n"/>
      <c r="K107" s="772" t="n"/>
      <c r="L107" s="772" t="n"/>
      <c r="M107" s="772" t="n"/>
      <c r="N107" s="772" t="n"/>
      <c r="O107" s="772" t="n"/>
      <c r="P107" s="772" t="n"/>
      <c r="Q107" s="772" t="n"/>
      <c r="R107" s="772" t="n"/>
      <c r="S107" s="772" t="n"/>
      <c r="T107" s="772" t="n"/>
      <c r="U107" s="772" t="n"/>
      <c r="V107" s="772" t="n"/>
      <c r="W107" s="772" t="n"/>
      <c r="X107" s="772" t="n"/>
      <c r="Y107" s="772" t="n"/>
      <c r="Z107" s="772" t="n"/>
      <c r="AA107" s="772" t="n"/>
      <c r="AB107" s="772" t="n"/>
      <c r="AC107" s="772" t="n"/>
      <c r="AD107" s="772" t="n"/>
      <c r="AE107" s="772" t="n"/>
      <c r="AF107" s="772" t="n"/>
      <c r="AG107" s="772" t="n"/>
      <c r="AH107" s="772" t="n"/>
      <c r="AI107" s="772" t="n"/>
      <c r="AJ107" s="772" t="n"/>
      <c r="AK107" s="772" t="n"/>
      <c r="AL107" s="772" t="n"/>
      <c r="AM107" s="772" t="n"/>
      <c r="AN107" s="772" t="n"/>
      <c r="AO107" s="772" t="n"/>
      <c r="AP107" s="772" t="n"/>
      <c r="AQ107" s="772" t="n"/>
      <c r="AR107" s="772" t="n"/>
      <c r="AS107" s="772" t="n"/>
      <c r="AT107" s="772" t="n"/>
      <c r="AU107" s="772" t="n"/>
      <c r="AV107" s="772" t="n"/>
      <c r="AW107" s="772" t="n"/>
      <c r="AX107" s="772" t="n"/>
      <c r="AY107" s="772" t="n"/>
      <c r="AZ107" s="772" t="n"/>
      <c r="BA107" s="772" t="n"/>
      <c r="BB107" s="772" t="n"/>
      <c r="BC107" s="772" t="n"/>
      <c r="BD107" s="772" t="n"/>
      <c r="BE107" s="731" t="n"/>
      <c r="BF107" s="731" t="n"/>
      <c r="BG107" s="731" t="n"/>
    </row>
    <row r="108">
      <c r="A108" s="772" t="n"/>
      <c r="B108" s="772" t="n"/>
      <c r="C108" s="772" t="n"/>
      <c r="D108" s="772" t="n"/>
      <c r="E108" s="772" t="n"/>
      <c r="F108" s="772" t="n"/>
      <c r="G108" s="772" t="n"/>
      <c r="H108" s="772" t="n"/>
      <c r="I108" s="772" t="n"/>
      <c r="J108" s="772" t="n"/>
      <c r="K108" s="772" t="n"/>
      <c r="L108" s="772" t="n"/>
      <c r="M108" s="772" t="n"/>
      <c r="N108" s="772" t="n"/>
      <c r="O108" s="772" t="n"/>
      <c r="P108" s="772" t="n"/>
      <c r="Q108" s="772" t="n"/>
      <c r="R108" s="772" t="n"/>
      <c r="S108" s="772" t="n"/>
      <c r="T108" s="772" t="n"/>
      <c r="U108" s="772" t="n"/>
      <c r="V108" s="772" t="n"/>
      <c r="W108" s="772" t="n"/>
      <c r="X108" s="772" t="n"/>
      <c r="Y108" s="772" t="n"/>
      <c r="Z108" s="772" t="n"/>
      <c r="AA108" s="772" t="n"/>
      <c r="AB108" s="772" t="n"/>
      <c r="AC108" s="772" t="n"/>
      <c r="AD108" s="772" t="n"/>
      <c r="AE108" s="772" t="n"/>
      <c r="AF108" s="772" t="n"/>
      <c r="AG108" s="772" t="n"/>
      <c r="AH108" s="772" t="n"/>
      <c r="AI108" s="772" t="n"/>
      <c r="AJ108" s="772" t="n"/>
      <c r="AK108" s="772" t="n"/>
      <c r="AL108" s="772" t="n"/>
      <c r="AM108" s="772" t="n"/>
      <c r="AN108" s="772" t="n"/>
      <c r="AO108" s="772" t="n"/>
      <c r="AP108" s="772" t="n"/>
      <c r="AQ108" s="772" t="n"/>
      <c r="AR108" s="772" t="n"/>
      <c r="AS108" s="772" t="n"/>
      <c r="AT108" s="772" t="n"/>
      <c r="AU108" s="772" t="n"/>
      <c r="AV108" s="772" t="n"/>
      <c r="AW108" s="772" t="n"/>
      <c r="AX108" s="772" t="n"/>
      <c r="AY108" s="772" t="n"/>
      <c r="AZ108" s="772" t="n"/>
      <c r="BA108" s="772" t="n"/>
      <c r="BB108" s="772" t="n"/>
      <c r="BC108" s="772" t="n"/>
      <c r="BD108" s="772" t="n"/>
      <c r="BE108" s="731" t="n"/>
      <c r="BF108" s="731" t="n"/>
      <c r="BG108" s="731" t="n"/>
    </row>
    <row r="109">
      <c r="A109" s="772" t="n"/>
      <c r="B109" s="772" t="n"/>
      <c r="C109" s="772" t="n"/>
      <c r="D109" s="772" t="n"/>
      <c r="E109" s="772" t="n"/>
      <c r="F109" s="772" t="n"/>
      <c r="G109" s="772" t="n"/>
      <c r="H109" s="772" t="n"/>
      <c r="I109" s="772" t="n"/>
      <c r="J109" s="772" t="n"/>
      <c r="K109" s="772" t="n"/>
      <c r="L109" s="772" t="n"/>
      <c r="M109" s="772" t="n"/>
      <c r="N109" s="772" t="n"/>
      <c r="O109" s="772" t="n"/>
      <c r="P109" s="772" t="n"/>
      <c r="Q109" s="772" t="n"/>
      <c r="R109" s="772" t="n"/>
      <c r="S109" s="772" t="n"/>
      <c r="T109" s="772" t="n"/>
      <c r="U109" s="772" t="n"/>
      <c r="V109" s="772" t="n"/>
      <c r="W109" s="772" t="n"/>
      <c r="X109" s="772" t="n"/>
      <c r="Y109" s="772" t="n"/>
      <c r="Z109" s="772" t="n"/>
      <c r="AA109" s="772" t="n"/>
      <c r="AB109" s="772" t="n"/>
      <c r="AC109" s="772" t="n"/>
      <c r="AD109" s="772" t="n"/>
      <c r="AE109" s="772" t="n"/>
      <c r="AF109" s="772" t="n"/>
      <c r="AG109" s="772" t="n"/>
      <c r="AH109" s="772" t="n"/>
      <c r="AI109" s="772" t="n"/>
      <c r="AJ109" s="772" t="n"/>
      <c r="AK109" s="772" t="n"/>
      <c r="AL109" s="772" t="n"/>
      <c r="AM109" s="772" t="n"/>
      <c r="AN109" s="772" t="n"/>
      <c r="AO109" s="772" t="n"/>
      <c r="AP109" s="772" t="n"/>
      <c r="AQ109" s="772" t="n"/>
      <c r="AR109" s="772" t="n"/>
      <c r="AS109" s="772" t="n"/>
      <c r="AT109" s="772" t="n"/>
      <c r="AU109" s="772" t="n"/>
      <c r="AV109" s="772" t="n"/>
      <c r="AW109" s="772" t="n"/>
      <c r="AX109" s="772" t="n"/>
      <c r="AY109" s="772" t="n"/>
      <c r="AZ109" s="772" t="n"/>
      <c r="BA109" s="772" t="n"/>
      <c r="BB109" s="772" t="n"/>
      <c r="BC109" s="772" t="n"/>
      <c r="BD109" s="772" t="n"/>
      <c r="BE109" s="731" t="n"/>
      <c r="BF109" s="731" t="n"/>
      <c r="BG109" s="731" t="n"/>
    </row>
    <row r="110">
      <c r="A110" s="772" t="n"/>
      <c r="B110" s="772" t="n"/>
      <c r="C110" s="772" t="n"/>
      <c r="D110" s="772" t="n"/>
      <c r="E110" s="772" t="n"/>
      <c r="F110" s="772" t="n"/>
      <c r="G110" s="772" t="n"/>
      <c r="H110" s="772" t="n"/>
      <c r="I110" s="772" t="n"/>
      <c r="J110" s="772" t="n"/>
      <c r="K110" s="772" t="n"/>
      <c r="L110" s="772" t="n"/>
      <c r="M110" s="772" t="n"/>
      <c r="N110" s="772" t="n"/>
      <c r="O110" s="772" t="n"/>
      <c r="P110" s="772" t="n"/>
      <c r="Q110" s="772" t="n"/>
      <c r="R110" s="772" t="n"/>
      <c r="S110" s="772" t="n"/>
      <c r="T110" s="772" t="n"/>
      <c r="U110" s="772" t="n"/>
      <c r="V110" s="772" t="n"/>
      <c r="W110" s="772" t="n"/>
      <c r="X110" s="772" t="n"/>
      <c r="Y110" s="772" t="n"/>
      <c r="Z110" s="772" t="n"/>
      <c r="AA110" s="772" t="n"/>
      <c r="AB110" s="772" t="n"/>
      <c r="AC110" s="772" t="n"/>
      <c r="AD110" s="772" t="n"/>
      <c r="AE110" s="772" t="n"/>
      <c r="AF110" s="772" t="n"/>
      <c r="AG110" s="772" t="n"/>
      <c r="AH110" s="772" t="n"/>
      <c r="AI110" s="772" t="n"/>
      <c r="AJ110" s="772" t="n"/>
      <c r="AK110" s="772" t="n"/>
      <c r="AL110" s="772" t="n"/>
      <c r="AM110" s="772" t="n"/>
      <c r="AN110" s="772" t="n"/>
      <c r="AO110" s="772" t="n"/>
      <c r="AP110" s="772" t="n"/>
      <c r="AQ110" s="772" t="n"/>
      <c r="AR110" s="772" t="n"/>
      <c r="AS110" s="772" t="n"/>
      <c r="AT110" s="772" t="n"/>
      <c r="AU110" s="772" t="n"/>
      <c r="AV110" s="772" t="n"/>
      <c r="AW110" s="772" t="n"/>
      <c r="AX110" s="772" t="n"/>
      <c r="AY110" s="772" t="n"/>
      <c r="AZ110" s="772" t="n"/>
      <c r="BA110" s="772" t="n"/>
      <c r="BB110" s="772" t="n"/>
      <c r="BC110" s="772" t="n"/>
      <c r="BD110" s="772" t="n"/>
      <c r="BE110" s="731" t="n"/>
      <c r="BF110" s="731" t="n"/>
      <c r="BG110" s="731" t="n"/>
    </row>
    <row r="111">
      <c r="A111" s="772" t="n"/>
      <c r="B111" s="772" t="n"/>
      <c r="C111" s="772" t="n"/>
      <c r="D111" s="772" t="n"/>
      <c r="E111" s="772" t="n"/>
      <c r="F111" s="772" t="n"/>
      <c r="G111" s="772" t="n"/>
      <c r="H111" s="772" t="n"/>
      <c r="I111" s="772" t="n"/>
      <c r="J111" s="772" t="n"/>
      <c r="K111" s="772" t="n"/>
      <c r="L111" s="772" t="n"/>
      <c r="M111" s="772" t="n"/>
      <c r="N111" s="772" t="n"/>
      <c r="O111" s="772" t="n"/>
      <c r="P111" s="772" t="n"/>
      <c r="Q111" s="772" t="n"/>
      <c r="R111" s="772" t="n"/>
      <c r="S111" s="772" t="n"/>
      <c r="T111" s="772" t="n"/>
      <c r="U111" s="772" t="n"/>
      <c r="V111" s="772" t="n"/>
      <c r="W111" s="772" t="n"/>
      <c r="X111" s="772" t="n"/>
      <c r="Y111" s="772" t="n"/>
      <c r="Z111" s="772" t="n"/>
      <c r="AA111" s="772" t="n"/>
      <c r="AB111" s="772" t="n"/>
      <c r="AC111" s="772" t="n"/>
      <c r="AD111" s="772" t="n"/>
      <c r="AE111" s="772" t="n"/>
      <c r="AF111" s="772" t="n"/>
      <c r="AG111" s="772" t="n"/>
      <c r="AH111" s="772" t="n"/>
      <c r="AI111" s="772" t="n"/>
      <c r="AJ111" s="772" t="n"/>
      <c r="AK111" s="772" t="n"/>
      <c r="AL111" s="772" t="n"/>
      <c r="AM111" s="772" t="n"/>
      <c r="AN111" s="772" t="n"/>
      <c r="AO111" s="772" t="n"/>
      <c r="AP111" s="772" t="n"/>
      <c r="AQ111" s="772" t="n"/>
      <c r="AR111" s="772" t="n"/>
      <c r="AS111" s="772" t="n"/>
      <c r="AT111" s="772" t="n"/>
      <c r="AU111" s="772" t="n"/>
      <c r="AV111" s="772" t="n"/>
      <c r="AW111" s="772" t="n"/>
      <c r="AX111" s="772" t="n"/>
      <c r="AY111" s="772" t="n"/>
      <c r="AZ111" s="772" t="n"/>
      <c r="BA111" s="772" t="n"/>
      <c r="BB111" s="772" t="n"/>
      <c r="BC111" s="772" t="n"/>
      <c r="BD111" s="772" t="n"/>
      <c r="BE111" s="731" t="n"/>
      <c r="BF111" s="731" t="n"/>
      <c r="BG111" s="731" t="n"/>
    </row>
    <row r="112">
      <c r="A112" s="772" t="n"/>
      <c r="B112" s="772" t="n"/>
      <c r="C112" s="772" t="n"/>
      <c r="D112" s="772" t="n"/>
      <c r="E112" s="772" t="n"/>
      <c r="F112" s="772" t="n"/>
      <c r="G112" s="772" t="n"/>
      <c r="H112" s="772" t="n"/>
      <c r="I112" s="772" t="n"/>
      <c r="J112" s="772" t="n"/>
      <c r="K112" s="772" t="n"/>
      <c r="L112" s="772" t="n"/>
      <c r="M112" s="772" t="n"/>
      <c r="N112" s="772" t="n"/>
      <c r="O112" s="772" t="n"/>
      <c r="P112" s="772" t="n"/>
      <c r="Q112" s="772" t="n"/>
      <c r="R112" s="772" t="n"/>
      <c r="S112" s="772" t="n"/>
      <c r="T112" s="772" t="n"/>
      <c r="U112" s="772" t="n"/>
      <c r="V112" s="772" t="n"/>
      <c r="W112" s="772" t="n"/>
      <c r="X112" s="772" t="n"/>
      <c r="Y112" s="772" t="n"/>
      <c r="Z112" s="772" t="n"/>
      <c r="AA112" s="772" t="n"/>
      <c r="AB112" s="772" t="n"/>
      <c r="AC112" s="772" t="n"/>
      <c r="AD112" s="772" t="n"/>
      <c r="AE112" s="772" t="n"/>
      <c r="AF112" s="772" t="n"/>
      <c r="AG112" s="772" t="n"/>
      <c r="AH112" s="772" t="n"/>
      <c r="AI112" s="772" t="n"/>
      <c r="AJ112" s="772" t="n"/>
      <c r="AK112" s="772" t="n"/>
      <c r="AL112" s="772" t="n"/>
      <c r="AM112" s="772" t="n"/>
      <c r="AN112" s="772" t="n"/>
      <c r="AO112" s="772" t="n"/>
      <c r="AP112" s="772" t="n"/>
      <c r="AQ112" s="772" t="n"/>
      <c r="AR112" s="772" t="n"/>
      <c r="AS112" s="772" t="n"/>
      <c r="AT112" s="772" t="n"/>
      <c r="AU112" s="772" t="n"/>
      <c r="AV112" s="772" t="n"/>
      <c r="AW112" s="772" t="n"/>
      <c r="AX112" s="772" t="n"/>
      <c r="AY112" s="772" t="n"/>
      <c r="AZ112" s="772" t="n"/>
      <c r="BA112" s="772" t="n"/>
      <c r="BB112" s="772" t="n"/>
      <c r="BC112" s="772" t="n"/>
      <c r="BD112" s="772" t="n"/>
      <c r="BE112" s="731" t="n"/>
      <c r="BF112" s="731" t="n"/>
      <c r="BG112" s="731" t="n"/>
    </row>
    <row r="113">
      <c r="A113" s="772" t="n"/>
      <c r="B113" s="772" t="n"/>
      <c r="C113" s="772" t="n"/>
      <c r="D113" s="772" t="n"/>
      <c r="E113" s="772" t="n"/>
      <c r="F113" s="772" t="n"/>
      <c r="G113" s="772" t="n"/>
      <c r="H113" s="772" t="n"/>
      <c r="I113" s="772" t="n"/>
      <c r="J113" s="772" t="n"/>
      <c r="K113" s="772" t="n"/>
      <c r="L113" s="772" t="n"/>
      <c r="M113" s="772" t="n"/>
      <c r="N113" s="772" t="n"/>
      <c r="O113" s="772" t="n"/>
      <c r="P113" s="772" t="n"/>
      <c r="Q113" s="772" t="n"/>
      <c r="R113" s="772" t="n"/>
      <c r="S113" s="772" t="n"/>
      <c r="T113" s="772" t="n"/>
      <c r="U113" s="772" t="n"/>
      <c r="V113" s="772" t="n"/>
      <c r="W113" s="772" t="n"/>
      <c r="X113" s="772" t="n"/>
      <c r="Y113" s="772" t="n"/>
      <c r="Z113" s="772" t="n"/>
      <c r="AA113" s="772" t="n"/>
      <c r="AB113" s="772" t="n"/>
      <c r="AC113" s="772" t="n"/>
      <c r="AD113" s="772" t="n"/>
      <c r="AE113" s="772" t="n"/>
      <c r="AF113" s="772" t="n"/>
      <c r="AG113" s="772" t="n"/>
      <c r="AH113" s="772" t="n"/>
      <c r="AI113" s="772" t="n"/>
      <c r="AJ113" s="772" t="n"/>
      <c r="AK113" s="772" t="n"/>
      <c r="AL113" s="772" t="n"/>
      <c r="AM113" s="772" t="n"/>
      <c r="AN113" s="772" t="n"/>
      <c r="AO113" s="772" t="n"/>
      <c r="AP113" s="772" t="n"/>
      <c r="AQ113" s="772" t="n"/>
      <c r="AR113" s="772" t="n"/>
      <c r="AS113" s="772" t="n"/>
      <c r="AT113" s="772" t="n"/>
      <c r="AU113" s="772" t="n"/>
      <c r="AV113" s="772" t="n"/>
      <c r="AW113" s="772" t="n"/>
      <c r="AX113" s="772" t="n"/>
      <c r="AY113" s="772" t="n"/>
      <c r="AZ113" s="772" t="n"/>
      <c r="BA113" s="772" t="n"/>
      <c r="BB113" s="772" t="n"/>
      <c r="BC113" s="772" t="n"/>
      <c r="BD113" s="772" t="n"/>
      <c r="BE113" s="731" t="n"/>
      <c r="BF113" s="731" t="n"/>
      <c r="BG113" s="731" t="n"/>
    </row>
    <row r="114">
      <c r="A114" s="772" t="n"/>
      <c r="B114" s="772" t="n"/>
      <c r="C114" s="772" t="n"/>
      <c r="D114" s="772" t="n"/>
      <c r="E114" s="772" t="n"/>
      <c r="F114" s="772" t="n"/>
      <c r="G114" s="772" t="n"/>
      <c r="H114" s="772" t="n"/>
      <c r="I114" s="772" t="n"/>
      <c r="J114" s="772" t="n"/>
      <c r="K114" s="772" t="n"/>
      <c r="L114" s="772" t="n"/>
      <c r="M114" s="772" t="n"/>
      <c r="N114" s="772" t="n"/>
      <c r="O114" s="772" t="n"/>
      <c r="P114" s="772" t="n"/>
      <c r="Q114" s="772" t="n"/>
      <c r="R114" s="772" t="n"/>
      <c r="S114" s="772" t="n"/>
      <c r="T114" s="772" t="n"/>
      <c r="U114" s="772" t="n"/>
      <c r="V114" s="772" t="n"/>
      <c r="W114" s="772" t="n"/>
      <c r="X114" s="772" t="n"/>
      <c r="Y114" s="772" t="n"/>
      <c r="Z114" s="772" t="n"/>
      <c r="AA114" s="772" t="n"/>
      <c r="AB114" s="772" t="n"/>
      <c r="AC114" s="772" t="n"/>
      <c r="AD114" s="772" t="n"/>
      <c r="AE114" s="772" t="n"/>
      <c r="AF114" s="772" t="n"/>
      <c r="AG114" s="772" t="n"/>
      <c r="AH114" s="772" t="n"/>
      <c r="AI114" s="772" t="n"/>
      <c r="AJ114" s="772" t="n"/>
      <c r="AK114" s="772" t="n"/>
      <c r="AL114" s="772" t="n"/>
      <c r="AM114" s="772" t="n"/>
      <c r="AN114" s="772" t="n"/>
      <c r="AO114" s="772" t="n"/>
      <c r="AP114" s="772" t="n"/>
      <c r="AQ114" s="772" t="n"/>
      <c r="AR114" s="772" t="n"/>
      <c r="AS114" s="772" t="n"/>
      <c r="AT114" s="772" t="n"/>
      <c r="AU114" s="772" t="n"/>
      <c r="AV114" s="772" t="n"/>
      <c r="AW114" s="772" t="n"/>
      <c r="AX114" s="772" t="n"/>
      <c r="AY114" s="772" t="n"/>
      <c r="AZ114" s="772" t="n"/>
      <c r="BA114" s="772" t="n"/>
      <c r="BB114" s="772" t="n"/>
      <c r="BC114" s="772" t="n"/>
      <c r="BD114" s="772" t="n"/>
      <c r="BE114" s="731" t="n"/>
      <c r="BF114" s="731" t="n"/>
      <c r="BG114" s="731" t="n"/>
    </row>
    <row r="115">
      <c r="A115" s="772" t="n"/>
      <c r="B115" s="772" t="n"/>
      <c r="C115" s="772" t="n"/>
      <c r="D115" s="772" t="n"/>
      <c r="E115" s="772" t="n"/>
      <c r="F115" s="772" t="n"/>
      <c r="G115" s="772" t="n"/>
      <c r="H115" s="772" t="n"/>
      <c r="I115" s="772" t="n"/>
      <c r="J115" s="772" t="n"/>
      <c r="K115" s="772" t="n"/>
      <c r="L115" s="772" t="n"/>
      <c r="M115" s="772" t="n"/>
      <c r="N115" s="772" t="n"/>
      <c r="O115" s="772" t="n"/>
      <c r="P115" s="772" t="n"/>
      <c r="Q115" s="772" t="n"/>
      <c r="R115" s="772" t="n"/>
      <c r="S115" s="772" t="n"/>
      <c r="T115" s="772" t="n"/>
      <c r="U115" s="772" t="n"/>
      <c r="V115" s="772" t="n"/>
      <c r="W115" s="772" t="n"/>
      <c r="X115" s="772" t="n"/>
      <c r="Y115" s="772" t="n"/>
      <c r="Z115" s="772" t="n"/>
      <c r="AA115" s="772" t="n"/>
      <c r="AB115" s="772" t="n"/>
      <c r="AC115" s="772" t="n"/>
      <c r="AD115" s="772" t="n"/>
      <c r="AE115" s="772" t="n"/>
      <c r="AF115" s="772" t="n"/>
      <c r="AG115" s="772" t="n"/>
      <c r="AH115" s="772" t="n"/>
      <c r="AI115" s="772" t="n"/>
      <c r="AJ115" s="772" t="n"/>
      <c r="AK115" s="772" t="n"/>
      <c r="AL115" s="772" t="n"/>
      <c r="AM115" s="772" t="n"/>
      <c r="AN115" s="772" t="n"/>
      <c r="AO115" s="772" t="n"/>
      <c r="AP115" s="772" t="n"/>
      <c r="AQ115" s="772" t="n"/>
      <c r="AR115" s="772" t="n"/>
      <c r="AS115" s="772" t="n"/>
      <c r="AT115" s="772" t="n"/>
      <c r="AU115" s="772" t="n"/>
      <c r="AV115" s="772" t="n"/>
      <c r="AW115" s="772" t="n"/>
      <c r="AX115" s="772" t="n"/>
      <c r="AY115" s="772" t="n"/>
      <c r="AZ115" s="772" t="n"/>
      <c r="BA115" s="772" t="n"/>
      <c r="BB115" s="772" t="n"/>
      <c r="BC115" s="772" t="n"/>
      <c r="BD115" s="772" t="n"/>
      <c r="BE115" s="731" t="n"/>
      <c r="BF115" s="731" t="n"/>
      <c r="BG115" s="731" t="n"/>
    </row>
    <row r="116">
      <c r="A116" s="772" t="n"/>
      <c r="B116" s="772" t="n"/>
      <c r="C116" s="772" t="n"/>
      <c r="D116" s="772" t="n"/>
      <c r="E116" s="772" t="n"/>
      <c r="F116" s="772" t="n"/>
      <c r="G116" s="772" t="n"/>
      <c r="H116" s="772" t="n"/>
      <c r="I116" s="772" t="n"/>
      <c r="J116" s="772" t="n"/>
      <c r="K116" s="772" t="n"/>
      <c r="L116" s="772" t="n"/>
      <c r="M116" s="772" t="n"/>
      <c r="N116" s="772" t="n"/>
      <c r="O116" s="772" t="n"/>
      <c r="P116" s="772" t="n"/>
      <c r="Q116" s="772" t="n"/>
      <c r="R116" s="772" t="n"/>
      <c r="S116" s="772" t="n"/>
      <c r="T116" s="772" t="n"/>
      <c r="U116" s="772" t="n"/>
      <c r="V116" s="772" t="n"/>
      <c r="W116" s="772" t="n"/>
      <c r="X116" s="772" t="n"/>
      <c r="Y116" s="772" t="n"/>
      <c r="Z116" s="772" t="n"/>
      <c r="AA116" s="772" t="n"/>
      <c r="AB116" s="772" t="n"/>
      <c r="AC116" s="772" t="n"/>
      <c r="AD116" s="772" t="n"/>
      <c r="AE116" s="772" t="n"/>
      <c r="AF116" s="772" t="n"/>
      <c r="AG116" s="772" t="n"/>
      <c r="AH116" s="772" t="n"/>
      <c r="AI116" s="772" t="n"/>
      <c r="AJ116" s="772" t="n"/>
      <c r="AK116" s="772" t="n"/>
      <c r="AL116" s="772" t="n"/>
      <c r="AM116" s="772" t="n"/>
      <c r="AN116" s="772" t="n"/>
      <c r="AO116" s="772" t="n"/>
      <c r="AP116" s="772" t="n"/>
      <c r="AQ116" s="772" t="n"/>
      <c r="AR116" s="772" t="n"/>
      <c r="AS116" s="772" t="n"/>
      <c r="AT116" s="772" t="n"/>
      <c r="AU116" s="772" t="n"/>
      <c r="AV116" s="772" t="n"/>
      <c r="AW116" s="772" t="n"/>
      <c r="AX116" s="772" t="n"/>
      <c r="AY116" s="772" t="n"/>
      <c r="AZ116" s="772" t="n"/>
      <c r="BA116" s="772" t="n"/>
      <c r="BB116" s="772" t="n"/>
      <c r="BC116" s="772" t="n"/>
      <c r="BD116" s="772" t="n"/>
      <c r="BE116" s="731" t="n"/>
      <c r="BF116" s="731" t="n"/>
      <c r="BG116" s="731" t="n"/>
    </row>
    <row r="117">
      <c r="A117" s="772" t="n"/>
      <c r="B117" s="772" t="n"/>
      <c r="C117" s="772" t="n"/>
      <c r="D117" s="772" t="n"/>
      <c r="E117" s="772" t="n"/>
      <c r="F117" s="772" t="n"/>
      <c r="G117" s="772" t="n"/>
      <c r="H117" s="772" t="n"/>
      <c r="I117" s="772" t="n"/>
      <c r="J117" s="772" t="n"/>
      <c r="K117" s="772" t="n"/>
      <c r="L117" s="772" t="n"/>
      <c r="M117" s="772" t="n"/>
      <c r="N117" s="772" t="n"/>
      <c r="O117" s="772" t="n"/>
      <c r="P117" s="772" t="n"/>
      <c r="Q117" s="772" t="n"/>
      <c r="R117" s="772" t="n"/>
      <c r="S117" s="772" t="n"/>
      <c r="T117" s="772" t="n"/>
      <c r="U117" s="772" t="n"/>
      <c r="V117" s="772" t="n"/>
      <c r="W117" s="772" t="n"/>
      <c r="X117" s="772" t="n"/>
      <c r="Y117" s="772" t="n"/>
      <c r="Z117" s="772" t="n"/>
      <c r="AA117" s="772" t="n"/>
      <c r="AB117" s="772" t="n"/>
      <c r="AC117" s="772" t="n"/>
      <c r="AD117" s="772" t="n"/>
      <c r="AE117" s="772" t="n"/>
      <c r="AF117" s="772" t="n"/>
      <c r="AG117" s="772" t="n"/>
      <c r="AH117" s="772" t="n"/>
      <c r="AI117" s="772" t="n"/>
      <c r="AJ117" s="772" t="n"/>
      <c r="AK117" s="772" t="n"/>
      <c r="AL117" s="772" t="n"/>
      <c r="AM117" s="772" t="n"/>
      <c r="AN117" s="772" t="n"/>
      <c r="AO117" s="772" t="n"/>
      <c r="AP117" s="772" t="n"/>
      <c r="AQ117" s="772" t="n"/>
      <c r="AR117" s="772" t="n"/>
      <c r="AS117" s="772" t="n"/>
      <c r="AT117" s="772" t="n"/>
      <c r="AU117" s="772" t="n"/>
      <c r="AV117" s="772" t="n"/>
      <c r="AW117" s="772" t="n"/>
      <c r="AX117" s="772" t="n"/>
      <c r="AY117" s="772" t="n"/>
      <c r="AZ117" s="772" t="n"/>
      <c r="BA117" s="772" t="n"/>
      <c r="BB117" s="772" t="n"/>
      <c r="BC117" s="772" t="n"/>
      <c r="BD117" s="772" t="n"/>
      <c r="BE117" s="731" t="n"/>
      <c r="BF117" s="731" t="n"/>
      <c r="BG117" s="731" t="n"/>
    </row>
    <row r="118">
      <c r="A118" s="772" t="n"/>
      <c r="B118" s="772" t="n"/>
      <c r="C118" s="772" t="n"/>
      <c r="D118" s="772" t="n"/>
      <c r="E118" s="772" t="n"/>
      <c r="F118" s="772" t="n"/>
      <c r="G118" s="772" t="n"/>
      <c r="H118" s="772" t="n"/>
      <c r="I118" s="772" t="n"/>
      <c r="J118" s="772" t="n"/>
      <c r="K118" s="772" t="n"/>
      <c r="L118" s="772" t="n"/>
      <c r="M118" s="772" t="n"/>
      <c r="N118" s="772" t="n"/>
      <c r="O118" s="772" t="n"/>
      <c r="P118" s="772" t="n"/>
      <c r="Q118" s="772" t="n"/>
      <c r="R118" s="772" t="n"/>
      <c r="S118" s="772" t="n"/>
      <c r="T118" s="772" t="n"/>
      <c r="U118" s="772" t="n"/>
      <c r="V118" s="772" t="n"/>
      <c r="W118" s="772" t="n"/>
      <c r="X118" s="772" t="n"/>
      <c r="Y118" s="772" t="n"/>
      <c r="Z118" s="772" t="n"/>
      <c r="AA118" s="772" t="n"/>
      <c r="AB118" s="772" t="n"/>
      <c r="AC118" s="772" t="n"/>
      <c r="AD118" s="772" t="n"/>
      <c r="AE118" s="772" t="n"/>
      <c r="AF118" s="772" t="n"/>
      <c r="AG118" s="772" t="n"/>
      <c r="AH118" s="772" t="n"/>
      <c r="AI118" s="772" t="n"/>
      <c r="AJ118" s="772" t="n"/>
      <c r="AK118" s="772" t="n"/>
      <c r="AL118" s="772" t="n"/>
      <c r="AM118" s="772" t="n"/>
      <c r="AN118" s="772" t="n"/>
      <c r="AO118" s="772" t="n"/>
      <c r="AP118" s="772" t="n"/>
      <c r="AQ118" s="772" t="n"/>
      <c r="AR118" s="772" t="n"/>
      <c r="AS118" s="772" t="n"/>
      <c r="AT118" s="772" t="n"/>
      <c r="AU118" s="772" t="n"/>
      <c r="AV118" s="772" t="n"/>
      <c r="AW118" s="772" t="n"/>
      <c r="AX118" s="772" t="n"/>
      <c r="AY118" s="772" t="n"/>
      <c r="AZ118" s="772" t="n"/>
      <c r="BA118" s="772" t="n"/>
      <c r="BB118" s="772" t="n"/>
      <c r="BC118" s="772" t="n"/>
      <c r="BD118" s="772" t="n"/>
      <c r="BE118" s="731" t="n"/>
      <c r="BF118" s="731" t="n"/>
      <c r="BG118" s="731" t="n"/>
    </row>
    <row r="119">
      <c r="A119" s="772" t="n"/>
      <c r="B119" s="772" t="n"/>
      <c r="C119" s="772" t="n"/>
      <c r="D119" s="772" t="n"/>
      <c r="E119" s="772" t="n"/>
      <c r="F119" s="772" t="n"/>
      <c r="G119" s="772" t="n"/>
      <c r="H119" s="772" t="n"/>
      <c r="I119" s="772" t="n"/>
      <c r="J119" s="772" t="n"/>
      <c r="K119" s="772" t="n"/>
      <c r="L119" s="772" t="n"/>
      <c r="M119" s="772" t="n"/>
      <c r="N119" s="772" t="n"/>
      <c r="O119" s="772" t="n"/>
      <c r="P119" s="772" t="n"/>
      <c r="Q119" s="772" t="n"/>
      <c r="R119" s="772" t="n"/>
      <c r="S119" s="772" t="n"/>
      <c r="T119" s="772" t="n"/>
      <c r="U119" s="772" t="n"/>
      <c r="V119" s="772" t="n"/>
      <c r="W119" s="772" t="n"/>
      <c r="X119" s="772" t="n"/>
      <c r="Y119" s="772" t="n"/>
      <c r="Z119" s="772" t="n"/>
      <c r="AA119" s="772" t="n"/>
      <c r="AB119" s="772" t="n"/>
      <c r="AC119" s="772" t="n"/>
      <c r="AD119" s="772" t="n"/>
      <c r="AE119" s="772" t="n"/>
      <c r="AF119" s="772" t="n"/>
      <c r="AG119" s="772" t="n"/>
      <c r="AH119" s="772" t="n"/>
      <c r="AI119" s="772" t="n"/>
      <c r="AJ119" s="772" t="n"/>
      <c r="AK119" s="772" t="n"/>
      <c r="AL119" s="772" t="n"/>
      <c r="AM119" s="772" t="n"/>
      <c r="AN119" s="772" t="n"/>
      <c r="AO119" s="772" t="n"/>
      <c r="AP119" s="772" t="n"/>
      <c r="AQ119" s="772" t="n"/>
      <c r="AR119" s="772" t="n"/>
      <c r="AS119" s="772" t="n"/>
      <c r="AT119" s="772" t="n"/>
      <c r="AU119" s="772" t="n"/>
      <c r="AV119" s="772" t="n"/>
      <c r="AW119" s="772" t="n"/>
      <c r="AX119" s="772" t="n"/>
      <c r="AY119" s="772" t="n"/>
      <c r="AZ119" s="772" t="n"/>
      <c r="BA119" s="772" t="n"/>
      <c r="BB119" s="772" t="n"/>
      <c r="BC119" s="772" t="n"/>
      <c r="BD119" s="772" t="n"/>
      <c r="BE119" s="731" t="n"/>
      <c r="BF119" s="731" t="n"/>
      <c r="BG119" s="731" t="n"/>
    </row>
    <row r="120">
      <c r="A120" s="772" t="n"/>
      <c r="B120" s="772" t="n"/>
      <c r="C120" s="772" t="n"/>
      <c r="D120" s="772" t="n"/>
      <c r="E120" s="772" t="n"/>
      <c r="F120" s="772" t="n"/>
      <c r="G120" s="772" t="n"/>
      <c r="H120" s="772" t="n"/>
      <c r="I120" s="772" t="n"/>
      <c r="J120" s="772" t="n"/>
      <c r="K120" s="772" t="n"/>
      <c r="L120" s="772" t="n"/>
      <c r="M120" s="772" t="n"/>
      <c r="N120" s="772" t="n"/>
      <c r="O120" s="772" t="n"/>
      <c r="P120" s="772" t="n"/>
      <c r="Q120" s="772" t="n"/>
      <c r="R120" s="772" t="n"/>
      <c r="S120" s="772" t="n"/>
      <c r="T120" s="772" t="n"/>
      <c r="U120" s="772" t="n"/>
      <c r="V120" s="772" t="n"/>
      <c r="W120" s="772" t="n"/>
      <c r="X120" s="772" t="n"/>
      <c r="Y120" s="772" t="n"/>
      <c r="Z120" s="772" t="n"/>
      <c r="AA120" s="772" t="n"/>
      <c r="AB120" s="772" t="n"/>
      <c r="AC120" s="772" t="n"/>
      <c r="AD120" s="772" t="n"/>
      <c r="AE120" s="772" t="n"/>
      <c r="AF120" s="772" t="n"/>
      <c r="AG120" s="772" t="n"/>
      <c r="AH120" s="772" t="n"/>
      <c r="AI120" s="772" t="n"/>
      <c r="AJ120" s="772" t="n"/>
      <c r="AK120" s="772" t="n"/>
      <c r="AL120" s="772" t="n"/>
      <c r="AM120" s="772" t="n"/>
      <c r="AN120" s="772" t="n"/>
      <c r="AO120" s="772" t="n"/>
      <c r="AP120" s="772" t="n"/>
      <c r="AQ120" s="772" t="n"/>
      <c r="AR120" s="772" t="n"/>
      <c r="AS120" s="772" t="n"/>
      <c r="AT120" s="772" t="n"/>
      <c r="AU120" s="772" t="n"/>
      <c r="AV120" s="772" t="n"/>
      <c r="AW120" s="772" t="n"/>
      <c r="AX120" s="772" t="n"/>
      <c r="AY120" s="772" t="n"/>
      <c r="AZ120" s="772" t="n"/>
      <c r="BA120" s="772" t="n"/>
      <c r="BB120" s="772" t="n"/>
      <c r="BC120" s="772" t="n"/>
      <c r="BD120" s="772" t="n"/>
      <c r="BE120" s="731" t="n"/>
      <c r="BF120" s="731" t="n"/>
      <c r="BG120" s="731" t="n"/>
    </row>
    <row r="121">
      <c r="A121" s="772" t="n"/>
      <c r="B121" s="772" t="n"/>
      <c r="C121" s="772" t="n"/>
      <c r="D121" s="772" t="n"/>
      <c r="E121" s="772" t="n"/>
      <c r="F121" s="772" t="n"/>
      <c r="G121" s="772" t="n"/>
      <c r="H121" s="772" t="n"/>
      <c r="I121" s="772" t="n"/>
      <c r="J121" s="772" t="n"/>
      <c r="K121" s="772" t="n"/>
      <c r="L121" s="772" t="n"/>
      <c r="M121" s="772" t="n"/>
      <c r="N121" s="772" t="n"/>
      <c r="O121" s="772" t="n"/>
      <c r="P121" s="772" t="n"/>
      <c r="Q121" s="772" t="n"/>
      <c r="R121" s="772" t="n"/>
      <c r="S121" s="772" t="n"/>
      <c r="T121" s="772" t="n"/>
      <c r="U121" s="772" t="n"/>
      <c r="V121" s="772" t="n"/>
      <c r="W121" s="772" t="n"/>
      <c r="X121" s="772" t="n"/>
      <c r="Y121" s="772" t="n"/>
      <c r="Z121" s="772" t="n"/>
      <c r="AA121" s="772" t="n"/>
      <c r="AB121" s="772" t="n"/>
      <c r="AC121" s="772" t="n"/>
      <c r="AD121" s="772" t="n"/>
      <c r="AE121" s="772" t="n"/>
      <c r="AF121" s="772" t="n"/>
      <c r="AG121" s="772" t="n"/>
      <c r="AH121" s="772" t="n"/>
      <c r="AI121" s="772" t="n"/>
      <c r="AJ121" s="772" t="n"/>
      <c r="AK121" s="772" t="n"/>
      <c r="AL121" s="772" t="n"/>
      <c r="AM121" s="772" t="n"/>
      <c r="AN121" s="772" t="n"/>
      <c r="AO121" s="772" t="n"/>
      <c r="AP121" s="772" t="n"/>
      <c r="AQ121" s="772" t="n"/>
      <c r="AR121" s="772" t="n"/>
      <c r="AS121" s="772" t="n"/>
      <c r="AT121" s="772" t="n"/>
      <c r="AU121" s="772" t="n"/>
      <c r="AV121" s="772" t="n"/>
      <c r="AW121" s="772" t="n"/>
      <c r="AX121" s="772" t="n"/>
      <c r="AY121" s="772" t="n"/>
      <c r="AZ121" s="772" t="n"/>
      <c r="BA121" s="772" t="n"/>
      <c r="BB121" s="772" t="n"/>
      <c r="BC121" s="772" t="n"/>
      <c r="BD121" s="772" t="n"/>
      <c r="BE121" s="731" t="n"/>
      <c r="BF121" s="731" t="n"/>
      <c r="BG121" s="731" t="n"/>
    </row>
    <row r="122">
      <c r="A122" s="772" t="n"/>
      <c r="B122" s="772" t="n"/>
      <c r="C122" s="772" t="n"/>
      <c r="D122" s="772" t="n"/>
      <c r="E122" s="772" t="n"/>
      <c r="F122" s="772" t="n"/>
      <c r="G122" s="772" t="n"/>
      <c r="H122" s="772" t="n"/>
      <c r="I122" s="772" t="n"/>
      <c r="J122" s="772" t="n"/>
      <c r="K122" s="772" t="n"/>
      <c r="L122" s="772" t="n"/>
      <c r="M122" s="772" t="n"/>
      <c r="N122" s="772" t="n"/>
      <c r="O122" s="772" t="n"/>
      <c r="P122" s="772" t="n"/>
      <c r="Q122" s="772" t="n"/>
      <c r="R122" s="772" t="n"/>
      <c r="S122" s="772" t="n"/>
      <c r="T122" s="772" t="n"/>
      <c r="U122" s="772" t="n"/>
      <c r="V122" s="772" t="n"/>
      <c r="W122" s="772" t="n"/>
      <c r="X122" s="772" t="n"/>
      <c r="Y122" s="772" t="n"/>
      <c r="Z122" s="772" t="n"/>
      <c r="AA122" s="772" t="n"/>
      <c r="AB122" s="772" t="n"/>
      <c r="AC122" s="772" t="n"/>
      <c r="AD122" s="772" t="n"/>
      <c r="AE122" s="772" t="n"/>
      <c r="AF122" s="772" t="n"/>
      <c r="AG122" s="772" t="n"/>
      <c r="AH122" s="772" t="n"/>
      <c r="AI122" s="772" t="n"/>
      <c r="AJ122" s="772" t="n"/>
      <c r="AK122" s="772" t="n"/>
      <c r="AL122" s="772" t="n"/>
      <c r="AM122" s="772" t="n"/>
      <c r="AN122" s="772" t="n"/>
      <c r="AO122" s="772" t="n"/>
      <c r="AP122" s="772" t="n"/>
      <c r="AQ122" s="772" t="n"/>
      <c r="AR122" s="772" t="n"/>
      <c r="AS122" s="772" t="n"/>
      <c r="AT122" s="772" t="n"/>
      <c r="AU122" s="772" t="n"/>
      <c r="AV122" s="772" t="n"/>
      <c r="AW122" s="772" t="n"/>
      <c r="AX122" s="772" t="n"/>
      <c r="AY122" s="772" t="n"/>
      <c r="AZ122" s="772" t="n"/>
      <c r="BA122" s="772" t="n"/>
      <c r="BB122" s="772" t="n"/>
      <c r="BC122" s="772" t="n"/>
      <c r="BD122" s="772" t="n"/>
      <c r="BE122" s="731" t="n"/>
      <c r="BF122" s="731" t="n"/>
      <c r="BG122" s="731" t="n"/>
    </row>
    <row r="123">
      <c r="A123" s="772" t="n"/>
      <c r="B123" s="772" t="n"/>
      <c r="C123" s="772" t="n"/>
      <c r="D123" s="772" t="n"/>
      <c r="E123" s="772" t="n"/>
      <c r="F123" s="772" t="n"/>
      <c r="G123" s="772" t="n"/>
      <c r="H123" s="772" t="n"/>
      <c r="I123" s="772" t="n"/>
      <c r="J123" s="772" t="n"/>
      <c r="K123" s="772" t="n"/>
      <c r="L123" s="772" t="n"/>
      <c r="M123" s="772" t="n"/>
      <c r="N123" s="772" t="n"/>
      <c r="O123" s="772" t="n"/>
      <c r="P123" s="772" t="n"/>
      <c r="Q123" s="772" t="n"/>
      <c r="R123" s="772" t="n"/>
      <c r="S123" s="772" t="n"/>
      <c r="T123" s="772" t="n"/>
      <c r="U123" s="772" t="n"/>
      <c r="V123" s="772" t="n"/>
      <c r="W123" s="772" t="n"/>
      <c r="X123" s="772" t="n"/>
      <c r="Y123" s="772" t="n"/>
      <c r="Z123" s="772" t="n"/>
      <c r="AA123" s="772" t="n"/>
      <c r="AB123" s="772" t="n"/>
      <c r="AC123" s="772" t="n"/>
      <c r="AD123" s="772" t="n"/>
      <c r="AE123" s="772" t="n"/>
      <c r="AF123" s="772" t="n"/>
      <c r="AG123" s="772" t="n"/>
      <c r="AH123" s="772" t="n"/>
      <c r="AI123" s="772" t="n"/>
      <c r="AJ123" s="772" t="n"/>
      <c r="AK123" s="772" t="n"/>
      <c r="AL123" s="772" t="n"/>
      <c r="AM123" s="772" t="n"/>
      <c r="AN123" s="772" t="n"/>
      <c r="AO123" s="772" t="n"/>
      <c r="AP123" s="772" t="n"/>
      <c r="AQ123" s="772" t="n"/>
      <c r="AR123" s="772" t="n"/>
      <c r="AS123" s="772" t="n"/>
      <c r="AT123" s="772" t="n"/>
      <c r="AU123" s="772" t="n"/>
      <c r="AV123" s="772" t="n"/>
      <c r="AW123" s="772" t="n"/>
      <c r="AX123" s="772" t="n"/>
      <c r="AY123" s="772" t="n"/>
      <c r="AZ123" s="772" t="n"/>
      <c r="BA123" s="772" t="n"/>
      <c r="BB123" s="772" t="n"/>
      <c r="BC123" s="772" t="n"/>
      <c r="BD123" s="772" t="n"/>
      <c r="BE123" s="731" t="n"/>
      <c r="BF123" s="731" t="n"/>
      <c r="BG123" s="731" t="n"/>
    </row>
    <row r="124">
      <c r="A124" s="772" t="n"/>
      <c r="B124" s="772" t="n"/>
      <c r="C124" s="772" t="n"/>
      <c r="D124" s="772" t="n"/>
      <c r="E124" s="772" t="n"/>
      <c r="F124" s="772" t="n"/>
      <c r="G124" s="772" t="n"/>
      <c r="H124" s="772" t="n"/>
      <c r="I124" s="772" t="n"/>
      <c r="J124" s="772" t="n"/>
      <c r="K124" s="772" t="n"/>
      <c r="L124" s="772" t="n"/>
      <c r="M124" s="772" t="n"/>
      <c r="N124" s="772" t="n"/>
      <c r="O124" s="772" t="n"/>
      <c r="P124" s="772" t="n"/>
      <c r="Q124" s="772" t="n"/>
      <c r="R124" s="772" t="n"/>
      <c r="S124" s="772" t="n"/>
      <c r="T124" s="772" t="n"/>
      <c r="U124" s="772" t="n"/>
      <c r="V124" s="772" t="n"/>
      <c r="W124" s="772" t="n"/>
      <c r="X124" s="772" t="n"/>
      <c r="Y124" s="772" t="n"/>
      <c r="Z124" s="772" t="n"/>
      <c r="AA124" s="772" t="n"/>
      <c r="AB124" s="772" t="n"/>
      <c r="AC124" s="772" t="n"/>
      <c r="AD124" s="772" t="n"/>
      <c r="AE124" s="772" t="n"/>
      <c r="AF124" s="772" t="n"/>
      <c r="AG124" s="772" t="n"/>
      <c r="AH124" s="772" t="n"/>
      <c r="AI124" s="772" t="n"/>
      <c r="AJ124" s="772" t="n"/>
      <c r="AK124" s="772" t="n"/>
      <c r="AL124" s="772" t="n"/>
      <c r="AM124" s="772" t="n"/>
      <c r="AN124" s="772" t="n"/>
      <c r="AO124" s="772" t="n"/>
      <c r="AP124" s="772" t="n"/>
      <c r="AQ124" s="772" t="n"/>
      <c r="AR124" s="772" t="n"/>
      <c r="AS124" s="772" t="n"/>
      <c r="AT124" s="772" t="n"/>
      <c r="AU124" s="772" t="n"/>
      <c r="AV124" s="772" t="n"/>
      <c r="AW124" s="772" t="n"/>
      <c r="AX124" s="772" t="n"/>
      <c r="AY124" s="772" t="n"/>
      <c r="AZ124" s="772" t="n"/>
      <c r="BA124" s="772" t="n"/>
      <c r="BB124" s="772" t="n"/>
      <c r="BC124" s="772" t="n"/>
      <c r="BD124" s="772" t="n"/>
      <c r="BE124" s="731" t="n"/>
      <c r="BF124" s="731" t="n"/>
      <c r="BG124" s="731" t="n"/>
    </row>
    <row r="125">
      <c r="A125" s="772" t="n"/>
      <c r="B125" s="772" t="n"/>
      <c r="C125" s="772" t="n"/>
      <c r="D125" s="772" t="n"/>
      <c r="E125" s="772" t="n"/>
      <c r="F125" s="772" t="n"/>
      <c r="G125" s="772" t="n"/>
      <c r="H125" s="772" t="n"/>
      <c r="I125" s="772" t="n"/>
      <c r="J125" s="772" t="n"/>
      <c r="K125" s="772" t="n"/>
      <c r="L125" s="772" t="n"/>
      <c r="M125" s="772" t="n"/>
      <c r="N125" s="772" t="n"/>
      <c r="O125" s="772" t="n"/>
      <c r="P125" s="772" t="n"/>
      <c r="Q125" s="772" t="n"/>
      <c r="R125" s="772" t="n"/>
      <c r="S125" s="772" t="n"/>
      <c r="T125" s="772" t="n"/>
      <c r="U125" s="772" t="n"/>
      <c r="V125" s="772" t="n"/>
      <c r="W125" s="772" t="n"/>
      <c r="X125" s="772" t="n"/>
      <c r="Y125" s="772" t="n"/>
      <c r="Z125" s="772" t="n"/>
      <c r="AA125" s="772" t="n"/>
      <c r="AB125" s="772" t="n"/>
      <c r="AC125" s="772" t="n"/>
      <c r="AD125" s="772" t="n"/>
      <c r="AE125" s="772" t="n"/>
      <c r="AF125" s="772" t="n"/>
      <c r="AG125" s="772" t="n"/>
      <c r="AH125" s="772" t="n"/>
      <c r="AI125" s="772" t="n"/>
      <c r="AJ125" s="772" t="n"/>
      <c r="AK125" s="772" t="n"/>
      <c r="AL125" s="772" t="n"/>
      <c r="AM125" s="772" t="n"/>
      <c r="AN125" s="772" t="n"/>
      <c r="AO125" s="772" t="n"/>
      <c r="AP125" s="772" t="n"/>
      <c r="AQ125" s="772" t="n"/>
      <c r="AR125" s="772" t="n"/>
      <c r="AS125" s="772" t="n"/>
      <c r="AT125" s="772" t="n"/>
      <c r="AU125" s="772" t="n"/>
      <c r="AV125" s="772" t="n"/>
      <c r="AW125" s="772" t="n"/>
      <c r="AX125" s="772" t="n"/>
      <c r="AY125" s="772" t="n"/>
      <c r="AZ125" s="772" t="n"/>
      <c r="BA125" s="772" t="n"/>
      <c r="BB125" s="772" t="n"/>
      <c r="BC125" s="772" t="n"/>
      <c r="BD125" s="772" t="n"/>
      <c r="BE125" s="731" t="n"/>
      <c r="BF125" s="731" t="n"/>
      <c r="BG125" s="731" t="n"/>
    </row>
    <row r="126">
      <c r="A126" s="772" t="n"/>
      <c r="B126" s="772" t="n"/>
      <c r="C126" s="772" t="n"/>
      <c r="D126" s="772" t="n"/>
      <c r="E126" s="772" t="n"/>
      <c r="F126" s="772" t="n"/>
      <c r="G126" s="772" t="n"/>
      <c r="H126" s="772" t="n"/>
      <c r="I126" s="772" t="n"/>
      <c r="J126" s="772" t="n"/>
      <c r="K126" s="772" t="n"/>
      <c r="L126" s="772" t="n"/>
      <c r="M126" s="772" t="n"/>
      <c r="N126" s="772" t="n"/>
      <c r="O126" s="772" t="n"/>
      <c r="P126" s="772" t="n"/>
      <c r="Q126" s="772" t="n"/>
      <c r="R126" s="772" t="n"/>
      <c r="S126" s="772" t="n"/>
      <c r="T126" s="772" t="n"/>
      <c r="U126" s="772" t="n"/>
      <c r="V126" s="772" t="n"/>
      <c r="W126" s="772" t="n"/>
      <c r="X126" s="772" t="n"/>
      <c r="Y126" s="772" t="n"/>
      <c r="Z126" s="772" t="n"/>
      <c r="AA126" s="772" t="n"/>
      <c r="AB126" s="772" t="n"/>
      <c r="AC126" s="772" t="n"/>
      <c r="AD126" s="772" t="n"/>
      <c r="AE126" s="772" t="n"/>
      <c r="AF126" s="772" t="n"/>
      <c r="AG126" s="772" t="n"/>
      <c r="AH126" s="772" t="n"/>
      <c r="AI126" s="772" t="n"/>
      <c r="AJ126" s="772" t="n"/>
      <c r="AK126" s="772" t="n"/>
      <c r="AL126" s="772" t="n"/>
      <c r="AM126" s="772" t="n"/>
      <c r="AN126" s="772" t="n"/>
      <c r="AO126" s="772" t="n"/>
      <c r="AP126" s="772" t="n"/>
      <c r="AQ126" s="772" t="n"/>
      <c r="AR126" s="772" t="n"/>
      <c r="AS126" s="772" t="n"/>
      <c r="AT126" s="772" t="n"/>
      <c r="AU126" s="772" t="n"/>
      <c r="AV126" s="772" t="n"/>
      <c r="AW126" s="772" t="n"/>
      <c r="AX126" s="772" t="n"/>
      <c r="AY126" s="772" t="n"/>
      <c r="AZ126" s="772" t="n"/>
      <c r="BA126" s="772" t="n"/>
      <c r="BB126" s="772" t="n"/>
      <c r="BC126" s="772" t="n"/>
      <c r="BD126" s="772" t="n"/>
      <c r="BE126" s="731" t="n"/>
      <c r="BF126" s="731" t="n"/>
      <c r="BG126" s="731" t="n"/>
    </row>
    <row r="127">
      <c r="A127" s="772" t="n"/>
      <c r="B127" s="772" t="n"/>
      <c r="C127" s="772" t="n"/>
      <c r="D127" s="772" t="n"/>
      <c r="E127" s="772" t="n"/>
      <c r="F127" s="772" t="n"/>
      <c r="G127" s="772" t="n"/>
      <c r="H127" s="772" t="n"/>
      <c r="I127" s="772" t="n"/>
      <c r="J127" s="772" t="n"/>
      <c r="K127" s="772" t="n"/>
      <c r="L127" s="772" t="n"/>
      <c r="M127" s="772" t="n"/>
      <c r="N127" s="772" t="n"/>
      <c r="O127" s="772" t="n"/>
      <c r="P127" s="772" t="n"/>
      <c r="Q127" s="772" t="n"/>
      <c r="R127" s="772" t="n"/>
      <c r="S127" s="772" t="n"/>
      <c r="T127" s="772" t="n"/>
      <c r="U127" s="772" t="n"/>
      <c r="V127" s="772" t="n"/>
      <c r="W127" s="772" t="n"/>
      <c r="X127" s="772" t="n"/>
      <c r="Y127" s="772" t="n"/>
      <c r="Z127" s="772" t="n"/>
      <c r="AA127" s="772" t="n"/>
      <c r="AB127" s="772" t="n"/>
      <c r="AC127" s="772" t="n"/>
      <c r="AD127" s="772" t="n"/>
      <c r="AE127" s="772" t="n"/>
      <c r="AF127" s="772" t="n"/>
      <c r="AG127" s="772" t="n"/>
      <c r="AH127" s="772" t="n"/>
      <c r="AI127" s="772" t="n"/>
      <c r="AJ127" s="772" t="n"/>
      <c r="AK127" s="772" t="n"/>
      <c r="AL127" s="772" t="n"/>
      <c r="AM127" s="772" t="n"/>
      <c r="AN127" s="772" t="n"/>
      <c r="AO127" s="772" t="n"/>
      <c r="AP127" s="772" t="n"/>
      <c r="AQ127" s="772" t="n"/>
      <c r="AR127" s="772" t="n"/>
      <c r="AS127" s="772" t="n"/>
      <c r="AT127" s="772" t="n"/>
      <c r="AU127" s="772" t="n"/>
      <c r="AV127" s="772" t="n"/>
      <c r="AW127" s="772" t="n"/>
      <c r="AX127" s="772" t="n"/>
      <c r="AY127" s="772" t="n"/>
      <c r="AZ127" s="772" t="n"/>
      <c r="BA127" s="772" t="n"/>
      <c r="BB127" s="772" t="n"/>
      <c r="BC127" s="772" t="n"/>
      <c r="BD127" s="772" t="n"/>
      <c r="BE127" s="731" t="n"/>
      <c r="BF127" s="731" t="n"/>
      <c r="BG127" s="731" t="n"/>
    </row>
    <row r="128">
      <c r="A128" s="772" t="n"/>
      <c r="B128" s="772" t="n"/>
      <c r="C128" s="772" t="n"/>
      <c r="D128" s="772" t="n"/>
      <c r="E128" s="772" t="n"/>
      <c r="F128" s="772" t="n"/>
      <c r="G128" s="772" t="n"/>
      <c r="H128" s="772" t="n"/>
      <c r="I128" s="772" t="n"/>
      <c r="J128" s="772" t="n"/>
      <c r="K128" s="772" t="n"/>
      <c r="L128" s="772" t="n"/>
      <c r="M128" s="772" t="n"/>
      <c r="N128" s="772" t="n"/>
      <c r="O128" s="772" t="n"/>
      <c r="P128" s="772" t="n"/>
      <c r="Q128" s="772" t="n"/>
      <c r="R128" s="772" t="n"/>
      <c r="S128" s="772" t="n"/>
      <c r="T128" s="772" t="n"/>
      <c r="U128" s="772" t="n"/>
      <c r="V128" s="772" t="n"/>
      <c r="W128" s="772" t="n"/>
      <c r="X128" s="772" t="n"/>
      <c r="Y128" s="772" t="n"/>
      <c r="Z128" s="772" t="n"/>
      <c r="AA128" s="772" t="n"/>
      <c r="AB128" s="772" t="n"/>
      <c r="AC128" s="772" t="n"/>
      <c r="AD128" s="772" t="n"/>
      <c r="AE128" s="772" t="n"/>
      <c r="AF128" s="772" t="n"/>
      <c r="AG128" s="772" t="n"/>
      <c r="AH128" s="772" t="n"/>
      <c r="AI128" s="772" t="n"/>
      <c r="AJ128" s="772" t="n"/>
      <c r="AK128" s="772" t="n"/>
      <c r="AL128" s="772" t="n"/>
      <c r="AM128" s="772" t="n"/>
      <c r="AN128" s="772" t="n"/>
      <c r="AO128" s="772" t="n"/>
      <c r="AP128" s="772" t="n"/>
      <c r="AQ128" s="772" t="n"/>
      <c r="AR128" s="772" t="n"/>
      <c r="AS128" s="772" t="n"/>
      <c r="AT128" s="772" t="n"/>
      <c r="AU128" s="772" t="n"/>
      <c r="AV128" s="772" t="n"/>
      <c r="AW128" s="772" t="n"/>
      <c r="AX128" s="772" t="n"/>
      <c r="AY128" s="772" t="n"/>
      <c r="AZ128" s="772" t="n"/>
      <c r="BA128" s="772" t="n"/>
      <c r="BB128" s="772" t="n"/>
      <c r="BC128" s="772" t="n"/>
      <c r="BD128" s="772" t="n"/>
      <c r="BE128" s="731" t="n"/>
      <c r="BF128" s="731" t="n"/>
      <c r="BG128" s="731" t="n"/>
    </row>
    <row r="129">
      <c r="A129" s="772" t="n"/>
      <c r="B129" s="772" t="n"/>
      <c r="C129" s="772" t="n"/>
      <c r="D129" s="772" t="n"/>
      <c r="E129" s="772" t="n"/>
      <c r="F129" s="772" t="n"/>
      <c r="G129" s="772" t="n"/>
      <c r="H129" s="772" t="n"/>
      <c r="I129" s="772" t="n"/>
      <c r="J129" s="772" t="n"/>
      <c r="K129" s="772" t="n"/>
      <c r="L129" s="772" t="n"/>
      <c r="M129" s="772" t="n"/>
      <c r="N129" s="772" t="n"/>
      <c r="O129" s="772" t="n"/>
      <c r="P129" s="772" t="n"/>
      <c r="Q129" s="772" t="n"/>
      <c r="R129" s="772" t="n"/>
      <c r="S129" s="772" t="n"/>
      <c r="T129" s="772" t="n"/>
      <c r="U129" s="772" t="n"/>
      <c r="V129" s="772" t="n"/>
      <c r="W129" s="772" t="n"/>
      <c r="X129" s="772" t="n"/>
      <c r="Y129" s="772" t="n"/>
      <c r="Z129" s="772" t="n"/>
      <c r="AA129" s="772" t="n"/>
      <c r="AB129" s="772" t="n"/>
      <c r="AC129" s="772" t="n"/>
      <c r="AD129" s="772" t="n"/>
      <c r="AE129" s="772" t="n"/>
      <c r="AF129" s="772" t="n"/>
      <c r="AG129" s="772" t="n"/>
      <c r="AH129" s="772" t="n"/>
      <c r="AI129" s="772" t="n"/>
      <c r="AJ129" s="772" t="n"/>
      <c r="AK129" s="772" t="n"/>
      <c r="AL129" s="772" t="n"/>
      <c r="AM129" s="772" t="n"/>
      <c r="AN129" s="772" t="n"/>
      <c r="AO129" s="772" t="n"/>
      <c r="AP129" s="772" t="n"/>
      <c r="AQ129" s="772" t="n"/>
      <c r="AR129" s="772" t="n"/>
      <c r="AS129" s="772" t="n"/>
      <c r="AT129" s="772" t="n"/>
      <c r="AU129" s="772" t="n"/>
      <c r="AV129" s="772" t="n"/>
      <c r="AW129" s="772" t="n"/>
      <c r="AX129" s="772" t="n"/>
      <c r="AY129" s="772" t="n"/>
      <c r="AZ129" s="772" t="n"/>
      <c r="BA129" s="772" t="n"/>
      <c r="BB129" s="772" t="n"/>
      <c r="BC129" s="772" t="n"/>
      <c r="BD129" s="772" t="n"/>
      <c r="BE129" s="731" t="n"/>
      <c r="BF129" s="731" t="n"/>
      <c r="BG129" s="731" t="n"/>
    </row>
    <row r="130">
      <c r="A130" s="772" t="n"/>
      <c r="B130" s="772" t="n"/>
      <c r="C130" s="772" t="n"/>
      <c r="D130" s="772" t="n"/>
      <c r="E130" s="772" t="n"/>
      <c r="F130" s="772" t="n"/>
      <c r="G130" s="772" t="n"/>
      <c r="H130" s="772" t="n"/>
      <c r="I130" s="772" t="n"/>
      <c r="J130" s="772" t="n"/>
      <c r="K130" s="772" t="n"/>
      <c r="L130" s="772" t="n"/>
      <c r="M130" s="772" t="n"/>
      <c r="N130" s="772" t="n"/>
      <c r="O130" s="772" t="n"/>
      <c r="P130" s="772" t="n"/>
      <c r="Q130" s="772" t="n"/>
      <c r="R130" s="772" t="n"/>
      <c r="S130" s="772" t="n"/>
      <c r="T130" s="772" t="n"/>
      <c r="U130" s="772" t="n"/>
      <c r="V130" s="772" t="n"/>
      <c r="W130" s="772" t="n"/>
      <c r="X130" s="772" t="n"/>
      <c r="Y130" s="772" t="n"/>
      <c r="Z130" s="772" t="n"/>
      <c r="AA130" s="772" t="n"/>
      <c r="AB130" s="772" t="n"/>
      <c r="AC130" s="772" t="n"/>
      <c r="AD130" s="772" t="n"/>
      <c r="AE130" s="772" t="n"/>
      <c r="AF130" s="772" t="n"/>
      <c r="AG130" s="772" t="n"/>
      <c r="AH130" s="772" t="n"/>
      <c r="AI130" s="772" t="n"/>
      <c r="AJ130" s="772" t="n"/>
      <c r="AK130" s="772" t="n"/>
      <c r="AL130" s="772" t="n"/>
      <c r="AM130" s="772" t="n"/>
      <c r="AN130" s="772" t="n"/>
      <c r="AO130" s="772" t="n"/>
      <c r="AP130" s="772" t="n"/>
      <c r="AQ130" s="772" t="n"/>
      <c r="AR130" s="772" t="n"/>
      <c r="AS130" s="772" t="n"/>
      <c r="AT130" s="772" t="n"/>
      <c r="AU130" s="772" t="n"/>
      <c r="AV130" s="772" t="n"/>
      <c r="AW130" s="772" t="n"/>
      <c r="AX130" s="772" t="n"/>
      <c r="AY130" s="772" t="n"/>
      <c r="AZ130" s="772" t="n"/>
      <c r="BA130" s="772" t="n"/>
      <c r="BB130" s="772" t="n"/>
      <c r="BC130" s="772" t="n"/>
      <c r="BD130" s="772" t="n"/>
      <c r="BE130" s="731" t="n"/>
      <c r="BF130" s="731" t="n"/>
      <c r="BG130" s="731" t="n"/>
    </row>
    <row r="131">
      <c r="A131" s="772" t="n"/>
      <c r="B131" s="772" t="n"/>
      <c r="C131" s="772" t="n"/>
      <c r="D131" s="772" t="n"/>
      <c r="E131" s="772" t="n"/>
      <c r="F131" s="772" t="n"/>
      <c r="G131" s="772" t="n"/>
      <c r="H131" s="772" t="n"/>
      <c r="I131" s="772" t="n"/>
      <c r="J131" s="772" t="n"/>
      <c r="K131" s="772" t="n"/>
      <c r="L131" s="772" t="n"/>
      <c r="M131" s="772" t="n"/>
      <c r="N131" s="772" t="n"/>
      <c r="O131" s="772" t="n"/>
      <c r="P131" s="772" t="n"/>
      <c r="Q131" s="772" t="n"/>
      <c r="R131" s="772" t="n"/>
      <c r="S131" s="772" t="n"/>
      <c r="T131" s="772" t="n"/>
      <c r="U131" s="772" t="n"/>
      <c r="V131" s="772" t="n"/>
      <c r="W131" s="772" t="n"/>
      <c r="X131" s="772" t="n"/>
      <c r="Y131" s="772" t="n"/>
      <c r="Z131" s="772" t="n"/>
      <c r="AA131" s="772" t="n"/>
      <c r="AB131" s="772" t="n"/>
      <c r="AC131" s="772" t="n"/>
      <c r="AD131" s="772" t="n"/>
      <c r="AE131" s="772" t="n"/>
      <c r="AF131" s="772" t="n"/>
      <c r="AG131" s="772" t="n"/>
      <c r="AH131" s="772" t="n"/>
      <c r="AI131" s="772" t="n"/>
      <c r="AJ131" s="772" t="n"/>
      <c r="AK131" s="772" t="n"/>
      <c r="AL131" s="772" t="n"/>
      <c r="AM131" s="772" t="n"/>
      <c r="AN131" s="772" t="n"/>
      <c r="AO131" s="772" t="n"/>
      <c r="AP131" s="772" t="n"/>
      <c r="AQ131" s="772" t="n"/>
      <c r="AR131" s="772" t="n"/>
      <c r="AS131" s="772" t="n"/>
      <c r="AT131" s="772" t="n"/>
      <c r="AU131" s="772" t="n"/>
      <c r="AV131" s="772" t="n"/>
      <c r="AW131" s="772" t="n"/>
      <c r="AX131" s="772" t="n"/>
      <c r="AY131" s="772" t="n"/>
      <c r="AZ131" s="772" t="n"/>
      <c r="BA131" s="772" t="n"/>
      <c r="BB131" s="772" t="n"/>
      <c r="BC131" s="772" t="n"/>
      <c r="BD131" s="772" t="n"/>
      <c r="BE131" s="731" t="n"/>
      <c r="BF131" s="731" t="n"/>
      <c r="BG131" s="731" t="n"/>
    </row>
    <row r="132">
      <c r="A132" s="772" t="n"/>
      <c r="B132" s="772" t="n"/>
      <c r="C132" s="772" t="n"/>
      <c r="D132" s="772" t="n"/>
      <c r="E132" s="772" t="n"/>
      <c r="F132" s="772" t="n"/>
      <c r="G132" s="772" t="n"/>
      <c r="H132" s="772" t="n"/>
      <c r="I132" s="772" t="n"/>
      <c r="J132" s="772" t="n"/>
      <c r="K132" s="772" t="n"/>
      <c r="L132" s="772" t="n"/>
      <c r="M132" s="772" t="n"/>
      <c r="N132" s="772" t="n"/>
      <c r="O132" s="772" t="n"/>
      <c r="P132" s="772" t="n"/>
      <c r="Q132" s="772" t="n"/>
      <c r="R132" s="772" t="n"/>
      <c r="S132" s="772" t="n"/>
      <c r="T132" s="772" t="n"/>
      <c r="U132" s="772" t="n"/>
      <c r="V132" s="772" t="n"/>
      <c r="W132" s="772" t="n"/>
      <c r="X132" s="772" t="n"/>
      <c r="Y132" s="772" t="n"/>
      <c r="Z132" s="772" t="n"/>
      <c r="AA132" s="772" t="n"/>
      <c r="AB132" s="772" t="n"/>
      <c r="AC132" s="772" t="n"/>
      <c r="AD132" s="772" t="n"/>
      <c r="AE132" s="772" t="n"/>
      <c r="AF132" s="772" t="n"/>
      <c r="AG132" s="772" t="n"/>
      <c r="AH132" s="772" t="n"/>
      <c r="AI132" s="772" t="n"/>
      <c r="AJ132" s="772" t="n"/>
      <c r="AK132" s="772" t="n"/>
      <c r="AL132" s="772" t="n"/>
      <c r="AM132" s="772" t="n"/>
      <c r="AN132" s="772" t="n"/>
      <c r="AO132" s="772" t="n"/>
      <c r="AP132" s="772" t="n"/>
      <c r="AQ132" s="772" t="n"/>
      <c r="AR132" s="772" t="n"/>
      <c r="AS132" s="772" t="n"/>
      <c r="AT132" s="772" t="n"/>
      <c r="AU132" s="772" t="n"/>
      <c r="AV132" s="772" t="n"/>
      <c r="AW132" s="772" t="n"/>
      <c r="AX132" s="772" t="n"/>
      <c r="AY132" s="772" t="n"/>
      <c r="AZ132" s="772" t="n"/>
      <c r="BA132" s="772" t="n"/>
      <c r="BB132" s="772" t="n"/>
      <c r="BC132" s="772" t="n"/>
      <c r="BD132" s="772" t="n"/>
      <c r="BE132" s="731" t="n"/>
      <c r="BF132" s="731" t="n"/>
      <c r="BG132" s="731" t="n"/>
    </row>
    <row r="133">
      <c r="A133" s="772" t="n"/>
      <c r="B133" s="772" t="n"/>
      <c r="C133" s="772" t="n"/>
      <c r="D133" s="772" t="n"/>
      <c r="E133" s="772" t="n"/>
      <c r="F133" s="772" t="n"/>
      <c r="G133" s="772" t="n"/>
      <c r="H133" s="772" t="n"/>
      <c r="I133" s="772" t="n"/>
      <c r="J133" s="772" t="n"/>
      <c r="K133" s="772" t="n"/>
      <c r="L133" s="772" t="n"/>
      <c r="M133" s="772" t="n"/>
      <c r="N133" s="772" t="n"/>
      <c r="O133" s="772" t="n"/>
      <c r="P133" s="772" t="n"/>
      <c r="Q133" s="772" t="n"/>
      <c r="R133" s="772" t="n"/>
      <c r="S133" s="772" t="n"/>
      <c r="T133" s="772" t="n"/>
      <c r="U133" s="772" t="n"/>
      <c r="V133" s="772" t="n"/>
      <c r="W133" s="772" t="n"/>
      <c r="X133" s="772" t="n"/>
      <c r="Y133" s="772" t="n"/>
      <c r="Z133" s="772" t="n"/>
      <c r="AA133" s="772" t="n"/>
      <c r="AB133" s="772" t="n"/>
      <c r="AC133" s="772" t="n"/>
      <c r="AD133" s="772" t="n"/>
      <c r="AE133" s="772" t="n"/>
      <c r="AF133" s="772" t="n"/>
      <c r="AG133" s="772" t="n"/>
      <c r="AH133" s="772" t="n"/>
      <c r="AI133" s="772" t="n"/>
      <c r="AJ133" s="772" t="n"/>
      <c r="AK133" s="772" t="n"/>
      <c r="AL133" s="772" t="n"/>
      <c r="AM133" s="772" t="n"/>
      <c r="AN133" s="772" t="n"/>
      <c r="AO133" s="772" t="n"/>
      <c r="AP133" s="772" t="n"/>
      <c r="AQ133" s="772" t="n"/>
      <c r="AR133" s="772" t="n"/>
      <c r="AS133" s="772" t="n"/>
      <c r="AT133" s="772" t="n"/>
      <c r="AU133" s="772" t="n"/>
      <c r="AV133" s="772" t="n"/>
      <c r="AW133" s="772" t="n"/>
      <c r="AX133" s="772" t="n"/>
      <c r="AY133" s="772" t="n"/>
      <c r="AZ133" s="772" t="n"/>
      <c r="BA133" s="772" t="n"/>
      <c r="BB133" s="772" t="n"/>
      <c r="BC133" s="772" t="n"/>
      <c r="BD133" s="772" t="n"/>
      <c r="BE133" s="731" t="n"/>
      <c r="BF133" s="731" t="n"/>
      <c r="BG133" s="731" t="n"/>
    </row>
    <row r="134">
      <c r="A134" s="772" t="n"/>
      <c r="B134" s="772" t="n"/>
      <c r="C134" s="772" t="n"/>
      <c r="D134" s="772" t="n"/>
      <c r="E134" s="772" t="n"/>
      <c r="F134" s="772" t="n"/>
      <c r="G134" s="772" t="n"/>
      <c r="H134" s="772" t="n"/>
      <c r="I134" s="772" t="n"/>
      <c r="J134" s="772" t="n"/>
      <c r="K134" s="772" t="n"/>
      <c r="L134" s="772" t="n"/>
      <c r="M134" s="772" t="n"/>
      <c r="N134" s="772" t="n"/>
      <c r="O134" s="772" t="n"/>
      <c r="P134" s="772" t="n"/>
      <c r="Q134" s="772" t="n"/>
      <c r="R134" s="772" t="n"/>
      <c r="S134" s="772" t="n"/>
      <c r="T134" s="772" t="n"/>
      <c r="U134" s="772" t="n"/>
      <c r="V134" s="772" t="n"/>
      <c r="W134" s="772" t="n"/>
      <c r="X134" s="772" t="n"/>
      <c r="Y134" s="772" t="n"/>
      <c r="Z134" s="772" t="n"/>
      <c r="AA134" s="772" t="n"/>
      <c r="AB134" s="772" t="n"/>
      <c r="AC134" s="772" t="n"/>
      <c r="AD134" s="772" t="n"/>
      <c r="AE134" s="772" t="n"/>
      <c r="AF134" s="772" t="n"/>
      <c r="AG134" s="772" t="n"/>
      <c r="AH134" s="772" t="n"/>
      <c r="AI134" s="772" t="n"/>
      <c r="AJ134" s="772" t="n"/>
      <c r="AK134" s="772" t="n"/>
      <c r="AL134" s="772" t="n"/>
      <c r="AM134" s="772" t="n"/>
      <c r="AN134" s="772" t="n"/>
      <c r="AO134" s="772" t="n"/>
      <c r="AP134" s="772" t="n"/>
      <c r="AQ134" s="772" t="n"/>
      <c r="AR134" s="772" t="n"/>
      <c r="AS134" s="772" t="n"/>
      <c r="AT134" s="772" t="n"/>
      <c r="AU134" s="772" t="n"/>
      <c r="AV134" s="772" t="n"/>
      <c r="AW134" s="772" t="n"/>
      <c r="AX134" s="772" t="n"/>
      <c r="AY134" s="772" t="n"/>
      <c r="AZ134" s="772" t="n"/>
      <c r="BA134" s="772" t="n"/>
      <c r="BB134" s="772" t="n"/>
      <c r="BC134" s="772" t="n"/>
      <c r="BD134" s="772" t="n"/>
      <c r="BE134" s="731" t="n"/>
      <c r="BF134" s="731" t="n"/>
      <c r="BG134" s="731" t="n"/>
    </row>
    <row r="135">
      <c r="A135" s="772" t="n"/>
      <c r="B135" s="772" t="n"/>
      <c r="C135" s="772" t="n"/>
      <c r="D135" s="772" t="n"/>
      <c r="E135" s="772" t="n"/>
      <c r="F135" s="772" t="n"/>
      <c r="G135" s="772" t="n"/>
      <c r="H135" s="772" t="n"/>
      <c r="I135" s="772" t="n"/>
      <c r="J135" s="772" t="n"/>
      <c r="K135" s="772" t="n"/>
      <c r="L135" s="772" t="n"/>
      <c r="M135" s="772" t="n"/>
      <c r="N135" s="772" t="n"/>
      <c r="O135" s="772" t="n"/>
      <c r="P135" s="772" t="n"/>
      <c r="Q135" s="772" t="n"/>
      <c r="R135" s="772" t="n"/>
      <c r="S135" s="772" t="n"/>
      <c r="T135" s="772" t="n"/>
      <c r="U135" s="772" t="n"/>
      <c r="V135" s="772" t="n"/>
      <c r="W135" s="772" t="n"/>
      <c r="X135" s="772" t="n"/>
      <c r="Y135" s="772" t="n"/>
      <c r="Z135" s="772" t="n"/>
      <c r="AA135" s="772" t="n"/>
      <c r="AB135" s="772" t="n"/>
      <c r="AC135" s="772" t="n"/>
      <c r="AD135" s="772" t="n"/>
      <c r="AE135" s="772" t="n"/>
      <c r="AF135" s="772" t="n"/>
      <c r="AG135" s="772" t="n"/>
      <c r="AH135" s="772" t="n"/>
      <c r="AI135" s="772" t="n"/>
      <c r="AJ135" s="772" t="n"/>
      <c r="AK135" s="772" t="n"/>
      <c r="AL135" s="772" t="n"/>
      <c r="AM135" s="772" t="n"/>
      <c r="AN135" s="772" t="n"/>
      <c r="AO135" s="772" t="n"/>
      <c r="AP135" s="772" t="n"/>
      <c r="AQ135" s="772" t="n"/>
      <c r="AR135" s="772" t="n"/>
      <c r="AS135" s="772" t="n"/>
      <c r="AT135" s="772" t="n"/>
      <c r="AU135" s="772" t="n"/>
      <c r="AV135" s="772" t="n"/>
      <c r="AW135" s="772" t="n"/>
      <c r="AX135" s="772" t="n"/>
      <c r="AY135" s="772" t="n"/>
      <c r="AZ135" s="772" t="n"/>
      <c r="BA135" s="772" t="n"/>
      <c r="BB135" s="772" t="n"/>
      <c r="BC135" s="772" t="n"/>
      <c r="BD135" s="772" t="n"/>
      <c r="BE135" s="731" t="n"/>
      <c r="BF135" s="731" t="n"/>
      <c r="BG135" s="731" t="n"/>
    </row>
    <row r="136">
      <c r="A136" s="772" t="n"/>
      <c r="B136" s="772" t="n"/>
      <c r="C136" s="772" t="n"/>
      <c r="D136" s="772" t="n"/>
      <c r="E136" s="772" t="n"/>
      <c r="F136" s="772" t="n"/>
      <c r="G136" s="772" t="n"/>
      <c r="H136" s="772" t="n"/>
      <c r="I136" s="772" t="n"/>
      <c r="J136" s="772" t="n"/>
      <c r="K136" s="772" t="n"/>
      <c r="L136" s="772" t="n"/>
      <c r="M136" s="772" t="n"/>
      <c r="N136" s="772" t="n"/>
      <c r="O136" s="772" t="n"/>
      <c r="P136" s="772" t="n"/>
      <c r="Q136" s="772" t="n"/>
      <c r="R136" s="772" t="n"/>
      <c r="S136" s="772" t="n"/>
      <c r="T136" s="772" t="n"/>
      <c r="U136" s="772" t="n"/>
      <c r="V136" s="772" t="n"/>
      <c r="W136" s="772" t="n"/>
      <c r="X136" s="772" t="n"/>
      <c r="Y136" s="772" t="n"/>
      <c r="Z136" s="772" t="n"/>
      <c r="AA136" s="772" t="n"/>
      <c r="AB136" s="772" t="n"/>
      <c r="AC136" s="772" t="n"/>
      <c r="AD136" s="772" t="n"/>
      <c r="AE136" s="772" t="n"/>
      <c r="AF136" s="772" t="n"/>
      <c r="AG136" s="772" t="n"/>
      <c r="AH136" s="772" t="n"/>
      <c r="AI136" s="772" t="n"/>
      <c r="AJ136" s="772" t="n"/>
      <c r="AK136" s="772" t="n"/>
      <c r="AL136" s="772" t="n"/>
      <c r="AM136" s="772" t="n"/>
      <c r="AN136" s="772" t="n"/>
      <c r="AO136" s="772" t="n"/>
      <c r="AP136" s="772" t="n"/>
      <c r="AQ136" s="772" t="n"/>
      <c r="AR136" s="772" t="n"/>
      <c r="AS136" s="772" t="n"/>
      <c r="AT136" s="772" t="n"/>
      <c r="AU136" s="772" t="n"/>
      <c r="AV136" s="772" t="n"/>
      <c r="AW136" s="772" t="n"/>
      <c r="AX136" s="772" t="n"/>
      <c r="AY136" s="772" t="n"/>
      <c r="AZ136" s="772" t="n"/>
      <c r="BA136" s="772" t="n"/>
      <c r="BB136" s="772" t="n"/>
      <c r="BC136" s="772" t="n"/>
      <c r="BD136" s="772" t="n"/>
      <c r="BE136" s="731" t="n"/>
      <c r="BF136" s="731" t="n"/>
      <c r="BG136" s="731" t="n"/>
    </row>
    <row r="137">
      <c r="A137" s="772" t="n"/>
      <c r="B137" s="772" t="n"/>
      <c r="C137" s="772" t="n"/>
      <c r="D137" s="772" t="n"/>
      <c r="E137" s="772" t="n"/>
      <c r="F137" s="772" t="n"/>
      <c r="G137" s="772" t="n"/>
      <c r="H137" s="772" t="n"/>
      <c r="I137" s="772" t="n"/>
      <c r="J137" s="772" t="n"/>
      <c r="K137" s="772" t="n"/>
      <c r="L137" s="772" t="n"/>
      <c r="M137" s="772" t="n"/>
      <c r="N137" s="772" t="n"/>
      <c r="O137" s="772" t="n"/>
      <c r="P137" s="772" t="n"/>
      <c r="Q137" s="772" t="n"/>
      <c r="R137" s="772" t="n"/>
      <c r="S137" s="772" t="n"/>
      <c r="T137" s="772" t="n"/>
      <c r="U137" s="772" t="n"/>
      <c r="V137" s="772" t="n"/>
      <c r="W137" s="772" t="n"/>
      <c r="X137" s="772" t="n"/>
      <c r="Y137" s="772" t="n"/>
      <c r="Z137" s="772" t="n"/>
      <c r="AA137" s="772" t="n"/>
      <c r="AB137" s="772" t="n"/>
      <c r="AC137" s="772" t="n"/>
      <c r="AD137" s="772" t="n"/>
      <c r="AE137" s="772" t="n"/>
      <c r="AF137" s="772" t="n"/>
      <c r="AG137" s="772" t="n"/>
      <c r="AH137" s="772" t="n"/>
      <c r="AI137" s="772" t="n"/>
      <c r="AJ137" s="772" t="n"/>
      <c r="AK137" s="772" t="n"/>
      <c r="AL137" s="772" t="n"/>
      <c r="AM137" s="772" t="n"/>
      <c r="AN137" s="772" t="n"/>
      <c r="AO137" s="772" t="n"/>
      <c r="AP137" s="772" t="n"/>
      <c r="AQ137" s="772" t="n"/>
      <c r="AR137" s="772" t="n"/>
      <c r="AS137" s="772" t="n"/>
      <c r="AT137" s="772" t="n"/>
      <c r="AU137" s="772" t="n"/>
      <c r="AV137" s="772" t="n"/>
      <c r="AW137" s="772" t="n"/>
      <c r="AX137" s="772" t="n"/>
      <c r="AY137" s="772" t="n"/>
      <c r="AZ137" s="772" t="n"/>
      <c r="BA137" s="772" t="n"/>
      <c r="BB137" s="772" t="n"/>
      <c r="BC137" s="772" t="n"/>
      <c r="BD137" s="772" t="n"/>
      <c r="BE137" s="731" t="n"/>
      <c r="BF137" s="731" t="n"/>
      <c r="BG137" s="731" t="n"/>
    </row>
    <row r="138">
      <c r="A138" s="772" t="n"/>
      <c r="B138" s="772" t="n"/>
      <c r="C138" s="772" t="n"/>
      <c r="D138" s="772" t="n"/>
      <c r="E138" s="772" t="n"/>
      <c r="F138" s="772" t="n"/>
      <c r="G138" s="772" t="n"/>
      <c r="H138" s="772" t="n"/>
      <c r="I138" s="772" t="n"/>
      <c r="J138" s="772" t="n"/>
      <c r="K138" s="772" t="n"/>
      <c r="L138" s="772" t="n"/>
      <c r="M138" s="772" t="n"/>
      <c r="N138" s="772" t="n"/>
      <c r="O138" s="772" t="n"/>
      <c r="P138" s="772" t="n"/>
      <c r="Q138" s="772" t="n"/>
      <c r="R138" s="772" t="n"/>
      <c r="S138" s="772" t="n"/>
      <c r="T138" s="772" t="n"/>
      <c r="U138" s="772" t="n"/>
      <c r="V138" s="772" t="n"/>
      <c r="W138" s="772" t="n"/>
      <c r="X138" s="772" t="n"/>
      <c r="Y138" s="772" t="n"/>
      <c r="Z138" s="772" t="n"/>
      <c r="AA138" s="772" t="n"/>
      <c r="AB138" s="772" t="n"/>
      <c r="AC138" s="772" t="n"/>
      <c r="AD138" s="772" t="n"/>
      <c r="AE138" s="772" t="n"/>
      <c r="AF138" s="772" t="n"/>
      <c r="AG138" s="772" t="n"/>
      <c r="AH138" s="772" t="n"/>
      <c r="AI138" s="772" t="n"/>
      <c r="AJ138" s="772" t="n"/>
      <c r="AK138" s="772" t="n"/>
      <c r="AL138" s="772" t="n"/>
      <c r="AM138" s="772" t="n"/>
      <c r="AN138" s="772" t="n"/>
      <c r="AO138" s="772" t="n"/>
      <c r="AP138" s="772" t="n"/>
      <c r="AQ138" s="772" t="n"/>
      <c r="AR138" s="772" t="n"/>
      <c r="AS138" s="772" t="n"/>
      <c r="AT138" s="772" t="n"/>
      <c r="AU138" s="772" t="n"/>
      <c r="AV138" s="772" t="n"/>
      <c r="AW138" s="772" t="n"/>
      <c r="AX138" s="772" t="n"/>
      <c r="AY138" s="772" t="n"/>
      <c r="AZ138" s="772" t="n"/>
      <c r="BA138" s="772" t="n"/>
      <c r="BB138" s="772" t="n"/>
      <c r="BC138" s="772" t="n"/>
      <c r="BD138" s="772" t="n"/>
      <c r="BE138" s="731" t="n"/>
      <c r="BF138" s="731" t="n"/>
      <c r="BG138" s="731" t="n"/>
    </row>
    <row r="139">
      <c r="A139" s="772" t="n"/>
      <c r="B139" s="772" t="n"/>
      <c r="C139" s="772" t="n"/>
      <c r="D139" s="772" t="n"/>
      <c r="E139" s="772" t="n"/>
      <c r="F139" s="772" t="n"/>
      <c r="G139" s="772" t="n"/>
      <c r="H139" s="772" t="n"/>
      <c r="I139" s="772" t="n"/>
      <c r="J139" s="772" t="n"/>
      <c r="K139" s="772" t="n"/>
      <c r="L139" s="772" t="n"/>
      <c r="M139" s="772" t="n"/>
      <c r="N139" s="772" t="n"/>
      <c r="O139" s="772" t="n"/>
      <c r="P139" s="772" t="n"/>
      <c r="Q139" s="772" t="n"/>
      <c r="R139" s="772" t="n"/>
      <c r="S139" s="772" t="n"/>
      <c r="T139" s="772" t="n"/>
      <c r="U139" s="772" t="n"/>
      <c r="V139" s="772" t="n"/>
      <c r="W139" s="772" t="n"/>
      <c r="X139" s="772" t="n"/>
      <c r="Y139" s="772" t="n"/>
      <c r="Z139" s="772" t="n"/>
      <c r="AA139" s="772" t="n"/>
      <c r="AB139" s="772" t="n"/>
      <c r="AC139" s="772" t="n"/>
      <c r="AD139" s="772" t="n"/>
      <c r="AE139" s="772" t="n"/>
      <c r="AF139" s="772" t="n"/>
      <c r="AG139" s="772" t="n"/>
      <c r="AH139" s="772" t="n"/>
      <c r="AI139" s="772" t="n"/>
      <c r="AJ139" s="772" t="n"/>
      <c r="AK139" s="772" t="n"/>
      <c r="AL139" s="772" t="n"/>
      <c r="AM139" s="772" t="n"/>
      <c r="AN139" s="772" t="n"/>
      <c r="AO139" s="772" t="n"/>
      <c r="AP139" s="772" t="n"/>
      <c r="AQ139" s="772" t="n"/>
      <c r="AR139" s="772" t="n"/>
      <c r="AS139" s="772" t="n"/>
      <c r="AT139" s="772" t="n"/>
      <c r="AU139" s="772" t="n"/>
      <c r="AV139" s="772" t="n"/>
      <c r="AW139" s="772" t="n"/>
      <c r="AX139" s="772" t="n"/>
      <c r="AY139" s="772" t="n"/>
      <c r="AZ139" s="772" t="n"/>
      <c r="BA139" s="772" t="n"/>
      <c r="BB139" s="772" t="n"/>
      <c r="BC139" s="772" t="n"/>
      <c r="BD139" s="772" t="n"/>
      <c r="BE139" s="731" t="n"/>
      <c r="BF139" s="731" t="n"/>
      <c r="BG139" s="731" t="n"/>
    </row>
    <row r="140">
      <c r="A140" s="772" t="n"/>
      <c r="B140" s="772" t="n"/>
      <c r="C140" s="772" t="n"/>
      <c r="D140" s="772" t="n"/>
      <c r="E140" s="772" t="n"/>
      <c r="F140" s="772" t="n"/>
      <c r="G140" s="772" t="n"/>
      <c r="H140" s="772" t="n"/>
      <c r="I140" s="772" t="n"/>
      <c r="J140" s="772" t="n"/>
      <c r="K140" s="772" t="n"/>
      <c r="L140" s="772" t="n"/>
      <c r="M140" s="772" t="n"/>
      <c r="N140" s="772" t="n"/>
      <c r="O140" s="772" t="n"/>
      <c r="P140" s="772" t="n"/>
      <c r="Q140" s="772" t="n"/>
      <c r="R140" s="772" t="n"/>
      <c r="S140" s="772" t="n"/>
      <c r="T140" s="772" t="n"/>
      <c r="U140" s="772" t="n"/>
      <c r="V140" s="772" t="n"/>
      <c r="W140" s="772" t="n"/>
      <c r="X140" s="772" t="n"/>
      <c r="Y140" s="772" t="n"/>
      <c r="Z140" s="772" t="n"/>
      <c r="AA140" s="772" t="n"/>
      <c r="AB140" s="772" t="n"/>
      <c r="AC140" s="772" t="n"/>
      <c r="AD140" s="772" t="n"/>
      <c r="AE140" s="772" t="n"/>
      <c r="AF140" s="772" t="n"/>
      <c r="AG140" s="772" t="n"/>
      <c r="AH140" s="772" t="n"/>
      <c r="AI140" s="772" t="n"/>
      <c r="AJ140" s="772" t="n"/>
      <c r="AK140" s="772" t="n"/>
      <c r="AL140" s="772" t="n"/>
      <c r="AM140" s="772" t="n"/>
      <c r="AN140" s="772" t="n"/>
      <c r="AO140" s="772" t="n"/>
      <c r="AP140" s="772" t="n"/>
      <c r="AQ140" s="772" t="n"/>
      <c r="AR140" s="772" t="n"/>
      <c r="AS140" s="772" t="n"/>
      <c r="AT140" s="772" t="n"/>
      <c r="AU140" s="772" t="n"/>
      <c r="AV140" s="772" t="n"/>
      <c r="AW140" s="772" t="n"/>
      <c r="AX140" s="772" t="n"/>
      <c r="AY140" s="772" t="n"/>
      <c r="AZ140" s="772" t="n"/>
      <c r="BA140" s="772" t="n"/>
      <c r="BB140" s="772" t="n"/>
      <c r="BC140" s="772" t="n"/>
      <c r="BD140" s="772" t="n"/>
      <c r="BE140" s="731" t="n"/>
      <c r="BF140" s="731" t="n"/>
      <c r="BG140" s="731" t="n"/>
    </row>
    <row r="141">
      <c r="A141" s="772" t="n"/>
      <c r="B141" s="772" t="n"/>
      <c r="C141" s="772" t="n"/>
      <c r="D141" s="772" t="n"/>
      <c r="E141" s="772" t="n"/>
      <c r="F141" s="772" t="n"/>
      <c r="G141" s="772" t="n"/>
      <c r="H141" s="772" t="n"/>
      <c r="I141" s="772" t="n"/>
      <c r="J141" s="772" t="n"/>
      <c r="K141" s="772" t="n"/>
      <c r="L141" s="772" t="n"/>
      <c r="M141" s="772" t="n"/>
      <c r="N141" s="772" t="n"/>
      <c r="O141" s="772" t="n"/>
      <c r="P141" s="772" t="n"/>
      <c r="Q141" s="772" t="n"/>
      <c r="R141" s="772" t="n"/>
      <c r="S141" s="772" t="n"/>
      <c r="T141" s="772" t="n"/>
      <c r="U141" s="772" t="n"/>
      <c r="V141" s="772" t="n"/>
      <c r="W141" s="772" t="n"/>
      <c r="X141" s="772" t="n"/>
      <c r="Y141" s="772" t="n"/>
      <c r="Z141" s="772" t="n"/>
      <c r="AA141" s="772" t="n"/>
      <c r="AB141" s="772" t="n"/>
      <c r="AC141" s="772" t="n"/>
      <c r="AD141" s="772" t="n"/>
      <c r="AE141" s="772" t="n"/>
      <c r="AF141" s="772" t="n"/>
      <c r="AG141" s="772" t="n"/>
      <c r="AH141" s="772" t="n"/>
      <c r="AI141" s="772" t="n"/>
      <c r="AJ141" s="772" t="n"/>
      <c r="AK141" s="772" t="n"/>
      <c r="AL141" s="772" t="n"/>
      <c r="AM141" s="772" t="n"/>
      <c r="AN141" s="772" t="n"/>
      <c r="AO141" s="772" t="n"/>
      <c r="AP141" s="772" t="n"/>
      <c r="AQ141" s="772" t="n"/>
      <c r="AR141" s="772" t="n"/>
      <c r="AS141" s="772" t="n"/>
      <c r="AT141" s="772" t="n"/>
      <c r="AU141" s="772" t="n"/>
      <c r="AV141" s="772" t="n"/>
      <c r="AW141" s="772" t="n"/>
      <c r="AX141" s="772" t="n"/>
      <c r="AY141" s="772" t="n"/>
      <c r="AZ141" s="772" t="n"/>
      <c r="BA141" s="772" t="n"/>
      <c r="BB141" s="772" t="n"/>
      <c r="BC141" s="772" t="n"/>
      <c r="BD141" s="772" t="n"/>
      <c r="BE141" s="731" t="n"/>
      <c r="BF141" s="731" t="n"/>
      <c r="BG141" s="731" t="n"/>
    </row>
    <row r="142">
      <c r="A142" s="772" t="n"/>
      <c r="B142" s="772" t="n"/>
      <c r="C142" s="772" t="n"/>
      <c r="D142" s="772" t="n"/>
      <c r="E142" s="772" t="n"/>
      <c r="F142" s="772" t="n"/>
      <c r="G142" s="772" t="n"/>
      <c r="H142" s="772" t="n"/>
      <c r="I142" s="772" t="n"/>
      <c r="J142" s="772" t="n"/>
      <c r="K142" s="772" t="n"/>
      <c r="L142" s="772" t="n"/>
      <c r="M142" s="772" t="n"/>
      <c r="N142" s="772" t="n"/>
      <c r="O142" s="772" t="n"/>
      <c r="P142" s="772" t="n"/>
      <c r="Q142" s="772" t="n"/>
      <c r="R142" s="772" t="n"/>
      <c r="S142" s="772" t="n"/>
      <c r="T142" s="772" t="n"/>
      <c r="U142" s="772" t="n"/>
      <c r="V142" s="772" t="n"/>
      <c r="W142" s="772" t="n"/>
      <c r="X142" s="772" t="n"/>
      <c r="Y142" s="772" t="n"/>
      <c r="Z142" s="772" t="n"/>
      <c r="AA142" s="772" t="n"/>
      <c r="AB142" s="772" t="n"/>
      <c r="AC142" s="772" t="n"/>
      <c r="AD142" s="772" t="n"/>
      <c r="AE142" s="772" t="n"/>
      <c r="AF142" s="772" t="n"/>
      <c r="AG142" s="772" t="n"/>
      <c r="AH142" s="772" t="n"/>
      <c r="AI142" s="772" t="n"/>
      <c r="AJ142" s="772" t="n"/>
      <c r="AK142" s="772" t="n"/>
      <c r="AL142" s="772" t="n"/>
      <c r="AM142" s="772" t="n"/>
      <c r="AN142" s="772" t="n"/>
      <c r="AO142" s="772" t="n"/>
      <c r="AP142" s="772" t="n"/>
      <c r="AQ142" s="772" t="n"/>
      <c r="AR142" s="772" t="n"/>
      <c r="AS142" s="772" t="n"/>
      <c r="AT142" s="772" t="n"/>
      <c r="AU142" s="772" t="n"/>
      <c r="AV142" s="772" t="n"/>
      <c r="AW142" s="772" t="n"/>
      <c r="AX142" s="772" t="n"/>
      <c r="AY142" s="772" t="n"/>
      <c r="AZ142" s="772" t="n"/>
      <c r="BA142" s="772" t="n"/>
      <c r="BB142" s="772" t="n"/>
      <c r="BC142" s="772" t="n"/>
      <c r="BD142" s="772" t="n"/>
      <c r="BE142" s="731" t="n"/>
      <c r="BF142" s="731" t="n"/>
      <c r="BG142" s="731" t="n"/>
    </row>
    <row r="143">
      <c r="A143" s="772" t="n"/>
      <c r="B143" s="772" t="n"/>
      <c r="C143" s="772" t="n"/>
      <c r="D143" s="772" t="n"/>
      <c r="E143" s="772" t="n"/>
      <c r="F143" s="772" t="n"/>
      <c r="G143" s="772" t="n"/>
      <c r="H143" s="772" t="n"/>
      <c r="I143" s="772" t="n"/>
      <c r="J143" s="772" t="n"/>
      <c r="K143" s="772" t="n"/>
      <c r="L143" s="772" t="n"/>
      <c r="M143" s="772" t="n"/>
      <c r="N143" s="772" t="n"/>
      <c r="O143" s="772" t="n"/>
      <c r="P143" s="772" t="n"/>
      <c r="Q143" s="772" t="n"/>
      <c r="R143" s="772" t="n"/>
      <c r="S143" s="772" t="n"/>
      <c r="T143" s="772" t="n"/>
      <c r="U143" s="772" t="n"/>
      <c r="V143" s="772" t="n"/>
      <c r="W143" s="772" t="n"/>
      <c r="X143" s="772" t="n"/>
      <c r="Y143" s="772" t="n"/>
      <c r="Z143" s="772" t="n"/>
      <c r="AA143" s="772" t="n"/>
      <c r="AB143" s="772" t="n"/>
      <c r="AC143" s="772" t="n"/>
      <c r="AD143" s="772" t="n"/>
      <c r="AE143" s="772" t="n"/>
      <c r="AF143" s="772" t="n"/>
      <c r="AG143" s="772" t="n"/>
      <c r="AH143" s="772" t="n"/>
      <c r="AI143" s="772" t="n"/>
      <c r="AJ143" s="772" t="n"/>
      <c r="AK143" s="772" t="n"/>
      <c r="AL143" s="772" t="n"/>
      <c r="AM143" s="772" t="n"/>
      <c r="AN143" s="772" t="n"/>
      <c r="AO143" s="772" t="n"/>
      <c r="AP143" s="772" t="n"/>
      <c r="AQ143" s="772" t="n"/>
      <c r="AR143" s="772" t="n"/>
      <c r="AS143" s="772" t="n"/>
      <c r="AT143" s="772" t="n"/>
      <c r="AU143" s="772" t="n"/>
      <c r="AV143" s="772" t="n"/>
      <c r="AW143" s="772" t="n"/>
      <c r="AX143" s="772" t="n"/>
      <c r="AY143" s="772" t="n"/>
      <c r="AZ143" s="772" t="n"/>
      <c r="BA143" s="772" t="n"/>
      <c r="BB143" s="772" t="n"/>
      <c r="BC143" s="772" t="n"/>
      <c r="BD143" s="772" t="n"/>
      <c r="BE143" s="731" t="n"/>
      <c r="BF143" s="731" t="n"/>
      <c r="BG143" s="731" t="n"/>
    </row>
    <row r="144">
      <c r="A144" s="772" t="n"/>
      <c r="B144" s="772" t="n"/>
      <c r="C144" s="772" t="n"/>
      <c r="D144" s="772" t="n"/>
      <c r="E144" s="772" t="n"/>
      <c r="F144" s="772" t="n"/>
      <c r="G144" s="772" t="n"/>
      <c r="H144" s="772" t="n"/>
      <c r="I144" s="772" t="n"/>
      <c r="J144" s="772" t="n"/>
      <c r="K144" s="772" t="n"/>
      <c r="L144" s="772" t="n"/>
      <c r="M144" s="772" t="n"/>
      <c r="N144" s="772" t="n"/>
      <c r="O144" s="772" t="n"/>
      <c r="P144" s="772" t="n"/>
      <c r="Q144" s="772" t="n"/>
      <c r="R144" s="772" t="n"/>
      <c r="S144" s="772" t="n"/>
      <c r="T144" s="772" t="n"/>
      <c r="U144" s="772" t="n"/>
      <c r="V144" s="772" t="n"/>
      <c r="W144" s="772" t="n"/>
      <c r="X144" s="772" t="n"/>
      <c r="Y144" s="772" t="n"/>
      <c r="Z144" s="772" t="n"/>
      <c r="AA144" s="772" t="n"/>
      <c r="AB144" s="772" t="n"/>
      <c r="AC144" s="772" t="n"/>
      <c r="AD144" s="772" t="n"/>
      <c r="AE144" s="772" t="n"/>
      <c r="AF144" s="772" t="n"/>
      <c r="AG144" s="772" t="n"/>
      <c r="AH144" s="772" t="n"/>
      <c r="AI144" s="772" t="n"/>
      <c r="AJ144" s="772" t="n"/>
      <c r="AK144" s="772" t="n"/>
      <c r="AL144" s="772" t="n"/>
      <c r="AM144" s="772" t="n"/>
      <c r="AN144" s="772" t="n"/>
      <c r="AO144" s="772" t="n"/>
      <c r="AP144" s="772" t="n"/>
      <c r="AQ144" s="772" t="n"/>
      <c r="AR144" s="772" t="n"/>
      <c r="AS144" s="772" t="n"/>
      <c r="AT144" s="772" t="n"/>
      <c r="AU144" s="772" t="n"/>
      <c r="AV144" s="772" t="n"/>
      <c r="AW144" s="772" t="n"/>
      <c r="AX144" s="772" t="n"/>
      <c r="AY144" s="772" t="n"/>
      <c r="AZ144" s="772" t="n"/>
      <c r="BA144" s="772" t="n"/>
      <c r="BB144" s="772" t="n"/>
      <c r="BC144" s="772" t="n"/>
      <c r="BD144" s="772" t="n"/>
      <c r="BE144" s="731" t="n"/>
      <c r="BF144" s="731" t="n"/>
      <c r="BG144" s="731" t="n"/>
    </row>
    <row r="145">
      <c r="A145" s="772" t="n"/>
      <c r="B145" s="772" t="n"/>
      <c r="C145" s="772" t="n"/>
      <c r="D145" s="772" t="n"/>
      <c r="E145" s="772" t="n"/>
      <c r="F145" s="772" t="n"/>
      <c r="G145" s="772" t="n"/>
      <c r="H145" s="772" t="n"/>
      <c r="I145" s="772" t="n"/>
      <c r="J145" s="772" t="n"/>
      <c r="K145" s="772" t="n"/>
      <c r="L145" s="772" t="n"/>
      <c r="M145" s="772" t="n"/>
      <c r="N145" s="772" t="n"/>
      <c r="O145" s="772" t="n"/>
      <c r="P145" s="772" t="n"/>
      <c r="Q145" s="772" t="n"/>
      <c r="R145" s="772" t="n"/>
      <c r="S145" s="772" t="n"/>
      <c r="T145" s="772" t="n"/>
      <c r="U145" s="772" t="n"/>
      <c r="V145" s="772" t="n"/>
      <c r="W145" s="772" t="n"/>
      <c r="X145" s="772" t="n"/>
      <c r="Y145" s="772" t="n"/>
      <c r="Z145" s="772" t="n"/>
      <c r="AA145" s="772" t="n"/>
      <c r="AB145" s="772" t="n"/>
      <c r="AC145" s="772" t="n"/>
      <c r="AD145" s="772" t="n"/>
      <c r="AE145" s="772" t="n"/>
      <c r="AF145" s="772" t="n"/>
      <c r="AG145" s="772" t="n"/>
      <c r="AH145" s="772" t="n"/>
      <c r="AI145" s="772" t="n"/>
      <c r="AJ145" s="772" t="n"/>
      <c r="AK145" s="772" t="n"/>
      <c r="AL145" s="772" t="n"/>
      <c r="AM145" s="772" t="n"/>
      <c r="AN145" s="772" t="n"/>
      <c r="AO145" s="772" t="n"/>
      <c r="AP145" s="772" t="n"/>
      <c r="AQ145" s="772" t="n"/>
      <c r="AR145" s="772" t="n"/>
      <c r="AS145" s="772" t="n"/>
      <c r="AT145" s="772" t="n"/>
      <c r="AU145" s="772" t="n"/>
      <c r="AV145" s="772" t="n"/>
      <c r="AW145" s="772" t="n"/>
      <c r="AX145" s="772" t="n"/>
      <c r="AY145" s="772" t="n"/>
      <c r="AZ145" s="772" t="n"/>
      <c r="BA145" s="772" t="n"/>
      <c r="BB145" s="772" t="n"/>
      <c r="BC145" s="772" t="n"/>
      <c r="BD145" s="772" t="n"/>
      <c r="BE145" s="731" t="n"/>
      <c r="BF145" s="731" t="n"/>
      <c r="BG145" s="731" t="n"/>
    </row>
    <row r="146">
      <c r="A146" s="772" t="n"/>
      <c r="B146" s="772" t="n"/>
      <c r="C146" s="772" t="n"/>
      <c r="D146" s="772" t="n"/>
      <c r="E146" s="772" t="n"/>
      <c r="F146" s="772" t="n"/>
      <c r="G146" s="772" t="n"/>
      <c r="H146" s="772" t="n"/>
      <c r="I146" s="772" t="n"/>
      <c r="J146" s="772" t="n"/>
      <c r="K146" s="772" t="n"/>
      <c r="L146" s="772" t="n"/>
      <c r="M146" s="772" t="n"/>
      <c r="N146" s="772" t="n"/>
      <c r="O146" s="772" t="n"/>
      <c r="P146" s="772" t="n"/>
      <c r="Q146" s="772" t="n"/>
      <c r="R146" s="772" t="n"/>
      <c r="S146" s="772" t="n"/>
      <c r="T146" s="772" t="n"/>
      <c r="U146" s="772" t="n"/>
      <c r="V146" s="772" t="n"/>
      <c r="W146" s="772" t="n"/>
      <c r="X146" s="772" t="n"/>
      <c r="Y146" s="772" t="n"/>
      <c r="Z146" s="772" t="n"/>
      <c r="AA146" s="772" t="n"/>
      <c r="AB146" s="772" t="n"/>
      <c r="AC146" s="772" t="n"/>
      <c r="AD146" s="772" t="n"/>
      <c r="AE146" s="772" t="n"/>
      <c r="AF146" s="772" t="n"/>
      <c r="AG146" s="772" t="n"/>
      <c r="AH146" s="772" t="n"/>
      <c r="AI146" s="772" t="n"/>
      <c r="AJ146" s="772" t="n"/>
      <c r="AK146" s="772" t="n"/>
      <c r="AL146" s="772" t="n"/>
      <c r="AM146" s="772" t="n"/>
      <c r="AN146" s="772" t="n"/>
      <c r="AO146" s="772" t="n"/>
      <c r="AP146" s="772" t="n"/>
      <c r="AQ146" s="772" t="n"/>
      <c r="AR146" s="772" t="n"/>
      <c r="AS146" s="772" t="n"/>
      <c r="AT146" s="772" t="n"/>
      <c r="AU146" s="772" t="n"/>
      <c r="AV146" s="772" t="n"/>
      <c r="AW146" s="772" t="n"/>
      <c r="AX146" s="772" t="n"/>
      <c r="AY146" s="772" t="n"/>
      <c r="AZ146" s="772" t="n"/>
      <c r="BA146" s="772" t="n"/>
      <c r="BB146" s="772" t="n"/>
      <c r="BC146" s="772" t="n"/>
      <c r="BD146" s="772" t="n"/>
      <c r="BE146" s="731" t="n"/>
      <c r="BF146" s="731" t="n"/>
      <c r="BG146" s="731" t="n"/>
    </row>
    <row r="147">
      <c r="A147" s="772" t="n"/>
      <c r="B147" s="772" t="n"/>
      <c r="C147" s="772" t="n"/>
      <c r="D147" s="772" t="n"/>
      <c r="E147" s="772" t="n"/>
      <c r="F147" s="772" t="n"/>
      <c r="G147" s="772" t="n"/>
      <c r="H147" s="772" t="n"/>
      <c r="I147" s="772" t="n"/>
      <c r="J147" s="772" t="n"/>
      <c r="K147" s="772" t="n"/>
      <c r="L147" s="772" t="n"/>
      <c r="M147" s="772" t="n"/>
      <c r="N147" s="772" t="n"/>
      <c r="O147" s="772" t="n"/>
      <c r="P147" s="772" t="n"/>
      <c r="Q147" s="772" t="n"/>
      <c r="R147" s="772" t="n"/>
      <c r="S147" s="772" t="n"/>
      <c r="T147" s="772" t="n"/>
      <c r="U147" s="772" t="n"/>
      <c r="V147" s="772" t="n"/>
      <c r="W147" s="772" t="n"/>
      <c r="X147" s="772" t="n"/>
      <c r="Y147" s="772" t="n"/>
      <c r="Z147" s="772" t="n"/>
      <c r="AA147" s="772" t="n"/>
      <c r="AB147" s="772" t="n"/>
      <c r="AC147" s="772" t="n"/>
      <c r="AD147" s="772" t="n"/>
      <c r="AE147" s="772" t="n"/>
      <c r="AF147" s="772" t="n"/>
      <c r="AG147" s="772" t="n"/>
      <c r="AH147" s="772" t="n"/>
      <c r="AI147" s="772" t="n"/>
      <c r="AJ147" s="772" t="n"/>
      <c r="AK147" s="772" t="n"/>
      <c r="AL147" s="772" t="n"/>
      <c r="AM147" s="772" t="n"/>
      <c r="AN147" s="772" t="n"/>
      <c r="AO147" s="772" t="n"/>
      <c r="AP147" s="772" t="n"/>
      <c r="AQ147" s="772" t="n"/>
      <c r="AR147" s="772" t="n"/>
      <c r="AS147" s="772" t="n"/>
      <c r="AT147" s="772" t="n"/>
      <c r="AU147" s="772" t="n"/>
      <c r="AV147" s="772" t="n"/>
      <c r="AW147" s="772" t="n"/>
      <c r="AX147" s="772" t="n"/>
      <c r="AY147" s="772" t="n"/>
      <c r="AZ147" s="772" t="n"/>
      <c r="BA147" s="772" t="n"/>
      <c r="BB147" s="772" t="n"/>
      <c r="BC147" s="772" t="n"/>
      <c r="BD147" s="772" t="n"/>
      <c r="BE147" s="731" t="n"/>
      <c r="BF147" s="731" t="n"/>
      <c r="BG147" s="731" t="n"/>
    </row>
    <row r="148">
      <c r="A148" s="772" t="n"/>
      <c r="B148" s="772" t="n"/>
      <c r="C148" s="772" t="n"/>
      <c r="D148" s="772" t="n"/>
      <c r="E148" s="772" t="n"/>
      <c r="F148" s="772" t="n"/>
      <c r="G148" s="772" t="n"/>
      <c r="H148" s="772" t="n"/>
      <c r="I148" s="772" t="n"/>
      <c r="J148" s="772" t="n"/>
      <c r="K148" s="772" t="n"/>
      <c r="L148" s="772" t="n"/>
      <c r="M148" s="772" t="n"/>
      <c r="N148" s="772" t="n"/>
      <c r="O148" s="772" t="n"/>
      <c r="P148" s="772" t="n"/>
      <c r="Q148" s="772" t="n"/>
      <c r="R148" s="772" t="n"/>
      <c r="S148" s="772" t="n"/>
      <c r="T148" s="772" t="n"/>
      <c r="U148" s="772" t="n"/>
      <c r="V148" s="772" t="n"/>
      <c r="W148" s="772" t="n"/>
      <c r="X148" s="772" t="n"/>
      <c r="Y148" s="772" t="n"/>
      <c r="Z148" s="772" t="n"/>
      <c r="AA148" s="772" t="n"/>
      <c r="AB148" s="772" t="n"/>
      <c r="AC148" s="772" t="n"/>
      <c r="AD148" s="772" t="n"/>
      <c r="AE148" s="772" t="n"/>
      <c r="AF148" s="772" t="n"/>
      <c r="AG148" s="772" t="n"/>
      <c r="AH148" s="772" t="n"/>
      <c r="AI148" s="772" t="n"/>
      <c r="AJ148" s="772" t="n"/>
      <c r="AK148" s="772" t="n"/>
      <c r="AL148" s="772" t="n"/>
      <c r="AM148" s="772" t="n"/>
      <c r="AN148" s="772" t="n"/>
      <c r="AO148" s="772" t="n"/>
      <c r="AP148" s="772" t="n"/>
      <c r="AQ148" s="772" t="n"/>
      <c r="AR148" s="772" t="n"/>
      <c r="AS148" s="772" t="n"/>
      <c r="AT148" s="772" t="n"/>
      <c r="AU148" s="772" t="n"/>
      <c r="AV148" s="772" t="n"/>
      <c r="AW148" s="772" t="n"/>
      <c r="AX148" s="772" t="n"/>
      <c r="AY148" s="772" t="n"/>
      <c r="AZ148" s="772" t="n"/>
      <c r="BA148" s="772" t="n"/>
      <c r="BB148" s="772" t="n"/>
      <c r="BC148" s="772" t="n"/>
      <c r="BD148" s="772" t="n"/>
      <c r="BE148" s="731" t="n"/>
      <c r="BF148" s="731" t="n"/>
      <c r="BG148" s="731" t="n"/>
    </row>
    <row r="149">
      <c r="A149" s="772" t="n"/>
      <c r="B149" s="772" t="n"/>
      <c r="C149" s="772" t="n"/>
      <c r="D149" s="772" t="n"/>
      <c r="E149" s="772" t="n"/>
      <c r="F149" s="772" t="n"/>
      <c r="G149" s="772" t="n"/>
      <c r="H149" s="772" t="n"/>
      <c r="I149" s="772" t="n"/>
      <c r="J149" s="772" t="n"/>
      <c r="K149" s="772" t="n"/>
      <c r="L149" s="772" t="n"/>
      <c r="M149" s="772" t="n"/>
      <c r="N149" s="772" t="n"/>
      <c r="O149" s="772" t="n"/>
      <c r="P149" s="772" t="n"/>
      <c r="Q149" s="772" t="n"/>
      <c r="R149" s="772" t="n"/>
      <c r="S149" s="772" t="n"/>
      <c r="T149" s="772" t="n"/>
      <c r="U149" s="772" t="n"/>
      <c r="V149" s="772" t="n"/>
      <c r="W149" s="772" t="n"/>
      <c r="X149" s="772" t="n"/>
      <c r="Y149" s="772" t="n"/>
      <c r="Z149" s="772" t="n"/>
      <c r="AA149" s="772" t="n"/>
      <c r="AB149" s="772" t="n"/>
      <c r="AC149" s="772" t="n"/>
      <c r="AD149" s="772" t="n"/>
      <c r="AE149" s="772" t="n"/>
      <c r="AF149" s="772" t="n"/>
      <c r="AG149" s="772" t="n"/>
      <c r="AH149" s="772" t="n"/>
      <c r="AI149" s="772" t="n"/>
      <c r="AJ149" s="772" t="n"/>
      <c r="AK149" s="772" t="n"/>
      <c r="AL149" s="772" t="n"/>
      <c r="AM149" s="772" t="n"/>
      <c r="AN149" s="772" t="n"/>
      <c r="AO149" s="772" t="n"/>
      <c r="AP149" s="772" t="n"/>
      <c r="AQ149" s="772" t="n"/>
      <c r="AR149" s="772" t="n"/>
      <c r="AS149" s="772" t="n"/>
      <c r="AT149" s="772" t="n"/>
      <c r="AU149" s="772" t="n"/>
      <c r="AV149" s="772" t="n"/>
      <c r="AW149" s="772" t="n"/>
      <c r="AX149" s="772" t="n"/>
      <c r="AY149" s="772" t="n"/>
      <c r="AZ149" s="772" t="n"/>
      <c r="BA149" s="772" t="n"/>
      <c r="BB149" s="772" t="n"/>
      <c r="BC149" s="772" t="n"/>
      <c r="BD149" s="772" t="n"/>
      <c r="BE149" s="731" t="n"/>
      <c r="BF149" s="731" t="n"/>
      <c r="BG149" s="731" t="n"/>
    </row>
    <row r="150">
      <c r="A150" s="772" t="n"/>
      <c r="B150" s="772" t="n"/>
      <c r="C150" s="772" t="n"/>
      <c r="D150" s="772" t="n"/>
      <c r="E150" s="772" t="n"/>
      <c r="F150" s="772" t="n"/>
      <c r="G150" s="772" t="n"/>
      <c r="H150" s="772" t="n"/>
      <c r="I150" s="772" t="n"/>
      <c r="J150" s="772" t="n"/>
      <c r="K150" s="772" t="n"/>
      <c r="L150" s="772" t="n"/>
      <c r="M150" s="772" t="n"/>
      <c r="N150" s="772" t="n"/>
      <c r="O150" s="772" t="n"/>
      <c r="P150" s="772" t="n"/>
      <c r="Q150" s="772" t="n"/>
      <c r="R150" s="772" t="n"/>
      <c r="S150" s="772" t="n"/>
      <c r="T150" s="772" t="n"/>
      <c r="U150" s="772" t="n"/>
      <c r="V150" s="772" t="n"/>
      <c r="W150" s="772" t="n"/>
      <c r="X150" s="772" t="n"/>
      <c r="Y150" s="772" t="n"/>
      <c r="Z150" s="772" t="n"/>
      <c r="AA150" s="772" t="n"/>
      <c r="AB150" s="772" t="n"/>
      <c r="AC150" s="772" t="n"/>
      <c r="AD150" s="772" t="n"/>
      <c r="AE150" s="772" t="n"/>
      <c r="AF150" s="772" t="n"/>
      <c r="AG150" s="772" t="n"/>
      <c r="AH150" s="772" t="n"/>
      <c r="AI150" s="772" t="n"/>
      <c r="AJ150" s="772" t="n"/>
      <c r="AK150" s="772" t="n"/>
      <c r="AL150" s="772" t="n"/>
      <c r="AM150" s="772" t="n"/>
      <c r="AN150" s="772" t="n"/>
      <c r="AO150" s="772" t="n"/>
      <c r="AP150" s="772" t="n"/>
      <c r="AQ150" s="772" t="n"/>
      <c r="AR150" s="772" t="n"/>
      <c r="AS150" s="772" t="n"/>
      <c r="AT150" s="772" t="n"/>
      <c r="AU150" s="772" t="n"/>
      <c r="AV150" s="772" t="n"/>
      <c r="AW150" s="772" t="n"/>
      <c r="AX150" s="772" t="n"/>
      <c r="AY150" s="772" t="n"/>
      <c r="AZ150" s="772" t="n"/>
      <c r="BA150" s="772" t="n"/>
      <c r="BB150" s="772" t="n"/>
      <c r="BC150" s="772" t="n"/>
      <c r="BD150" s="772" t="n"/>
      <c r="BE150" s="731" t="n"/>
      <c r="BF150" s="731" t="n"/>
      <c r="BG150" s="731" t="n"/>
    </row>
    <row r="151">
      <c r="A151" s="772" t="n"/>
      <c r="B151" s="772" t="n"/>
      <c r="C151" s="772" t="n"/>
      <c r="D151" s="772" t="n"/>
      <c r="E151" s="772" t="n"/>
      <c r="F151" s="772" t="n"/>
      <c r="G151" s="772" t="n"/>
      <c r="H151" s="772" t="n"/>
      <c r="I151" s="772" t="n"/>
      <c r="J151" s="772" t="n"/>
      <c r="K151" s="772" t="n"/>
      <c r="L151" s="772" t="n"/>
      <c r="M151" s="772" t="n"/>
      <c r="N151" s="772" t="n"/>
      <c r="O151" s="772" t="n"/>
      <c r="P151" s="772" t="n"/>
      <c r="Q151" s="772" t="n"/>
      <c r="R151" s="772" t="n"/>
      <c r="S151" s="772" t="n"/>
      <c r="T151" s="772" t="n"/>
      <c r="U151" s="772" t="n"/>
      <c r="V151" s="772" t="n"/>
      <c r="W151" s="772" t="n"/>
      <c r="X151" s="772" t="n"/>
      <c r="Y151" s="772" t="n"/>
      <c r="Z151" s="772" t="n"/>
      <c r="AA151" s="772" t="n"/>
      <c r="AB151" s="772" t="n"/>
      <c r="AC151" s="772" t="n"/>
      <c r="AD151" s="772" t="n"/>
      <c r="AE151" s="772" t="n"/>
      <c r="AF151" s="772" t="n"/>
      <c r="AG151" s="772" t="n"/>
      <c r="AH151" s="772" t="n"/>
      <c r="AI151" s="772" t="n"/>
      <c r="AJ151" s="772" t="n"/>
      <c r="AK151" s="772" t="n"/>
      <c r="AL151" s="772" t="n"/>
      <c r="AM151" s="772" t="n"/>
      <c r="AN151" s="772" t="n"/>
      <c r="AO151" s="772" t="n"/>
      <c r="AP151" s="772" t="n"/>
      <c r="AQ151" s="772" t="n"/>
      <c r="AR151" s="772" t="n"/>
      <c r="AS151" s="772" t="n"/>
      <c r="AT151" s="772" t="n"/>
      <c r="AU151" s="772" t="n"/>
      <c r="AV151" s="772" t="n"/>
      <c r="AW151" s="772" t="n"/>
      <c r="AX151" s="772" t="n"/>
      <c r="AY151" s="772" t="n"/>
      <c r="AZ151" s="772" t="n"/>
      <c r="BA151" s="772" t="n"/>
      <c r="BB151" s="772" t="n"/>
      <c r="BC151" s="772" t="n"/>
      <c r="BD151" s="772" t="n"/>
      <c r="BE151" s="731" t="n"/>
      <c r="BF151" s="731" t="n"/>
      <c r="BG151" s="731" t="n"/>
    </row>
    <row r="152">
      <c r="A152" s="772" t="n"/>
      <c r="B152" s="772" t="n"/>
      <c r="C152" s="772" t="n"/>
      <c r="D152" s="772" t="n"/>
      <c r="E152" s="772" t="n"/>
      <c r="F152" s="772" t="n"/>
      <c r="G152" s="772" t="n"/>
      <c r="H152" s="772" t="n"/>
      <c r="I152" s="772" t="n"/>
      <c r="J152" s="772" t="n"/>
      <c r="K152" s="772" t="n"/>
      <c r="L152" s="772" t="n"/>
      <c r="M152" s="772" t="n"/>
      <c r="N152" s="772" t="n"/>
      <c r="O152" s="772" t="n"/>
      <c r="P152" s="772" t="n"/>
      <c r="Q152" s="772" t="n"/>
      <c r="R152" s="772" t="n"/>
      <c r="S152" s="772" t="n"/>
      <c r="T152" s="772" t="n"/>
      <c r="U152" s="772" t="n"/>
      <c r="V152" s="772" t="n"/>
      <c r="W152" s="772" t="n"/>
      <c r="X152" s="772" t="n"/>
      <c r="Y152" s="772" t="n"/>
      <c r="Z152" s="772" t="n"/>
      <c r="AA152" s="772" t="n"/>
      <c r="AB152" s="772" t="n"/>
      <c r="AC152" s="772" t="n"/>
      <c r="AD152" s="772" t="n"/>
      <c r="AE152" s="772" t="n"/>
      <c r="AF152" s="772" t="n"/>
      <c r="AG152" s="772" t="n"/>
      <c r="AH152" s="772" t="n"/>
      <c r="AI152" s="772" t="n"/>
      <c r="AJ152" s="772" t="n"/>
      <c r="AK152" s="772" t="n"/>
      <c r="AL152" s="772" t="n"/>
      <c r="AM152" s="772" t="n"/>
      <c r="AN152" s="772" t="n"/>
      <c r="AO152" s="772" t="n"/>
      <c r="AP152" s="772" t="n"/>
      <c r="AQ152" s="772" t="n"/>
      <c r="AR152" s="772" t="n"/>
      <c r="AS152" s="772" t="n"/>
      <c r="AT152" s="772" t="n"/>
      <c r="AU152" s="772" t="n"/>
      <c r="AV152" s="772" t="n"/>
      <c r="AW152" s="772" t="n"/>
      <c r="AX152" s="772" t="n"/>
      <c r="AY152" s="772" t="n"/>
      <c r="AZ152" s="772" t="n"/>
      <c r="BA152" s="772" t="n"/>
      <c r="BB152" s="772" t="n"/>
      <c r="BC152" s="772" t="n"/>
      <c r="BD152" s="772" t="n"/>
      <c r="BE152" s="731" t="n"/>
      <c r="BF152" s="731" t="n"/>
      <c r="BG152" s="731" t="n"/>
    </row>
    <row r="153">
      <c r="A153" s="772" t="n"/>
      <c r="B153" s="772" t="n"/>
      <c r="C153" s="772" t="n"/>
      <c r="D153" s="772" t="n"/>
      <c r="E153" s="772" t="n"/>
      <c r="F153" s="772" t="n"/>
      <c r="G153" s="772" t="n"/>
      <c r="H153" s="772" t="n"/>
      <c r="I153" s="772" t="n"/>
      <c r="J153" s="772" t="n"/>
      <c r="K153" s="772" t="n"/>
      <c r="L153" s="772" t="n"/>
      <c r="M153" s="772" t="n"/>
      <c r="N153" s="772" t="n"/>
      <c r="O153" s="772" t="n"/>
      <c r="P153" s="772" t="n"/>
      <c r="Q153" s="772" t="n"/>
      <c r="R153" s="772" t="n"/>
      <c r="S153" s="772" t="n"/>
      <c r="T153" s="772" t="n"/>
      <c r="U153" s="772" t="n"/>
      <c r="V153" s="772" t="n"/>
      <c r="W153" s="772" t="n"/>
      <c r="X153" s="772" t="n"/>
      <c r="Y153" s="772" t="n"/>
      <c r="Z153" s="772" t="n"/>
      <c r="AA153" s="772" t="n"/>
      <c r="AB153" s="772" t="n"/>
      <c r="AC153" s="772" t="n"/>
      <c r="AD153" s="772" t="n"/>
      <c r="AE153" s="772" t="n"/>
      <c r="AF153" s="772" t="n"/>
      <c r="AG153" s="772" t="n"/>
      <c r="AH153" s="772" t="n"/>
      <c r="AI153" s="772" t="n"/>
      <c r="AJ153" s="772" t="n"/>
      <c r="AK153" s="772" t="n"/>
      <c r="AL153" s="772" t="n"/>
      <c r="AM153" s="772" t="n"/>
      <c r="AN153" s="772" t="n"/>
      <c r="AO153" s="772" t="n"/>
      <c r="AP153" s="772" t="n"/>
      <c r="AQ153" s="772" t="n"/>
      <c r="AR153" s="772" t="n"/>
      <c r="AS153" s="772" t="n"/>
      <c r="AT153" s="772" t="n"/>
      <c r="AU153" s="772" t="n"/>
      <c r="AV153" s="772" t="n"/>
      <c r="AW153" s="772" t="n"/>
      <c r="AX153" s="772" t="n"/>
      <c r="AY153" s="772" t="n"/>
      <c r="AZ153" s="772" t="n"/>
      <c r="BA153" s="772" t="n"/>
      <c r="BB153" s="772" t="n"/>
      <c r="BC153" s="772" t="n"/>
      <c r="BD153" s="772" t="n"/>
      <c r="BE153" s="731" t="n"/>
      <c r="BF153" s="731" t="n"/>
      <c r="BG153" s="731" t="n"/>
    </row>
    <row r="154">
      <c r="A154" s="772" t="n"/>
      <c r="B154" s="772" t="n"/>
      <c r="C154" s="772" t="n"/>
      <c r="D154" s="772" t="n"/>
      <c r="E154" s="772" t="n"/>
      <c r="F154" s="772" t="n"/>
      <c r="G154" s="772" t="n"/>
      <c r="H154" s="772" t="n"/>
      <c r="I154" s="772" t="n"/>
      <c r="J154" s="772" t="n"/>
      <c r="K154" s="772" t="n"/>
      <c r="L154" s="772" t="n"/>
      <c r="M154" s="772" t="n"/>
      <c r="N154" s="772" t="n"/>
      <c r="O154" s="772" t="n"/>
      <c r="P154" s="772" t="n"/>
      <c r="Q154" s="772" t="n"/>
      <c r="R154" s="772" t="n"/>
      <c r="S154" s="772" t="n"/>
      <c r="T154" s="772" t="n"/>
      <c r="U154" s="772" t="n"/>
      <c r="V154" s="772" t="n"/>
      <c r="W154" s="772" t="n"/>
      <c r="X154" s="772" t="n"/>
      <c r="Y154" s="772" t="n"/>
      <c r="Z154" s="772" t="n"/>
      <c r="AA154" s="772" t="n"/>
      <c r="AB154" s="772" t="n"/>
      <c r="AC154" s="772" t="n"/>
      <c r="AD154" s="772" t="n"/>
      <c r="AE154" s="772" t="n"/>
      <c r="AF154" s="772" t="n"/>
      <c r="AG154" s="772" t="n"/>
      <c r="AH154" s="772" t="n"/>
      <c r="AI154" s="772" t="n"/>
      <c r="AJ154" s="772" t="n"/>
      <c r="AK154" s="772" t="n"/>
      <c r="AL154" s="772" t="n"/>
      <c r="AM154" s="772" t="n"/>
      <c r="AN154" s="772" t="n"/>
      <c r="AO154" s="772" t="n"/>
      <c r="AP154" s="772" t="n"/>
      <c r="AQ154" s="772" t="n"/>
      <c r="AR154" s="772" t="n"/>
      <c r="AS154" s="772" t="n"/>
      <c r="AT154" s="772" t="n"/>
      <c r="AU154" s="772" t="n"/>
      <c r="AV154" s="772" t="n"/>
      <c r="AW154" s="772" t="n"/>
      <c r="AX154" s="772" t="n"/>
      <c r="AY154" s="772" t="n"/>
      <c r="AZ154" s="772" t="n"/>
      <c r="BA154" s="772" t="n"/>
      <c r="BB154" s="772" t="n"/>
      <c r="BC154" s="772" t="n"/>
      <c r="BD154" s="772" t="n"/>
      <c r="BE154" s="731" t="n"/>
      <c r="BF154" s="731" t="n"/>
      <c r="BG154" s="731" t="n"/>
    </row>
    <row r="155">
      <c r="A155" s="772" t="n"/>
      <c r="B155" s="772" t="n"/>
      <c r="C155" s="772" t="n"/>
      <c r="D155" s="772" t="n"/>
      <c r="E155" s="772" t="n"/>
      <c r="F155" s="772" t="n"/>
      <c r="G155" s="772" t="n"/>
      <c r="H155" s="772" t="n"/>
      <c r="I155" s="772" t="n"/>
      <c r="J155" s="772" t="n"/>
      <c r="K155" s="772" t="n"/>
      <c r="L155" s="772" t="n"/>
      <c r="M155" s="772" t="n"/>
      <c r="N155" s="772" t="n"/>
      <c r="O155" s="772" t="n"/>
      <c r="P155" s="772" t="n"/>
      <c r="Q155" s="772" t="n"/>
      <c r="R155" s="772" t="n"/>
      <c r="S155" s="772" t="n"/>
      <c r="T155" s="772" t="n"/>
      <c r="U155" s="772" t="n"/>
      <c r="V155" s="772" t="n"/>
      <c r="W155" s="772" t="n"/>
      <c r="X155" s="772" t="n"/>
      <c r="Y155" s="772" t="n"/>
      <c r="Z155" s="772" t="n"/>
      <c r="AA155" s="772" t="n"/>
      <c r="AB155" s="772" t="n"/>
      <c r="AC155" s="772" t="n"/>
      <c r="AD155" s="772" t="n"/>
      <c r="AE155" s="772" t="n"/>
      <c r="AF155" s="772" t="n"/>
      <c r="AG155" s="772" t="n"/>
      <c r="AH155" s="772" t="n"/>
      <c r="AI155" s="772" t="n"/>
      <c r="AJ155" s="772" t="n"/>
      <c r="AK155" s="772" t="n"/>
      <c r="AL155" s="772" t="n"/>
      <c r="AM155" s="772" t="n"/>
      <c r="AN155" s="772" t="n"/>
      <c r="AO155" s="772" t="n"/>
      <c r="AP155" s="772" t="n"/>
      <c r="AQ155" s="772" t="n"/>
      <c r="AR155" s="772" t="n"/>
      <c r="AS155" s="772" t="n"/>
      <c r="AT155" s="772" t="n"/>
      <c r="AU155" s="772" t="n"/>
      <c r="AV155" s="772" t="n"/>
      <c r="AW155" s="772" t="n"/>
      <c r="AX155" s="772" t="n"/>
      <c r="AY155" s="772" t="n"/>
      <c r="AZ155" s="772" t="n"/>
      <c r="BA155" s="772" t="n"/>
      <c r="BB155" s="772" t="n"/>
      <c r="BC155" s="772" t="n"/>
      <c r="BD155" s="772" t="n"/>
      <c r="BE155" s="731" t="n"/>
      <c r="BF155" s="731" t="n"/>
      <c r="BG155" s="731" t="n"/>
    </row>
    <row r="156">
      <c r="A156" s="772" t="n"/>
      <c r="B156" s="772" t="n"/>
      <c r="C156" s="772" t="n"/>
      <c r="D156" s="772" t="n"/>
      <c r="E156" s="772" t="n"/>
      <c r="F156" s="772" t="n"/>
      <c r="G156" s="772" t="n"/>
      <c r="H156" s="772" t="n"/>
      <c r="I156" s="772" t="n"/>
      <c r="J156" s="772" t="n"/>
      <c r="K156" s="772" t="n"/>
      <c r="L156" s="772" t="n"/>
      <c r="M156" s="772" t="n"/>
      <c r="N156" s="772" t="n"/>
      <c r="O156" s="772" t="n"/>
      <c r="P156" s="772" t="n"/>
      <c r="Q156" s="772" t="n"/>
      <c r="R156" s="772" t="n"/>
      <c r="S156" s="772" t="n"/>
      <c r="T156" s="772" t="n"/>
      <c r="U156" s="772" t="n"/>
      <c r="V156" s="772" t="n"/>
      <c r="W156" s="772" t="n"/>
      <c r="X156" s="772" t="n"/>
      <c r="Y156" s="772" t="n"/>
      <c r="Z156" s="772" t="n"/>
      <c r="AA156" s="772" t="n"/>
      <c r="AB156" s="772" t="n"/>
      <c r="AC156" s="772" t="n"/>
      <c r="AD156" s="772" t="n"/>
      <c r="AE156" s="772" t="n"/>
      <c r="AF156" s="772" t="n"/>
      <c r="AG156" s="772" t="n"/>
      <c r="AH156" s="772" t="n"/>
      <c r="AI156" s="772" t="n"/>
      <c r="AJ156" s="772" t="n"/>
      <c r="AK156" s="772" t="n"/>
      <c r="AL156" s="772" t="n"/>
      <c r="AM156" s="772" t="n"/>
      <c r="AN156" s="772" t="n"/>
      <c r="AO156" s="772" t="n"/>
      <c r="AP156" s="772" t="n"/>
      <c r="AQ156" s="772" t="n"/>
      <c r="AR156" s="772" t="n"/>
      <c r="AS156" s="772" t="n"/>
      <c r="AT156" s="772" t="n"/>
      <c r="AU156" s="772" t="n"/>
      <c r="AV156" s="772" t="n"/>
      <c r="AW156" s="772" t="n"/>
      <c r="AX156" s="772" t="n"/>
      <c r="AY156" s="772" t="n"/>
      <c r="AZ156" s="772" t="n"/>
      <c r="BA156" s="772" t="n"/>
      <c r="BB156" s="772" t="n"/>
      <c r="BC156" s="772" t="n"/>
      <c r="BD156" s="772" t="n"/>
      <c r="BE156" s="731" t="n"/>
      <c r="BF156" s="731" t="n"/>
      <c r="BG156" s="731" t="n"/>
    </row>
    <row r="157">
      <c r="A157" s="772" t="n"/>
      <c r="B157" s="772" t="n"/>
      <c r="C157" s="772" t="n"/>
      <c r="D157" s="772" t="n"/>
      <c r="E157" s="772" t="n"/>
      <c r="F157" s="772" t="n"/>
      <c r="G157" s="772" t="n"/>
      <c r="H157" s="772" t="n"/>
      <c r="I157" s="772" t="n"/>
      <c r="J157" s="772" t="n"/>
      <c r="K157" s="772" t="n"/>
      <c r="L157" s="772" t="n"/>
      <c r="M157" s="772" t="n"/>
      <c r="N157" s="772" t="n"/>
      <c r="O157" s="772" t="n"/>
      <c r="P157" s="772" t="n"/>
      <c r="Q157" s="772" t="n"/>
      <c r="R157" s="772" t="n"/>
      <c r="S157" s="772" t="n"/>
      <c r="T157" s="772" t="n"/>
      <c r="U157" s="772" t="n"/>
      <c r="V157" s="772" t="n"/>
      <c r="W157" s="772" t="n"/>
      <c r="X157" s="772" t="n"/>
      <c r="Y157" s="772" t="n"/>
      <c r="Z157" s="772" t="n"/>
      <c r="AA157" s="772" t="n"/>
      <c r="AB157" s="772" t="n"/>
      <c r="AC157" s="772" t="n"/>
      <c r="AD157" s="772" t="n"/>
      <c r="AE157" s="772" t="n"/>
      <c r="AF157" s="772" t="n"/>
      <c r="AG157" s="772" t="n"/>
      <c r="AH157" s="772" t="n"/>
      <c r="AI157" s="772" t="n"/>
      <c r="AJ157" s="772" t="n"/>
      <c r="AK157" s="772" t="n"/>
      <c r="AL157" s="772" t="n"/>
      <c r="AM157" s="772" t="n"/>
      <c r="AN157" s="772" t="n"/>
      <c r="AO157" s="772" t="n"/>
      <c r="AP157" s="772" t="n"/>
      <c r="AQ157" s="772" t="n"/>
      <c r="AR157" s="772" t="n"/>
      <c r="AS157" s="772" t="n"/>
      <c r="AT157" s="772" t="n"/>
      <c r="AU157" s="772" t="n"/>
      <c r="AV157" s="772" t="n"/>
      <c r="AW157" s="772" t="n"/>
      <c r="AX157" s="772" t="n"/>
      <c r="AY157" s="772" t="n"/>
      <c r="AZ157" s="772" t="n"/>
      <c r="BA157" s="772" t="n"/>
      <c r="BB157" s="772" t="n"/>
      <c r="BC157" s="772" t="n"/>
      <c r="BD157" s="772" t="n"/>
      <c r="BE157" s="731" t="n"/>
      <c r="BF157" s="731" t="n"/>
      <c r="BG157" s="731" t="n"/>
    </row>
    <row r="158">
      <c r="A158" s="772" t="n"/>
      <c r="B158" s="772" t="n"/>
      <c r="C158" s="772" t="n"/>
      <c r="D158" s="772" t="n"/>
      <c r="E158" s="772" t="n"/>
      <c r="F158" s="772" t="n"/>
      <c r="G158" s="772" t="n"/>
      <c r="H158" s="772" t="n"/>
      <c r="I158" s="772" t="n"/>
      <c r="J158" s="772" t="n"/>
      <c r="K158" s="772" t="n"/>
      <c r="L158" s="772" t="n"/>
      <c r="M158" s="772" t="n"/>
      <c r="N158" s="772" t="n"/>
      <c r="O158" s="772" t="n"/>
      <c r="P158" s="772" t="n"/>
      <c r="Q158" s="772" t="n"/>
      <c r="R158" s="772" t="n"/>
      <c r="S158" s="772" t="n"/>
      <c r="T158" s="772" t="n"/>
      <c r="U158" s="772" t="n"/>
      <c r="V158" s="772" t="n"/>
      <c r="W158" s="772" t="n"/>
      <c r="X158" s="772" t="n"/>
      <c r="Y158" s="772" t="n"/>
      <c r="Z158" s="772" t="n"/>
      <c r="AA158" s="772" t="n"/>
      <c r="AB158" s="772" t="n"/>
      <c r="AC158" s="772" t="n"/>
      <c r="AD158" s="772" t="n"/>
      <c r="AE158" s="772" t="n"/>
      <c r="AF158" s="772" t="n"/>
      <c r="AG158" s="772" t="n"/>
      <c r="AH158" s="772" t="n"/>
      <c r="AI158" s="772" t="n"/>
      <c r="AJ158" s="772" t="n"/>
      <c r="AK158" s="772" t="n"/>
      <c r="AL158" s="772" t="n"/>
      <c r="AM158" s="772" t="n"/>
      <c r="AN158" s="772" t="n"/>
      <c r="AO158" s="772" t="n"/>
      <c r="AP158" s="772" t="n"/>
      <c r="AQ158" s="772" t="n"/>
      <c r="AR158" s="772" t="n"/>
      <c r="AS158" s="772" t="n"/>
      <c r="AT158" s="772" t="n"/>
      <c r="AU158" s="772" t="n"/>
      <c r="AV158" s="772" t="n"/>
      <c r="AW158" s="772" t="n"/>
      <c r="AX158" s="772" t="n"/>
      <c r="AY158" s="772" t="n"/>
      <c r="AZ158" s="772" t="n"/>
      <c r="BA158" s="772" t="n"/>
      <c r="BB158" s="772" t="n"/>
      <c r="BC158" s="772" t="n"/>
      <c r="BD158" s="772" t="n"/>
      <c r="BE158" s="731" t="n"/>
      <c r="BF158" s="731" t="n"/>
      <c r="BG158" s="731" t="n"/>
    </row>
    <row r="159">
      <c r="A159" s="772" t="n"/>
      <c r="B159" s="772" t="n"/>
      <c r="C159" s="772" t="n"/>
      <c r="D159" s="772" t="n"/>
      <c r="E159" s="772" t="n"/>
      <c r="F159" s="772" t="n"/>
      <c r="G159" s="772" t="n"/>
      <c r="H159" s="772" t="n"/>
      <c r="I159" s="772" t="n"/>
      <c r="J159" s="772" t="n"/>
      <c r="K159" s="772" t="n"/>
      <c r="L159" s="772" t="n"/>
      <c r="M159" s="772" t="n"/>
      <c r="N159" s="772" t="n"/>
      <c r="O159" s="772" t="n"/>
      <c r="P159" s="772" t="n"/>
      <c r="Q159" s="772" t="n"/>
      <c r="R159" s="772" t="n"/>
      <c r="S159" s="772" t="n"/>
      <c r="T159" s="772" t="n"/>
      <c r="U159" s="772" t="n"/>
      <c r="V159" s="772" t="n"/>
      <c r="W159" s="772" t="n"/>
      <c r="X159" s="772" t="n"/>
      <c r="Y159" s="772" t="n"/>
      <c r="Z159" s="772" t="n"/>
      <c r="AA159" s="772" t="n"/>
      <c r="AB159" s="772" t="n"/>
      <c r="AC159" s="772" t="n"/>
      <c r="AD159" s="772" t="n"/>
      <c r="AE159" s="772" t="n"/>
      <c r="AF159" s="772" t="n"/>
      <c r="AG159" s="772" t="n"/>
      <c r="AH159" s="772" t="n"/>
      <c r="AI159" s="772" t="n"/>
      <c r="AJ159" s="772" t="n"/>
      <c r="AK159" s="772" t="n"/>
      <c r="AL159" s="772" t="n"/>
      <c r="AM159" s="772" t="n"/>
      <c r="AN159" s="772" t="n"/>
      <c r="AO159" s="772" t="n"/>
      <c r="AP159" s="772" t="n"/>
      <c r="AQ159" s="772" t="n"/>
      <c r="AR159" s="772" t="n"/>
      <c r="AS159" s="772" t="n"/>
      <c r="AT159" s="772" t="n"/>
      <c r="AU159" s="772" t="n"/>
      <c r="AV159" s="772" t="n"/>
      <c r="AW159" s="772" t="n"/>
      <c r="AX159" s="772" t="n"/>
      <c r="AY159" s="772" t="n"/>
      <c r="AZ159" s="772" t="n"/>
      <c r="BA159" s="772" t="n"/>
      <c r="BB159" s="772" t="n"/>
      <c r="BC159" s="772" t="n"/>
      <c r="BD159" s="772" t="n"/>
      <c r="BE159" s="731" t="n"/>
      <c r="BF159" s="731" t="n"/>
      <c r="BG159" s="731" t="n"/>
    </row>
    <row r="160">
      <c r="A160" s="772" t="n"/>
      <c r="B160" s="772" t="n"/>
      <c r="C160" s="772" t="n"/>
      <c r="D160" s="772" t="n"/>
      <c r="E160" s="772" t="n"/>
      <c r="F160" s="772" t="n"/>
      <c r="G160" s="772" t="n"/>
      <c r="H160" s="772" t="n"/>
      <c r="I160" s="772" t="n"/>
      <c r="J160" s="772" t="n"/>
      <c r="K160" s="772" t="n"/>
      <c r="L160" s="772" t="n"/>
      <c r="M160" s="772" t="n"/>
      <c r="N160" s="772" t="n"/>
      <c r="O160" s="772" t="n"/>
      <c r="P160" s="772" t="n"/>
      <c r="Q160" s="772" t="n"/>
      <c r="R160" s="772" t="n"/>
      <c r="S160" s="772" t="n"/>
      <c r="T160" s="772" t="n"/>
      <c r="U160" s="772" t="n"/>
      <c r="V160" s="772" t="n"/>
      <c r="W160" s="772" t="n"/>
      <c r="X160" s="772" t="n"/>
      <c r="Y160" s="772" t="n"/>
      <c r="Z160" s="772" t="n"/>
      <c r="AA160" s="772" t="n"/>
      <c r="AB160" s="772" t="n"/>
      <c r="AC160" s="772" t="n"/>
      <c r="AD160" s="772" t="n"/>
      <c r="AE160" s="772" t="n"/>
      <c r="AF160" s="772" t="n"/>
      <c r="AG160" s="772" t="n"/>
      <c r="AH160" s="772" t="n"/>
      <c r="AI160" s="772" t="n"/>
      <c r="AJ160" s="772" t="n"/>
      <c r="AK160" s="772" t="n"/>
      <c r="AL160" s="772" t="n"/>
      <c r="AM160" s="772" t="n"/>
      <c r="AN160" s="772" t="n"/>
      <c r="AO160" s="772" t="n"/>
      <c r="AP160" s="772" t="n"/>
      <c r="AQ160" s="772" t="n"/>
      <c r="AR160" s="772" t="n"/>
      <c r="AS160" s="772" t="n"/>
      <c r="AT160" s="772" t="n"/>
      <c r="AU160" s="772" t="n"/>
      <c r="AV160" s="772" t="n"/>
      <c r="AW160" s="772" t="n"/>
      <c r="AX160" s="772" t="n"/>
      <c r="AY160" s="772" t="n"/>
      <c r="AZ160" s="772" t="n"/>
      <c r="BA160" s="772" t="n"/>
      <c r="BB160" s="772" t="n"/>
      <c r="BC160" s="772" t="n"/>
      <c r="BD160" s="772" t="n"/>
      <c r="BE160" s="731" t="n"/>
      <c r="BF160" s="731" t="n"/>
      <c r="BG160" s="731" t="n"/>
    </row>
    <row r="161">
      <c r="A161" s="772" t="n"/>
      <c r="B161" s="772" t="n"/>
      <c r="C161" s="772" t="n"/>
      <c r="D161" s="772" t="n"/>
      <c r="E161" s="772" t="n"/>
      <c r="F161" s="772" t="n"/>
      <c r="G161" s="772" t="n"/>
      <c r="H161" s="772" t="n"/>
      <c r="I161" s="772" t="n"/>
      <c r="J161" s="772" t="n"/>
      <c r="K161" s="772" t="n"/>
      <c r="L161" s="772" t="n"/>
      <c r="M161" s="772" t="n"/>
      <c r="N161" s="772" t="n"/>
      <c r="O161" s="772" t="n"/>
      <c r="P161" s="772" t="n"/>
      <c r="Q161" s="772" t="n"/>
      <c r="R161" s="772" t="n"/>
      <c r="S161" s="772" t="n"/>
      <c r="T161" s="772" t="n"/>
      <c r="U161" s="772" t="n"/>
      <c r="V161" s="772" t="n"/>
      <c r="W161" s="772" t="n"/>
      <c r="X161" s="772" t="n"/>
      <c r="Y161" s="772" t="n"/>
      <c r="Z161" s="772" t="n"/>
      <c r="AA161" s="772" t="n"/>
      <c r="AB161" s="772" t="n"/>
      <c r="AC161" s="772" t="n"/>
      <c r="AD161" s="772" t="n"/>
      <c r="AE161" s="772" t="n"/>
      <c r="AF161" s="772" t="n"/>
      <c r="AG161" s="772" t="n"/>
      <c r="AH161" s="772" t="n"/>
      <c r="AI161" s="772" t="n"/>
      <c r="AJ161" s="772" t="n"/>
      <c r="AK161" s="772" t="n"/>
      <c r="AL161" s="772" t="n"/>
      <c r="AM161" s="772" t="n"/>
      <c r="AN161" s="772" t="n"/>
      <c r="AO161" s="772" t="n"/>
      <c r="AP161" s="772" t="n"/>
      <c r="AQ161" s="772" t="n"/>
      <c r="AR161" s="772" t="n"/>
      <c r="AS161" s="772" t="n"/>
      <c r="AT161" s="772" t="n"/>
      <c r="AU161" s="772" t="n"/>
      <c r="AV161" s="772" t="n"/>
      <c r="AW161" s="772" t="n"/>
      <c r="AX161" s="772" t="n"/>
      <c r="AY161" s="772" t="n"/>
      <c r="AZ161" s="772" t="n"/>
      <c r="BA161" s="772" t="n"/>
      <c r="BB161" s="772" t="n"/>
      <c r="BC161" s="772" t="n"/>
      <c r="BD161" s="772" t="n"/>
      <c r="BE161" s="731" t="n"/>
      <c r="BF161" s="731" t="n"/>
      <c r="BG161" s="731" t="n"/>
    </row>
    <row r="162">
      <c r="A162" s="772" t="n"/>
      <c r="B162" s="772" t="n"/>
      <c r="C162" s="772" t="n"/>
      <c r="D162" s="772" t="n"/>
      <c r="E162" s="772" t="n"/>
      <c r="F162" s="772" t="n"/>
      <c r="G162" s="772" t="n"/>
      <c r="H162" s="772" t="n"/>
      <c r="I162" s="772" t="n"/>
      <c r="J162" s="772" t="n"/>
      <c r="K162" s="772" t="n"/>
      <c r="L162" s="772" t="n"/>
      <c r="M162" s="772" t="n"/>
      <c r="N162" s="772" t="n"/>
      <c r="O162" s="772" t="n"/>
      <c r="P162" s="772" t="n"/>
      <c r="Q162" s="772" t="n"/>
      <c r="R162" s="772" t="n"/>
      <c r="S162" s="772" t="n"/>
      <c r="T162" s="772" t="n"/>
      <c r="U162" s="772" t="n"/>
      <c r="V162" s="772" t="n"/>
      <c r="W162" s="772" t="n"/>
      <c r="X162" s="772" t="n"/>
      <c r="Y162" s="772" t="n"/>
      <c r="Z162" s="772" t="n"/>
      <c r="AA162" s="772" t="n"/>
      <c r="AB162" s="772" t="n"/>
      <c r="AC162" s="772" t="n"/>
      <c r="AD162" s="772" t="n"/>
      <c r="AE162" s="772" t="n"/>
      <c r="AF162" s="772" t="n"/>
      <c r="AG162" s="772" t="n"/>
      <c r="AH162" s="772" t="n"/>
      <c r="AI162" s="772" t="n"/>
      <c r="AJ162" s="772" t="n"/>
      <c r="AK162" s="772" t="n"/>
      <c r="AL162" s="772" t="n"/>
      <c r="AM162" s="772" t="n"/>
      <c r="AN162" s="772" t="n"/>
      <c r="AO162" s="772" t="n"/>
      <c r="AP162" s="772" t="n"/>
      <c r="AQ162" s="772" t="n"/>
      <c r="AR162" s="772" t="n"/>
      <c r="AS162" s="772" t="n"/>
      <c r="AT162" s="772" t="n"/>
      <c r="AU162" s="772" t="n"/>
      <c r="AV162" s="772" t="n"/>
      <c r="AW162" s="772" t="n"/>
      <c r="AX162" s="772" t="n"/>
      <c r="AY162" s="772" t="n"/>
      <c r="AZ162" s="772" t="n"/>
      <c r="BA162" s="772" t="n"/>
      <c r="BB162" s="772" t="n"/>
      <c r="BC162" s="772" t="n"/>
      <c r="BD162" s="772" t="n"/>
      <c r="BE162" s="731" t="n"/>
      <c r="BF162" s="731" t="n"/>
      <c r="BG162" s="731" t="n"/>
    </row>
    <row r="163">
      <c r="A163" s="772" t="n"/>
      <c r="B163" s="772" t="n"/>
      <c r="C163" s="772" t="n"/>
      <c r="D163" s="772" t="n"/>
      <c r="E163" s="772" t="n"/>
      <c r="F163" s="772" t="n"/>
      <c r="G163" s="772" t="n"/>
      <c r="H163" s="772" t="n"/>
      <c r="I163" s="772" t="n"/>
      <c r="J163" s="772" t="n"/>
      <c r="K163" s="772" t="n"/>
      <c r="L163" s="772" t="n"/>
      <c r="M163" s="772" t="n"/>
      <c r="N163" s="772" t="n"/>
      <c r="O163" s="772" t="n"/>
      <c r="P163" s="772" t="n"/>
      <c r="Q163" s="772" t="n"/>
      <c r="R163" s="772" t="n"/>
      <c r="S163" s="772" t="n"/>
      <c r="T163" s="772" t="n"/>
      <c r="U163" s="772" t="n"/>
      <c r="V163" s="772" t="n"/>
      <c r="W163" s="772" t="n"/>
      <c r="X163" s="772" t="n"/>
      <c r="Y163" s="772" t="n"/>
      <c r="Z163" s="772" t="n"/>
      <c r="AA163" s="772" t="n"/>
      <c r="AB163" s="772" t="n"/>
      <c r="AC163" s="772" t="n"/>
      <c r="AD163" s="772" t="n"/>
      <c r="AE163" s="772" t="n"/>
      <c r="AF163" s="772" t="n"/>
      <c r="AG163" s="772" t="n"/>
      <c r="AH163" s="772" t="n"/>
      <c r="AI163" s="772" t="n"/>
      <c r="AJ163" s="772" t="n"/>
      <c r="AK163" s="772" t="n"/>
      <c r="AL163" s="772" t="n"/>
      <c r="AM163" s="772" t="n"/>
      <c r="AN163" s="772" t="n"/>
      <c r="AO163" s="772" t="n"/>
      <c r="AP163" s="772" t="n"/>
      <c r="AQ163" s="772" t="n"/>
      <c r="AR163" s="772" t="n"/>
      <c r="AS163" s="772" t="n"/>
      <c r="AT163" s="772" t="n"/>
      <c r="AU163" s="772" t="n"/>
      <c r="AV163" s="772" t="n"/>
      <c r="AW163" s="772" t="n"/>
      <c r="AX163" s="772" t="n"/>
      <c r="AY163" s="772" t="n"/>
      <c r="AZ163" s="772" t="n"/>
      <c r="BA163" s="772" t="n"/>
      <c r="BB163" s="772" t="n"/>
      <c r="BC163" s="772" t="n"/>
      <c r="BD163" s="772" t="n"/>
      <c r="BE163" s="731" t="n"/>
      <c r="BF163" s="731" t="n"/>
      <c r="BG163" s="731" t="n"/>
    </row>
    <row r="164">
      <c r="A164" s="772" t="n"/>
      <c r="B164" s="772" t="n"/>
      <c r="C164" s="772" t="n"/>
      <c r="D164" s="772" t="n"/>
      <c r="E164" s="772" t="n"/>
      <c r="F164" s="772" t="n"/>
      <c r="G164" s="772" t="n"/>
      <c r="H164" s="772" t="n"/>
      <c r="I164" s="772" t="n"/>
      <c r="J164" s="772" t="n"/>
      <c r="K164" s="772" t="n"/>
      <c r="L164" s="772" t="n"/>
      <c r="M164" s="772" t="n"/>
      <c r="N164" s="772" t="n"/>
      <c r="O164" s="772" t="n"/>
      <c r="P164" s="772" t="n"/>
      <c r="Q164" s="772" t="n"/>
      <c r="R164" s="772" t="n"/>
      <c r="S164" s="772" t="n"/>
      <c r="T164" s="772" t="n"/>
      <c r="U164" s="772" t="n"/>
      <c r="V164" s="772" t="n"/>
      <c r="W164" s="772" t="n"/>
      <c r="X164" s="772" t="n"/>
      <c r="Y164" s="772" t="n"/>
      <c r="Z164" s="772" t="n"/>
      <c r="AA164" s="772" t="n"/>
      <c r="AB164" s="772" t="n"/>
      <c r="AC164" s="772" t="n"/>
      <c r="AD164" s="772" t="n"/>
      <c r="AE164" s="772" t="n"/>
      <c r="AF164" s="772" t="n"/>
      <c r="AG164" s="772" t="n"/>
      <c r="AH164" s="772" t="n"/>
      <c r="AI164" s="772" t="n"/>
      <c r="AJ164" s="772" t="n"/>
      <c r="AK164" s="772" t="n"/>
      <c r="AL164" s="772" t="n"/>
      <c r="AM164" s="772" t="n"/>
      <c r="AN164" s="772" t="n"/>
      <c r="AO164" s="772" t="n"/>
      <c r="AP164" s="772" t="n"/>
      <c r="AQ164" s="772" t="n"/>
      <c r="AR164" s="772" t="n"/>
      <c r="AS164" s="772" t="n"/>
      <c r="AT164" s="772" t="n"/>
      <c r="AU164" s="772" t="n"/>
      <c r="AV164" s="772" t="n"/>
      <c r="AW164" s="772" t="n"/>
      <c r="AX164" s="772" t="n"/>
      <c r="AY164" s="772" t="n"/>
      <c r="AZ164" s="772" t="n"/>
      <c r="BA164" s="772" t="n"/>
      <c r="BB164" s="772" t="n"/>
      <c r="BC164" s="772" t="n"/>
      <c r="BD164" s="772" t="n"/>
      <c r="BE164" s="731" t="n"/>
      <c r="BF164" s="731" t="n"/>
      <c r="BG164" s="731" t="n"/>
    </row>
    <row r="165">
      <c r="A165" s="772" t="n"/>
      <c r="B165" s="772" t="n"/>
      <c r="C165" s="772" t="n"/>
      <c r="D165" s="772" t="n"/>
      <c r="E165" s="772" t="n"/>
      <c r="F165" s="772" t="n"/>
      <c r="G165" s="772" t="n"/>
      <c r="H165" s="772" t="n"/>
      <c r="I165" s="772" t="n"/>
      <c r="J165" s="772" t="n"/>
      <c r="K165" s="772" t="n"/>
      <c r="L165" s="772" t="n"/>
      <c r="M165" s="772" t="n"/>
      <c r="N165" s="772" t="n"/>
      <c r="O165" s="772" t="n"/>
      <c r="P165" s="772" t="n"/>
      <c r="Q165" s="772" t="n"/>
      <c r="R165" s="772" t="n"/>
      <c r="S165" s="772" t="n"/>
      <c r="T165" s="772" t="n"/>
      <c r="U165" s="772" t="n"/>
      <c r="V165" s="772" t="n"/>
      <c r="W165" s="772" t="n"/>
      <c r="X165" s="772" t="n"/>
      <c r="Y165" s="772" t="n"/>
      <c r="Z165" s="772" t="n"/>
      <c r="AA165" s="772" t="n"/>
      <c r="AB165" s="772" t="n"/>
      <c r="AC165" s="772" t="n"/>
      <c r="AD165" s="772" t="n"/>
      <c r="AE165" s="772" t="n"/>
      <c r="AF165" s="772" t="n"/>
      <c r="AG165" s="772" t="n"/>
      <c r="AH165" s="772" t="n"/>
      <c r="AI165" s="772" t="n"/>
      <c r="AJ165" s="772" t="n"/>
      <c r="AK165" s="772" t="n"/>
      <c r="AL165" s="772" t="n"/>
      <c r="AM165" s="772" t="n"/>
      <c r="AN165" s="772" t="n"/>
      <c r="AO165" s="772" t="n"/>
      <c r="AP165" s="772" t="n"/>
      <c r="AQ165" s="772" t="n"/>
      <c r="AR165" s="772" t="n"/>
      <c r="AS165" s="772" t="n"/>
      <c r="AT165" s="772" t="n"/>
      <c r="AU165" s="772" t="n"/>
      <c r="AV165" s="772" t="n"/>
      <c r="AW165" s="772" t="n"/>
      <c r="AX165" s="772" t="n"/>
      <c r="AY165" s="772" t="n"/>
      <c r="AZ165" s="772" t="n"/>
      <c r="BA165" s="772" t="n"/>
      <c r="BB165" s="772" t="n"/>
      <c r="BC165" s="772" t="n"/>
      <c r="BD165" s="772" t="n"/>
      <c r="BE165" s="731" t="n"/>
      <c r="BF165" s="731" t="n"/>
      <c r="BG165" s="731" t="n"/>
    </row>
    <row r="166">
      <c r="A166" s="772" t="n"/>
      <c r="B166" s="772" t="n"/>
      <c r="C166" s="772" t="n"/>
      <c r="D166" s="772" t="n"/>
      <c r="E166" s="772" t="n"/>
      <c r="F166" s="772" t="n"/>
      <c r="G166" s="772" t="n"/>
      <c r="H166" s="772" t="n"/>
      <c r="I166" s="772" t="n"/>
      <c r="J166" s="772" t="n"/>
      <c r="K166" s="772" t="n"/>
      <c r="L166" s="772" t="n"/>
      <c r="M166" s="772" t="n"/>
      <c r="N166" s="772" t="n"/>
      <c r="O166" s="772" t="n"/>
      <c r="P166" s="772" t="n"/>
      <c r="Q166" s="772" t="n"/>
      <c r="R166" s="772" t="n"/>
      <c r="S166" s="772" t="n"/>
      <c r="T166" s="772" t="n"/>
      <c r="U166" s="772" t="n"/>
      <c r="V166" s="772" t="n"/>
      <c r="W166" s="772" t="n"/>
      <c r="X166" s="772" t="n"/>
      <c r="Y166" s="772" t="n"/>
      <c r="Z166" s="772" t="n"/>
      <c r="AA166" s="772" t="n"/>
      <c r="AB166" s="772" t="n"/>
      <c r="AC166" s="772" t="n"/>
      <c r="AD166" s="772" t="n"/>
      <c r="AE166" s="772" t="n"/>
      <c r="AF166" s="772" t="n"/>
      <c r="AG166" s="772" t="n"/>
      <c r="AH166" s="772" t="n"/>
      <c r="AI166" s="772" t="n"/>
      <c r="AJ166" s="772" t="n"/>
      <c r="AK166" s="772" t="n"/>
      <c r="AL166" s="772" t="n"/>
      <c r="AM166" s="772" t="n"/>
      <c r="AN166" s="772" t="n"/>
      <c r="AO166" s="772" t="n"/>
      <c r="AP166" s="772" t="n"/>
      <c r="AQ166" s="772" t="n"/>
      <c r="AR166" s="772" t="n"/>
      <c r="AS166" s="772" t="n"/>
      <c r="AT166" s="772" t="n"/>
      <c r="AU166" s="772" t="n"/>
      <c r="AV166" s="772" t="n"/>
      <c r="AW166" s="772" t="n"/>
      <c r="AX166" s="772" t="n"/>
      <c r="AY166" s="772" t="n"/>
      <c r="AZ166" s="772" t="n"/>
      <c r="BA166" s="772" t="n"/>
      <c r="BB166" s="772" t="n"/>
      <c r="BC166" s="772" t="n"/>
      <c r="BD166" s="772" t="n"/>
      <c r="BE166" s="731" t="n"/>
      <c r="BF166" s="731" t="n"/>
      <c r="BG166" s="731" t="n"/>
    </row>
    <row r="167">
      <c r="A167" s="772" t="n"/>
      <c r="B167" s="772" t="n"/>
      <c r="C167" s="772" t="n"/>
      <c r="D167" s="772" t="n"/>
      <c r="E167" s="772" t="n"/>
      <c r="F167" s="772" t="n"/>
      <c r="G167" s="772" t="n"/>
      <c r="H167" s="772" t="n"/>
      <c r="I167" s="772" t="n"/>
      <c r="J167" s="772" t="n"/>
      <c r="K167" s="772" t="n"/>
      <c r="L167" s="772" t="n"/>
      <c r="M167" s="772" t="n"/>
      <c r="N167" s="772" t="n"/>
      <c r="O167" s="772" t="n"/>
      <c r="P167" s="772" t="n"/>
      <c r="Q167" s="772" t="n"/>
      <c r="R167" s="772" t="n"/>
      <c r="S167" s="772" t="n"/>
      <c r="T167" s="772" t="n"/>
      <c r="U167" s="772" t="n"/>
      <c r="V167" s="772" t="n"/>
      <c r="W167" s="772" t="n"/>
      <c r="X167" s="772" t="n"/>
      <c r="Y167" s="772" t="n"/>
      <c r="Z167" s="772" t="n"/>
      <c r="AA167" s="772" t="n"/>
      <c r="AB167" s="772" t="n"/>
      <c r="AC167" s="772" t="n"/>
      <c r="AD167" s="772" t="n"/>
      <c r="AE167" s="772" t="n"/>
      <c r="AF167" s="772" t="n"/>
      <c r="AG167" s="772" t="n"/>
      <c r="AH167" s="772" t="n"/>
      <c r="AI167" s="772" t="n"/>
      <c r="AJ167" s="772" t="n"/>
      <c r="AK167" s="772" t="n"/>
      <c r="AL167" s="772" t="n"/>
      <c r="AM167" s="772" t="n"/>
      <c r="AN167" s="772" t="n"/>
      <c r="AO167" s="772" t="n"/>
      <c r="AP167" s="772" t="n"/>
      <c r="AQ167" s="772" t="n"/>
      <c r="AR167" s="772" t="n"/>
      <c r="AS167" s="772" t="n"/>
      <c r="AT167" s="772" t="n"/>
      <c r="AU167" s="772" t="n"/>
      <c r="AV167" s="772" t="n"/>
      <c r="AW167" s="772" t="n"/>
      <c r="AX167" s="772" t="n"/>
      <c r="AY167" s="772" t="n"/>
      <c r="AZ167" s="772" t="n"/>
      <c r="BA167" s="772" t="n"/>
      <c r="BB167" s="772" t="n"/>
      <c r="BC167" s="772" t="n"/>
      <c r="BD167" s="772" t="n"/>
      <c r="BE167" s="731" t="n"/>
      <c r="BF167" s="731" t="n"/>
      <c r="BG167" s="731" t="n"/>
    </row>
    <row r="168">
      <c r="A168" s="772" t="n"/>
      <c r="B168" s="772" t="n"/>
      <c r="C168" s="772" t="n"/>
      <c r="D168" s="772" t="n"/>
      <c r="E168" s="772" t="n"/>
      <c r="F168" s="772" t="n"/>
      <c r="G168" s="772" t="n"/>
      <c r="H168" s="772" t="n"/>
      <c r="I168" s="772" t="n"/>
      <c r="J168" s="772" t="n"/>
      <c r="K168" s="772" t="n"/>
      <c r="L168" s="772" t="n"/>
      <c r="M168" s="772" t="n"/>
      <c r="N168" s="772" t="n"/>
      <c r="O168" s="772" t="n"/>
      <c r="P168" s="772" t="n"/>
      <c r="Q168" s="772" t="n"/>
      <c r="R168" s="772" t="n"/>
      <c r="S168" s="772" t="n"/>
      <c r="T168" s="772" t="n"/>
      <c r="U168" s="772" t="n"/>
      <c r="V168" s="772" t="n"/>
      <c r="W168" s="772" t="n"/>
      <c r="X168" s="772" t="n"/>
      <c r="Y168" s="772" t="n"/>
      <c r="Z168" s="772" t="n"/>
      <c r="AA168" s="772" t="n"/>
      <c r="AB168" s="772" t="n"/>
      <c r="AC168" s="772" t="n"/>
      <c r="AD168" s="772" t="n"/>
      <c r="AE168" s="772" t="n"/>
      <c r="AF168" s="772" t="n"/>
      <c r="AG168" s="772" t="n"/>
      <c r="AH168" s="772" t="n"/>
      <c r="AI168" s="772" t="n"/>
      <c r="AJ168" s="772" t="n"/>
      <c r="AK168" s="772" t="n"/>
      <c r="AL168" s="772" t="n"/>
      <c r="AM168" s="772" t="n"/>
      <c r="AN168" s="772" t="n"/>
      <c r="AO168" s="772" t="n"/>
      <c r="AP168" s="772" t="n"/>
      <c r="AQ168" s="772" t="n"/>
      <c r="AR168" s="772" t="n"/>
      <c r="AS168" s="772" t="n"/>
      <c r="AT168" s="772" t="n"/>
      <c r="AU168" s="772" t="n"/>
      <c r="AV168" s="772" t="n"/>
      <c r="AW168" s="772" t="n"/>
      <c r="AX168" s="772" t="n"/>
      <c r="AY168" s="772" t="n"/>
      <c r="AZ168" s="772" t="n"/>
      <c r="BA168" s="772" t="n"/>
      <c r="BB168" s="772" t="n"/>
      <c r="BC168" s="772" t="n"/>
      <c r="BD168" s="772" t="n"/>
      <c r="BE168" s="731" t="n"/>
      <c r="BF168" s="731" t="n"/>
      <c r="BG168" s="731" t="n"/>
    </row>
    <row r="169">
      <c r="A169" s="772" t="n"/>
      <c r="B169" s="772" t="n"/>
      <c r="C169" s="772" t="n"/>
      <c r="D169" s="772" t="n"/>
      <c r="E169" s="772" t="n"/>
      <c r="F169" s="772" t="n"/>
      <c r="G169" s="772" t="n"/>
      <c r="H169" s="772" t="n"/>
      <c r="I169" s="772" t="n"/>
      <c r="J169" s="772" t="n"/>
      <c r="K169" s="772" t="n"/>
      <c r="L169" s="772" t="n"/>
      <c r="M169" s="772" t="n"/>
      <c r="N169" s="772" t="n"/>
      <c r="O169" s="772" t="n"/>
      <c r="P169" s="772" t="n"/>
      <c r="Q169" s="772" t="n"/>
      <c r="R169" s="772" t="n"/>
      <c r="S169" s="772" t="n"/>
      <c r="T169" s="772" t="n"/>
      <c r="U169" s="772" t="n"/>
      <c r="V169" s="772" t="n"/>
      <c r="W169" s="772" t="n"/>
      <c r="X169" s="772" t="n"/>
      <c r="Y169" s="772" t="n"/>
      <c r="Z169" s="772" t="n"/>
      <c r="AA169" s="772" t="n"/>
      <c r="AB169" s="772" t="n"/>
      <c r="AC169" s="772" t="n"/>
      <c r="AD169" s="772" t="n"/>
      <c r="AE169" s="772" t="n"/>
      <c r="AF169" s="772" t="n"/>
      <c r="AG169" s="772" t="n"/>
      <c r="AH169" s="772" t="n"/>
      <c r="AI169" s="772" t="n"/>
      <c r="AJ169" s="772" t="n"/>
      <c r="AK169" s="772" t="n"/>
      <c r="AL169" s="772" t="n"/>
      <c r="AM169" s="772" t="n"/>
      <c r="AN169" s="772" t="n"/>
      <c r="AO169" s="772" t="n"/>
      <c r="AP169" s="772" t="n"/>
      <c r="AQ169" s="772" t="n"/>
      <c r="AR169" s="772" t="n"/>
      <c r="AS169" s="772" t="n"/>
      <c r="AT169" s="772" t="n"/>
      <c r="AU169" s="772" t="n"/>
      <c r="AV169" s="772" t="n"/>
      <c r="AW169" s="772" t="n"/>
      <c r="AX169" s="772" t="n"/>
      <c r="AY169" s="772" t="n"/>
      <c r="AZ169" s="772" t="n"/>
      <c r="BA169" s="772" t="n"/>
      <c r="BB169" s="772" t="n"/>
      <c r="BC169" s="772" t="n"/>
      <c r="BD169" s="772" t="n"/>
      <c r="BE169" s="731" t="n"/>
      <c r="BF169" s="731" t="n"/>
      <c r="BG169" s="731" t="n"/>
    </row>
    <row r="170">
      <c r="A170" s="772" t="n"/>
      <c r="B170" s="772" t="n"/>
      <c r="C170" s="772" t="n"/>
      <c r="D170" s="772" t="n"/>
      <c r="E170" s="772" t="n"/>
      <c r="F170" s="772" t="n"/>
      <c r="G170" s="772" t="n"/>
      <c r="H170" s="772" t="n"/>
      <c r="I170" s="772" t="n"/>
      <c r="J170" s="772" t="n"/>
      <c r="K170" s="772" t="n"/>
      <c r="L170" s="772" t="n"/>
      <c r="M170" s="772" t="n"/>
      <c r="N170" s="772" t="n"/>
      <c r="O170" s="772" t="n"/>
      <c r="P170" s="772" t="n"/>
      <c r="Q170" s="772" t="n"/>
      <c r="R170" s="772" t="n"/>
      <c r="S170" s="772" t="n"/>
      <c r="T170" s="772" t="n"/>
      <c r="U170" s="772" t="n"/>
      <c r="V170" s="772" t="n"/>
      <c r="W170" s="772" t="n"/>
      <c r="X170" s="772" t="n"/>
      <c r="Y170" s="772" t="n"/>
      <c r="Z170" s="772" t="n"/>
      <c r="AA170" s="772" t="n"/>
      <c r="AB170" s="772" t="n"/>
      <c r="AC170" s="772" t="n"/>
      <c r="AD170" s="772" t="n"/>
      <c r="AE170" s="772" t="n"/>
      <c r="AF170" s="772" t="n"/>
      <c r="AG170" s="772" t="n"/>
      <c r="AH170" s="772" t="n"/>
      <c r="AI170" s="772" t="n"/>
      <c r="AJ170" s="772" t="n"/>
      <c r="AK170" s="772" t="n"/>
      <c r="AL170" s="772" t="n"/>
      <c r="AM170" s="772" t="n"/>
      <c r="AN170" s="772" t="n"/>
      <c r="AO170" s="772" t="n"/>
      <c r="AP170" s="772" t="n"/>
      <c r="AQ170" s="772" t="n"/>
      <c r="AR170" s="772" t="n"/>
      <c r="AS170" s="772" t="n"/>
      <c r="AT170" s="772" t="n"/>
      <c r="AU170" s="772" t="n"/>
      <c r="AV170" s="772" t="n"/>
      <c r="AW170" s="772" t="n"/>
      <c r="AX170" s="772" t="n"/>
      <c r="AY170" s="772" t="n"/>
      <c r="AZ170" s="772" t="n"/>
      <c r="BA170" s="772" t="n"/>
      <c r="BB170" s="772" t="n"/>
      <c r="BC170" s="772" t="n"/>
      <c r="BD170" s="772" t="n"/>
      <c r="BE170" s="731" t="n"/>
      <c r="BF170" s="731" t="n"/>
      <c r="BG170" s="731" t="n"/>
    </row>
    <row r="171">
      <c r="A171" s="772" t="n"/>
      <c r="B171" s="772" t="n"/>
      <c r="C171" s="772" t="n"/>
      <c r="D171" s="772" t="n"/>
      <c r="E171" s="772" t="n"/>
      <c r="F171" s="772" t="n"/>
      <c r="G171" s="772" t="n"/>
      <c r="H171" s="772" t="n"/>
      <c r="I171" s="772" t="n"/>
      <c r="J171" s="772" t="n"/>
      <c r="K171" s="772" t="n"/>
      <c r="L171" s="772" t="n"/>
      <c r="M171" s="772" t="n"/>
      <c r="N171" s="772" t="n"/>
      <c r="O171" s="772" t="n"/>
      <c r="P171" s="772" t="n"/>
      <c r="Q171" s="772" t="n"/>
      <c r="R171" s="772" t="n"/>
      <c r="S171" s="772" t="n"/>
      <c r="T171" s="772" t="n"/>
      <c r="U171" s="772" t="n"/>
      <c r="V171" s="772" t="n"/>
      <c r="W171" s="772" t="n"/>
      <c r="X171" s="772" t="n"/>
      <c r="Y171" s="772" t="n"/>
      <c r="Z171" s="772" t="n"/>
      <c r="AA171" s="772" t="n"/>
      <c r="AB171" s="772" t="n"/>
      <c r="AC171" s="772" t="n"/>
      <c r="AD171" s="772" t="n"/>
      <c r="AE171" s="772" t="n"/>
      <c r="AF171" s="772" t="n"/>
      <c r="AG171" s="772" t="n"/>
      <c r="AH171" s="772" t="n"/>
      <c r="AI171" s="772" t="n"/>
      <c r="AJ171" s="772" t="n"/>
      <c r="AK171" s="772" t="n"/>
      <c r="AL171" s="772" t="n"/>
      <c r="AM171" s="772" t="n"/>
      <c r="AN171" s="772" t="n"/>
      <c r="AO171" s="772" t="n"/>
      <c r="AP171" s="772" t="n"/>
      <c r="AQ171" s="772" t="n"/>
      <c r="AR171" s="772" t="n"/>
      <c r="AS171" s="772" t="n"/>
      <c r="AT171" s="772" t="n"/>
      <c r="AU171" s="772" t="n"/>
      <c r="AV171" s="772" t="n"/>
      <c r="AW171" s="772" t="n"/>
      <c r="AX171" s="772" t="n"/>
      <c r="AY171" s="772" t="n"/>
      <c r="AZ171" s="772" t="n"/>
      <c r="BA171" s="772" t="n"/>
      <c r="BB171" s="772" t="n"/>
      <c r="BC171" s="772" t="n"/>
      <c r="BD171" s="772" t="n"/>
      <c r="BE171" s="731" t="n"/>
      <c r="BF171" s="731" t="n"/>
      <c r="BG171" s="731" t="n"/>
    </row>
    <row r="172">
      <c r="A172" s="772" t="n"/>
      <c r="B172" s="772" t="n"/>
      <c r="C172" s="772" t="n"/>
      <c r="D172" s="772" t="n"/>
      <c r="E172" s="772" t="n"/>
      <c r="F172" s="772" t="n"/>
      <c r="G172" s="772" t="n"/>
      <c r="H172" s="772" t="n"/>
      <c r="I172" s="772" t="n"/>
      <c r="J172" s="772" t="n"/>
      <c r="K172" s="772" t="n"/>
      <c r="L172" s="772" t="n"/>
      <c r="M172" s="772" t="n"/>
      <c r="N172" s="772" t="n"/>
      <c r="O172" s="772" t="n"/>
      <c r="P172" s="772" t="n"/>
      <c r="Q172" s="772" t="n"/>
      <c r="R172" s="772" t="n"/>
      <c r="S172" s="772" t="n"/>
      <c r="T172" s="772" t="n"/>
      <c r="U172" s="772" t="n"/>
      <c r="V172" s="772" t="n"/>
      <c r="W172" s="772" t="n"/>
      <c r="X172" s="772" t="n"/>
      <c r="Y172" s="772" t="n"/>
      <c r="Z172" s="772" t="n"/>
      <c r="AA172" s="772" t="n"/>
      <c r="AB172" s="772" t="n"/>
      <c r="AC172" s="772" t="n"/>
      <c r="AD172" s="772" t="n"/>
      <c r="AE172" s="772" t="n"/>
      <c r="AF172" s="772" t="n"/>
      <c r="AG172" s="772" t="n"/>
      <c r="AH172" s="772" t="n"/>
      <c r="AI172" s="772" t="n"/>
      <c r="AJ172" s="772" t="n"/>
      <c r="AK172" s="772" t="n"/>
      <c r="AL172" s="772" t="n"/>
      <c r="AM172" s="772" t="n"/>
      <c r="AN172" s="772" t="n"/>
      <c r="AO172" s="772" t="n"/>
      <c r="AP172" s="772" t="n"/>
      <c r="AQ172" s="772" t="n"/>
      <c r="AR172" s="772" t="n"/>
      <c r="AS172" s="772" t="n"/>
      <c r="AT172" s="772" t="n"/>
      <c r="AU172" s="772" t="n"/>
      <c r="AV172" s="772" t="n"/>
      <c r="AW172" s="772" t="n"/>
      <c r="AX172" s="772" t="n"/>
      <c r="AY172" s="772" t="n"/>
      <c r="AZ172" s="772" t="n"/>
      <c r="BA172" s="772" t="n"/>
      <c r="BB172" s="772" t="n"/>
      <c r="BC172" s="772" t="n"/>
      <c r="BD172" s="772" t="n"/>
      <c r="BE172" s="731" t="n"/>
      <c r="BF172" s="731" t="n"/>
      <c r="BG172" s="731" t="n"/>
    </row>
    <row r="173">
      <c r="A173" s="772" t="n"/>
      <c r="B173" s="772" t="n"/>
      <c r="C173" s="772" t="n"/>
      <c r="D173" s="772" t="n"/>
      <c r="E173" s="772" t="n"/>
      <c r="F173" s="772" t="n"/>
      <c r="G173" s="772" t="n"/>
      <c r="H173" s="772" t="n"/>
      <c r="I173" s="772" t="n"/>
      <c r="J173" s="772" t="n"/>
      <c r="K173" s="772" t="n"/>
      <c r="L173" s="772" t="n"/>
      <c r="M173" s="772" t="n"/>
      <c r="N173" s="772" t="n"/>
      <c r="O173" s="772" t="n"/>
      <c r="P173" s="772" t="n"/>
      <c r="Q173" s="772" t="n"/>
      <c r="R173" s="772" t="n"/>
      <c r="S173" s="772" t="n"/>
      <c r="T173" s="772" t="n"/>
      <c r="U173" s="772" t="n"/>
      <c r="V173" s="772" t="n"/>
      <c r="W173" s="772" t="n"/>
      <c r="X173" s="772" t="n"/>
      <c r="Y173" s="772" t="n"/>
      <c r="Z173" s="772" t="n"/>
      <c r="AA173" s="772" t="n"/>
      <c r="AB173" s="772" t="n"/>
      <c r="AC173" s="772" t="n"/>
      <c r="AD173" s="772" t="n"/>
      <c r="AE173" s="772" t="n"/>
      <c r="AF173" s="772" t="n"/>
      <c r="AG173" s="772" t="n"/>
      <c r="AH173" s="772" t="n"/>
      <c r="AI173" s="772" t="n"/>
      <c r="AJ173" s="772" t="n"/>
      <c r="AK173" s="772" t="n"/>
      <c r="AL173" s="772" t="n"/>
      <c r="AM173" s="772" t="n"/>
      <c r="AN173" s="772" t="n"/>
      <c r="AO173" s="772" t="n"/>
      <c r="AP173" s="772" t="n"/>
      <c r="AQ173" s="772" t="n"/>
      <c r="AR173" s="772" t="n"/>
      <c r="AS173" s="772" t="n"/>
      <c r="AT173" s="772" t="n"/>
      <c r="AU173" s="772" t="n"/>
      <c r="AV173" s="772" t="n"/>
      <c r="AW173" s="772" t="n"/>
      <c r="AX173" s="772" t="n"/>
      <c r="AY173" s="772" t="n"/>
      <c r="AZ173" s="772" t="n"/>
      <c r="BA173" s="772" t="n"/>
      <c r="BB173" s="772" t="n"/>
      <c r="BC173" s="772" t="n"/>
      <c r="BD173" s="772" t="n"/>
      <c r="BE173" s="731" t="n"/>
      <c r="BF173" s="731" t="n"/>
      <c r="BG173" s="731" t="n"/>
    </row>
    <row r="174">
      <c r="A174" s="772" t="n"/>
      <c r="B174" s="772" t="n"/>
      <c r="C174" s="772" t="n"/>
      <c r="D174" s="772" t="n"/>
      <c r="E174" s="772" t="n"/>
      <c r="F174" s="772" t="n"/>
      <c r="G174" s="772" t="n"/>
      <c r="H174" s="772" t="n"/>
      <c r="I174" s="772" t="n"/>
      <c r="J174" s="772" t="n"/>
      <c r="K174" s="772" t="n"/>
      <c r="L174" s="772" t="n"/>
      <c r="M174" s="772" t="n"/>
      <c r="N174" s="772" t="n"/>
      <c r="O174" s="772" t="n"/>
      <c r="P174" s="772" t="n"/>
      <c r="Q174" s="772" t="n"/>
      <c r="R174" s="772" t="n"/>
      <c r="S174" s="772" t="n"/>
      <c r="T174" s="772" t="n"/>
      <c r="U174" s="772" t="n"/>
      <c r="V174" s="772" t="n"/>
      <c r="W174" s="772" t="n"/>
      <c r="X174" s="772" t="n"/>
      <c r="Y174" s="772" t="n"/>
      <c r="Z174" s="772" t="n"/>
      <c r="AA174" s="772" t="n"/>
      <c r="AB174" s="772" t="n"/>
      <c r="AC174" s="772" t="n"/>
      <c r="AD174" s="772" t="n"/>
      <c r="AE174" s="772" t="n"/>
      <c r="AF174" s="772" t="n"/>
      <c r="AG174" s="772" t="n"/>
      <c r="AH174" s="772" t="n"/>
      <c r="AI174" s="772" t="n"/>
      <c r="AJ174" s="772" t="n"/>
      <c r="AK174" s="772" t="n"/>
      <c r="AL174" s="772" t="n"/>
      <c r="AM174" s="772" t="n"/>
      <c r="AN174" s="772" t="n"/>
      <c r="AO174" s="772" t="n"/>
      <c r="AP174" s="772" t="n"/>
      <c r="AQ174" s="772" t="n"/>
      <c r="AR174" s="772" t="n"/>
      <c r="AS174" s="772" t="n"/>
      <c r="AT174" s="772" t="n"/>
      <c r="AU174" s="772" t="n"/>
      <c r="AV174" s="772" t="n"/>
      <c r="AW174" s="772" t="n"/>
      <c r="AX174" s="772" t="n"/>
      <c r="AY174" s="772" t="n"/>
      <c r="AZ174" s="772" t="n"/>
      <c r="BA174" s="772" t="n"/>
      <c r="BB174" s="772" t="n"/>
      <c r="BC174" s="772" t="n"/>
      <c r="BD174" s="772" t="n"/>
      <c r="BE174" s="731" t="n"/>
      <c r="BF174" s="731" t="n"/>
      <c r="BG174" s="731" t="n"/>
    </row>
    <row r="175">
      <c r="A175" s="772" t="n"/>
      <c r="B175" s="772" t="n"/>
      <c r="C175" s="772" t="n"/>
      <c r="D175" s="772" t="n"/>
      <c r="E175" s="772" t="n"/>
      <c r="F175" s="772" t="n"/>
      <c r="G175" s="772" t="n"/>
      <c r="H175" s="772" t="n"/>
      <c r="I175" s="772" t="n"/>
      <c r="J175" s="772" t="n"/>
      <c r="K175" s="772" t="n"/>
      <c r="L175" s="772" t="n"/>
      <c r="M175" s="772" t="n"/>
      <c r="N175" s="772" t="n"/>
      <c r="O175" s="772" t="n"/>
      <c r="P175" s="772" t="n"/>
      <c r="Q175" s="772" t="n"/>
      <c r="R175" s="772" t="n"/>
      <c r="S175" s="772" t="n"/>
      <c r="T175" s="772" t="n"/>
      <c r="U175" s="772" t="n"/>
      <c r="V175" s="772" t="n"/>
      <c r="W175" s="772" t="n"/>
      <c r="X175" s="772" t="n"/>
      <c r="Y175" s="772" t="n"/>
      <c r="Z175" s="772" t="n"/>
      <c r="AA175" s="772" t="n"/>
      <c r="AB175" s="772" t="n"/>
      <c r="AC175" s="772" t="n"/>
      <c r="AD175" s="772" t="n"/>
      <c r="AE175" s="772" t="n"/>
      <c r="AF175" s="772" t="n"/>
      <c r="AG175" s="772" t="n"/>
      <c r="AH175" s="772" t="n"/>
      <c r="AI175" s="772" t="n"/>
      <c r="AJ175" s="772" t="n"/>
      <c r="AK175" s="772" t="n"/>
      <c r="AL175" s="772" t="n"/>
      <c r="AM175" s="772" t="n"/>
      <c r="AN175" s="772" t="n"/>
      <c r="AO175" s="772" t="n"/>
      <c r="AP175" s="772" t="n"/>
      <c r="AQ175" s="772" t="n"/>
      <c r="AR175" s="772" t="n"/>
      <c r="AS175" s="772" t="n"/>
      <c r="AT175" s="772" t="n"/>
      <c r="AU175" s="772" t="n"/>
      <c r="AV175" s="772" t="n"/>
      <c r="AW175" s="772" t="n"/>
      <c r="AX175" s="772" t="n"/>
      <c r="AY175" s="772" t="n"/>
      <c r="AZ175" s="772" t="n"/>
      <c r="BA175" s="772" t="n"/>
      <c r="BB175" s="772" t="n"/>
      <c r="BC175" s="772" t="n"/>
      <c r="BD175" s="772" t="n"/>
      <c r="BE175" s="731" t="n"/>
      <c r="BF175" s="731" t="n"/>
      <c r="BG175" s="731" t="n"/>
    </row>
    <row r="176">
      <c r="A176" s="772" t="n"/>
      <c r="B176" s="772" t="n"/>
      <c r="C176" s="772" t="n"/>
      <c r="D176" s="772" t="n"/>
      <c r="E176" s="772" t="n"/>
      <c r="F176" s="772" t="n"/>
      <c r="G176" s="772" t="n"/>
      <c r="H176" s="772" t="n"/>
      <c r="I176" s="772" t="n"/>
      <c r="J176" s="772" t="n"/>
      <c r="K176" s="772" t="n"/>
      <c r="L176" s="772" t="n"/>
      <c r="M176" s="772" t="n"/>
      <c r="N176" s="772" t="n"/>
      <c r="O176" s="772" t="n"/>
      <c r="P176" s="772" t="n"/>
      <c r="Q176" s="772" t="n"/>
      <c r="R176" s="772" t="n"/>
      <c r="S176" s="772" t="n"/>
      <c r="T176" s="772" t="n"/>
      <c r="U176" s="772" t="n"/>
      <c r="V176" s="772" t="n"/>
      <c r="W176" s="772" t="n"/>
      <c r="X176" s="772" t="n"/>
      <c r="Y176" s="772" t="n"/>
      <c r="Z176" s="772" t="n"/>
      <c r="AA176" s="772" t="n"/>
      <c r="AB176" s="772" t="n"/>
      <c r="AC176" s="772" t="n"/>
      <c r="AD176" s="772" t="n"/>
      <c r="AE176" s="772" t="n"/>
      <c r="AF176" s="772" t="n"/>
      <c r="AG176" s="772" t="n"/>
      <c r="AH176" s="772" t="n"/>
      <c r="AI176" s="772" t="n"/>
      <c r="AJ176" s="772" t="n"/>
      <c r="AK176" s="772" t="n"/>
      <c r="AL176" s="772" t="n"/>
      <c r="AM176" s="772" t="n"/>
      <c r="AN176" s="772" t="n"/>
      <c r="AO176" s="772" t="n"/>
      <c r="AP176" s="772" t="n"/>
      <c r="AQ176" s="772" t="n"/>
      <c r="AR176" s="772" t="n"/>
      <c r="AS176" s="772" t="n"/>
      <c r="AT176" s="772" t="n"/>
      <c r="AU176" s="772" t="n"/>
      <c r="AV176" s="772" t="n"/>
      <c r="AW176" s="772" t="n"/>
      <c r="AX176" s="772" t="n"/>
      <c r="AY176" s="772" t="n"/>
      <c r="AZ176" s="772" t="n"/>
      <c r="BA176" s="772" t="n"/>
      <c r="BB176" s="772" t="n"/>
      <c r="BC176" s="772" t="n"/>
      <c r="BD176" s="772" t="n"/>
      <c r="BE176" s="731" t="n"/>
      <c r="BF176" s="731" t="n"/>
      <c r="BG176" s="731" t="n"/>
    </row>
    <row r="177">
      <c r="A177" s="772" t="n"/>
      <c r="B177" s="772" t="n"/>
      <c r="C177" s="772" t="n"/>
      <c r="D177" s="772" t="n"/>
      <c r="E177" s="772" t="n"/>
      <c r="F177" s="772" t="n"/>
      <c r="G177" s="772" t="n"/>
      <c r="H177" s="772" t="n"/>
      <c r="I177" s="772" t="n"/>
      <c r="J177" s="772" t="n"/>
      <c r="K177" s="772" t="n"/>
      <c r="L177" s="772" t="n"/>
      <c r="M177" s="772" t="n"/>
      <c r="N177" s="772" t="n"/>
      <c r="O177" s="772" t="n"/>
      <c r="P177" s="772" t="n"/>
      <c r="Q177" s="772" t="n"/>
      <c r="R177" s="772" t="n"/>
      <c r="S177" s="772" t="n"/>
      <c r="T177" s="772" t="n"/>
      <c r="U177" s="772" t="n"/>
      <c r="V177" s="772" t="n"/>
      <c r="W177" s="772" t="n"/>
      <c r="X177" s="772" t="n"/>
      <c r="Y177" s="772" t="n"/>
      <c r="Z177" s="772" t="n"/>
      <c r="AA177" s="772" t="n"/>
      <c r="AB177" s="772" t="n"/>
      <c r="AC177" s="772" t="n"/>
      <c r="AD177" s="772" t="n"/>
      <c r="AE177" s="772" t="n"/>
      <c r="AF177" s="772" t="n"/>
      <c r="AG177" s="772" t="n"/>
      <c r="AH177" s="772" t="n"/>
      <c r="AI177" s="772" t="n"/>
      <c r="AJ177" s="772" t="n"/>
      <c r="AK177" s="772" t="n"/>
      <c r="AL177" s="772" t="n"/>
      <c r="AM177" s="772" t="n"/>
      <c r="AN177" s="772" t="n"/>
      <c r="AO177" s="772" t="n"/>
      <c r="AP177" s="772" t="n"/>
      <c r="AQ177" s="772" t="n"/>
      <c r="AR177" s="772" t="n"/>
      <c r="AS177" s="772" t="n"/>
      <c r="AT177" s="772" t="n"/>
      <c r="AU177" s="772" t="n"/>
      <c r="AV177" s="772" t="n"/>
      <c r="AW177" s="772" t="n"/>
      <c r="AX177" s="772" t="n"/>
      <c r="AY177" s="772" t="n"/>
      <c r="AZ177" s="772" t="n"/>
      <c r="BA177" s="772" t="n"/>
      <c r="BB177" s="772" t="n"/>
      <c r="BC177" s="772" t="n"/>
      <c r="BD177" s="772" t="n"/>
      <c r="BE177" s="731" t="n"/>
      <c r="BF177" s="731" t="n"/>
      <c r="BG177" s="731" t="n"/>
    </row>
    <row r="178">
      <c r="BE178" s="732" t="n"/>
      <c r="BF178" s="732" t="n"/>
      <c r="BG178" s="732" t="n"/>
    </row>
    <row r="179">
      <c r="BE179" s="732" t="n"/>
      <c r="BF179" s="732" t="n"/>
      <c r="BG179" s="732" t="n"/>
    </row>
    <row r="180">
      <c r="BE180" s="732" t="n"/>
      <c r="BF180" s="732" t="n"/>
      <c r="BG180" s="732" t="n"/>
    </row>
    <row r="181">
      <c r="BE181" s="732" t="n"/>
      <c r="BF181" s="732" t="n"/>
      <c r="BG181" s="732" t="n"/>
    </row>
    <row r="182">
      <c r="BE182" s="732" t="n"/>
      <c r="BF182" s="732" t="n"/>
      <c r="BG182" s="732" t="n"/>
    </row>
    <row r="183">
      <c r="BE183" s="732" t="n"/>
      <c r="BF183" s="732" t="n"/>
      <c r="BG183" s="732" t="n"/>
    </row>
    <row r="184">
      <c r="BE184" s="732" t="n"/>
      <c r="BF184" s="732" t="n"/>
      <c r="BG184" s="732" t="n"/>
    </row>
    <row r="185">
      <c r="BE185" s="732" t="n"/>
      <c r="BF185" s="732" t="n"/>
      <c r="BG185" s="732" t="n"/>
    </row>
    <row r="186">
      <c r="BE186" s="732" t="n"/>
      <c r="BF186" s="732" t="n"/>
      <c r="BG186" s="732" t="n"/>
    </row>
    <row r="187">
      <c r="BE187" s="732" t="n"/>
      <c r="BF187" s="732" t="n"/>
      <c r="BG187" s="732" t="n"/>
    </row>
    <row r="188">
      <c r="BE188" s="732" t="n"/>
      <c r="BF188" s="732" t="n"/>
      <c r="BG188" s="732" t="n"/>
    </row>
    <row r="189">
      <c r="BE189" s="732" t="n"/>
      <c r="BF189" s="732" t="n"/>
      <c r="BG189" s="732" t="n"/>
    </row>
    <row r="190">
      <c r="BE190" s="732" t="n"/>
      <c r="BF190" s="732" t="n"/>
      <c r="BG190" s="732" t="n"/>
    </row>
    <row r="191">
      <c r="BE191" s="732" t="n"/>
      <c r="BF191" s="732" t="n"/>
      <c r="BG191" s="732" t="n"/>
    </row>
    <row r="192">
      <c r="BE192" s="732" t="n"/>
      <c r="BF192" s="732" t="n"/>
      <c r="BG192" s="732" t="n"/>
    </row>
    <row r="193">
      <c r="BE193" s="732" t="n"/>
      <c r="BF193" s="732" t="n"/>
      <c r="BG193" s="732" t="n"/>
    </row>
    <row r="194">
      <c r="BE194" s="732" t="n"/>
      <c r="BF194" s="732" t="n"/>
      <c r="BG194" s="732" t="n"/>
    </row>
    <row r="195">
      <c r="BE195" s="732" t="n"/>
      <c r="BF195" s="732" t="n"/>
      <c r="BG195" s="732" t="n"/>
    </row>
    <row r="196">
      <c r="BE196" s="732" t="n"/>
      <c r="BF196" s="732" t="n"/>
      <c r="BG196" s="732" t="n"/>
    </row>
    <row r="197">
      <c r="BE197" s="732" t="n"/>
      <c r="BF197" s="732" t="n"/>
      <c r="BG197" s="732" t="n"/>
    </row>
    <row r="198">
      <c r="BE198" s="732" t="n"/>
      <c r="BF198" s="732" t="n"/>
      <c r="BG198" s="732" t="n"/>
    </row>
    <row r="199">
      <c r="BE199" s="732" t="n"/>
      <c r="BF199" s="732" t="n"/>
      <c r="BG199" s="732" t="n"/>
    </row>
    <row r="200">
      <c r="BE200" s="732" t="n"/>
      <c r="BF200" s="732" t="n"/>
      <c r="BG200" s="732" t="n"/>
    </row>
    <row r="201">
      <c r="BE201" s="732" t="n"/>
      <c r="BF201" s="732" t="n"/>
      <c r="BG201" s="732" t="n"/>
    </row>
    <row r="202">
      <c r="BE202" s="732" t="n"/>
      <c r="BF202" s="732" t="n"/>
      <c r="BG202" s="732" t="n"/>
    </row>
    <row r="203">
      <c r="BE203" s="732" t="n"/>
      <c r="BF203" s="732" t="n"/>
      <c r="BG203" s="732" t="n"/>
    </row>
    <row r="204">
      <c r="BE204" s="732" t="n"/>
      <c r="BF204" s="732" t="n"/>
      <c r="BG204" s="732" t="n"/>
    </row>
    <row r="205">
      <c r="BE205" s="732" t="n"/>
      <c r="BF205" s="732" t="n"/>
      <c r="BG205" s="732" t="n"/>
    </row>
    <row r="206">
      <c r="BE206" s="732" t="n"/>
      <c r="BF206" s="732" t="n"/>
      <c r="BG206" s="732" t="n"/>
    </row>
    <row r="207">
      <c r="BE207" s="732" t="n"/>
      <c r="BF207" s="732" t="n"/>
      <c r="BG207" s="732" t="n"/>
    </row>
    <row r="208">
      <c r="BE208" s="732" t="n"/>
      <c r="BF208" s="732" t="n"/>
      <c r="BG208" s="732" t="n"/>
    </row>
    <row r="209">
      <c r="BE209" s="732" t="n"/>
      <c r="BF209" s="732" t="n"/>
      <c r="BG209" s="732" t="n"/>
    </row>
    <row r="210">
      <c r="BE210" s="732" t="n"/>
      <c r="BF210" s="732" t="n"/>
      <c r="BG210" s="732" t="n"/>
    </row>
    <row r="211">
      <c r="BE211" s="732" t="n"/>
      <c r="BF211" s="732" t="n"/>
      <c r="BG211" s="732" t="n"/>
    </row>
    <row r="212">
      <c r="BE212" s="732" t="n"/>
      <c r="BF212" s="732" t="n"/>
      <c r="BG212" s="732" t="n"/>
    </row>
    <row r="213">
      <c r="BE213" s="732" t="n"/>
      <c r="BF213" s="732" t="n"/>
      <c r="BG213" s="732" t="n"/>
    </row>
    <row r="214">
      <c r="BE214" s="732" t="n"/>
      <c r="BF214" s="732" t="n"/>
      <c r="BG214" s="732" t="n"/>
    </row>
    <row r="215">
      <c r="BE215" s="732" t="n"/>
      <c r="BF215" s="732" t="n"/>
      <c r="BG215" s="732" t="n"/>
    </row>
    <row r="216">
      <c r="BE216" s="732" t="n"/>
      <c r="BF216" s="732" t="n"/>
      <c r="BG216" s="732" t="n"/>
    </row>
    <row r="217">
      <c r="BE217" s="732" t="n"/>
      <c r="BF217" s="732" t="n"/>
      <c r="BG217" s="732" t="n"/>
    </row>
    <row r="218">
      <c r="BE218" s="732" t="n"/>
      <c r="BF218" s="732" t="n"/>
      <c r="BG218" s="732" t="n"/>
    </row>
    <row r="219">
      <c r="BE219" s="732" t="n"/>
      <c r="BF219" s="732" t="n"/>
      <c r="BG219" s="732" t="n"/>
    </row>
    <row r="220">
      <c r="BE220" s="732" t="n"/>
      <c r="BF220" s="732" t="n"/>
      <c r="BG220" s="732" t="n"/>
    </row>
    <row r="221">
      <c r="BE221" s="732" t="n"/>
      <c r="BF221" s="732" t="n"/>
      <c r="BG221" s="732" t="n"/>
    </row>
    <row r="222">
      <c r="BE222" s="732" t="n"/>
      <c r="BF222" s="732" t="n"/>
      <c r="BG222" s="732" t="n"/>
    </row>
    <row r="223">
      <c r="BE223" s="732" t="n"/>
      <c r="BF223" s="732" t="n"/>
      <c r="BG223" s="732" t="n"/>
    </row>
    <row r="224">
      <c r="BE224" s="732" t="n"/>
      <c r="BF224" s="732" t="n"/>
      <c r="BG224" s="732" t="n"/>
    </row>
    <row r="225">
      <c r="BE225" s="732" t="n"/>
      <c r="BF225" s="732" t="n"/>
      <c r="BG225" s="732" t="n"/>
    </row>
    <row r="226">
      <c r="BE226" s="732" t="n"/>
      <c r="BF226" s="732" t="n"/>
      <c r="BG226" s="732" t="n"/>
    </row>
    <row r="227">
      <c r="BE227" s="732" t="n"/>
      <c r="BF227" s="732" t="n"/>
      <c r="BG227" s="732" t="n"/>
    </row>
    <row r="228">
      <c r="BE228" s="732" t="n"/>
      <c r="BF228" s="732" t="n"/>
      <c r="BG228" s="732" t="n"/>
    </row>
    <row r="229">
      <c r="BE229" s="732" t="n"/>
      <c r="BF229" s="732" t="n"/>
      <c r="BG229" s="732" t="n"/>
    </row>
    <row r="230">
      <c r="BE230" s="732" t="n"/>
      <c r="BF230" s="732" t="n"/>
      <c r="BG230" s="732" t="n"/>
    </row>
    <row r="231">
      <c r="BE231" s="732" t="n"/>
      <c r="BF231" s="732" t="n"/>
      <c r="BG231" s="732" t="n"/>
    </row>
    <row r="232">
      <c r="BE232" s="732" t="n"/>
      <c r="BF232" s="732" t="n"/>
      <c r="BG232" s="732" t="n"/>
    </row>
    <row r="233">
      <c r="BE233" s="732" t="n"/>
      <c r="BF233" s="732" t="n"/>
      <c r="BG233" s="732" t="n"/>
    </row>
    <row r="234">
      <c r="BE234" s="732" t="n"/>
      <c r="BF234" s="732" t="n"/>
      <c r="BG234" s="732" t="n"/>
    </row>
    <row r="235">
      <c r="BE235" s="732" t="n"/>
      <c r="BF235" s="732" t="n"/>
      <c r="BG235" s="732" t="n"/>
    </row>
    <row r="236">
      <c r="BE236" s="732" t="n"/>
      <c r="BF236" s="732" t="n"/>
      <c r="BG236" s="732" t="n"/>
    </row>
    <row r="237">
      <c r="BE237" s="732" t="n"/>
      <c r="BF237" s="732" t="n"/>
      <c r="BG237" s="732" t="n"/>
    </row>
    <row r="238">
      <c r="BE238" s="732" t="n"/>
      <c r="BF238" s="732" t="n"/>
      <c r="BG238" s="732" t="n"/>
    </row>
    <row r="239">
      <c r="BE239" s="732" t="n"/>
      <c r="BF239" s="732" t="n"/>
      <c r="BG239" s="732" t="n"/>
    </row>
    <row r="240">
      <c r="BE240" s="732" t="n"/>
      <c r="BF240" s="732" t="n"/>
      <c r="BG240" s="732" t="n"/>
    </row>
    <row r="241">
      <c r="BE241" s="732" t="n"/>
      <c r="BF241" s="732" t="n"/>
      <c r="BG241" s="732" t="n"/>
    </row>
    <row r="242">
      <c r="BE242" s="732" t="n"/>
      <c r="BF242" s="732" t="n"/>
      <c r="BG242" s="732" t="n"/>
    </row>
    <row r="243">
      <c r="BE243" s="732" t="n"/>
      <c r="BF243" s="732" t="n"/>
      <c r="BG243" s="732" t="n"/>
    </row>
    <row r="244">
      <c r="BE244" s="732" t="n"/>
      <c r="BF244" s="732" t="n"/>
      <c r="BG244" s="732" t="n"/>
    </row>
    <row r="245">
      <c r="BE245" s="732" t="n"/>
      <c r="BF245" s="732" t="n"/>
      <c r="BG245" s="732" t="n"/>
    </row>
    <row r="246">
      <c r="BE246" s="732" t="n"/>
      <c r="BF246" s="732" t="n"/>
      <c r="BG246" s="732" t="n"/>
    </row>
    <row r="247">
      <c r="BE247" s="732" t="n"/>
      <c r="BF247" s="732" t="n"/>
      <c r="BG247" s="732" t="n"/>
    </row>
    <row r="248">
      <c r="BE248" s="732" t="n"/>
      <c r="BF248" s="732" t="n"/>
      <c r="BG248" s="732" t="n"/>
    </row>
    <row r="249">
      <c r="BE249" s="732" t="n"/>
      <c r="BF249" s="732" t="n"/>
      <c r="BG249" s="732" t="n"/>
    </row>
    <row r="250">
      <c r="BE250" s="732" t="n"/>
      <c r="BF250" s="732" t="n"/>
      <c r="BG250" s="732" t="n"/>
    </row>
    <row r="251">
      <c r="BE251" s="732" t="n"/>
      <c r="BF251" s="732" t="n"/>
      <c r="BG251" s="732" t="n"/>
    </row>
    <row r="252">
      <c r="BE252" s="732" t="n"/>
      <c r="BF252" s="732" t="n"/>
      <c r="BG252" s="732" t="n"/>
    </row>
    <row r="253">
      <c r="BE253" s="732" t="n"/>
      <c r="BF253" s="732" t="n"/>
      <c r="BG253" s="732" t="n"/>
    </row>
    <row r="254">
      <c r="BE254" s="732" t="n"/>
      <c r="BF254" s="732" t="n"/>
      <c r="BG254" s="732" t="n"/>
    </row>
    <row r="255">
      <c r="BE255" s="732" t="n"/>
      <c r="BF255" s="732" t="n"/>
      <c r="BG255" s="732" t="n"/>
    </row>
    <row r="256">
      <c r="BE256" s="732" t="n"/>
      <c r="BF256" s="732" t="n"/>
      <c r="BG256" s="732" t="n"/>
    </row>
    <row r="257">
      <c r="BE257" s="732" t="n"/>
      <c r="BF257" s="732" t="n"/>
      <c r="BG257" s="732" t="n"/>
    </row>
    <row r="258">
      <c r="BE258" s="732" t="n"/>
      <c r="BF258" s="732" t="n"/>
      <c r="BG258" s="732" t="n"/>
    </row>
    <row r="259">
      <c r="BE259" s="732" t="n"/>
      <c r="BF259" s="732" t="n"/>
      <c r="BG259" s="732" t="n"/>
    </row>
    <row r="260">
      <c r="BE260" s="732" t="n"/>
      <c r="BF260" s="732" t="n"/>
      <c r="BG260" s="732" t="n"/>
    </row>
    <row r="261">
      <c r="BE261" s="732" t="n"/>
      <c r="BF261" s="732" t="n"/>
      <c r="BG261" s="732" t="n"/>
    </row>
    <row r="262">
      <c r="BE262" s="732" t="n"/>
      <c r="BF262" s="732" t="n"/>
      <c r="BG262" s="732" t="n"/>
    </row>
    <row r="263">
      <c r="BE263" s="732" t="n"/>
      <c r="BF263" s="732" t="n"/>
      <c r="BG263" s="732" t="n"/>
    </row>
    <row r="264">
      <c r="BE264" s="732" t="n"/>
      <c r="BF264" s="732" t="n"/>
      <c r="BG264" s="732" t="n"/>
    </row>
    <row r="265">
      <c r="BE265" s="732" t="n"/>
      <c r="BF265" s="732" t="n"/>
      <c r="BG265" s="732" t="n"/>
    </row>
    <row r="266">
      <c r="BE266" s="732" t="n"/>
      <c r="BF266" s="732" t="n"/>
      <c r="BG266" s="732" t="n"/>
    </row>
    <row r="267">
      <c r="BE267" s="732" t="n"/>
      <c r="BF267" s="732" t="n"/>
      <c r="BG267" s="732" t="n"/>
    </row>
    <row r="268">
      <c r="BE268" s="732" t="n"/>
      <c r="BF268" s="732" t="n"/>
      <c r="BG268" s="732" t="n"/>
    </row>
    <row r="269">
      <c r="BE269" s="732" t="n"/>
      <c r="BF269" s="732" t="n"/>
      <c r="BG269" s="732" t="n"/>
    </row>
    <row r="270">
      <c r="BE270" s="732" t="n"/>
      <c r="BF270" s="732" t="n"/>
      <c r="BG270" s="732" t="n"/>
    </row>
    <row r="271">
      <c r="BE271" s="732" t="n"/>
      <c r="BF271" s="732" t="n"/>
      <c r="BG271" s="732" t="n"/>
    </row>
    <row r="272">
      <c r="BE272" s="732" t="n"/>
      <c r="BF272" s="732" t="n"/>
      <c r="BG272" s="732" t="n"/>
    </row>
    <row r="273">
      <c r="BE273" s="732" t="n"/>
      <c r="BF273" s="732" t="n"/>
      <c r="BG273" s="732" t="n"/>
    </row>
    <row r="274">
      <c r="BE274" s="732" t="n"/>
      <c r="BF274" s="732" t="n"/>
      <c r="BG274" s="732" t="n"/>
    </row>
    <row r="275">
      <c r="BE275" s="732" t="n"/>
      <c r="BF275" s="732" t="n"/>
      <c r="BG275" s="732" t="n"/>
    </row>
    <row r="276">
      <c r="BE276" s="732" t="n"/>
      <c r="BF276" s="732" t="n"/>
      <c r="BG276" s="732" t="n"/>
    </row>
    <row r="277">
      <c r="BE277" s="732" t="n"/>
      <c r="BF277" s="732" t="n"/>
      <c r="BG277" s="732" t="n"/>
    </row>
    <row r="278">
      <c r="BE278" s="732" t="n"/>
      <c r="BF278" s="732" t="n"/>
      <c r="BG278" s="732" t="n"/>
    </row>
    <row r="279">
      <c r="BE279" s="732" t="n"/>
      <c r="BF279" s="732" t="n"/>
      <c r="BG279" s="732" t="n"/>
    </row>
    <row r="280">
      <c r="BE280" s="732" t="n"/>
      <c r="BF280" s="732" t="n"/>
      <c r="BG280" s="732" t="n"/>
    </row>
    <row r="281">
      <c r="BE281" s="732" t="n"/>
      <c r="BF281" s="732" t="n"/>
      <c r="BG281" s="732" t="n"/>
    </row>
    <row r="282">
      <c r="BE282" s="732" t="n"/>
      <c r="BF282" s="732" t="n"/>
      <c r="BG282" s="732" t="n"/>
    </row>
    <row r="283">
      <c r="BE283" s="732" t="n"/>
      <c r="BF283" s="732" t="n"/>
      <c r="BG283" s="732" t="n"/>
    </row>
    <row r="284">
      <c r="BE284" s="732" t="n"/>
      <c r="BF284" s="732" t="n"/>
      <c r="BG284" s="732" t="n"/>
    </row>
    <row r="285">
      <c r="BE285" s="732" t="n"/>
      <c r="BF285" s="732" t="n"/>
      <c r="BG285" s="732" t="n"/>
    </row>
    <row r="286">
      <c r="BE286" s="732" t="n"/>
      <c r="BF286" s="732" t="n"/>
      <c r="BG286" s="732" t="n"/>
    </row>
    <row r="287">
      <c r="BE287" s="732" t="n"/>
      <c r="BF287" s="732" t="n"/>
      <c r="BG287" s="732" t="n"/>
    </row>
    <row r="288">
      <c r="BE288" s="732" t="n"/>
      <c r="BF288" s="732" t="n"/>
      <c r="BG288" s="732" t="n"/>
    </row>
    <row r="289">
      <c r="BE289" s="732" t="n"/>
      <c r="BF289" s="732" t="n"/>
      <c r="BG289" s="732" t="n"/>
    </row>
    <row r="290">
      <c r="BE290" s="732" t="n"/>
      <c r="BF290" s="732" t="n"/>
      <c r="BG290" s="732" t="n"/>
    </row>
    <row r="291">
      <c r="BE291" s="732" t="n"/>
      <c r="BF291" s="732" t="n"/>
      <c r="BG291" s="732" t="n"/>
    </row>
    <row r="292">
      <c r="BE292" s="732" t="n"/>
      <c r="BF292" s="732" t="n"/>
      <c r="BG292" s="732" t="n"/>
    </row>
    <row r="293">
      <c r="BE293" s="732" t="n"/>
      <c r="BF293" s="732" t="n"/>
      <c r="BG293" s="732" t="n"/>
    </row>
    <row r="294">
      <c r="BE294" s="732" t="n"/>
      <c r="BF294" s="732" t="n"/>
      <c r="BG294" s="732" t="n"/>
    </row>
    <row r="295">
      <c r="BE295" s="732" t="n"/>
      <c r="BF295" s="732" t="n"/>
      <c r="BG295" s="732" t="n"/>
    </row>
    <row r="296">
      <c r="BE296" s="732" t="n"/>
      <c r="BF296" s="732" t="n"/>
      <c r="BG296" s="732" t="n"/>
    </row>
    <row r="297">
      <c r="BE297" s="732" t="n"/>
      <c r="BF297" s="732" t="n"/>
      <c r="BG297" s="732" t="n"/>
    </row>
    <row r="298">
      <c r="BE298" s="732" t="n"/>
      <c r="BF298" s="732" t="n"/>
      <c r="BG298" s="732" t="n"/>
    </row>
    <row r="299">
      <c r="BE299" s="732" t="n"/>
      <c r="BF299" s="732" t="n"/>
      <c r="BG299" s="732" t="n"/>
    </row>
    <row r="300">
      <c r="BE300" s="732" t="n"/>
      <c r="BF300" s="732" t="n"/>
      <c r="BG300" s="732" t="n"/>
    </row>
    <row r="301">
      <c r="BE301" s="732" t="n"/>
      <c r="BF301" s="732" t="n"/>
      <c r="BG301" s="732" t="n"/>
    </row>
    <row r="302">
      <c r="BE302" s="732" t="n"/>
      <c r="BF302" s="732" t="n"/>
      <c r="BG302" s="732" t="n"/>
    </row>
    <row r="303">
      <c r="BE303" s="732" t="n"/>
      <c r="BF303" s="732" t="n"/>
      <c r="BG303" s="732" t="n"/>
    </row>
    <row r="304">
      <c r="BE304" s="732" t="n"/>
      <c r="BF304" s="732" t="n"/>
      <c r="BG304" s="732" t="n"/>
    </row>
    <row r="305">
      <c r="BE305" s="732" t="n"/>
      <c r="BF305" s="732" t="n"/>
      <c r="BG305" s="732" t="n"/>
    </row>
    <row r="306">
      <c r="BE306" s="732" t="n"/>
      <c r="BF306" s="732" t="n"/>
      <c r="BG306" s="732" t="n"/>
    </row>
    <row r="307">
      <c r="BE307" s="732" t="n"/>
      <c r="BF307" s="732" t="n"/>
      <c r="BG307" s="732" t="n"/>
    </row>
    <row r="308">
      <c r="BE308" s="732" t="n"/>
      <c r="BF308" s="732" t="n"/>
      <c r="BG308" s="732" t="n"/>
    </row>
    <row r="309">
      <c r="BE309" s="732" t="n"/>
      <c r="BF309" s="732" t="n"/>
      <c r="BG309" s="732" t="n"/>
    </row>
    <row r="310">
      <c r="BE310" s="732" t="n"/>
      <c r="BF310" s="732" t="n"/>
      <c r="BG310" s="732" t="n"/>
    </row>
    <row r="311">
      <c r="BE311" s="732" t="n"/>
      <c r="BF311" s="732" t="n"/>
      <c r="BG311" s="732" t="n"/>
    </row>
    <row r="312">
      <c r="BE312" s="732" t="n"/>
      <c r="BF312" s="732" t="n"/>
      <c r="BG312" s="732" t="n"/>
    </row>
    <row r="313">
      <c r="BE313" s="732" t="n"/>
      <c r="BF313" s="732" t="n"/>
      <c r="BG313" s="732" t="n"/>
    </row>
    <row r="314">
      <c r="BE314" s="732" t="n"/>
      <c r="BF314" s="732" t="n"/>
      <c r="BG314" s="732" t="n"/>
    </row>
    <row r="315">
      <c r="BE315" s="732" t="n"/>
      <c r="BF315" s="732" t="n"/>
      <c r="BG315" s="732" t="n"/>
    </row>
    <row r="316">
      <c r="BE316" s="732" t="n"/>
      <c r="BF316" s="732" t="n"/>
      <c r="BG316" s="732" t="n"/>
    </row>
    <row r="317">
      <c r="BE317" s="732" t="n"/>
      <c r="BF317" s="732" t="n"/>
      <c r="BG317" s="732" t="n"/>
    </row>
    <row r="318">
      <c r="BE318" s="732" t="n"/>
      <c r="BF318" s="732" t="n"/>
      <c r="BG318" s="732" t="n"/>
    </row>
    <row r="319">
      <c r="BE319" s="732" t="n"/>
      <c r="BF319" s="732" t="n"/>
      <c r="BG319" s="732" t="n"/>
    </row>
    <row r="320">
      <c r="BE320" s="732" t="n"/>
      <c r="BF320" s="732" t="n"/>
      <c r="BG320" s="732" t="n"/>
    </row>
    <row r="321">
      <c r="BE321" s="732" t="n"/>
      <c r="BF321" s="732" t="n"/>
      <c r="BG321" s="732" t="n"/>
    </row>
    <row r="322">
      <c r="BE322" s="732" t="n"/>
      <c r="BF322" s="732" t="n"/>
      <c r="BG322" s="732" t="n"/>
    </row>
    <row r="323">
      <c r="BE323" s="732" t="n"/>
      <c r="BF323" s="732" t="n"/>
      <c r="BG323" s="732" t="n"/>
    </row>
    <row r="324">
      <c r="BE324" s="732" t="n"/>
      <c r="BF324" s="732" t="n"/>
      <c r="BG324" s="732" t="n"/>
    </row>
    <row r="325">
      <c r="BE325" s="732" t="n"/>
      <c r="BF325" s="732" t="n"/>
      <c r="BG325" s="732" t="n"/>
    </row>
    <row r="326">
      <c r="BE326" s="732" t="n"/>
      <c r="BF326" s="732" t="n"/>
      <c r="BG326" s="732" t="n"/>
    </row>
    <row r="327">
      <c r="BE327" s="732" t="n"/>
      <c r="BF327" s="732" t="n"/>
      <c r="BG327" s="732" t="n"/>
    </row>
    <row r="328">
      <c r="BE328" s="732" t="n"/>
      <c r="BF328" s="732" t="n"/>
      <c r="BG328" s="732" t="n"/>
    </row>
    <row r="329">
      <c r="BE329" s="732" t="n"/>
      <c r="BF329" s="732" t="n"/>
      <c r="BG329" s="732" t="n"/>
    </row>
    <row r="330">
      <c r="BE330" s="732" t="n"/>
      <c r="BF330" s="732" t="n"/>
      <c r="BG330" s="732" t="n"/>
    </row>
    <row r="331">
      <c r="BE331" s="732" t="n"/>
      <c r="BF331" s="732" t="n"/>
      <c r="BG331" s="732" t="n"/>
    </row>
    <row r="332">
      <c r="BE332" s="732" t="n"/>
      <c r="BF332" s="732" t="n"/>
      <c r="BG332" s="732" t="n"/>
    </row>
    <row r="333">
      <c r="BE333" s="732" t="n"/>
      <c r="BF333" s="732" t="n"/>
      <c r="BG333" s="732" t="n"/>
    </row>
    <row r="334">
      <c r="BE334" s="732" t="n"/>
      <c r="BF334" s="732" t="n"/>
      <c r="BG334" s="732" t="n"/>
    </row>
    <row r="335">
      <c r="BE335" s="732" t="n"/>
      <c r="BF335" s="732" t="n"/>
      <c r="BG335" s="732" t="n"/>
    </row>
    <row r="336">
      <c r="BE336" s="732" t="n"/>
      <c r="BF336" s="732" t="n"/>
      <c r="BG336" s="732" t="n"/>
    </row>
    <row r="337">
      <c r="BE337" s="732" t="n"/>
      <c r="BF337" s="732" t="n"/>
      <c r="BG337" s="732" t="n"/>
    </row>
    <row r="338">
      <c r="BE338" s="732" t="n"/>
      <c r="BF338" s="732" t="n"/>
      <c r="BG338" s="732" t="n"/>
    </row>
    <row r="339">
      <c r="BE339" s="732" t="n"/>
      <c r="BF339" s="732" t="n"/>
      <c r="BG339" s="732" t="n"/>
    </row>
    <row r="340">
      <c r="BE340" s="732" t="n"/>
      <c r="BF340" s="732" t="n"/>
      <c r="BG340" s="732" t="n"/>
    </row>
    <row r="341">
      <c r="BE341" s="732" t="n"/>
      <c r="BF341" s="732" t="n"/>
      <c r="BG341" s="732" t="n"/>
    </row>
    <row r="342">
      <c r="BE342" s="732" t="n"/>
      <c r="BF342" s="732" t="n"/>
      <c r="BG342" s="732" t="n"/>
    </row>
    <row r="343">
      <c r="BE343" s="732" t="n"/>
      <c r="BF343" s="732" t="n"/>
      <c r="BG343" s="732" t="n"/>
    </row>
    <row r="344">
      <c r="BE344" s="732" t="n"/>
      <c r="BF344" s="732" t="n"/>
      <c r="BG344" s="732" t="n"/>
    </row>
    <row r="345">
      <c r="BE345" s="732" t="n"/>
      <c r="BF345" s="732" t="n"/>
      <c r="BG345" s="732" t="n"/>
    </row>
    <row r="346">
      <c r="BE346" s="732" t="n"/>
      <c r="BF346" s="732" t="n"/>
      <c r="BG346" s="732" t="n"/>
    </row>
    <row r="347">
      <c r="BE347" s="732" t="n"/>
      <c r="BF347" s="732" t="n"/>
      <c r="BG347" s="732" t="n"/>
    </row>
    <row r="348">
      <c r="BE348" s="732" t="n"/>
      <c r="BF348" s="732" t="n"/>
      <c r="BG348" s="732" t="n"/>
    </row>
    <row r="349">
      <c r="BE349" s="732" t="n"/>
      <c r="BF349" s="732" t="n"/>
      <c r="BG349" s="732" t="n"/>
    </row>
    <row r="350">
      <c r="BE350" s="732" t="n"/>
      <c r="BF350" s="732" t="n"/>
      <c r="BG350" s="732" t="n"/>
    </row>
    <row r="351">
      <c r="BE351" s="732" t="n"/>
      <c r="BF351" s="732" t="n"/>
      <c r="BG351" s="732" t="n"/>
    </row>
    <row r="352">
      <c r="BE352" s="732" t="n"/>
      <c r="BF352" s="732" t="n"/>
      <c r="BG352" s="732" t="n"/>
    </row>
    <row r="353">
      <c r="BE353" s="732" t="n"/>
      <c r="BF353" s="732" t="n"/>
      <c r="BG353" s="732" t="n"/>
    </row>
    <row r="354">
      <c r="BE354" s="732" t="n"/>
      <c r="BF354" s="732" t="n"/>
      <c r="BG354" s="732" t="n"/>
    </row>
    <row r="355">
      <c r="BE355" s="732" t="n"/>
      <c r="BF355" s="732" t="n"/>
      <c r="BG355" s="732" t="n"/>
    </row>
    <row r="356">
      <c r="BE356" s="732" t="n"/>
      <c r="BF356" s="732" t="n"/>
      <c r="BG356" s="732" t="n"/>
    </row>
    <row r="357">
      <c r="BE357" s="732" t="n"/>
      <c r="BF357" s="732" t="n"/>
      <c r="BG357" s="732" t="n"/>
    </row>
    <row r="358">
      <c r="BE358" s="732" t="n"/>
      <c r="BF358" s="732" t="n"/>
      <c r="BG358" s="732" t="n"/>
    </row>
    <row r="359">
      <c r="BE359" s="732" t="n"/>
      <c r="BF359" s="732" t="n"/>
      <c r="BG359" s="732" t="n"/>
    </row>
    <row r="360">
      <c r="BE360" s="732" t="n"/>
      <c r="BF360" s="732" t="n"/>
      <c r="BG360" s="732" t="n"/>
    </row>
    <row r="361">
      <c r="BE361" s="732" t="n"/>
      <c r="BF361" s="732" t="n"/>
      <c r="BG361" s="732" t="n"/>
    </row>
    <row r="362">
      <c r="BE362" s="732" t="n"/>
      <c r="BF362" s="732" t="n"/>
      <c r="BG362" s="732" t="n"/>
    </row>
    <row r="363">
      <c r="BE363" s="732" t="n"/>
      <c r="BF363" s="732" t="n"/>
      <c r="BG363" s="732" t="n"/>
    </row>
    <row r="364">
      <c r="BE364" s="732" t="n"/>
      <c r="BF364" s="732" t="n"/>
      <c r="BG364" s="732" t="n"/>
    </row>
    <row r="365">
      <c r="BE365" s="732" t="n"/>
      <c r="BF365" s="732" t="n"/>
      <c r="BG365" s="732" t="n"/>
    </row>
    <row r="366">
      <c r="BE366" s="732" t="n"/>
      <c r="BF366" s="732" t="n"/>
      <c r="BG366" s="732" t="n"/>
    </row>
    <row r="367">
      <c r="BE367" s="732" t="n"/>
      <c r="BF367" s="732" t="n"/>
      <c r="BG367" s="732" t="n"/>
    </row>
    <row r="368">
      <c r="BE368" s="732" t="n"/>
      <c r="BF368" s="732" t="n"/>
      <c r="BG368" s="732" t="n"/>
    </row>
    <row r="369">
      <c r="BE369" s="732" t="n"/>
      <c r="BF369" s="732" t="n"/>
      <c r="BG369" s="732" t="n"/>
    </row>
    <row r="370">
      <c r="BE370" s="732" t="n"/>
      <c r="BF370" s="732" t="n"/>
      <c r="BG370" s="732" t="n"/>
    </row>
    <row r="371">
      <c r="BE371" s="732" t="n"/>
      <c r="BF371" s="732" t="n"/>
      <c r="BG371" s="732" t="n"/>
    </row>
    <row r="372">
      <c r="BE372" s="732" t="n"/>
      <c r="BF372" s="732" t="n"/>
      <c r="BG372" s="732" t="n"/>
    </row>
    <row r="373">
      <c r="BE373" s="732" t="n"/>
      <c r="BF373" s="732" t="n"/>
      <c r="BG373" s="732" t="n"/>
    </row>
    <row r="374">
      <c r="BE374" s="732" t="n"/>
      <c r="BF374" s="732" t="n"/>
      <c r="BG374" s="732" t="n"/>
    </row>
    <row r="375">
      <c r="BE375" s="732" t="n"/>
      <c r="BF375" s="732" t="n"/>
      <c r="BG375" s="732" t="n"/>
    </row>
    <row r="376">
      <c r="BE376" s="732" t="n"/>
      <c r="BF376" s="732" t="n"/>
      <c r="BG376" s="732" t="n"/>
    </row>
    <row r="377">
      <c r="BE377" s="732" t="n"/>
      <c r="BF377" s="732" t="n"/>
      <c r="BG377" s="732" t="n"/>
    </row>
    <row r="378">
      <c r="BE378" s="732" t="n"/>
      <c r="BF378" s="732" t="n"/>
      <c r="BG378" s="732" t="n"/>
    </row>
    <row r="379">
      <c r="BE379" s="732" t="n"/>
      <c r="BF379" s="732" t="n"/>
      <c r="BG379" s="732" t="n"/>
    </row>
    <row r="380">
      <c r="BE380" s="732" t="n"/>
      <c r="BF380" s="732" t="n"/>
      <c r="BG380" s="732" t="n"/>
    </row>
    <row r="381">
      <c r="BE381" s="732" t="n"/>
      <c r="BF381" s="732" t="n"/>
      <c r="BG381" s="732" t="n"/>
    </row>
    <row r="382">
      <c r="BE382" s="732" t="n"/>
      <c r="BF382" s="732" t="n"/>
      <c r="BG382" s="732" t="n"/>
    </row>
    <row r="383">
      <c r="BE383" s="732" t="n"/>
      <c r="BF383" s="732" t="n"/>
      <c r="BG383" s="732" t="n"/>
    </row>
    <row r="384">
      <c r="BE384" s="732" t="n"/>
      <c r="BF384" s="732" t="n"/>
      <c r="BG384" s="732" t="n"/>
    </row>
    <row r="385">
      <c r="BE385" s="732" t="n"/>
      <c r="BF385" s="732" t="n"/>
      <c r="BG385" s="732" t="n"/>
    </row>
    <row r="386">
      <c r="BE386" s="732" t="n"/>
      <c r="BF386" s="732" t="n"/>
      <c r="BG386" s="732" t="n"/>
    </row>
    <row r="387">
      <c r="BE387" s="732" t="n"/>
      <c r="BF387" s="732" t="n"/>
      <c r="BG387" s="732" t="n"/>
    </row>
    <row r="388">
      <c r="BE388" s="732" t="n"/>
      <c r="BF388" s="732" t="n"/>
      <c r="BG388" s="732" t="n"/>
    </row>
    <row r="389">
      <c r="BE389" s="732" t="n"/>
      <c r="BF389" s="732" t="n"/>
      <c r="BG389" s="732" t="n"/>
    </row>
    <row r="390">
      <c r="BE390" s="732" t="n"/>
      <c r="BF390" s="732" t="n"/>
      <c r="BG390" s="732" t="n"/>
    </row>
    <row r="391">
      <c r="BE391" s="732" t="n"/>
      <c r="BF391" s="732" t="n"/>
      <c r="BG391" s="732" t="n"/>
    </row>
    <row r="392">
      <c r="BE392" s="732" t="n"/>
      <c r="BF392" s="732" t="n"/>
      <c r="BG392" s="732" t="n"/>
    </row>
    <row r="393">
      <c r="BE393" s="732" t="n"/>
      <c r="BF393" s="732" t="n"/>
      <c r="BG393" s="732" t="n"/>
    </row>
    <row r="394">
      <c r="BE394" s="732" t="n"/>
      <c r="BF394" s="732" t="n"/>
      <c r="BG394" s="732" t="n"/>
    </row>
    <row r="395">
      <c r="BE395" s="732" t="n"/>
      <c r="BF395" s="732" t="n"/>
      <c r="BG395" s="732" t="n"/>
    </row>
    <row r="396">
      <c r="BE396" s="732" t="n"/>
      <c r="BF396" s="732" t="n"/>
      <c r="BG396" s="732" t="n"/>
    </row>
    <row r="397">
      <c r="BE397" s="732" t="n"/>
      <c r="BF397" s="732" t="n"/>
      <c r="BG397" s="732" t="n"/>
    </row>
    <row r="398">
      <c r="BE398" s="732" t="n"/>
      <c r="BF398" s="732" t="n"/>
      <c r="BG398" s="732" t="n"/>
    </row>
    <row r="399">
      <c r="BE399" s="732" t="n"/>
      <c r="BF399" s="732" t="n"/>
      <c r="BG399" s="732" t="n"/>
    </row>
    <row r="400">
      <c r="BE400" s="732" t="n"/>
      <c r="BF400" s="732" t="n"/>
      <c r="BG400" s="732" t="n"/>
    </row>
    <row r="401">
      <c r="BE401" s="732" t="n"/>
      <c r="BF401" s="732" t="n"/>
      <c r="BG401" s="732" t="n"/>
    </row>
    <row r="402">
      <c r="BE402" s="732" t="n"/>
      <c r="BF402" s="732" t="n"/>
      <c r="BG402" s="732" t="n"/>
    </row>
    <row r="403">
      <c r="BE403" s="732" t="n"/>
      <c r="BF403" s="732" t="n"/>
      <c r="BG403" s="732" t="n"/>
    </row>
    <row r="404">
      <c r="BE404" s="732" t="n"/>
      <c r="BF404" s="732" t="n"/>
      <c r="BG404" s="732" t="n"/>
    </row>
    <row r="405">
      <c r="BE405" s="732" t="n"/>
      <c r="BF405" s="732" t="n"/>
      <c r="BG405" s="732" t="n"/>
    </row>
    <row r="406">
      <c r="BE406" s="732" t="n"/>
      <c r="BF406" s="732" t="n"/>
      <c r="BG406" s="732" t="n"/>
    </row>
    <row r="407">
      <c r="BE407" s="732" t="n"/>
      <c r="BF407" s="732" t="n"/>
      <c r="BG407" s="732" t="n"/>
    </row>
    <row r="408">
      <c r="BE408" s="732" t="n"/>
      <c r="BF408" s="732" t="n"/>
      <c r="BG408" s="732" t="n"/>
    </row>
    <row r="409">
      <c r="BE409" s="732" t="n"/>
      <c r="BF409" s="732" t="n"/>
      <c r="BG409" s="732" t="n"/>
    </row>
    <row r="410">
      <c r="BE410" s="732" t="n"/>
      <c r="BF410" s="732" t="n"/>
      <c r="BG410" s="732" t="n"/>
    </row>
    <row r="411">
      <c r="BE411" s="732" t="n"/>
      <c r="BF411" s="732" t="n"/>
      <c r="BG411" s="732" t="n"/>
    </row>
    <row r="412">
      <c r="BE412" s="732" t="n"/>
      <c r="BF412" s="732" t="n"/>
      <c r="BG412" s="732" t="n"/>
    </row>
    <row r="413">
      <c r="BE413" s="732" t="n"/>
      <c r="BF413" s="732" t="n"/>
      <c r="BG413" s="732" t="n"/>
    </row>
    <row r="414">
      <c r="BE414" s="732" t="n"/>
      <c r="BF414" s="732" t="n"/>
      <c r="BG414" s="732" t="n"/>
    </row>
    <row r="415">
      <c r="BE415" s="732" t="n"/>
      <c r="BF415" s="732" t="n"/>
      <c r="BG415" s="732" t="n"/>
    </row>
    <row r="416">
      <c r="BE416" s="732" t="n"/>
      <c r="BF416" s="732" t="n"/>
      <c r="BG416" s="732" t="n"/>
    </row>
    <row r="417">
      <c r="BE417" s="732" t="n"/>
      <c r="BF417" s="732" t="n"/>
      <c r="BG417" s="732" t="n"/>
    </row>
    <row r="418">
      <c r="BE418" s="732" t="n"/>
      <c r="BF418" s="732" t="n"/>
      <c r="BG418" s="732" t="n"/>
    </row>
    <row r="419">
      <c r="BE419" s="732" t="n"/>
      <c r="BF419" s="732" t="n"/>
      <c r="BG419" s="732" t="n"/>
    </row>
    <row r="420">
      <c r="BE420" s="732" t="n"/>
      <c r="BF420" s="732" t="n"/>
      <c r="BG420" s="732" t="n"/>
    </row>
    <row r="421">
      <c r="BE421" s="732" t="n"/>
      <c r="BF421" s="732" t="n"/>
      <c r="BG421" s="732" t="n"/>
    </row>
    <row r="422">
      <c r="BE422" s="732" t="n"/>
      <c r="BF422" s="732" t="n"/>
      <c r="BG422" s="732" t="n"/>
    </row>
    <row r="423">
      <c r="BE423" s="732" t="n"/>
      <c r="BF423" s="732" t="n"/>
      <c r="BG423" s="732" t="n"/>
    </row>
    <row r="424">
      <c r="BE424" s="732" t="n"/>
      <c r="BF424" s="732" t="n"/>
      <c r="BG424" s="732" t="n"/>
    </row>
    <row r="425">
      <c r="BE425" s="732" t="n"/>
      <c r="BF425" s="732" t="n"/>
      <c r="BG425" s="732" t="n"/>
    </row>
    <row r="426">
      <c r="BE426" s="732" t="n"/>
      <c r="BF426" s="732" t="n"/>
      <c r="BG426" s="732" t="n"/>
    </row>
    <row r="427">
      <c r="BE427" s="732" t="n"/>
      <c r="BF427" s="732" t="n"/>
      <c r="BG427" s="732" t="n"/>
    </row>
    <row r="428">
      <c r="BE428" s="732" t="n"/>
      <c r="BF428" s="732" t="n"/>
      <c r="BG428" s="732" t="n"/>
    </row>
    <row r="429">
      <c r="BE429" s="732" t="n"/>
      <c r="BF429" s="732" t="n"/>
      <c r="BG429" s="732" t="n"/>
    </row>
    <row r="430">
      <c r="BE430" s="732" t="n"/>
      <c r="BF430" s="732" t="n"/>
      <c r="BG430" s="732" t="n"/>
    </row>
    <row r="431">
      <c r="BE431" s="732" t="n"/>
      <c r="BF431" s="732" t="n"/>
      <c r="BG431" s="732" t="n"/>
    </row>
    <row r="432">
      <c r="BE432" s="732" t="n"/>
      <c r="BF432" s="732" t="n"/>
      <c r="BG432" s="732" t="n"/>
    </row>
    <row r="433">
      <c r="BE433" s="732" t="n"/>
      <c r="BF433" s="732" t="n"/>
      <c r="BG433" s="732" t="n"/>
    </row>
    <row r="434">
      <c r="BE434" s="732" t="n"/>
      <c r="BF434" s="732" t="n"/>
      <c r="BG434" s="732" t="n"/>
    </row>
    <row r="435">
      <c r="BE435" s="732" t="n"/>
      <c r="BF435" s="732" t="n"/>
      <c r="BG435" s="732" t="n"/>
    </row>
    <row r="436">
      <c r="BE436" s="732" t="n"/>
      <c r="BF436" s="732" t="n"/>
      <c r="BG436" s="732" t="n"/>
    </row>
    <row r="437">
      <c r="BE437" s="732" t="n"/>
      <c r="BF437" s="732" t="n"/>
      <c r="BG437" s="732" t="n"/>
    </row>
    <row r="438">
      <c r="BE438" s="732" t="n"/>
      <c r="BF438" s="732" t="n"/>
      <c r="BG438" s="732" t="n"/>
    </row>
    <row r="439">
      <c r="BE439" s="732" t="n"/>
      <c r="BF439" s="732" t="n"/>
      <c r="BG439" s="732" t="n"/>
    </row>
    <row r="440">
      <c r="BE440" s="732" t="n"/>
      <c r="BF440" s="732" t="n"/>
      <c r="BG440" s="732" t="n"/>
    </row>
    <row r="441">
      <c r="BE441" s="732" t="n"/>
      <c r="BF441" s="732" t="n"/>
      <c r="BG441" s="732" t="n"/>
    </row>
    <row r="442">
      <c r="BE442" s="732" t="n"/>
      <c r="BF442" s="732" t="n"/>
      <c r="BG442" s="732" t="n"/>
    </row>
    <row r="443">
      <c r="BE443" s="732" t="n"/>
      <c r="BF443" s="732" t="n"/>
      <c r="BG443" s="732" t="n"/>
    </row>
    <row r="444">
      <c r="BE444" s="732" t="n"/>
      <c r="BF444" s="732" t="n"/>
      <c r="BG444" s="732" t="n"/>
    </row>
    <row r="445">
      <c r="BE445" s="732" t="n"/>
      <c r="BF445" s="732" t="n"/>
      <c r="BG445" s="732" t="n"/>
    </row>
    <row r="446">
      <c r="BE446" s="732" t="n"/>
      <c r="BF446" s="732" t="n"/>
      <c r="BG446" s="732" t="n"/>
    </row>
    <row r="447">
      <c r="BE447" s="732" t="n"/>
      <c r="BF447" s="732" t="n"/>
      <c r="BG447" s="732" t="n"/>
    </row>
    <row r="448">
      <c r="BE448" s="732" t="n"/>
      <c r="BF448" s="732" t="n"/>
      <c r="BG448" s="732" t="n"/>
    </row>
    <row r="449">
      <c r="BE449" s="732" t="n"/>
      <c r="BF449" s="732" t="n"/>
      <c r="BG449" s="732" t="n"/>
    </row>
    <row r="450">
      <c r="BE450" s="732" t="n"/>
      <c r="BF450" s="732" t="n"/>
      <c r="BG450" s="732" t="n"/>
    </row>
    <row r="451">
      <c r="BE451" s="732" t="n"/>
      <c r="BF451" s="732" t="n"/>
      <c r="BG451" s="732" t="n"/>
    </row>
    <row r="452">
      <c r="BE452" s="732" t="n"/>
      <c r="BF452" s="732" t="n"/>
      <c r="BG452" s="732" t="n"/>
    </row>
    <row r="453">
      <c r="BE453" s="732" t="n"/>
      <c r="BF453" s="732" t="n"/>
      <c r="BG453" s="732" t="n"/>
    </row>
    <row r="454">
      <c r="BE454" s="732" t="n"/>
      <c r="BF454" s="732" t="n"/>
      <c r="BG454" s="732" t="n"/>
    </row>
    <row r="455">
      <c r="BE455" s="732" t="n"/>
      <c r="BF455" s="732" t="n"/>
      <c r="BG455" s="732" t="n"/>
    </row>
    <row r="456">
      <c r="BE456" s="732" t="n"/>
      <c r="BF456" s="732" t="n"/>
      <c r="BG456" s="732" t="n"/>
    </row>
    <row r="457">
      <c r="BE457" s="732" t="n"/>
      <c r="BF457" s="732" t="n"/>
      <c r="BG457" s="732" t="n"/>
    </row>
    <row r="458">
      <c r="BE458" s="732" t="n"/>
      <c r="BF458" s="732" t="n"/>
      <c r="BG458" s="732" t="n"/>
    </row>
    <row r="459">
      <c r="BE459" s="732" t="n"/>
      <c r="BF459" s="732" t="n"/>
      <c r="BG459" s="732" t="n"/>
    </row>
    <row r="460">
      <c r="BE460" s="732" t="n"/>
      <c r="BF460" s="732" t="n"/>
      <c r="BG460" s="732" t="n"/>
    </row>
    <row r="461">
      <c r="BE461" s="732" t="n"/>
      <c r="BF461" s="732" t="n"/>
      <c r="BG461" s="732" t="n"/>
    </row>
    <row r="462">
      <c r="BE462" s="732" t="n"/>
      <c r="BF462" s="732" t="n"/>
      <c r="BG462" s="732" t="n"/>
    </row>
    <row r="463">
      <c r="BE463" s="732" t="n"/>
      <c r="BF463" s="732" t="n"/>
      <c r="BG463" s="732" t="n"/>
    </row>
    <row r="464">
      <c r="BE464" s="732" t="n"/>
      <c r="BF464" s="732" t="n"/>
      <c r="BG464" s="732" t="n"/>
    </row>
    <row r="465">
      <c r="BE465" s="732" t="n"/>
      <c r="BF465" s="732" t="n"/>
      <c r="BG465" s="732" t="n"/>
    </row>
    <row r="466">
      <c r="BE466" s="732" t="n"/>
      <c r="BF466" s="732" t="n"/>
      <c r="BG466" s="732" t="n"/>
    </row>
    <row r="467">
      <c r="BE467" s="732" t="n"/>
      <c r="BF467" s="732" t="n"/>
      <c r="BG467" s="732" t="n"/>
    </row>
    <row r="468">
      <c r="BE468" s="732" t="n"/>
      <c r="BF468" s="732" t="n"/>
      <c r="BG468" s="732" t="n"/>
    </row>
    <row r="469">
      <c r="BE469" s="732" t="n"/>
      <c r="BF469" s="732" t="n"/>
      <c r="BG469" s="732" t="n"/>
    </row>
    <row r="470">
      <c r="BE470" s="732" t="n"/>
      <c r="BF470" s="732" t="n"/>
      <c r="BG470" s="732" t="n"/>
    </row>
    <row r="471">
      <c r="BE471" s="732" t="n"/>
      <c r="BF471" s="732" t="n"/>
      <c r="BG471" s="732" t="n"/>
    </row>
    <row r="472">
      <c r="BE472" s="732" t="n"/>
      <c r="BF472" s="732" t="n"/>
      <c r="BG472" s="732" t="n"/>
    </row>
    <row r="473">
      <c r="BE473" s="732" t="n"/>
      <c r="BF473" s="732" t="n"/>
      <c r="BG473" s="732" t="n"/>
    </row>
    <row r="474">
      <c r="BE474" s="732" t="n"/>
      <c r="BF474" s="732" t="n"/>
      <c r="BG474" s="732" t="n"/>
    </row>
    <row r="475">
      <c r="BE475" s="732" t="n"/>
      <c r="BF475" s="732" t="n"/>
      <c r="BG475" s="732" t="n"/>
    </row>
    <row r="476">
      <c r="BE476" s="732" t="n"/>
      <c r="BF476" s="732" t="n"/>
      <c r="BG476" s="732" t="n"/>
    </row>
    <row r="477">
      <c r="BE477" s="732" t="n"/>
      <c r="BF477" s="732" t="n"/>
      <c r="BG477" s="732" t="n"/>
    </row>
    <row r="478">
      <c r="BE478" s="732" t="n"/>
      <c r="BF478" s="732" t="n"/>
      <c r="BG478" s="732" t="n"/>
    </row>
    <row r="479">
      <c r="BE479" s="732" t="n"/>
      <c r="BF479" s="732" t="n"/>
      <c r="BG479" s="732" t="n"/>
    </row>
    <row r="480">
      <c r="BE480" s="732" t="n"/>
      <c r="BF480" s="732" t="n"/>
      <c r="BG480" s="732" t="n"/>
    </row>
    <row r="481">
      <c r="BE481" s="732" t="n"/>
      <c r="BF481" s="732" t="n"/>
      <c r="BG481" s="732" t="n"/>
    </row>
    <row r="482">
      <c r="BE482" s="732" t="n"/>
      <c r="BF482" s="732" t="n"/>
      <c r="BG482" s="732" t="n"/>
    </row>
    <row r="483">
      <c r="BE483" s="732" t="n"/>
      <c r="BF483" s="732" t="n"/>
      <c r="BG483" s="732" t="n"/>
    </row>
    <row r="484">
      <c r="BE484" s="732" t="n"/>
      <c r="BF484" s="732" t="n"/>
      <c r="BG484" s="732" t="n"/>
    </row>
    <row r="485">
      <c r="BE485" s="732" t="n"/>
      <c r="BF485" s="732" t="n"/>
      <c r="BG485" s="732" t="n"/>
    </row>
    <row r="486">
      <c r="BE486" s="732" t="n"/>
      <c r="BF486" s="732" t="n"/>
      <c r="BG486" s="732" t="n"/>
    </row>
    <row r="487">
      <c r="BE487" s="732" t="n"/>
      <c r="BF487" s="732" t="n"/>
      <c r="BG487" s="732" t="n"/>
    </row>
    <row r="488">
      <c r="BE488" s="732" t="n"/>
      <c r="BF488" s="732" t="n"/>
      <c r="BG488" s="732" t="n"/>
    </row>
    <row r="489">
      <c r="BE489" s="732" t="n"/>
      <c r="BF489" s="732" t="n"/>
      <c r="BG489" s="732" t="n"/>
    </row>
    <row r="490">
      <c r="BE490" s="732" t="n"/>
      <c r="BF490" s="732" t="n"/>
      <c r="BG490" s="732" t="n"/>
    </row>
    <row r="491">
      <c r="BE491" s="732" t="n"/>
      <c r="BF491" s="732" t="n"/>
      <c r="BG491" s="732" t="n"/>
    </row>
    <row r="492">
      <c r="BE492" s="732" t="n"/>
      <c r="BF492" s="732" t="n"/>
      <c r="BG492" s="732" t="n"/>
    </row>
    <row r="493">
      <c r="BE493" s="732" t="n"/>
      <c r="BF493" s="732" t="n"/>
      <c r="BG493" s="732" t="n"/>
    </row>
    <row r="494">
      <c r="BE494" s="732" t="n"/>
      <c r="BF494" s="732" t="n"/>
      <c r="BG494" s="732" t="n"/>
    </row>
    <row r="495">
      <c r="BE495" s="732" t="n"/>
      <c r="BF495" s="732" t="n"/>
      <c r="BG495" s="732" t="n"/>
    </row>
    <row r="496">
      <c r="BE496" s="732" t="n"/>
      <c r="BF496" s="732" t="n"/>
      <c r="BG496" s="732" t="n"/>
    </row>
    <row r="497">
      <c r="BE497" s="732" t="n"/>
      <c r="BF497" s="732" t="n"/>
      <c r="BG497" s="732" t="n"/>
    </row>
    <row r="498">
      <c r="BE498" s="732" t="n"/>
      <c r="BF498" s="732" t="n"/>
      <c r="BG498" s="732" t="n"/>
    </row>
    <row r="499">
      <c r="BE499" s="732" t="n"/>
      <c r="BF499" s="732" t="n"/>
      <c r="BG499" s="732" t="n"/>
    </row>
    <row r="500">
      <c r="BE500" s="732" t="n"/>
      <c r="BF500" s="732" t="n"/>
      <c r="BG500" s="732" t="n"/>
    </row>
    <row r="501">
      <c r="BE501" s="732" t="n"/>
      <c r="BF501" s="732" t="n"/>
      <c r="BG501" s="732" t="n"/>
    </row>
    <row r="502">
      <c r="BE502" s="732" t="n"/>
      <c r="BF502" s="732" t="n"/>
      <c r="BG502" s="732" t="n"/>
    </row>
    <row r="503">
      <c r="BE503" s="732" t="n"/>
      <c r="BF503" s="732" t="n"/>
      <c r="BG503" s="732" t="n"/>
    </row>
    <row r="504">
      <c r="BE504" s="732" t="n"/>
      <c r="BF504" s="732" t="n"/>
      <c r="BG504" s="732" t="n"/>
    </row>
    <row r="505">
      <c r="BE505" s="732" t="n"/>
      <c r="BF505" s="732" t="n"/>
      <c r="BG505" s="732" t="n"/>
    </row>
    <row r="506">
      <c r="BE506" s="732" t="n"/>
      <c r="BF506" s="732" t="n"/>
      <c r="BG506" s="732" t="n"/>
    </row>
    <row r="507">
      <c r="BE507" s="732" t="n"/>
      <c r="BF507" s="732" t="n"/>
      <c r="BG507" s="732" t="n"/>
    </row>
    <row r="508">
      <c r="BE508" s="732" t="n"/>
      <c r="BF508" s="732" t="n"/>
      <c r="BG508" s="732" t="n"/>
    </row>
    <row r="509">
      <c r="BE509" s="732" t="n"/>
      <c r="BF509" s="732" t="n"/>
      <c r="BG509" s="732" t="n"/>
    </row>
    <row r="510">
      <c r="BE510" s="732" t="n"/>
      <c r="BF510" s="732" t="n"/>
      <c r="BG510" s="732" t="n"/>
    </row>
    <row r="511">
      <c r="BE511" s="732" t="n"/>
      <c r="BF511" s="732" t="n"/>
      <c r="BG511" s="732" t="n"/>
    </row>
    <row r="512">
      <c r="BE512" s="732" t="n"/>
      <c r="BF512" s="732" t="n"/>
      <c r="BG512" s="732" t="n"/>
    </row>
    <row r="513">
      <c r="BE513" s="732" t="n"/>
      <c r="BF513" s="732" t="n"/>
      <c r="BG513" s="732" t="n"/>
    </row>
    <row r="514">
      <c r="BE514" s="732" t="n"/>
      <c r="BF514" s="732" t="n"/>
      <c r="BG514" s="732" t="n"/>
    </row>
    <row r="515">
      <c r="BE515" s="732" t="n"/>
      <c r="BF515" s="732" t="n"/>
      <c r="BG515" s="732" t="n"/>
    </row>
    <row r="516">
      <c r="BE516" s="732" t="n"/>
      <c r="BF516" s="732" t="n"/>
      <c r="BG516" s="732" t="n"/>
    </row>
    <row r="517">
      <c r="BE517" s="732" t="n"/>
      <c r="BF517" s="732" t="n"/>
      <c r="BG517" s="732" t="n"/>
    </row>
    <row r="518">
      <c r="BE518" s="732" t="n"/>
      <c r="BF518" s="732" t="n"/>
      <c r="BG518" s="732" t="n"/>
    </row>
    <row r="519">
      <c r="BE519" s="732" t="n"/>
      <c r="BF519" s="732" t="n"/>
      <c r="BG519" s="732" t="n"/>
    </row>
    <row r="520">
      <c r="BE520" s="732" t="n"/>
      <c r="BF520" s="732" t="n"/>
      <c r="BG520" s="732" t="n"/>
    </row>
    <row r="521">
      <c r="BE521" s="732" t="n"/>
      <c r="BF521" s="732" t="n"/>
      <c r="BG521" s="732" t="n"/>
    </row>
    <row r="522">
      <c r="BE522" s="732" t="n"/>
      <c r="BF522" s="732" t="n"/>
      <c r="BG522" s="732" t="n"/>
    </row>
    <row r="523">
      <c r="BE523" s="732" t="n"/>
      <c r="BF523" s="732" t="n"/>
      <c r="BG523" s="732" t="n"/>
    </row>
    <row r="524">
      <c r="BE524" s="732" t="n"/>
      <c r="BF524" s="732" t="n"/>
      <c r="BG524" s="732" t="n"/>
    </row>
    <row r="525">
      <c r="BE525" s="732" t="n"/>
      <c r="BF525" s="732" t="n"/>
      <c r="BG525" s="732" t="n"/>
    </row>
    <row r="526">
      <c r="BE526" s="732" t="n"/>
      <c r="BF526" s="732" t="n"/>
      <c r="BG526" s="732" t="n"/>
    </row>
    <row r="527">
      <c r="BE527" s="732" t="n"/>
      <c r="BF527" s="732" t="n"/>
      <c r="BG527" s="732" t="n"/>
    </row>
    <row r="528">
      <c r="BE528" s="732" t="n"/>
      <c r="BF528" s="732" t="n"/>
      <c r="BG528" s="732" t="n"/>
    </row>
    <row r="529">
      <c r="BE529" s="732" t="n"/>
      <c r="BF529" s="732" t="n"/>
      <c r="BG529" s="732" t="n"/>
    </row>
    <row r="530">
      <c r="BE530" s="732" t="n"/>
      <c r="BF530" s="732" t="n"/>
      <c r="BG530" s="732" t="n"/>
    </row>
    <row r="531">
      <c r="BE531" s="732" t="n"/>
      <c r="BF531" s="732" t="n"/>
      <c r="BG531" s="732" t="n"/>
    </row>
    <row r="532">
      <c r="BE532" s="732" t="n"/>
      <c r="BF532" s="732" t="n"/>
      <c r="BG532" s="732" t="n"/>
    </row>
    <row r="533">
      <c r="BE533" s="732" t="n"/>
      <c r="BF533" s="732" t="n"/>
      <c r="BG533" s="732" t="n"/>
    </row>
    <row r="534">
      <c r="BE534" s="732" t="n"/>
      <c r="BF534" s="732" t="n"/>
      <c r="BG534" s="732" t="n"/>
    </row>
    <row r="535">
      <c r="BE535" s="732" t="n"/>
      <c r="BF535" s="732" t="n"/>
      <c r="BG535" s="732" t="n"/>
    </row>
    <row r="536">
      <c r="BE536" s="732" t="n"/>
      <c r="BF536" s="732" t="n"/>
      <c r="BG536" s="732" t="n"/>
    </row>
    <row r="537">
      <c r="BE537" s="732" t="n"/>
      <c r="BF537" s="732" t="n"/>
      <c r="BG537" s="732" t="n"/>
    </row>
    <row r="538">
      <c r="BE538" s="732" t="n"/>
      <c r="BF538" s="732" t="n"/>
      <c r="BG538" s="732" t="n"/>
    </row>
    <row r="539">
      <c r="BE539" s="732" t="n"/>
      <c r="BF539" s="732" t="n"/>
      <c r="BG539" s="732" t="n"/>
    </row>
    <row r="540">
      <c r="BE540" s="732" t="n"/>
      <c r="BF540" s="732" t="n"/>
      <c r="BG540" s="732" t="n"/>
    </row>
    <row r="541">
      <c r="BE541" s="732" t="n"/>
      <c r="BF541" s="732" t="n"/>
      <c r="BG541" s="732" t="n"/>
    </row>
    <row r="542">
      <c r="BE542" s="732" t="n"/>
      <c r="BF542" s="732" t="n"/>
      <c r="BG542" s="732" t="n"/>
    </row>
    <row r="543">
      <c r="BE543" s="732" t="n"/>
      <c r="BF543" s="732" t="n"/>
      <c r="BG543" s="732" t="n"/>
    </row>
    <row r="544">
      <c r="BE544" s="732" t="n"/>
      <c r="BF544" s="732" t="n"/>
      <c r="BG544" s="732" t="n"/>
    </row>
    <row r="545">
      <c r="BE545" s="732" t="n"/>
      <c r="BF545" s="732" t="n"/>
      <c r="BG545" s="732" t="n"/>
    </row>
    <row r="546">
      <c r="BE546" s="732" t="n"/>
      <c r="BF546" s="732" t="n"/>
      <c r="BG546" s="732" t="n"/>
    </row>
    <row r="547">
      <c r="BE547" s="732" t="n"/>
      <c r="BF547" s="732" t="n"/>
      <c r="BG547" s="732" t="n"/>
    </row>
    <row r="548">
      <c r="BE548" s="732" t="n"/>
      <c r="BF548" s="732" t="n"/>
      <c r="BG548" s="732" t="n"/>
    </row>
    <row r="549">
      <c r="BE549" s="732" t="n"/>
      <c r="BF549" s="732" t="n"/>
      <c r="BG549" s="732" t="n"/>
    </row>
    <row r="550">
      <c r="BE550" s="732" t="n"/>
      <c r="BF550" s="732" t="n"/>
      <c r="BG550" s="732" t="n"/>
    </row>
    <row r="551">
      <c r="BE551" s="732" t="n"/>
      <c r="BF551" s="732" t="n"/>
      <c r="BG551" s="732" t="n"/>
    </row>
    <row r="552">
      <c r="BE552" s="732" t="n"/>
      <c r="BF552" s="732" t="n"/>
      <c r="BG552" s="732" t="n"/>
    </row>
    <row r="553">
      <c r="BE553" s="732" t="n"/>
      <c r="BF553" s="732" t="n"/>
      <c r="BG553" s="732" t="n"/>
    </row>
    <row r="554">
      <c r="BE554" s="732" t="n"/>
      <c r="BF554" s="732" t="n"/>
      <c r="BG554" s="732" t="n"/>
    </row>
    <row r="555">
      <c r="BE555" s="732" t="n"/>
      <c r="BF555" s="732" t="n"/>
      <c r="BG555" s="732" t="n"/>
    </row>
    <row r="556">
      <c r="BE556" s="732" t="n"/>
      <c r="BF556" s="732" t="n"/>
      <c r="BG556" s="732" t="n"/>
    </row>
    <row r="557">
      <c r="BE557" s="732" t="n"/>
      <c r="BF557" s="732" t="n"/>
      <c r="BG557" s="732" t="n"/>
    </row>
    <row r="558">
      <c r="BE558" s="732" t="n"/>
      <c r="BF558" s="732" t="n"/>
      <c r="BG558" s="732" t="n"/>
    </row>
    <row r="559">
      <c r="BE559" s="732" t="n"/>
      <c r="BF559" s="732" t="n"/>
      <c r="BG559" s="732" t="n"/>
    </row>
    <row r="560">
      <c r="BE560" s="732" t="n"/>
      <c r="BF560" s="732" t="n"/>
      <c r="BG560" s="732" t="n"/>
    </row>
    <row r="561">
      <c r="BE561" s="732" t="n"/>
      <c r="BF561" s="732" t="n"/>
      <c r="BG561" s="732" t="n"/>
    </row>
    <row r="562">
      <c r="BE562" s="732" t="n"/>
      <c r="BF562" s="732" t="n"/>
      <c r="BG562" s="732" t="n"/>
    </row>
    <row r="563">
      <c r="BE563" s="732" t="n"/>
      <c r="BF563" s="732" t="n"/>
      <c r="BG563" s="732" t="n"/>
    </row>
    <row r="564">
      <c r="BE564" s="732" t="n"/>
      <c r="BF564" s="732" t="n"/>
      <c r="BG564" s="732" t="n"/>
    </row>
    <row r="565">
      <c r="BE565" s="732" t="n"/>
      <c r="BF565" s="732" t="n"/>
      <c r="BG565" s="732" t="n"/>
    </row>
    <row r="566">
      <c r="BE566" s="732" t="n"/>
      <c r="BF566" s="732" t="n"/>
      <c r="BG566" s="732" t="n"/>
    </row>
    <row r="567">
      <c r="BE567" s="732" t="n"/>
      <c r="BF567" s="732" t="n"/>
      <c r="BG567" s="732" t="n"/>
    </row>
    <row r="568">
      <c r="BE568" s="732" t="n"/>
      <c r="BF568" s="732" t="n"/>
      <c r="BG568" s="732" t="n"/>
    </row>
    <row r="569">
      <c r="BE569" s="732" t="n"/>
      <c r="BF569" s="732" t="n"/>
      <c r="BG569" s="732" t="n"/>
    </row>
    <row r="570">
      <c r="BE570" s="732" t="n"/>
      <c r="BF570" s="732" t="n"/>
      <c r="BG570" s="732" t="n"/>
    </row>
    <row r="571">
      <c r="BE571" s="732" t="n"/>
      <c r="BF571" s="732" t="n"/>
      <c r="BG571" s="732" t="n"/>
    </row>
    <row r="572">
      <c r="BE572" s="732" t="n"/>
      <c r="BF572" s="732" t="n"/>
      <c r="BG572" s="732" t="n"/>
    </row>
    <row r="573">
      <c r="BE573" s="732" t="n"/>
      <c r="BF573" s="732" t="n"/>
      <c r="BG573" s="732" t="n"/>
    </row>
    <row r="574">
      <c r="BE574" s="732" t="n"/>
      <c r="BF574" s="732" t="n"/>
      <c r="BG574" s="732" t="n"/>
    </row>
    <row r="575">
      <c r="BE575" s="732" t="n"/>
      <c r="BF575" s="732" t="n"/>
      <c r="BG575" s="732" t="n"/>
    </row>
    <row r="576">
      <c r="BE576" s="732" t="n"/>
      <c r="BF576" s="732" t="n"/>
      <c r="BG576" s="732" t="n"/>
    </row>
    <row r="577">
      <c r="BE577" s="732" t="n"/>
      <c r="BF577" s="732" t="n"/>
      <c r="BG577" s="732" t="n"/>
    </row>
    <row r="578">
      <c r="BE578" s="732" t="n"/>
      <c r="BF578" s="732" t="n"/>
      <c r="BG578" s="732" t="n"/>
    </row>
    <row r="579">
      <c r="BE579" s="732" t="n"/>
      <c r="BF579" s="732" t="n"/>
      <c r="BG579" s="732" t="n"/>
    </row>
    <row r="580">
      <c r="BE580" s="732" t="n"/>
      <c r="BF580" s="732" t="n"/>
      <c r="BG580" s="732" t="n"/>
    </row>
    <row r="581">
      <c r="BE581" s="732" t="n"/>
      <c r="BF581" s="732" t="n"/>
      <c r="BG581" s="732" t="n"/>
    </row>
    <row r="582">
      <c r="BE582" s="732" t="n"/>
      <c r="BF582" s="732" t="n"/>
      <c r="BG582" s="732" t="n"/>
    </row>
    <row r="583">
      <c r="BE583" s="732" t="n"/>
      <c r="BF583" s="732" t="n"/>
      <c r="BG583" s="732" t="n"/>
    </row>
    <row r="584">
      <c r="BE584" s="732" t="n"/>
      <c r="BF584" s="732" t="n"/>
      <c r="BG584" s="732" t="n"/>
    </row>
    <row r="585">
      <c r="BE585" s="732" t="n"/>
      <c r="BF585" s="732" t="n"/>
      <c r="BG585" s="732" t="n"/>
    </row>
    <row r="586">
      <c r="BE586" s="732" t="n"/>
      <c r="BF586" s="732" t="n"/>
      <c r="BG586" s="732" t="n"/>
    </row>
    <row r="587">
      <c r="BE587" s="732" t="n"/>
      <c r="BF587" s="732" t="n"/>
      <c r="BG587" s="732" t="n"/>
    </row>
    <row r="588">
      <c r="BE588" s="732" t="n"/>
      <c r="BF588" s="732" t="n"/>
      <c r="BG588" s="732" t="n"/>
    </row>
    <row r="589">
      <c r="BE589" s="732" t="n"/>
      <c r="BF589" s="732" t="n"/>
      <c r="BG589" s="732" t="n"/>
    </row>
    <row r="590">
      <c r="BE590" s="732" t="n"/>
      <c r="BF590" s="732" t="n"/>
      <c r="BG590" s="732" t="n"/>
    </row>
    <row r="591">
      <c r="BE591" s="732" t="n"/>
      <c r="BF591" s="732" t="n"/>
      <c r="BG591" s="732" t="n"/>
    </row>
    <row r="592">
      <c r="BE592" s="732" t="n"/>
      <c r="BF592" s="732" t="n"/>
      <c r="BG592" s="732" t="n"/>
    </row>
    <row r="593">
      <c r="BE593" s="732" t="n"/>
      <c r="BF593" s="732" t="n"/>
      <c r="BG593" s="732" t="n"/>
    </row>
    <row r="594">
      <c r="BE594" s="732" t="n"/>
      <c r="BF594" s="732" t="n"/>
      <c r="BG594" s="732" t="n"/>
    </row>
    <row r="595">
      <c r="BE595" s="732" t="n"/>
      <c r="BF595" s="732" t="n"/>
      <c r="BG595" s="732" t="n"/>
    </row>
    <row r="596">
      <c r="BE596" s="732" t="n"/>
      <c r="BF596" s="732" t="n"/>
      <c r="BG596" s="732" t="n"/>
    </row>
    <row r="597">
      <c r="BE597" s="732" t="n"/>
      <c r="BF597" s="732" t="n"/>
      <c r="BG597" s="732" t="n"/>
    </row>
    <row r="598">
      <c r="BE598" s="732" t="n"/>
      <c r="BF598" s="732" t="n"/>
      <c r="BG598" s="732" t="n"/>
    </row>
    <row r="599">
      <c r="BE599" s="732" t="n"/>
      <c r="BF599" s="732" t="n"/>
      <c r="BG599" s="732" t="n"/>
    </row>
    <row r="600">
      <c r="BE600" s="732" t="n"/>
      <c r="BF600" s="732" t="n"/>
      <c r="BG600" s="732" t="n"/>
    </row>
    <row r="601">
      <c r="BE601" s="732" t="n"/>
      <c r="BF601" s="732" t="n"/>
      <c r="BG601" s="732" t="n"/>
    </row>
    <row r="602">
      <c r="BE602" s="732" t="n"/>
      <c r="BF602" s="732" t="n"/>
      <c r="BG602" s="732" t="n"/>
    </row>
    <row r="603">
      <c r="BE603" s="732" t="n"/>
      <c r="BF603" s="732" t="n"/>
      <c r="BG603" s="732" t="n"/>
    </row>
    <row r="604">
      <c r="BE604" s="732" t="n"/>
      <c r="BF604" s="732" t="n"/>
      <c r="BG604" s="732" t="n"/>
    </row>
    <row r="605">
      <c r="BE605" s="732" t="n"/>
      <c r="BF605" s="732" t="n"/>
      <c r="BG605" s="732" t="n"/>
    </row>
    <row r="606">
      <c r="BE606" s="732" t="n"/>
      <c r="BF606" s="732" t="n"/>
      <c r="BG606" s="732" t="n"/>
    </row>
    <row r="607">
      <c r="BE607" s="732" t="n"/>
      <c r="BF607" s="732" t="n"/>
      <c r="BG607" s="732" t="n"/>
    </row>
    <row r="608">
      <c r="BE608" s="732" t="n"/>
      <c r="BF608" s="732" t="n"/>
      <c r="BG608" s="732" t="n"/>
    </row>
    <row r="609">
      <c r="BE609" s="732" t="n"/>
      <c r="BF609" s="732" t="n"/>
      <c r="BG609" s="732" t="n"/>
    </row>
    <row r="610">
      <c r="BE610" s="732" t="n"/>
      <c r="BF610" s="732" t="n"/>
      <c r="BG610" s="732" t="n"/>
    </row>
    <row r="611">
      <c r="BE611" s="732" t="n"/>
      <c r="BF611" s="732" t="n"/>
      <c r="BG611" s="732" t="n"/>
    </row>
    <row r="612">
      <c r="BE612" s="732" t="n"/>
      <c r="BF612" s="732" t="n"/>
      <c r="BG612" s="732" t="n"/>
    </row>
    <row r="613">
      <c r="BE613" s="732" t="n"/>
      <c r="BF613" s="732" t="n"/>
      <c r="BG613" s="732" t="n"/>
    </row>
    <row r="614">
      <c r="BE614" s="732" t="n"/>
      <c r="BF614" s="732" t="n"/>
      <c r="BG614" s="732" t="n"/>
    </row>
    <row r="615">
      <c r="BE615" s="732" t="n"/>
      <c r="BF615" s="732" t="n"/>
      <c r="BG615" s="732" t="n"/>
    </row>
    <row r="616">
      <c r="BE616" s="732" t="n"/>
      <c r="BF616" s="732" t="n"/>
      <c r="BG616" s="732" t="n"/>
    </row>
    <row r="617">
      <c r="BE617" s="732" t="n"/>
      <c r="BF617" s="732" t="n"/>
      <c r="BG617" s="732" t="n"/>
    </row>
    <row r="618">
      <c r="BE618" s="732" t="n"/>
      <c r="BF618" s="732" t="n"/>
      <c r="BG618" s="732" t="n"/>
    </row>
    <row r="619">
      <c r="BE619" s="732" t="n"/>
      <c r="BF619" s="732" t="n"/>
      <c r="BG619" s="732" t="n"/>
    </row>
    <row r="620">
      <c r="BE620" s="732" t="n"/>
      <c r="BF620" s="732" t="n"/>
      <c r="BG620" s="732" t="n"/>
    </row>
    <row r="621">
      <c r="BE621" s="732" t="n"/>
      <c r="BF621" s="732" t="n"/>
      <c r="BG621" s="732" t="n"/>
    </row>
    <row r="622">
      <c r="BE622" s="732" t="n"/>
      <c r="BF622" s="732" t="n"/>
      <c r="BG622" s="732" t="n"/>
    </row>
    <row r="623">
      <c r="BE623" s="732" t="n"/>
      <c r="BF623" s="732" t="n"/>
      <c r="BG623" s="732" t="n"/>
    </row>
    <row r="624">
      <c r="BE624" s="732" t="n"/>
      <c r="BF624" s="732" t="n"/>
      <c r="BG624" s="732" t="n"/>
    </row>
    <row r="625">
      <c r="BE625" s="732" t="n"/>
      <c r="BF625" s="732" t="n"/>
      <c r="BG625" s="732" t="n"/>
    </row>
    <row r="626">
      <c r="BE626" s="732" t="n"/>
      <c r="BF626" s="732" t="n"/>
      <c r="BG626" s="732" t="n"/>
    </row>
    <row r="627">
      <c r="BE627" s="732" t="n"/>
      <c r="BF627" s="732" t="n"/>
      <c r="BG627" s="732" t="n"/>
    </row>
    <row r="628">
      <c r="BE628" s="732" t="n"/>
      <c r="BF628" s="732" t="n"/>
      <c r="BG628" s="732" t="n"/>
    </row>
    <row r="629">
      <c r="BE629" s="732" t="n"/>
      <c r="BF629" s="732" t="n"/>
      <c r="BG629" s="732" t="n"/>
    </row>
    <row r="630">
      <c r="BE630" s="732" t="n"/>
      <c r="BF630" s="732" t="n"/>
      <c r="BG630" s="732" t="n"/>
    </row>
    <row r="631">
      <c r="BE631" s="732" t="n"/>
      <c r="BF631" s="732" t="n"/>
      <c r="BG631" s="732" t="n"/>
    </row>
    <row r="632">
      <c r="BE632" s="732" t="n"/>
      <c r="BF632" s="732" t="n"/>
      <c r="BG632" s="732" t="n"/>
    </row>
    <row r="633">
      <c r="BE633" s="732" t="n"/>
      <c r="BF633" s="732" t="n"/>
      <c r="BG633" s="732" t="n"/>
    </row>
    <row r="634">
      <c r="BE634" s="732" t="n"/>
      <c r="BF634" s="732" t="n"/>
      <c r="BG634" s="732" t="n"/>
    </row>
    <row r="635">
      <c r="BE635" s="732" t="n"/>
      <c r="BF635" s="732" t="n"/>
      <c r="BG635" s="732" t="n"/>
    </row>
    <row r="636">
      <c r="BE636" s="732" t="n"/>
      <c r="BF636" s="732" t="n"/>
      <c r="BG636" s="732" t="n"/>
    </row>
    <row r="637">
      <c r="BE637" s="732" t="n"/>
      <c r="BF637" s="732" t="n"/>
      <c r="BG637" s="732" t="n"/>
    </row>
    <row r="638">
      <c r="BE638" s="732" t="n"/>
      <c r="BF638" s="732" t="n"/>
      <c r="BG638" s="732" t="n"/>
    </row>
    <row r="639">
      <c r="BE639" s="732" t="n"/>
      <c r="BF639" s="732" t="n"/>
      <c r="BG639" s="732" t="n"/>
    </row>
    <row r="640">
      <c r="BE640" s="732" t="n"/>
      <c r="BF640" s="732" t="n"/>
      <c r="BG640" s="732" t="n"/>
    </row>
    <row r="641">
      <c r="BE641" s="732" t="n"/>
      <c r="BF641" s="732" t="n"/>
      <c r="BG641" s="732" t="n"/>
    </row>
    <row r="642">
      <c r="BE642" s="732" t="n"/>
      <c r="BF642" s="732" t="n"/>
      <c r="BG642" s="732" t="n"/>
    </row>
    <row r="643">
      <c r="BE643" s="732" t="n"/>
      <c r="BF643" s="732" t="n"/>
      <c r="BG643" s="732" t="n"/>
    </row>
    <row r="644">
      <c r="BE644" s="732" t="n"/>
      <c r="BF644" s="732" t="n"/>
      <c r="BG644" s="732" t="n"/>
    </row>
    <row r="645">
      <c r="BE645" s="732" t="n"/>
      <c r="BF645" s="732" t="n"/>
      <c r="BG645" s="732" t="n"/>
    </row>
    <row r="646">
      <c r="BE646" s="732" t="n"/>
      <c r="BF646" s="732" t="n"/>
      <c r="BG646" s="732" t="n"/>
    </row>
    <row r="647">
      <c r="BE647" s="732" t="n"/>
      <c r="BF647" s="732" t="n"/>
      <c r="BG647" s="732" t="n"/>
    </row>
    <row r="648">
      <c r="BE648" s="732" t="n"/>
      <c r="BF648" s="732" t="n"/>
      <c r="BG648" s="732" t="n"/>
    </row>
    <row r="649">
      <c r="BE649" s="732" t="n"/>
      <c r="BF649" s="732" t="n"/>
      <c r="BG649" s="732" t="n"/>
    </row>
    <row r="650">
      <c r="BE650" s="732" t="n"/>
      <c r="BF650" s="732" t="n"/>
      <c r="BG650" s="732" t="n"/>
    </row>
    <row r="651">
      <c r="BE651" s="732" t="n"/>
      <c r="BF651" s="732" t="n"/>
      <c r="BG651" s="732" t="n"/>
    </row>
    <row r="652">
      <c r="BE652" s="732" t="n"/>
      <c r="BF652" s="732" t="n"/>
      <c r="BG652" s="732" t="n"/>
    </row>
    <row r="653">
      <c r="BE653" s="732" t="n"/>
      <c r="BF653" s="732" t="n"/>
      <c r="BG653" s="732" t="n"/>
    </row>
    <row r="654">
      <c r="BE654" s="732" t="n"/>
      <c r="BF654" s="732" t="n"/>
      <c r="BG654" s="732" t="n"/>
    </row>
    <row r="655">
      <c r="BE655" s="732" t="n"/>
      <c r="BF655" s="732" t="n"/>
      <c r="BG655" s="732" t="n"/>
    </row>
    <row r="656">
      <c r="BE656" s="732" t="n"/>
      <c r="BF656" s="732" t="n"/>
      <c r="BG656" s="732" t="n"/>
    </row>
    <row r="657">
      <c r="BE657" s="732" t="n"/>
      <c r="BF657" s="732" t="n"/>
      <c r="BG657" s="732" t="n"/>
    </row>
    <row r="658">
      <c r="BE658" s="732" t="n"/>
      <c r="BF658" s="732" t="n"/>
      <c r="BG658" s="732" t="n"/>
    </row>
    <row r="659">
      <c r="BE659" s="732" t="n"/>
      <c r="BF659" s="732" t="n"/>
      <c r="BG659" s="732" t="n"/>
    </row>
    <row r="660">
      <c r="BE660" s="732" t="n"/>
      <c r="BF660" s="732" t="n"/>
      <c r="BG660" s="732" t="n"/>
    </row>
    <row r="661">
      <c r="BE661" s="732" t="n"/>
      <c r="BF661" s="732" t="n"/>
      <c r="BG661" s="732" t="n"/>
    </row>
    <row r="662">
      <c r="BE662" s="732" t="n"/>
      <c r="BF662" s="732" t="n"/>
      <c r="BG662" s="732" t="n"/>
    </row>
    <row r="663">
      <c r="BE663" s="732" t="n"/>
      <c r="BF663" s="732" t="n"/>
      <c r="BG663" s="732" t="n"/>
    </row>
    <row r="664">
      <c r="BE664" s="732" t="n"/>
      <c r="BF664" s="732" t="n"/>
      <c r="BG664" s="732" t="n"/>
    </row>
    <row r="665">
      <c r="BE665" s="732" t="n"/>
      <c r="BF665" s="732" t="n"/>
      <c r="BG665" s="732" t="n"/>
    </row>
    <row r="666">
      <c r="BE666" s="732" t="n"/>
      <c r="BF666" s="732" t="n"/>
      <c r="BG666" s="732" t="n"/>
    </row>
    <row r="667">
      <c r="BE667" s="732" t="n"/>
      <c r="BF667" s="732" t="n"/>
      <c r="BG667" s="732" t="n"/>
    </row>
    <row r="668">
      <c r="BE668" s="732" t="n"/>
      <c r="BF668" s="732" t="n"/>
      <c r="BG668" s="732" t="n"/>
    </row>
    <row r="669">
      <c r="BE669" s="732" t="n"/>
      <c r="BF669" s="732" t="n"/>
      <c r="BG669" s="732" t="n"/>
    </row>
    <row r="670">
      <c r="BE670" s="732" t="n"/>
      <c r="BF670" s="732" t="n"/>
      <c r="BG670" s="732" t="n"/>
    </row>
    <row r="671">
      <c r="BE671" s="732" t="n"/>
      <c r="BF671" s="732" t="n"/>
      <c r="BG671" s="732" t="n"/>
    </row>
    <row r="672">
      <c r="BE672" s="732" t="n"/>
      <c r="BF672" s="732" t="n"/>
      <c r="BG672" s="732" t="n"/>
    </row>
    <row r="673">
      <c r="BE673" s="732" t="n"/>
      <c r="BF673" s="732" t="n"/>
      <c r="BG673" s="732" t="n"/>
    </row>
    <row r="674">
      <c r="BE674" s="732" t="n"/>
      <c r="BF674" s="732" t="n"/>
      <c r="BG674" s="732" t="n"/>
    </row>
    <row r="675">
      <c r="BE675" s="732" t="n"/>
      <c r="BF675" s="732" t="n"/>
      <c r="BG675" s="732" t="n"/>
    </row>
    <row r="676">
      <c r="BE676" s="732" t="n"/>
      <c r="BF676" s="732" t="n"/>
      <c r="BG676" s="732" t="n"/>
    </row>
    <row r="677">
      <c r="BE677" s="732" t="n"/>
      <c r="BF677" s="732" t="n"/>
      <c r="BG677" s="732" t="n"/>
    </row>
    <row r="678">
      <c r="BE678" s="732" t="n"/>
      <c r="BF678" s="732" t="n"/>
      <c r="BG678" s="732" t="n"/>
    </row>
    <row r="679">
      <c r="BE679" s="732" t="n"/>
      <c r="BF679" s="732" t="n"/>
      <c r="BG679" s="732" t="n"/>
    </row>
    <row r="680">
      <c r="BE680" s="732" t="n"/>
      <c r="BF680" s="732" t="n"/>
      <c r="BG680" s="732" t="n"/>
    </row>
    <row r="681">
      <c r="BE681" s="732" t="n"/>
      <c r="BF681" s="732" t="n"/>
      <c r="BG681" s="732" t="n"/>
    </row>
    <row r="682">
      <c r="BE682" s="732" t="n"/>
      <c r="BF682" s="732" t="n"/>
      <c r="BG682" s="732" t="n"/>
    </row>
    <row r="683">
      <c r="BE683" s="732" t="n"/>
      <c r="BF683" s="732" t="n"/>
      <c r="BG683" s="732" t="n"/>
    </row>
    <row r="684">
      <c r="BE684" s="732" t="n"/>
      <c r="BF684" s="732" t="n"/>
      <c r="BG684" s="732" t="n"/>
    </row>
    <row r="685">
      <c r="BE685" s="732" t="n"/>
      <c r="BF685" s="732" t="n"/>
      <c r="BG685" s="732" t="n"/>
    </row>
    <row r="686">
      <c r="BE686" s="732" t="n"/>
      <c r="BF686" s="732" t="n"/>
      <c r="BG686" s="732" t="n"/>
    </row>
    <row r="687">
      <c r="BE687" s="732" t="n"/>
      <c r="BF687" s="732" t="n"/>
      <c r="BG687" s="732" t="n"/>
    </row>
    <row r="688">
      <c r="BE688" s="732" t="n"/>
      <c r="BF688" s="732" t="n"/>
      <c r="BG688" s="732" t="n"/>
    </row>
    <row r="689">
      <c r="BE689" s="732" t="n"/>
      <c r="BF689" s="732" t="n"/>
      <c r="BG689" s="732" t="n"/>
    </row>
    <row r="690">
      <c r="BE690" s="732" t="n"/>
      <c r="BF690" s="732" t="n"/>
      <c r="BG690" s="732" t="n"/>
    </row>
    <row r="691">
      <c r="BE691" s="732" t="n"/>
      <c r="BF691" s="732" t="n"/>
      <c r="BG691" s="732" t="n"/>
    </row>
    <row r="692">
      <c r="BE692" s="732" t="n"/>
      <c r="BF692" s="732" t="n"/>
      <c r="BG692" s="732" t="n"/>
    </row>
    <row r="693">
      <c r="BE693" s="732" t="n"/>
      <c r="BF693" s="732" t="n"/>
      <c r="BG693" s="732" t="n"/>
    </row>
    <row r="694">
      <c r="BE694" s="732" t="n"/>
      <c r="BF694" s="732" t="n"/>
      <c r="BG694" s="732" t="n"/>
    </row>
    <row r="695">
      <c r="BE695" s="732" t="n"/>
      <c r="BF695" s="732" t="n"/>
      <c r="BG695" s="732" t="n"/>
    </row>
    <row r="696">
      <c r="BE696" s="732" t="n"/>
      <c r="BF696" s="732" t="n"/>
      <c r="BG696" s="732" t="n"/>
    </row>
    <row r="697">
      <c r="BE697" s="732" t="n"/>
      <c r="BF697" s="732" t="n"/>
      <c r="BG697" s="732" t="n"/>
    </row>
    <row r="698">
      <c r="BE698" s="732" t="n"/>
      <c r="BF698" s="732" t="n"/>
      <c r="BG698" s="732" t="n"/>
    </row>
    <row r="699">
      <c r="BE699" s="732" t="n"/>
      <c r="BF699" s="732" t="n"/>
      <c r="BG699" s="732" t="n"/>
    </row>
    <row r="700">
      <c r="BE700" s="732" t="n"/>
      <c r="BF700" s="732" t="n"/>
      <c r="BG700" s="732" t="n"/>
    </row>
    <row r="701">
      <c r="BE701" s="732" t="n"/>
      <c r="BF701" s="732" t="n"/>
      <c r="BG701" s="732" t="n"/>
    </row>
    <row r="702">
      <c r="BE702" s="732" t="n"/>
      <c r="BF702" s="732" t="n"/>
      <c r="BG702" s="732" t="n"/>
    </row>
    <row r="703">
      <c r="BE703" s="732" t="n"/>
      <c r="BF703" s="732" t="n"/>
      <c r="BG703" s="732" t="n"/>
    </row>
    <row r="704">
      <c r="BE704" s="732" t="n"/>
      <c r="BF704" s="732" t="n"/>
      <c r="BG704" s="732" t="n"/>
    </row>
    <row r="705">
      <c r="BE705" s="732" t="n"/>
      <c r="BF705" s="732" t="n"/>
      <c r="BG705" s="732" t="n"/>
    </row>
    <row r="706">
      <c r="BE706" s="732" t="n"/>
      <c r="BF706" s="732" t="n"/>
      <c r="BG706" s="732" t="n"/>
    </row>
    <row r="707">
      <c r="BE707" s="732" t="n"/>
      <c r="BF707" s="732" t="n"/>
      <c r="BG707" s="732" t="n"/>
    </row>
    <row r="708">
      <c r="BE708" s="732" t="n"/>
      <c r="BF708" s="732" t="n"/>
      <c r="BG708" s="732" t="n"/>
    </row>
    <row r="709">
      <c r="BE709" s="732" t="n"/>
      <c r="BF709" s="732" t="n"/>
      <c r="BG709" s="732" t="n"/>
    </row>
    <row r="710">
      <c r="BE710" s="732" t="n"/>
      <c r="BF710" s="732" t="n"/>
      <c r="BG710" s="732" t="n"/>
    </row>
    <row r="711">
      <c r="BE711" s="732" t="n"/>
      <c r="BF711" s="732" t="n"/>
      <c r="BG711" s="732" t="n"/>
    </row>
    <row r="712">
      <c r="BE712" s="732" t="n"/>
      <c r="BF712" s="732" t="n"/>
      <c r="BG712" s="732" t="n"/>
    </row>
    <row r="713">
      <c r="BE713" s="732" t="n"/>
      <c r="BF713" s="732" t="n"/>
      <c r="BG713" s="732" t="n"/>
    </row>
    <row r="714">
      <c r="BE714" s="732" t="n"/>
      <c r="BF714" s="732" t="n"/>
      <c r="BG714" s="732" t="n"/>
    </row>
    <row r="715">
      <c r="BE715" s="732" t="n"/>
      <c r="BF715" s="732" t="n"/>
      <c r="BG715" s="732" t="n"/>
    </row>
    <row r="716">
      <c r="BE716" s="732" t="n"/>
      <c r="BF716" s="732" t="n"/>
      <c r="BG716" s="732" t="n"/>
    </row>
    <row r="717">
      <c r="BE717" s="732" t="n"/>
      <c r="BF717" s="732" t="n"/>
      <c r="BG717" s="732" t="n"/>
    </row>
    <row r="718">
      <c r="BE718" s="732" t="n"/>
      <c r="BF718" s="732" t="n"/>
      <c r="BG718" s="732" t="n"/>
    </row>
    <row r="719">
      <c r="BE719" s="732" t="n"/>
      <c r="BF719" s="732" t="n"/>
      <c r="BG719" s="732" t="n"/>
    </row>
    <row r="720">
      <c r="BE720" s="732" t="n"/>
      <c r="BF720" s="732" t="n"/>
      <c r="BG720" s="732" t="n"/>
    </row>
    <row r="721">
      <c r="BE721" s="732" t="n"/>
      <c r="BF721" s="732" t="n"/>
      <c r="BG721" s="732" t="n"/>
    </row>
    <row r="722">
      <c r="BE722" s="732" t="n"/>
      <c r="BF722" s="732" t="n"/>
      <c r="BG722" s="732" t="n"/>
    </row>
    <row r="723">
      <c r="BE723" s="732" t="n"/>
      <c r="BF723" s="732" t="n"/>
      <c r="BG723" s="732" t="n"/>
    </row>
    <row r="724">
      <c r="BE724" s="732" t="n"/>
      <c r="BF724" s="732" t="n"/>
      <c r="BG724" s="732" t="n"/>
    </row>
    <row r="725">
      <c r="BE725" s="732" t="n"/>
      <c r="BF725" s="732" t="n"/>
      <c r="BG725" s="732" t="n"/>
    </row>
    <row r="726">
      <c r="BE726" s="732" t="n"/>
      <c r="BF726" s="732" t="n"/>
      <c r="BG726" s="732" t="n"/>
    </row>
    <row r="727">
      <c r="BE727" s="732" t="n"/>
      <c r="BF727" s="732" t="n"/>
      <c r="BG727" s="732" t="n"/>
    </row>
    <row r="728">
      <c r="BE728" s="732" t="n"/>
      <c r="BF728" s="732" t="n"/>
      <c r="BG728" s="732" t="n"/>
    </row>
    <row r="729">
      <c r="BE729" s="732" t="n"/>
      <c r="BF729" s="732" t="n"/>
      <c r="BG729" s="732" t="n"/>
    </row>
    <row r="730">
      <c r="BE730" s="732" t="n"/>
      <c r="BF730" s="732" t="n"/>
      <c r="BG730" s="732" t="n"/>
    </row>
    <row r="731">
      <c r="BE731" s="732" t="n"/>
      <c r="BF731" s="732" t="n"/>
      <c r="BG731" s="732" t="n"/>
    </row>
    <row r="732">
      <c r="BE732" s="732" t="n"/>
      <c r="BF732" s="732" t="n"/>
      <c r="BG732" s="732" t="n"/>
    </row>
    <row r="733">
      <c r="BE733" s="732" t="n"/>
      <c r="BF733" s="732" t="n"/>
      <c r="BG733" s="732" t="n"/>
    </row>
    <row r="734">
      <c r="BE734" s="732" t="n"/>
      <c r="BF734" s="732" t="n"/>
      <c r="BG734" s="732" t="n"/>
    </row>
    <row r="735">
      <c r="BE735" s="732" t="n"/>
      <c r="BF735" s="732" t="n"/>
      <c r="BG735" s="732" t="n"/>
    </row>
    <row r="736">
      <c r="BE736" s="732" t="n"/>
      <c r="BF736" s="732" t="n"/>
      <c r="BG736" s="732" t="n"/>
    </row>
    <row r="737">
      <c r="BE737" s="732" t="n"/>
      <c r="BF737" s="732" t="n"/>
      <c r="BG737" s="732" t="n"/>
    </row>
    <row r="738">
      <c r="BE738" s="732" t="n"/>
      <c r="BF738" s="732" t="n"/>
      <c r="BG738" s="732" t="n"/>
    </row>
    <row r="739">
      <c r="BE739" s="732" t="n"/>
      <c r="BF739" s="732" t="n"/>
      <c r="BG739" s="732" t="n"/>
    </row>
    <row r="740">
      <c r="BE740" s="732" t="n"/>
      <c r="BF740" s="732" t="n"/>
      <c r="BG740" s="732" t="n"/>
    </row>
    <row r="741">
      <c r="BE741" s="732" t="n"/>
      <c r="BF741" s="732" t="n"/>
      <c r="BG741" s="732" t="n"/>
    </row>
    <row r="742">
      <c r="BE742" s="732" t="n"/>
      <c r="BF742" s="732" t="n"/>
      <c r="BG742" s="732" t="n"/>
    </row>
    <row r="743">
      <c r="BE743" s="732" t="n"/>
      <c r="BF743" s="732" t="n"/>
      <c r="BG743" s="732" t="n"/>
    </row>
    <row r="744">
      <c r="BE744" s="732" t="n"/>
      <c r="BF744" s="732" t="n"/>
      <c r="BG744" s="732" t="n"/>
    </row>
    <row r="745">
      <c r="BE745" s="732" t="n"/>
      <c r="BF745" s="732" t="n"/>
      <c r="BG745" s="732" t="n"/>
    </row>
    <row r="746">
      <c r="BE746" s="732" t="n"/>
      <c r="BF746" s="732" t="n"/>
      <c r="BG746" s="732" t="n"/>
    </row>
    <row r="747">
      <c r="BE747" s="732" t="n"/>
      <c r="BF747" s="732" t="n"/>
      <c r="BG747" s="732" t="n"/>
    </row>
    <row r="748">
      <c r="BE748" s="732" t="n"/>
      <c r="BF748" s="732" t="n"/>
      <c r="BG748" s="732" t="n"/>
    </row>
    <row r="749">
      <c r="BE749" s="732" t="n"/>
      <c r="BF749" s="732" t="n"/>
      <c r="BG749" s="732" t="n"/>
    </row>
    <row r="750">
      <c r="BE750" s="732" t="n"/>
      <c r="BF750" s="732" t="n"/>
      <c r="BG750" s="732" t="n"/>
    </row>
    <row r="751">
      <c r="BE751" s="732" t="n"/>
      <c r="BF751" s="732" t="n"/>
      <c r="BG751" s="732" t="n"/>
    </row>
    <row r="752">
      <c r="BE752" s="732" t="n"/>
      <c r="BF752" s="732" t="n"/>
      <c r="BG752" s="732" t="n"/>
    </row>
    <row r="753">
      <c r="BE753" s="732" t="n"/>
      <c r="BF753" s="732" t="n"/>
      <c r="BG753" s="732" t="n"/>
    </row>
    <row r="754">
      <c r="BE754" s="732" t="n"/>
      <c r="BF754" s="732" t="n"/>
      <c r="BG754" s="732" t="n"/>
    </row>
    <row r="755">
      <c r="BE755" s="732" t="n"/>
      <c r="BF755" s="732" t="n"/>
      <c r="BG755" s="732" t="n"/>
    </row>
    <row r="756">
      <c r="BE756" s="732" t="n"/>
      <c r="BF756" s="732" t="n"/>
      <c r="BG756" s="732" t="n"/>
    </row>
    <row r="757">
      <c r="BE757" s="732" t="n"/>
      <c r="BF757" s="732" t="n"/>
      <c r="BG757" s="732" t="n"/>
    </row>
    <row r="758">
      <c r="BE758" s="732" t="n"/>
      <c r="BF758" s="732" t="n"/>
      <c r="BG758" s="732" t="n"/>
    </row>
    <row r="759">
      <c r="BE759" s="732" t="n"/>
      <c r="BF759" s="732" t="n"/>
      <c r="BG759" s="732" t="n"/>
    </row>
    <row r="760">
      <c r="BE760" s="732" t="n"/>
      <c r="BF760" s="732" t="n"/>
      <c r="BG760" s="732" t="n"/>
    </row>
    <row r="761">
      <c r="BE761" s="732" t="n"/>
      <c r="BF761" s="732" t="n"/>
      <c r="BG761" s="732" t="n"/>
    </row>
    <row r="762">
      <c r="BE762" s="732" t="n"/>
      <c r="BF762" s="732" t="n"/>
      <c r="BG762" s="732" t="n"/>
    </row>
    <row r="763">
      <c r="BE763" s="732" t="n"/>
      <c r="BF763" s="732" t="n"/>
      <c r="BG763" s="732" t="n"/>
    </row>
    <row r="764">
      <c r="BE764" s="732" t="n"/>
      <c r="BF764" s="732" t="n"/>
      <c r="BG764" s="732" t="n"/>
    </row>
    <row r="765">
      <c r="BE765" s="732" t="n"/>
      <c r="BF765" s="732" t="n"/>
      <c r="BG765" s="732" t="n"/>
    </row>
    <row r="766">
      <c r="BE766" s="732" t="n"/>
      <c r="BF766" s="732" t="n"/>
      <c r="BG766" s="732" t="n"/>
    </row>
    <row r="767">
      <c r="BE767" s="732" t="n"/>
      <c r="BF767" s="732" t="n"/>
      <c r="BG767" s="732" t="n"/>
    </row>
    <row r="768">
      <c r="BE768" s="732" t="n"/>
      <c r="BF768" s="732" t="n"/>
      <c r="BG768" s="732" t="n"/>
    </row>
    <row r="769">
      <c r="BE769" s="732" t="n"/>
      <c r="BF769" s="732" t="n"/>
      <c r="BG769" s="732" t="n"/>
    </row>
    <row r="770">
      <c r="BE770" s="732" t="n"/>
      <c r="BF770" s="732" t="n"/>
      <c r="BG770" s="732" t="n"/>
    </row>
    <row r="771">
      <c r="BE771" s="732" t="n"/>
      <c r="BF771" s="732" t="n"/>
      <c r="BG771" s="732" t="n"/>
    </row>
    <row r="772">
      <c r="BE772" s="732" t="n"/>
      <c r="BF772" s="732" t="n"/>
      <c r="BG772" s="732" t="n"/>
    </row>
    <row r="773">
      <c r="BE773" s="732" t="n"/>
      <c r="BF773" s="732" t="n"/>
      <c r="BG773" s="732" t="n"/>
    </row>
    <row r="774">
      <c r="BE774" s="732" t="n"/>
      <c r="BF774" s="732" t="n"/>
      <c r="BG774" s="732" t="n"/>
    </row>
    <row r="775">
      <c r="BE775" s="732" t="n"/>
      <c r="BF775" s="732" t="n"/>
      <c r="BG775" s="732" t="n"/>
    </row>
    <row r="776">
      <c r="BE776" s="732" t="n"/>
      <c r="BF776" s="732" t="n"/>
      <c r="BG776" s="732" t="n"/>
    </row>
    <row r="777">
      <c r="BE777" s="732" t="n"/>
      <c r="BF777" s="732" t="n"/>
      <c r="BG777" s="732" t="n"/>
    </row>
    <row r="778">
      <c r="BE778" s="732" t="n"/>
      <c r="BF778" s="732" t="n"/>
      <c r="BG778" s="732" t="n"/>
    </row>
    <row r="779">
      <c r="BE779" s="732" t="n"/>
      <c r="BF779" s="732" t="n"/>
      <c r="BG779" s="732" t="n"/>
    </row>
    <row r="780">
      <c r="BE780" s="732" t="n"/>
      <c r="BF780" s="732" t="n"/>
      <c r="BG780" s="732" t="n"/>
    </row>
    <row r="781">
      <c r="BE781" s="732" t="n"/>
      <c r="BF781" s="732" t="n"/>
      <c r="BG781" s="732" t="n"/>
    </row>
    <row r="782">
      <c r="BE782" s="732" t="n"/>
      <c r="BF782" s="732" t="n"/>
      <c r="BG782" s="732" t="n"/>
    </row>
    <row r="783">
      <c r="BE783" s="732" t="n"/>
      <c r="BF783" s="732" t="n"/>
      <c r="BG783" s="732" t="n"/>
    </row>
    <row r="784">
      <c r="BE784" s="732" t="n"/>
      <c r="BF784" s="732" t="n"/>
      <c r="BG784" s="732" t="n"/>
    </row>
    <row r="785">
      <c r="BE785" s="732" t="n"/>
      <c r="BF785" s="732" t="n"/>
      <c r="BG785" s="732" t="n"/>
    </row>
    <row r="786">
      <c r="BE786" s="732" t="n"/>
      <c r="BF786" s="732" t="n"/>
      <c r="BG786" s="732" t="n"/>
    </row>
    <row r="787">
      <c r="BE787" s="732" t="n"/>
      <c r="BF787" s="732" t="n"/>
      <c r="BG787" s="732" t="n"/>
    </row>
    <row r="788">
      <c r="BE788" s="732" t="n"/>
      <c r="BF788" s="732" t="n"/>
      <c r="BG788" s="732" t="n"/>
    </row>
    <row r="789">
      <c r="BE789" s="732" t="n"/>
      <c r="BF789" s="732" t="n"/>
      <c r="BG789" s="732" t="n"/>
    </row>
    <row r="790">
      <c r="BE790" s="732" t="n"/>
      <c r="BF790" s="732" t="n"/>
      <c r="BG790" s="732" t="n"/>
    </row>
    <row r="791">
      <c r="BE791" s="732" t="n"/>
      <c r="BF791" s="732" t="n"/>
      <c r="BG791" s="732" t="n"/>
    </row>
    <row r="792">
      <c r="BE792" s="732" t="n"/>
      <c r="BF792" s="732" t="n"/>
      <c r="BG792" s="732" t="n"/>
    </row>
    <row r="793">
      <c r="BE793" s="732" t="n"/>
      <c r="BF793" s="732" t="n"/>
      <c r="BG793" s="732" t="n"/>
    </row>
    <row r="794">
      <c r="BE794" s="732" t="n"/>
      <c r="BF794" s="732" t="n"/>
      <c r="BG794" s="732" t="n"/>
    </row>
    <row r="795">
      <c r="BE795" s="732" t="n"/>
      <c r="BF795" s="732" t="n"/>
      <c r="BG795" s="732" t="n"/>
    </row>
    <row r="796">
      <c r="BE796" s="732" t="n"/>
      <c r="BF796" s="732" t="n"/>
      <c r="BG796" s="732" t="n"/>
    </row>
    <row r="797">
      <c r="BE797" s="732" t="n"/>
      <c r="BF797" s="732" t="n"/>
      <c r="BG797" s="732" t="n"/>
    </row>
    <row r="798">
      <c r="BE798" s="732" t="n"/>
      <c r="BF798" s="732" t="n"/>
      <c r="BG798" s="732" t="n"/>
    </row>
    <row r="799">
      <c r="BE799" s="732" t="n"/>
      <c r="BF799" s="732" t="n"/>
      <c r="BG799" s="732" t="n"/>
    </row>
    <row r="800">
      <c r="BE800" s="732" t="n"/>
      <c r="BF800" s="732" t="n"/>
      <c r="BG800" s="732" t="n"/>
    </row>
    <row r="801">
      <c r="BE801" s="732" t="n"/>
      <c r="BF801" s="732" t="n"/>
      <c r="BG801" s="732" t="n"/>
    </row>
    <row r="802">
      <c r="BE802" s="732" t="n"/>
      <c r="BF802" s="732" t="n"/>
      <c r="BG802" s="732" t="n"/>
    </row>
    <row r="803">
      <c r="BE803" s="732" t="n"/>
      <c r="BF803" s="732" t="n"/>
      <c r="BG803" s="732" t="n"/>
    </row>
    <row r="804">
      <c r="BE804" s="732" t="n"/>
      <c r="BF804" s="732" t="n"/>
      <c r="BG804" s="732" t="n"/>
    </row>
    <row r="805">
      <c r="BE805" s="732" t="n"/>
      <c r="BF805" s="732" t="n"/>
      <c r="BG805" s="732" t="n"/>
    </row>
    <row r="806">
      <c r="BE806" s="732" t="n"/>
      <c r="BF806" s="732" t="n"/>
      <c r="BG806" s="732" t="n"/>
    </row>
    <row r="807">
      <c r="BE807" s="732" t="n"/>
      <c r="BF807" s="732" t="n"/>
      <c r="BG807" s="732" t="n"/>
    </row>
    <row r="808">
      <c r="BE808" s="732" t="n"/>
      <c r="BF808" s="732" t="n"/>
      <c r="BG808" s="732" t="n"/>
    </row>
    <row r="809">
      <c r="BE809" s="732" t="n"/>
      <c r="BF809" s="732" t="n"/>
      <c r="BG809" s="732" t="n"/>
    </row>
    <row r="810">
      <c r="BE810" s="732" t="n"/>
      <c r="BF810" s="732" t="n"/>
      <c r="BG810" s="732" t="n"/>
    </row>
    <row r="811">
      <c r="BE811" s="732" t="n"/>
      <c r="BF811" s="732" t="n"/>
      <c r="BG811" s="732" t="n"/>
    </row>
    <row r="812">
      <c r="BE812" s="732" t="n"/>
      <c r="BF812" s="732" t="n"/>
      <c r="BG812" s="732" t="n"/>
    </row>
    <row r="813">
      <c r="BE813" s="732" t="n"/>
      <c r="BF813" s="732" t="n"/>
      <c r="BG813" s="732" t="n"/>
    </row>
    <row r="814">
      <c r="BE814" s="732" t="n"/>
      <c r="BF814" s="732" t="n"/>
      <c r="BG814" s="732" t="n"/>
    </row>
    <row r="815">
      <c r="BE815" s="732" t="n"/>
      <c r="BF815" s="732" t="n"/>
      <c r="BG815" s="732" t="n"/>
    </row>
    <row r="816">
      <c r="BE816" s="732" t="n"/>
      <c r="BF816" s="732" t="n"/>
      <c r="BG816" s="732" t="n"/>
    </row>
    <row r="817">
      <c r="BE817" s="732" t="n"/>
      <c r="BF817" s="732" t="n"/>
      <c r="BG817" s="732" t="n"/>
    </row>
    <row r="818">
      <c r="BE818" s="732" t="n"/>
      <c r="BF818" s="732" t="n"/>
      <c r="BG818" s="732" t="n"/>
    </row>
    <row r="819">
      <c r="BE819" s="732" t="n"/>
      <c r="BF819" s="732" t="n"/>
      <c r="BG819" s="732" t="n"/>
    </row>
    <row r="820">
      <c r="BE820" s="732" t="n"/>
      <c r="BF820" s="732" t="n"/>
      <c r="BG820" s="732" t="n"/>
    </row>
    <row r="821">
      <c r="BE821" s="732" t="n"/>
      <c r="BF821" s="732" t="n"/>
      <c r="BG821" s="732" t="n"/>
    </row>
    <row r="822">
      <c r="BE822" s="732" t="n"/>
      <c r="BF822" s="732" t="n"/>
      <c r="BG822" s="732" t="n"/>
    </row>
    <row r="823">
      <c r="BE823" s="732" t="n"/>
      <c r="BF823" s="732" t="n"/>
      <c r="BG823" s="732" t="n"/>
    </row>
    <row r="824">
      <c r="BE824" s="732" t="n"/>
      <c r="BF824" s="732" t="n"/>
      <c r="BG824" s="732" t="n"/>
    </row>
    <row r="825">
      <c r="BE825" s="732" t="n"/>
      <c r="BF825" s="732" t="n"/>
      <c r="BG825" s="732" t="n"/>
    </row>
    <row r="826">
      <c r="BE826" s="732" t="n"/>
      <c r="BF826" s="732" t="n"/>
      <c r="BG826" s="732" t="n"/>
    </row>
    <row r="827">
      <c r="BE827" s="732" t="n"/>
      <c r="BF827" s="732" t="n"/>
      <c r="BG827" s="732" t="n"/>
    </row>
    <row r="828">
      <c r="BE828" s="732" t="n"/>
      <c r="BF828" s="732" t="n"/>
      <c r="BG828" s="732" t="n"/>
    </row>
    <row r="829">
      <c r="BE829" s="732" t="n"/>
      <c r="BF829" s="732" t="n"/>
      <c r="BG829" s="732" t="n"/>
    </row>
    <row r="830">
      <c r="BE830" s="732" t="n"/>
      <c r="BF830" s="732" t="n"/>
      <c r="BG830" s="732" t="n"/>
    </row>
    <row r="831">
      <c r="BE831" s="732" t="n"/>
      <c r="BF831" s="732" t="n"/>
      <c r="BG831" s="732" t="n"/>
    </row>
    <row r="832">
      <c r="BE832" s="732" t="n"/>
      <c r="BF832" s="732" t="n"/>
      <c r="BG832" s="732" t="n"/>
    </row>
    <row r="833">
      <c r="BE833" s="732" t="n"/>
      <c r="BF833" s="732" t="n"/>
      <c r="BG833" s="732" t="n"/>
    </row>
    <row r="834">
      <c r="BE834" s="732" t="n"/>
      <c r="BF834" s="732" t="n"/>
      <c r="BG834" s="732" t="n"/>
    </row>
    <row r="835">
      <c r="BE835" s="732" t="n"/>
      <c r="BF835" s="732" t="n"/>
      <c r="BG835" s="732" t="n"/>
    </row>
    <row r="836">
      <c r="BE836" s="732" t="n"/>
      <c r="BF836" s="732" t="n"/>
      <c r="BG836" s="732" t="n"/>
    </row>
    <row r="837">
      <c r="BE837" s="732" t="n"/>
      <c r="BF837" s="732" t="n"/>
      <c r="BG837" s="732" t="n"/>
    </row>
    <row r="838">
      <c r="BE838" s="732" t="n"/>
      <c r="BF838" s="732" t="n"/>
      <c r="BG838" s="732" t="n"/>
    </row>
    <row r="839">
      <c r="BE839" s="732" t="n"/>
      <c r="BF839" s="732" t="n"/>
      <c r="BG839" s="732" t="n"/>
    </row>
    <row r="840">
      <c r="BE840" s="732" t="n"/>
      <c r="BF840" s="732" t="n"/>
      <c r="BG840" s="732" t="n"/>
    </row>
    <row r="841">
      <c r="BE841" s="732" t="n"/>
      <c r="BF841" s="732" t="n"/>
      <c r="BG841" s="732" t="n"/>
    </row>
    <row r="842">
      <c r="BE842" s="732" t="n"/>
      <c r="BF842" s="732" t="n"/>
      <c r="BG842" s="732" t="n"/>
    </row>
    <row r="843">
      <c r="BE843" s="732" t="n"/>
      <c r="BF843" s="732" t="n"/>
      <c r="BG843" s="732" t="n"/>
    </row>
    <row r="844">
      <c r="BE844" s="732" t="n"/>
      <c r="BF844" s="732" t="n"/>
      <c r="BG844" s="732" t="n"/>
    </row>
    <row r="845">
      <c r="BE845" s="732" t="n"/>
      <c r="BF845" s="732" t="n"/>
      <c r="BG845" s="732" t="n"/>
    </row>
    <row r="846">
      <c r="BE846" s="732" t="n"/>
      <c r="BF846" s="732" t="n"/>
      <c r="BG846" s="732" t="n"/>
    </row>
    <row r="847">
      <c r="BE847" s="732" t="n"/>
      <c r="BF847" s="732" t="n"/>
      <c r="BG847" s="732" t="n"/>
    </row>
    <row r="848">
      <c r="BE848" s="732" t="n"/>
      <c r="BF848" s="732" t="n"/>
      <c r="BG848" s="732" t="n"/>
    </row>
    <row r="849">
      <c r="BE849" s="732" t="n"/>
      <c r="BF849" s="732" t="n"/>
      <c r="BG849" s="732" t="n"/>
    </row>
    <row r="850">
      <c r="BE850" s="732" t="n"/>
      <c r="BF850" s="732" t="n"/>
      <c r="BG850" s="732" t="n"/>
    </row>
    <row r="851">
      <c r="BE851" s="732" t="n"/>
      <c r="BF851" s="732" t="n"/>
      <c r="BG851" s="732" t="n"/>
    </row>
    <row r="852">
      <c r="BE852" s="732" t="n"/>
      <c r="BF852" s="732" t="n"/>
      <c r="BG852" s="732" t="n"/>
    </row>
    <row r="853">
      <c r="BE853" s="732" t="n"/>
      <c r="BF853" s="732" t="n"/>
      <c r="BG853" s="732" t="n"/>
    </row>
    <row r="854">
      <c r="BE854" s="732" t="n"/>
      <c r="BF854" s="732" t="n"/>
      <c r="BG854" s="732" t="n"/>
    </row>
    <row r="855">
      <c r="BE855" s="732" t="n"/>
      <c r="BF855" s="732" t="n"/>
      <c r="BG855" s="732" t="n"/>
    </row>
    <row r="856">
      <c r="BE856" s="732" t="n"/>
      <c r="BF856" s="732" t="n"/>
      <c r="BG856" s="732" t="n"/>
    </row>
    <row r="857">
      <c r="BE857" s="732" t="n"/>
      <c r="BF857" s="732" t="n"/>
      <c r="BG857" s="732" t="n"/>
    </row>
    <row r="858">
      <c r="BE858" s="732" t="n"/>
      <c r="BF858" s="732" t="n"/>
      <c r="BG858" s="732" t="n"/>
    </row>
    <row r="859">
      <c r="BE859" s="732" t="n"/>
      <c r="BF859" s="732" t="n"/>
      <c r="BG859" s="732" t="n"/>
    </row>
    <row r="860">
      <c r="BE860" s="732" t="n"/>
      <c r="BF860" s="732" t="n"/>
      <c r="BG860" s="732" t="n"/>
    </row>
    <row r="861">
      <c r="BE861" s="732" t="n"/>
      <c r="BF861" s="732" t="n"/>
      <c r="BG861" s="732" t="n"/>
    </row>
    <row r="862">
      <c r="BE862" s="732" t="n"/>
      <c r="BF862" s="732" t="n"/>
      <c r="BG862" s="732" t="n"/>
    </row>
    <row r="863">
      <c r="BE863" s="732" t="n"/>
      <c r="BF863" s="732" t="n"/>
      <c r="BG863" s="732" t="n"/>
    </row>
    <row r="864">
      <c r="BE864" s="732" t="n"/>
      <c r="BF864" s="732" t="n"/>
      <c r="BG864" s="732" t="n"/>
    </row>
    <row r="865">
      <c r="BE865" s="732" t="n"/>
      <c r="BF865" s="732" t="n"/>
      <c r="BG865" s="732" t="n"/>
    </row>
    <row r="866">
      <c r="BE866" s="732" t="n"/>
      <c r="BF866" s="732" t="n"/>
      <c r="BG866" s="732" t="n"/>
    </row>
    <row r="867">
      <c r="BE867" s="732" t="n"/>
      <c r="BF867" s="732" t="n"/>
      <c r="BG867" s="732" t="n"/>
    </row>
    <row r="868">
      <c r="BE868" s="732" t="n"/>
      <c r="BF868" s="732" t="n"/>
      <c r="BG868" s="732" t="n"/>
    </row>
    <row r="869">
      <c r="BE869" s="732" t="n"/>
      <c r="BF869" s="732" t="n"/>
      <c r="BG869" s="732" t="n"/>
    </row>
    <row r="870">
      <c r="BE870" s="732" t="n"/>
      <c r="BF870" s="732" t="n"/>
      <c r="BG870" s="732" t="n"/>
    </row>
    <row r="871">
      <c r="BE871" s="732" t="n"/>
      <c r="BF871" s="732" t="n"/>
      <c r="BG871" s="732" t="n"/>
    </row>
    <row r="872">
      <c r="BE872" s="732" t="n"/>
      <c r="BF872" s="732" t="n"/>
      <c r="BG872" s="732" t="n"/>
    </row>
    <row r="873">
      <c r="BE873" s="732" t="n"/>
      <c r="BF873" s="732" t="n"/>
      <c r="BG873" s="732" t="n"/>
    </row>
    <row r="874">
      <c r="BE874" s="732" t="n"/>
      <c r="BF874" s="732" t="n"/>
      <c r="BG874" s="732" t="n"/>
    </row>
    <row r="875">
      <c r="BE875" s="732" t="n"/>
      <c r="BF875" s="732" t="n"/>
      <c r="BG875" s="732" t="n"/>
    </row>
    <row r="876">
      <c r="BE876" s="732" t="n"/>
      <c r="BF876" s="732" t="n"/>
      <c r="BG876" s="732" t="n"/>
    </row>
    <row r="877">
      <c r="BE877" s="732" t="n"/>
      <c r="BF877" s="732" t="n"/>
      <c r="BG877" s="732" t="n"/>
    </row>
    <row r="878">
      <c r="BE878" s="732" t="n"/>
      <c r="BF878" s="732" t="n"/>
      <c r="BG878" s="732" t="n"/>
    </row>
    <row r="879">
      <c r="BE879" s="732" t="n"/>
      <c r="BF879" s="732" t="n"/>
      <c r="BG879" s="732" t="n"/>
    </row>
    <row r="880">
      <c r="BE880" s="732" t="n"/>
      <c r="BF880" s="732" t="n"/>
      <c r="BG880" s="732" t="n"/>
    </row>
    <row r="881">
      <c r="BE881" s="732" t="n"/>
      <c r="BF881" s="732" t="n"/>
      <c r="BG881" s="732" t="n"/>
    </row>
    <row r="882">
      <c r="BE882" s="732" t="n"/>
      <c r="BF882" s="732" t="n"/>
      <c r="BG882" s="732" t="n"/>
    </row>
    <row r="883">
      <c r="BE883" s="732" t="n"/>
      <c r="BF883" s="732" t="n"/>
      <c r="BG883" s="732" t="n"/>
    </row>
    <row r="884">
      <c r="BE884" s="732" t="n"/>
      <c r="BF884" s="732" t="n"/>
      <c r="BG884" s="732" t="n"/>
    </row>
    <row r="885">
      <c r="BE885" s="732" t="n"/>
      <c r="BF885" s="732" t="n"/>
      <c r="BG885" s="732" t="n"/>
    </row>
    <row r="886">
      <c r="BE886" s="732" t="n"/>
      <c r="BF886" s="732" t="n"/>
      <c r="BG886" s="732" t="n"/>
    </row>
    <row r="887">
      <c r="BE887" s="732" t="n"/>
      <c r="BF887" s="732" t="n"/>
      <c r="BG887" s="732" t="n"/>
    </row>
    <row r="888">
      <c r="BE888" s="732" t="n"/>
      <c r="BF888" s="732" t="n"/>
      <c r="BG888" s="732" t="n"/>
    </row>
    <row r="889">
      <c r="BE889" s="732" t="n"/>
      <c r="BF889" s="732" t="n"/>
      <c r="BG889" s="732" t="n"/>
    </row>
    <row r="890">
      <c r="BE890" s="732" t="n"/>
      <c r="BF890" s="732" t="n"/>
      <c r="BG890" s="732" t="n"/>
    </row>
    <row r="891">
      <c r="BE891" s="732" t="n"/>
      <c r="BF891" s="732" t="n"/>
      <c r="BG891" s="732" t="n"/>
    </row>
    <row r="892">
      <c r="BE892" s="732" t="n"/>
      <c r="BF892" s="732" t="n"/>
      <c r="BG892" s="732" t="n"/>
    </row>
    <row r="893">
      <c r="BE893" s="732" t="n"/>
      <c r="BF893" s="732" t="n"/>
      <c r="BG893" s="732" t="n"/>
    </row>
    <row r="894">
      <c r="BE894" s="732" t="n"/>
      <c r="BF894" s="732" t="n"/>
      <c r="BG894" s="732" t="n"/>
    </row>
    <row r="895">
      <c r="BE895" s="732" t="n"/>
      <c r="BF895" s="732" t="n"/>
      <c r="BG895" s="732" t="n"/>
    </row>
    <row r="896">
      <c r="BE896" s="732" t="n"/>
      <c r="BF896" s="732" t="n"/>
      <c r="BG896" s="732" t="n"/>
    </row>
    <row r="897">
      <c r="BE897" s="732" t="n"/>
      <c r="BF897" s="732" t="n"/>
      <c r="BG897" s="732" t="n"/>
    </row>
    <row r="898">
      <c r="BE898" s="732" t="n"/>
      <c r="BF898" s="732" t="n"/>
      <c r="BG898" s="732" t="n"/>
    </row>
    <row r="899">
      <c r="BE899" s="732" t="n"/>
      <c r="BF899" s="732" t="n"/>
      <c r="BG899" s="732" t="n"/>
    </row>
    <row r="900">
      <c r="BE900" s="732" t="n"/>
      <c r="BF900" s="732" t="n"/>
      <c r="BG900" s="732" t="n"/>
    </row>
    <row r="901">
      <c r="BE901" s="732" t="n"/>
      <c r="BF901" s="732" t="n"/>
      <c r="BG901" s="732" t="n"/>
    </row>
    <row r="902">
      <c r="BE902" s="732" t="n"/>
      <c r="BF902" s="732" t="n"/>
      <c r="BG902" s="732" t="n"/>
    </row>
    <row r="903">
      <c r="BE903" s="732" t="n"/>
      <c r="BF903" s="732" t="n"/>
      <c r="BG903" s="732" t="n"/>
    </row>
    <row r="904">
      <c r="BE904" s="732" t="n"/>
      <c r="BF904" s="732" t="n"/>
      <c r="BG904" s="732" t="n"/>
    </row>
    <row r="905">
      <c r="BE905" s="732" t="n"/>
      <c r="BF905" s="732" t="n"/>
      <c r="BG905" s="732" t="n"/>
    </row>
    <row r="906">
      <c r="BE906" s="732" t="n"/>
      <c r="BF906" s="732" t="n"/>
      <c r="BG906" s="732" t="n"/>
    </row>
    <row r="907">
      <c r="BE907" s="732" t="n"/>
      <c r="BF907" s="732" t="n"/>
      <c r="BG907" s="732" t="n"/>
    </row>
    <row r="908">
      <c r="BE908" s="732" t="n"/>
      <c r="BF908" s="732" t="n"/>
      <c r="BG908" s="732" t="n"/>
    </row>
    <row r="909">
      <c r="BE909" s="732" t="n"/>
      <c r="BF909" s="732" t="n"/>
      <c r="BG909" s="732" t="n"/>
    </row>
    <row r="910">
      <c r="BE910" s="732" t="n"/>
      <c r="BF910" s="732" t="n"/>
      <c r="BG910" s="732" t="n"/>
    </row>
    <row r="911">
      <c r="BE911" s="732" t="n"/>
      <c r="BF911" s="732" t="n"/>
      <c r="BG911" s="732" t="n"/>
    </row>
    <row r="912">
      <c r="BE912" s="732" t="n"/>
      <c r="BF912" s="732" t="n"/>
      <c r="BG912" s="732" t="n"/>
    </row>
    <row r="913">
      <c r="BE913" s="732" t="n"/>
      <c r="BF913" s="732" t="n"/>
      <c r="BG913" s="732" t="n"/>
    </row>
    <row r="914">
      <c r="BE914" s="732" t="n"/>
      <c r="BF914" s="732" t="n"/>
      <c r="BG914" s="732" t="n"/>
    </row>
    <row r="915">
      <c r="BE915" s="732" t="n"/>
      <c r="BF915" s="732" t="n"/>
      <c r="BG915" s="732" t="n"/>
    </row>
    <row r="916">
      <c r="BE916" s="732" t="n"/>
      <c r="BF916" s="732" t="n"/>
      <c r="BG916" s="732" t="n"/>
    </row>
    <row r="917">
      <c r="BE917" s="732" t="n"/>
      <c r="BF917" s="732" t="n"/>
      <c r="BG917" s="732" t="n"/>
    </row>
    <row r="918">
      <c r="BE918" s="732" t="n"/>
      <c r="BF918" s="732" t="n"/>
      <c r="BG918" s="732" t="n"/>
    </row>
    <row r="919">
      <c r="BE919" s="732" t="n"/>
      <c r="BF919" s="732" t="n"/>
      <c r="BG919" s="732" t="n"/>
    </row>
    <row r="920">
      <c r="BE920" s="732" t="n"/>
      <c r="BF920" s="732" t="n"/>
      <c r="BG920" s="732" t="n"/>
    </row>
    <row r="921">
      <c r="BE921" s="732" t="n"/>
      <c r="BF921" s="732" t="n"/>
      <c r="BG921" s="732" t="n"/>
    </row>
    <row r="922">
      <c r="BE922" s="732" t="n"/>
      <c r="BF922" s="732" t="n"/>
      <c r="BG922" s="732" t="n"/>
    </row>
    <row r="923">
      <c r="BE923" s="732" t="n"/>
      <c r="BF923" s="732" t="n"/>
      <c r="BG923" s="732" t="n"/>
    </row>
    <row r="924">
      <c r="BE924" s="732" t="n"/>
      <c r="BF924" s="732" t="n"/>
      <c r="BG924" s="732" t="n"/>
    </row>
    <row r="925">
      <c r="BE925" s="732" t="n"/>
      <c r="BF925" s="732" t="n"/>
      <c r="BG925" s="732" t="n"/>
    </row>
    <row r="926">
      <c r="BE926" s="732" t="n"/>
      <c r="BF926" s="732" t="n"/>
      <c r="BG926" s="732" t="n"/>
    </row>
    <row r="927">
      <c r="BE927" s="732" t="n"/>
      <c r="BF927" s="732" t="n"/>
      <c r="BG927" s="732" t="n"/>
    </row>
    <row r="928">
      <c r="BE928" s="732" t="n"/>
      <c r="BF928" s="732" t="n"/>
      <c r="BG928" s="732" t="n"/>
    </row>
    <row r="929">
      <c r="BE929" s="732" t="n"/>
      <c r="BF929" s="732" t="n"/>
      <c r="BG929" s="732" t="n"/>
    </row>
    <row r="930">
      <c r="BE930" s="732" t="n"/>
      <c r="BF930" s="732" t="n"/>
      <c r="BG930" s="732" t="n"/>
    </row>
    <row r="931">
      <c r="BE931" s="732" t="n"/>
      <c r="BF931" s="732" t="n"/>
      <c r="BG931" s="732" t="n"/>
    </row>
    <row r="932">
      <c r="BE932" s="732" t="n"/>
      <c r="BF932" s="732" t="n"/>
      <c r="BG932" s="732" t="n"/>
    </row>
    <row r="933">
      <c r="BE933" s="732" t="n"/>
      <c r="BF933" s="732" t="n"/>
      <c r="BG933" s="732" t="n"/>
    </row>
    <row r="934">
      <c r="BE934" s="732" t="n"/>
      <c r="BF934" s="732" t="n"/>
      <c r="BG934" s="732" t="n"/>
    </row>
    <row r="935">
      <c r="BE935" s="732" t="n"/>
      <c r="BF935" s="732" t="n"/>
      <c r="BG935" s="732" t="n"/>
    </row>
    <row r="936">
      <c r="BE936" s="732" t="n"/>
      <c r="BF936" s="732" t="n"/>
      <c r="BG936" s="732" t="n"/>
    </row>
    <row r="937">
      <c r="BE937" s="732" t="n"/>
      <c r="BF937" s="732" t="n"/>
      <c r="BG937" s="732" t="n"/>
    </row>
    <row r="938">
      <c r="BE938" s="732" t="n"/>
      <c r="BF938" s="732" t="n"/>
      <c r="BG938" s="732" t="n"/>
    </row>
    <row r="939">
      <c r="BE939" s="732" t="n"/>
      <c r="BF939" s="732" t="n"/>
      <c r="BG939" s="732" t="n"/>
    </row>
    <row r="940">
      <c r="BE940" s="732" t="n"/>
      <c r="BF940" s="732" t="n"/>
      <c r="BG940" s="732" t="n"/>
    </row>
    <row r="941">
      <c r="BE941" s="732" t="n"/>
      <c r="BF941" s="732" t="n"/>
      <c r="BG941" s="732" t="n"/>
    </row>
    <row r="942">
      <c r="BE942" s="732" t="n"/>
      <c r="BF942" s="732" t="n"/>
      <c r="BG942" s="732" t="n"/>
    </row>
    <row r="943">
      <c r="BE943" s="732" t="n"/>
      <c r="BF943" s="732" t="n"/>
      <c r="BG943" s="732" t="n"/>
    </row>
    <row r="944">
      <c r="BE944" s="732" t="n"/>
      <c r="BF944" s="732" t="n"/>
      <c r="BG944" s="732" t="n"/>
    </row>
    <row r="945">
      <c r="BE945" s="732" t="n"/>
      <c r="BF945" s="732" t="n"/>
      <c r="BG945" s="732" t="n"/>
    </row>
    <row r="946">
      <c r="BE946" s="732" t="n"/>
      <c r="BF946" s="732" t="n"/>
      <c r="BG946" s="732" t="n"/>
    </row>
    <row r="947">
      <c r="BE947" s="732" t="n"/>
      <c r="BF947" s="732" t="n"/>
      <c r="BG947" s="732" t="n"/>
    </row>
    <row r="948">
      <c r="BE948" s="732" t="n"/>
      <c r="BF948" s="732" t="n"/>
      <c r="BG948" s="732" t="n"/>
    </row>
    <row r="949">
      <c r="BE949" s="732" t="n"/>
      <c r="BF949" s="732" t="n"/>
      <c r="BG949" s="732" t="n"/>
    </row>
    <row r="950">
      <c r="BE950" s="732" t="n"/>
      <c r="BF950" s="732" t="n"/>
      <c r="BG950" s="732" t="n"/>
    </row>
    <row r="951">
      <c r="BE951" s="732" t="n"/>
      <c r="BF951" s="732" t="n"/>
      <c r="BG951" s="732" t="n"/>
    </row>
    <row r="952">
      <c r="BE952" s="732" t="n"/>
      <c r="BF952" s="732" t="n"/>
      <c r="BG952" s="732" t="n"/>
    </row>
    <row r="953">
      <c r="BE953" s="732" t="n"/>
      <c r="BF953" s="732" t="n"/>
      <c r="BG953" s="732" t="n"/>
    </row>
    <row r="954">
      <c r="BE954" s="732" t="n"/>
      <c r="BF954" s="732" t="n"/>
      <c r="BG954" s="732" t="n"/>
    </row>
    <row r="955">
      <c r="BE955" s="732" t="n"/>
      <c r="BF955" s="732" t="n"/>
      <c r="BG955" s="732" t="n"/>
    </row>
    <row r="956">
      <c r="BE956" s="732" t="n"/>
      <c r="BF956" s="732" t="n"/>
      <c r="BG956" s="732" t="n"/>
    </row>
    <row r="957">
      <c r="BE957" s="732" t="n"/>
      <c r="BF957" s="732" t="n"/>
      <c r="BG957" s="732" t="n"/>
    </row>
    <row r="958">
      <c r="BE958" s="732" t="n"/>
      <c r="BF958" s="732" t="n"/>
      <c r="BG958" s="732" t="n"/>
    </row>
    <row r="959">
      <c r="BE959" s="732" t="n"/>
      <c r="BF959" s="732" t="n"/>
      <c r="BG959" s="732" t="n"/>
    </row>
    <row r="960">
      <c r="BE960" s="732" t="n"/>
      <c r="BF960" s="732" t="n"/>
      <c r="BG960" s="732" t="n"/>
    </row>
    <row r="961">
      <c r="BE961" s="732" t="n"/>
      <c r="BF961" s="732" t="n"/>
      <c r="BG961" s="732" t="n"/>
    </row>
    <row r="962">
      <c r="BE962" s="732" t="n"/>
      <c r="BF962" s="732" t="n"/>
      <c r="BG962" s="732" t="n"/>
    </row>
    <row r="963">
      <c r="BE963" s="732" t="n"/>
      <c r="BF963" s="732" t="n"/>
      <c r="BG963" s="732" t="n"/>
    </row>
    <row r="964">
      <c r="BE964" s="732" t="n"/>
      <c r="BF964" s="732" t="n"/>
      <c r="BG964" s="732" t="n"/>
    </row>
    <row r="965">
      <c r="BE965" s="732" t="n"/>
      <c r="BF965" s="732" t="n"/>
      <c r="BG965" s="732" t="n"/>
    </row>
    <row r="966">
      <c r="BE966" s="732" t="n"/>
      <c r="BF966" s="732" t="n"/>
      <c r="BG966" s="732" t="n"/>
    </row>
    <row r="967">
      <c r="BE967" s="732" t="n"/>
      <c r="BF967" s="732" t="n"/>
      <c r="BG967" s="732" t="n"/>
    </row>
    <row r="968">
      <c r="BE968" s="732" t="n"/>
      <c r="BF968" s="732" t="n"/>
      <c r="BG968" s="732" t="n"/>
    </row>
    <row r="969">
      <c r="BE969" s="732" t="n"/>
      <c r="BF969" s="732" t="n"/>
      <c r="BG969" s="732" t="n"/>
    </row>
    <row r="970">
      <c r="BE970" s="732" t="n"/>
      <c r="BF970" s="732" t="n"/>
      <c r="BG970" s="732" t="n"/>
    </row>
    <row r="971">
      <c r="BE971" s="732" t="n"/>
      <c r="BF971" s="732" t="n"/>
      <c r="BG971" s="732" t="n"/>
    </row>
    <row r="972">
      <c r="BE972" s="732" t="n"/>
      <c r="BF972" s="732" t="n"/>
      <c r="BG972" s="732" t="n"/>
    </row>
    <row r="973">
      <c r="BE973" s="732" t="n"/>
      <c r="BF973" s="732" t="n"/>
      <c r="BG973" s="732" t="n"/>
    </row>
    <row r="974">
      <c r="BE974" s="732" t="n"/>
      <c r="BF974" s="732" t="n"/>
      <c r="BG974" s="732" t="n"/>
    </row>
    <row r="975">
      <c r="BE975" s="732" t="n"/>
      <c r="BF975" s="732" t="n"/>
      <c r="BG975" s="732" t="n"/>
    </row>
    <row r="976">
      <c r="BE976" s="732" t="n"/>
      <c r="BF976" s="732" t="n"/>
      <c r="BG976" s="732" t="n"/>
    </row>
    <row r="977">
      <c r="BE977" s="732" t="n"/>
      <c r="BF977" s="732" t="n"/>
      <c r="BG977" s="732" t="n"/>
    </row>
    <row r="978">
      <c r="BE978" s="732" t="n"/>
      <c r="BF978" s="732" t="n"/>
      <c r="BG978" s="732" t="n"/>
    </row>
    <row r="979">
      <c r="BE979" s="732" t="n"/>
      <c r="BF979" s="732" t="n"/>
      <c r="BG979" s="732" t="n"/>
    </row>
    <row r="980">
      <c r="BE980" s="732" t="n"/>
      <c r="BF980" s="732" t="n"/>
      <c r="BG980" s="732" t="n"/>
    </row>
    <row r="981">
      <c r="BE981" s="732" t="n"/>
      <c r="BF981" s="732" t="n"/>
      <c r="BG981" s="732" t="n"/>
    </row>
    <row r="982">
      <c r="BE982" s="732" t="n"/>
      <c r="BF982" s="732" t="n"/>
      <c r="BG982" s="732" t="n"/>
    </row>
    <row r="983">
      <c r="BE983" s="732" t="n"/>
      <c r="BF983" s="732" t="n"/>
      <c r="BG983" s="732" t="n"/>
    </row>
    <row r="984">
      <c r="BE984" s="732" t="n"/>
      <c r="BF984" s="732" t="n"/>
      <c r="BG984" s="732" t="n"/>
    </row>
    <row r="985">
      <c r="BE985" s="732" t="n"/>
      <c r="BF985" s="732" t="n"/>
      <c r="BG985" s="732" t="n"/>
    </row>
    <row r="986">
      <c r="BE986" s="732" t="n"/>
      <c r="BF986" s="732" t="n"/>
      <c r="BG986" s="732" t="n"/>
    </row>
    <row r="987">
      <c r="BE987" s="732" t="n"/>
      <c r="BF987" s="732" t="n"/>
      <c r="BG987" s="732" t="n"/>
    </row>
    <row r="988">
      <c r="BE988" s="732" t="n"/>
      <c r="BF988" s="732" t="n"/>
      <c r="BG988" s="732" t="n"/>
    </row>
    <row r="989">
      <c r="BE989" s="732" t="n"/>
      <c r="BF989" s="732" t="n"/>
      <c r="BG989" s="732" t="n"/>
    </row>
    <row r="990">
      <c r="BE990" s="732" t="n"/>
      <c r="BF990" s="732" t="n"/>
      <c r="BG990" s="732" t="n"/>
    </row>
    <row r="991">
      <c r="BE991" s="732" t="n"/>
      <c r="BF991" s="732" t="n"/>
      <c r="BG991" s="732" t="n"/>
    </row>
    <row r="992">
      <c r="BE992" s="732" t="n"/>
      <c r="BF992" s="732" t="n"/>
      <c r="BG992" s="732" t="n"/>
    </row>
    <row r="993">
      <c r="BE993" s="732" t="n"/>
      <c r="BF993" s="732" t="n"/>
      <c r="BG993" s="732" t="n"/>
    </row>
    <row r="994">
      <c r="BE994" s="732" t="n"/>
      <c r="BF994" s="732" t="n"/>
      <c r="BG994" s="732" t="n"/>
    </row>
    <row r="995">
      <c r="BE995" s="732" t="n"/>
      <c r="BF995" s="732" t="n"/>
      <c r="BG995" s="732" t="n"/>
    </row>
    <row r="996">
      <c r="BE996" s="732" t="n"/>
      <c r="BF996" s="732" t="n"/>
      <c r="BG996" s="732" t="n"/>
    </row>
    <row r="997">
      <c r="BE997" s="732" t="n"/>
      <c r="BF997" s="732" t="n"/>
      <c r="BG997" s="732" t="n"/>
    </row>
    <row r="998">
      <c r="BE998" s="732" t="n"/>
      <c r="BF998" s="732" t="n"/>
      <c r="BG998" s="732" t="n"/>
    </row>
  </sheetData>
  <mergeCells count="80">
    <mergeCell ref="BF3:BF4"/>
    <mergeCell ref="W1:X1"/>
    <mergeCell ref="O1:P1"/>
    <mergeCell ref="Y1:Z1"/>
    <mergeCell ref="W3:X3"/>
    <mergeCell ref="AQ2:AR2"/>
    <mergeCell ref="AS2:AT2"/>
    <mergeCell ref="K2:L2"/>
    <mergeCell ref="AO1:AP1"/>
    <mergeCell ref="AQ1:AR1"/>
    <mergeCell ref="A77:A78"/>
    <mergeCell ref="BE3:BE4"/>
    <mergeCell ref="O2:P2"/>
    <mergeCell ref="AG3:AH3"/>
    <mergeCell ref="Q2:R2"/>
    <mergeCell ref="AI3:AJ3"/>
    <mergeCell ref="AA2:AB2"/>
    <mergeCell ref="AC2:AD2"/>
    <mergeCell ref="AU2:AV2"/>
    <mergeCell ref="C3:D3"/>
    <mergeCell ref="E3:F3"/>
    <mergeCell ref="O3:P3"/>
    <mergeCell ref="AY3:AZ3"/>
    <mergeCell ref="Q3:R3"/>
    <mergeCell ref="M1:N1"/>
    <mergeCell ref="K1:L1"/>
    <mergeCell ref="Q1:R1"/>
    <mergeCell ref="AK1:AL1"/>
    <mergeCell ref="AC1:AD1"/>
    <mergeCell ref="AE1:AF1"/>
    <mergeCell ref="AW1:AX1"/>
    <mergeCell ref="AY1:AZ1"/>
    <mergeCell ref="W2:X2"/>
    <mergeCell ref="S1:T1"/>
    <mergeCell ref="BA1:BB1"/>
    <mergeCell ref="AI2:AJ2"/>
    <mergeCell ref="U1:V1"/>
    <mergeCell ref="BC1:BD1"/>
    <mergeCell ref="AK2:AL2"/>
    <mergeCell ref="BG3:BG4"/>
    <mergeCell ref="K3:L3"/>
    <mergeCell ref="AM2:AN2"/>
    <mergeCell ref="AO2:AP2"/>
    <mergeCell ref="Y3:Z3"/>
    <mergeCell ref="G2:H2"/>
    <mergeCell ref="I2:J2"/>
    <mergeCell ref="BA2:BB2"/>
    <mergeCell ref="BC2:BD2"/>
    <mergeCell ref="S3:T3"/>
    <mergeCell ref="AC3:AD3"/>
    <mergeCell ref="M2:N2"/>
    <mergeCell ref="AE3:AF3"/>
    <mergeCell ref="AW3:AX3"/>
    <mergeCell ref="AO3:AP3"/>
    <mergeCell ref="Y2:Z2"/>
    <mergeCell ref="AQ3:AR3"/>
    <mergeCell ref="BE84:BF84"/>
    <mergeCell ref="AM1:AN1"/>
    <mergeCell ref="AG1:AH1"/>
    <mergeCell ref="AW2:AX2"/>
    <mergeCell ref="AI1:AJ1"/>
    <mergeCell ref="AA1:AB1"/>
    <mergeCell ref="AS1:AT1"/>
    <mergeCell ref="AU1:AV1"/>
    <mergeCell ref="S2:T2"/>
    <mergeCell ref="AK3:AL3"/>
    <mergeCell ref="U2:V2"/>
    <mergeCell ref="AE2:AF2"/>
    <mergeCell ref="AG2:AH2"/>
    <mergeCell ref="G3:H3"/>
    <mergeCell ref="I3:J3"/>
    <mergeCell ref="BA3:BB3"/>
    <mergeCell ref="BC3:BD3"/>
    <mergeCell ref="U3:V3"/>
    <mergeCell ref="AY2:AZ2"/>
    <mergeCell ref="M3:N3"/>
    <mergeCell ref="AA3:AB3"/>
    <mergeCell ref="AS3:AT3"/>
    <mergeCell ref="AU3:AV3"/>
    <mergeCell ref="AM3:AN3"/>
  </mergeCell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2"/>
  <sheetViews>
    <sheetView workbookViewId="0">
      <selection activeCell="A1" sqref="A1"/>
    </sheetView>
  </sheetViews>
  <sheetFormatPr baseColWidth="8" defaultColWidth="12.6640625" defaultRowHeight="15.75" customHeight="1"/>
  <cols>
    <col width="65.21875" customWidth="1" style="1127" min="1" max="1"/>
    <col width="10.109375" customWidth="1" style="1127" min="13" max="13"/>
  </cols>
  <sheetData>
    <row r="1">
      <c r="A1" s="1230" t="inlineStr">
        <is>
          <t>Сатья расхода</t>
        </is>
      </c>
      <c r="B1" s="1231" t="inlineStr">
        <is>
          <t>Безналичныйрасчёт</t>
        </is>
      </c>
      <c r="C1" s="1209" t="n"/>
      <c r="D1" s="1209" t="n"/>
      <c r="E1" s="1209" t="n"/>
      <c r="F1" s="1209" t="n"/>
      <c r="G1" s="1210" t="n"/>
      <c r="H1" s="1231" t="inlineStr">
        <is>
          <t>Наличныйрасчёт</t>
        </is>
      </c>
      <c r="I1" s="1209" t="n"/>
      <c r="J1" s="1209" t="n"/>
      <c r="K1" s="1209" t="n"/>
      <c r="L1" s="1209" t="n"/>
      <c r="M1" s="1210" t="n"/>
      <c r="N1" s="1232" t="inlineStr">
        <is>
          <t>Итого Расходы май</t>
        </is>
      </c>
      <c r="O1" s="845" t="n"/>
      <c r="P1" s="845" t="n"/>
      <c r="Q1" s="845" t="n"/>
      <c r="R1" s="845" t="n"/>
      <c r="S1" s="845" t="n"/>
      <c r="T1" s="845" t="n"/>
      <c r="U1" s="845" t="n"/>
      <c r="V1" s="845" t="n"/>
      <c r="W1" s="845" t="n"/>
      <c r="X1" s="845" t="n"/>
      <c r="Y1" s="845" t="n"/>
      <c r="Z1" s="845" t="n"/>
    </row>
    <row r="2">
      <c r="A2" s="1233" t="n"/>
      <c r="B2" s="1231" t="inlineStr">
        <is>
          <t>МАЙ 2026 года</t>
        </is>
      </c>
      <c r="C2" s="1209" t="n"/>
      <c r="D2" s="1209" t="n"/>
      <c r="E2" s="1209" t="n"/>
      <c r="F2" s="1210" t="n"/>
      <c r="G2" s="1234" t="inlineStr">
        <is>
          <t>Итого без.нал</t>
        </is>
      </c>
      <c r="H2" s="1231" t="inlineStr">
        <is>
          <t>МАЙ 2026 года</t>
        </is>
      </c>
      <c r="I2" s="1209" t="n"/>
      <c r="J2" s="1209" t="n"/>
      <c r="K2" s="1209" t="n"/>
      <c r="L2" s="1210" t="n"/>
      <c r="M2" s="1235" t="inlineStr">
        <is>
          <t>Итого нал</t>
        </is>
      </c>
      <c r="N2" s="1233" t="n"/>
      <c r="O2" s="845" t="n"/>
      <c r="P2" s="845" t="n"/>
      <c r="Q2" s="845" t="n"/>
      <c r="R2" s="845" t="n"/>
      <c r="S2" s="845" t="n"/>
      <c r="T2" s="845" t="n"/>
      <c r="U2" s="845" t="n"/>
      <c r="V2" s="845" t="n"/>
      <c r="W2" s="845" t="n"/>
      <c r="X2" s="845" t="n"/>
      <c r="Y2" s="845" t="n"/>
      <c r="Z2" s="845" t="n"/>
    </row>
    <row r="3">
      <c r="A3" s="1236" t="n"/>
      <c r="B3" s="846" t="inlineStr">
        <is>
          <t>1 неделя</t>
        </is>
      </c>
      <c r="C3" s="846" t="inlineStr">
        <is>
          <t>2 неделя</t>
        </is>
      </c>
      <c r="D3" s="846" t="inlineStr">
        <is>
          <t>3 неделя</t>
        </is>
      </c>
      <c r="E3" s="846" t="inlineStr">
        <is>
          <t>4 неделя</t>
        </is>
      </c>
      <c r="F3" s="846" t="inlineStr">
        <is>
          <t>5 неделя</t>
        </is>
      </c>
      <c r="G3" s="1236" t="n"/>
      <c r="H3" s="846" t="inlineStr">
        <is>
          <t>1 неделя</t>
        </is>
      </c>
      <c r="I3" s="846" t="inlineStr">
        <is>
          <t>2 неделя</t>
        </is>
      </c>
      <c r="J3" s="846" t="inlineStr">
        <is>
          <t>3 неделя</t>
        </is>
      </c>
      <c r="K3" s="846" t="inlineStr">
        <is>
          <t>4 неделя</t>
        </is>
      </c>
      <c r="L3" s="846" t="inlineStr">
        <is>
          <t>5 неделя</t>
        </is>
      </c>
      <c r="M3" s="1236" t="n"/>
      <c r="N3" s="1236" t="n"/>
      <c r="O3" s="845" t="n"/>
      <c r="P3" s="845" t="n"/>
      <c r="Q3" s="845" t="n"/>
      <c r="R3" s="845" t="n"/>
      <c r="S3" s="845" t="n"/>
      <c r="T3" s="845" t="n"/>
      <c r="U3" s="845" t="n"/>
      <c r="V3" s="845" t="n"/>
      <c r="W3" s="845" t="n"/>
      <c r="X3" s="845" t="n"/>
      <c r="Y3" s="845" t="n"/>
      <c r="Z3" s="845" t="n"/>
    </row>
    <row r="4">
      <c r="A4" s="847" t="inlineStr">
        <is>
          <t>IT-обслуживание,телефония,интернет</t>
        </is>
      </c>
      <c r="B4" s="849" t="n">
        <v>170577</v>
      </c>
      <c r="C4" s="849" t="n">
        <v>310400</v>
      </c>
      <c r="D4" s="849" t="n"/>
      <c r="E4" s="850" t="n"/>
      <c r="F4" s="850" t="n"/>
      <c r="G4" s="849">
        <f>B4+C4+D4+E4+F4</f>
        <v/>
      </c>
      <c r="H4" s="850" t="n"/>
      <c r="I4" s="850" t="n"/>
      <c r="J4" s="850" t="n"/>
      <c r="K4" s="850" t="n"/>
      <c r="L4" s="850" t="n"/>
      <c r="M4" s="849">
        <f>SUM(H4:L4)</f>
        <v/>
      </c>
      <c r="N4" s="849">
        <f>G4+M4</f>
        <v/>
      </c>
      <c r="O4" s="845" t="n"/>
      <c r="P4" s="845" t="n"/>
      <c r="Q4" s="845" t="n"/>
      <c r="R4" s="845" t="n"/>
      <c r="S4" s="845" t="n"/>
      <c r="T4" s="845" t="n"/>
      <c r="U4" s="845" t="n"/>
      <c r="V4" s="845" t="n"/>
      <c r="W4" s="845" t="n"/>
      <c r="X4" s="845" t="n"/>
      <c r="Y4" s="845" t="n"/>
      <c r="Z4" s="845" t="n"/>
    </row>
    <row r="5">
      <c r="A5" s="847" t="inlineStr">
        <is>
          <t>Авансы поставщикам</t>
        </is>
      </c>
      <c r="B5" s="850" t="n"/>
      <c r="C5" s="850" t="n"/>
      <c r="D5" s="850" t="n"/>
      <c r="E5" s="850" t="n"/>
      <c r="F5" s="850" t="n"/>
      <c r="G5" s="849">
        <f>B5+C5+D5+E5+F5</f>
        <v/>
      </c>
      <c r="H5" s="850" t="n"/>
      <c r="I5" s="850" t="n"/>
      <c r="J5" s="850" t="n"/>
      <c r="K5" s="850" t="n"/>
      <c r="L5" s="850" t="n"/>
      <c r="M5" s="849">
        <f>SUM(H5:L5)</f>
        <v/>
      </c>
      <c r="N5" s="849">
        <f>G5+M5</f>
        <v/>
      </c>
      <c r="O5" s="845" t="n"/>
      <c r="P5" s="845" t="n"/>
      <c r="Q5" s="845" t="n"/>
      <c r="R5" s="845" t="n"/>
      <c r="S5" s="845" t="n"/>
      <c r="T5" s="845" t="n"/>
      <c r="U5" s="845" t="n"/>
      <c r="V5" s="845" t="n"/>
      <c r="W5" s="845" t="n"/>
      <c r="X5" s="845" t="n"/>
      <c r="Y5" s="845" t="n"/>
      <c r="Z5" s="845" t="n"/>
    </row>
    <row r="6">
      <c r="A6" s="847" t="inlineStr">
        <is>
          <t>Административные расходы</t>
        </is>
      </c>
      <c r="B6" s="849" t="n">
        <v>550000</v>
      </c>
      <c r="C6" s="850" t="n"/>
      <c r="D6" s="849" t="n">
        <v>550000</v>
      </c>
      <c r="E6" s="849" t="n"/>
      <c r="F6" s="850" t="n"/>
      <c r="G6" s="849">
        <f>B6+C6+D6+E6+F6</f>
        <v/>
      </c>
      <c r="H6" s="850" t="n"/>
      <c r="I6" s="850" t="n"/>
      <c r="J6" s="849" t="n">
        <v>690000</v>
      </c>
      <c r="K6" s="849" t="n">
        <v>350000</v>
      </c>
      <c r="L6" s="850" t="n"/>
      <c r="M6" s="849">
        <f>SUM(H6:L6)</f>
        <v/>
      </c>
      <c r="N6" s="849">
        <f>G6+M6</f>
        <v/>
      </c>
      <c r="O6" s="845" t="n"/>
      <c r="P6" s="845" t="n"/>
      <c r="Q6" s="845" t="n"/>
      <c r="R6" s="845" t="n"/>
      <c r="S6" s="845" t="n"/>
      <c r="T6" s="845" t="n"/>
      <c r="U6" s="845" t="n"/>
      <c r="V6" s="845" t="n"/>
      <c r="W6" s="845" t="n"/>
      <c r="X6" s="845" t="n"/>
      <c r="Y6" s="845" t="n"/>
      <c r="Z6" s="845" t="n"/>
    </row>
    <row r="7">
      <c r="A7" s="847" t="inlineStr">
        <is>
          <t>Страховка сотрудников</t>
        </is>
      </c>
      <c r="B7" s="849" t="n"/>
      <c r="C7" s="850" t="n"/>
      <c r="D7" s="849" t="n"/>
      <c r="E7" s="849" t="n">
        <v>427718</v>
      </c>
      <c r="F7" s="849" t="n"/>
      <c r="G7" s="849">
        <f>B7+C7+D7+E7+F7</f>
        <v/>
      </c>
      <c r="H7" s="850" t="n"/>
      <c r="I7" s="850" t="n"/>
      <c r="J7" s="850" t="n"/>
      <c r="K7" s="850" t="n"/>
      <c r="L7" s="850" t="n"/>
      <c r="M7" s="849">
        <f>SUM(H7:L7)</f>
        <v/>
      </c>
      <c r="N7" s="849">
        <f>G7+M7</f>
        <v/>
      </c>
      <c r="O7" s="845" t="n"/>
      <c r="P7" s="845" t="n"/>
      <c r="Q7" s="845" t="n"/>
      <c r="R7" s="845" t="n"/>
      <c r="S7" s="845" t="n"/>
      <c r="T7" s="845" t="n"/>
      <c r="U7" s="845" t="n"/>
      <c r="V7" s="845" t="n"/>
      <c r="W7" s="845" t="n"/>
      <c r="X7" s="845" t="n"/>
      <c r="Y7" s="845" t="n"/>
      <c r="Z7" s="845" t="n"/>
    </row>
    <row r="8">
      <c r="A8" s="847" t="inlineStr">
        <is>
          <t>Возврат ВФП</t>
        </is>
      </c>
      <c r="B8" s="850" t="n"/>
      <c r="C8" s="850" t="n"/>
      <c r="D8" s="850" t="n"/>
      <c r="E8" s="850" t="n"/>
      <c r="F8" s="850" t="n"/>
      <c r="G8" s="849">
        <f>B8+C8+D8+E8+F8</f>
        <v/>
      </c>
      <c r="H8" s="850" t="n"/>
      <c r="I8" s="850" t="n"/>
      <c r="J8" s="850" t="n"/>
      <c r="K8" s="850" t="n"/>
      <c r="L8" s="850" t="n"/>
      <c r="M8" s="849">
        <f>SUM(H8:L8)</f>
        <v/>
      </c>
      <c r="N8" s="849">
        <f>G8+M8</f>
        <v/>
      </c>
      <c r="O8" s="845" t="n"/>
      <c r="P8" s="845" t="n"/>
      <c r="Q8" s="845" t="n"/>
      <c r="R8" s="845" t="n"/>
      <c r="S8" s="845" t="n"/>
      <c r="T8" s="845" t="n"/>
      <c r="U8" s="845" t="n"/>
      <c r="V8" s="845" t="n"/>
      <c r="W8" s="845" t="n"/>
      <c r="X8" s="845" t="n"/>
      <c r="Y8" s="845" t="n"/>
      <c r="Z8" s="845" t="n"/>
    </row>
    <row r="9">
      <c r="A9" s="847" t="inlineStr">
        <is>
          <t>Представительские расходы</t>
        </is>
      </c>
      <c r="B9" s="850" t="n"/>
      <c r="C9" s="850" t="n"/>
      <c r="D9" s="850" t="n"/>
      <c r="E9" s="850" t="n"/>
      <c r="F9" s="850" t="n"/>
      <c r="G9" s="849">
        <f>B9+C9+D9+E9+F9</f>
        <v/>
      </c>
      <c r="H9" s="850" t="n"/>
      <c r="I9" s="850" t="n"/>
      <c r="J9" s="850" t="n"/>
      <c r="K9" s="850" t="n"/>
      <c r="L9" s="850" t="n"/>
      <c r="M9" s="849">
        <f>SUM(H9:L9)</f>
        <v/>
      </c>
      <c r="N9" s="849">
        <f>G9+M9</f>
        <v/>
      </c>
      <c r="O9" s="845" t="n"/>
      <c r="P9" s="845" t="n"/>
      <c r="Q9" s="845" t="n"/>
      <c r="R9" s="845" t="n"/>
      <c r="S9" s="845" t="n"/>
      <c r="T9" s="845" t="n"/>
      <c r="U9" s="845" t="n"/>
      <c r="V9" s="845" t="n"/>
      <c r="W9" s="845" t="n"/>
      <c r="X9" s="845" t="n"/>
      <c r="Y9" s="845" t="n"/>
      <c r="Z9" s="845" t="n"/>
    </row>
    <row r="10">
      <c r="A10" s="847" t="inlineStr">
        <is>
          <t>Аренда помещений</t>
        </is>
      </c>
      <c r="B10" s="850" t="n"/>
      <c r="C10" s="850" t="n"/>
      <c r="D10" s="849" t="n">
        <v>6050000</v>
      </c>
      <c r="E10" s="850" t="n"/>
      <c r="F10" s="850" t="n"/>
      <c r="G10" s="849">
        <f>B10+C10+D10+E10+F10</f>
        <v/>
      </c>
      <c r="H10" s="850" t="n"/>
      <c r="I10" s="850" t="n"/>
      <c r="J10" s="850" t="n"/>
      <c r="K10" s="850" t="n"/>
      <c r="L10" s="850" t="n"/>
      <c r="M10" s="849">
        <f>SUM(H10:L10)</f>
        <v/>
      </c>
      <c r="N10" s="849">
        <f>G10+M10</f>
        <v/>
      </c>
      <c r="O10" s="845" t="n"/>
      <c r="P10" s="845" t="n"/>
      <c r="Q10" s="845" t="n"/>
      <c r="R10" s="845" t="n"/>
      <c r="S10" s="845" t="n"/>
      <c r="T10" s="845" t="n"/>
      <c r="U10" s="845" t="n"/>
      <c r="V10" s="845" t="n"/>
      <c r="W10" s="845" t="n"/>
      <c r="X10" s="845" t="n"/>
      <c r="Y10" s="845" t="n"/>
      <c r="Z10" s="845" t="n"/>
    </row>
    <row r="11">
      <c r="A11" s="847" t="inlineStr">
        <is>
          <t>Газ</t>
        </is>
      </c>
      <c r="B11" s="850" t="n"/>
      <c r="C11" s="850" t="n"/>
      <c r="D11" s="850" t="n"/>
      <c r="E11" s="849" t="n"/>
      <c r="F11" s="850" t="n"/>
      <c r="G11" s="849">
        <f>B11+C11+D11+E11+F11</f>
        <v/>
      </c>
      <c r="H11" s="849" t="n">
        <v>90000</v>
      </c>
      <c r="I11" s="849" t="n">
        <v>90000</v>
      </c>
      <c r="J11" s="849" t="n">
        <v>90000</v>
      </c>
      <c r="K11" s="849" t="n">
        <v>90000</v>
      </c>
      <c r="L11" s="849" t="n">
        <v>90000</v>
      </c>
      <c r="M11" s="849">
        <f>SUM(H11:L11)</f>
        <v/>
      </c>
      <c r="N11" s="849">
        <f>G11+M11</f>
        <v/>
      </c>
      <c r="O11" s="845" t="n"/>
      <c r="P11" s="845" t="n"/>
      <c r="Q11" s="845" t="n"/>
      <c r="R11" s="845" t="n"/>
      <c r="S11" s="845" t="n"/>
      <c r="T11" s="845" t="n"/>
      <c r="U11" s="845" t="n"/>
      <c r="V11" s="845" t="n"/>
      <c r="W11" s="845" t="n"/>
      <c r="X11" s="845" t="n"/>
      <c r="Y11" s="845" t="n"/>
      <c r="Z11" s="845" t="n"/>
    </row>
    <row r="12">
      <c r="A12" s="847" t="inlineStr">
        <is>
          <t>Маркетинг</t>
        </is>
      </c>
      <c r="B12" s="850" t="n"/>
      <c r="C12" s="850" t="n"/>
      <c r="D12" s="850" t="n"/>
      <c r="E12" s="850" t="n"/>
      <c r="F12" s="850" t="n"/>
      <c r="G12" s="849">
        <f>B12+C12+D12+E12+F12</f>
        <v/>
      </c>
      <c r="H12" s="850" t="n"/>
      <c r="I12" s="850" t="n"/>
      <c r="J12" s="850" t="n"/>
      <c r="K12" s="850" t="n"/>
      <c r="L12" s="850" t="n"/>
      <c r="M12" s="849">
        <f>SUM(H12:L12)</f>
        <v/>
      </c>
      <c r="N12" s="849">
        <f>G12+M12</f>
        <v/>
      </c>
      <c r="O12" s="845" t="n"/>
      <c r="P12" s="845" t="n"/>
      <c r="Q12" s="845" t="n"/>
      <c r="R12" s="845" t="n"/>
      <c r="S12" s="845" t="n"/>
      <c r="T12" s="845" t="n"/>
      <c r="U12" s="845" t="n"/>
      <c r="V12" s="845" t="n"/>
      <c r="W12" s="845" t="n"/>
      <c r="X12" s="845" t="n"/>
      <c r="Y12" s="845" t="n"/>
      <c r="Z12" s="845" t="n"/>
    </row>
    <row r="13">
      <c r="A13" s="847" t="inlineStr">
        <is>
          <t>Мусор</t>
        </is>
      </c>
      <c r="B13" s="850" t="n"/>
      <c r="C13" s="850" t="n"/>
      <c r="D13" s="849" t="n">
        <v>750000</v>
      </c>
      <c r="E13" s="850" t="n"/>
      <c r="F13" s="850" t="n"/>
      <c r="G13" s="849">
        <f>B13+C13+D13+E13+F13</f>
        <v/>
      </c>
      <c r="H13" s="850" t="n"/>
      <c r="I13" s="850" t="n"/>
      <c r="J13" s="850" t="n"/>
      <c r="K13" s="850" t="n"/>
      <c r="L13" s="850" t="n"/>
      <c r="M13" s="849">
        <f>SUM(H13:L13)</f>
        <v/>
      </c>
      <c r="N13" s="849">
        <f>G13+M13</f>
        <v/>
      </c>
      <c r="O13" s="845" t="n"/>
      <c r="P13" s="845" t="n"/>
      <c r="Q13" s="845" t="n"/>
      <c r="R13" s="845" t="n"/>
      <c r="S13" s="845" t="n"/>
      <c r="T13" s="845" t="n"/>
      <c r="U13" s="845" t="n"/>
      <c r="V13" s="845" t="n"/>
      <c r="W13" s="845" t="n"/>
      <c r="X13" s="845" t="n"/>
      <c r="Y13" s="845" t="n"/>
      <c r="Z13" s="845" t="n"/>
    </row>
    <row r="14">
      <c r="A14" s="847" t="inlineStr">
        <is>
          <t>Налоги и другие платежи в бюджет (ЗАРПЛАТНЫЕ)</t>
        </is>
      </c>
      <c r="B14" s="852" t="n"/>
      <c r="C14" s="852" t="n"/>
      <c r="D14" s="852" t="n"/>
      <c r="E14" s="852" t="n"/>
      <c r="F14" s="852" t="n"/>
      <c r="G14" s="849">
        <f>B14+C14+D14+E14+F14</f>
        <v/>
      </c>
      <c r="H14" s="850" t="n"/>
      <c r="I14" s="850" t="n"/>
      <c r="J14" s="850" t="n"/>
      <c r="K14" s="850" t="n"/>
      <c r="L14" s="850" t="n"/>
      <c r="M14" s="849">
        <f>SUM(H14:L14)</f>
        <v/>
      </c>
      <c r="N14" s="849">
        <f>G14+M14</f>
        <v/>
      </c>
      <c r="O14" s="845" t="n"/>
      <c r="P14" s="845" t="n"/>
      <c r="Q14" s="845" t="n"/>
      <c r="R14" s="845" t="n"/>
      <c r="S14" s="845" t="n"/>
      <c r="T14" s="845" t="n"/>
      <c r="U14" s="845" t="n"/>
      <c r="V14" s="845" t="n"/>
      <c r="W14" s="845" t="n"/>
      <c r="X14" s="845" t="n"/>
      <c r="Y14" s="845" t="n"/>
      <c r="Z14" s="845" t="n"/>
    </row>
    <row r="15">
      <c r="A15" s="847" t="inlineStr">
        <is>
          <t>Налоги и другие платежи в бюджет (НДС)</t>
        </is>
      </c>
      <c r="B15" s="852" t="n"/>
      <c r="C15" s="852" t="n"/>
      <c r="D15" s="852" t="n"/>
      <c r="E15" s="852" t="n"/>
      <c r="F15" s="852" t="n"/>
      <c r="G15" s="849">
        <f>B15+C15+D15+E15+F15</f>
        <v/>
      </c>
      <c r="H15" s="850" t="n"/>
      <c r="I15" s="850" t="n"/>
      <c r="J15" s="850" t="n"/>
      <c r="K15" s="850" t="n"/>
      <c r="L15" s="850" t="n"/>
      <c r="M15" s="849">
        <f>SUM(H15:L15)</f>
        <v/>
      </c>
      <c r="N15" s="849">
        <f>G15+M15</f>
        <v/>
      </c>
      <c r="O15" s="845" t="n"/>
      <c r="P15" s="845" t="n"/>
      <c r="Q15" s="845" t="n"/>
      <c r="R15" s="845" t="n"/>
      <c r="S15" s="845" t="n"/>
      <c r="T15" s="845" t="n"/>
      <c r="U15" s="845" t="n"/>
      <c r="V15" s="845" t="n"/>
      <c r="W15" s="845" t="n"/>
      <c r="X15" s="845" t="n"/>
      <c r="Y15" s="845" t="n"/>
      <c r="Z15" s="845" t="n"/>
    </row>
    <row r="16">
      <c r="A16" s="847" t="inlineStr">
        <is>
          <t>Оплата труда (пятница-уволенные) (четверг-лагманщики) каждую неделю</t>
        </is>
      </c>
      <c r="B16" s="850" t="n"/>
      <c r="C16" s="850" t="n"/>
      <c r="D16" s="850" t="n"/>
      <c r="E16" s="850" t="n"/>
      <c r="F16" s="850" t="n"/>
      <c r="G16" s="849">
        <f>B16+C16+D16+E16+F16</f>
        <v/>
      </c>
      <c r="H16" s="849" t="n">
        <v>2400000</v>
      </c>
      <c r="I16" s="849" t="n">
        <v>3000000</v>
      </c>
      <c r="J16" s="849" t="n">
        <v>2400000</v>
      </c>
      <c r="K16" s="849" t="n">
        <v>2400000</v>
      </c>
      <c r="L16" s="849" t="n">
        <v>2400000</v>
      </c>
      <c r="M16" s="849">
        <f>SUM(H16:L16)</f>
        <v/>
      </c>
      <c r="N16" s="849">
        <f>G16+M16</f>
        <v/>
      </c>
      <c r="O16" s="845" t="n"/>
      <c r="P16" s="845" t="n"/>
      <c r="Q16" s="845" t="n"/>
      <c r="R16" s="845" t="n"/>
      <c r="S16" s="845" t="n"/>
      <c r="T16" s="845" t="n"/>
      <c r="U16" s="845" t="n"/>
      <c r="V16" s="845" t="n"/>
      <c r="W16" s="845" t="n"/>
      <c r="X16" s="845" t="n"/>
      <c r="Y16" s="845" t="n"/>
      <c r="Z16" s="845" t="n"/>
    </row>
    <row r="17">
      <c r="A17" s="847" t="inlineStr">
        <is>
          <t>Оплата труда</t>
        </is>
      </c>
      <c r="B17" s="850" t="n"/>
      <c r="C17" s="849" t="n">
        <v>16000000</v>
      </c>
      <c r="D17" s="850" t="n"/>
      <c r="E17" s="849" t="n">
        <v>20000000</v>
      </c>
      <c r="F17" s="849" t="n"/>
      <c r="G17" s="849">
        <f>B17+C17+D17+E17+F17</f>
        <v/>
      </c>
      <c r="H17" s="850" t="n"/>
      <c r="I17" s="849" t="n">
        <v>20000000</v>
      </c>
      <c r="J17" s="849" t="n">
        <v>20000000</v>
      </c>
      <c r="K17" s="849" t="n">
        <v>20000000</v>
      </c>
      <c r="L17" s="849" t="n">
        <v>20000000</v>
      </c>
      <c r="M17" s="849">
        <f>SUM(H17:L17)</f>
        <v/>
      </c>
      <c r="N17" s="849">
        <f>G17+M17</f>
        <v/>
      </c>
      <c r="O17" s="845" t="n"/>
      <c r="P17" s="845" t="n"/>
      <c r="Q17" s="845" t="n"/>
      <c r="R17" s="845" t="n"/>
      <c r="S17" s="845" t="n"/>
      <c r="T17" s="845" t="n"/>
      <c r="U17" s="845" t="n"/>
      <c r="V17" s="845" t="n"/>
      <c r="W17" s="845" t="n"/>
      <c r="X17" s="845" t="n"/>
      <c r="Y17" s="845" t="n"/>
      <c r="Z17" s="845" t="n"/>
    </row>
    <row r="18">
      <c r="A18" s="847" t="inlineStr">
        <is>
          <t>Охрана</t>
        </is>
      </c>
      <c r="B18" s="850" t="n"/>
      <c r="C18" s="850" t="n"/>
      <c r="D18" s="850" t="n"/>
      <c r="E18" s="850" t="n"/>
      <c r="F18" s="850" t="n"/>
      <c r="G18" s="849">
        <f>B18+C18+D18+E18+F18</f>
        <v/>
      </c>
      <c r="H18" s="850" t="n"/>
      <c r="I18" s="850" t="n"/>
      <c r="J18" s="850" t="n"/>
      <c r="K18" s="850" t="n"/>
      <c r="L18" s="850" t="n"/>
      <c r="M18" s="849">
        <f>SUM(H18:L18)</f>
        <v/>
      </c>
      <c r="N18" s="849">
        <f>G18+M18</f>
        <v/>
      </c>
      <c r="O18" s="845" t="n"/>
      <c r="P18" s="845" t="n"/>
      <c r="Q18" s="845" t="n"/>
      <c r="R18" s="845" t="n"/>
      <c r="S18" s="845" t="n"/>
      <c r="T18" s="845" t="n"/>
      <c r="U18" s="845" t="n"/>
      <c r="V18" s="845" t="n"/>
      <c r="W18" s="845" t="n"/>
      <c r="X18" s="845" t="n"/>
      <c r="Y18" s="845" t="n"/>
      <c r="Z18" s="845" t="n"/>
    </row>
    <row r="19">
      <c r="A19" s="847" t="inlineStr">
        <is>
          <t>Платежи поставщикам Прочее</t>
        </is>
      </c>
      <c r="B19" s="850" t="n"/>
      <c r="C19" s="849" t="n">
        <v>950000</v>
      </c>
      <c r="D19" s="849" t="n">
        <v>172450</v>
      </c>
      <c r="E19" s="849" t="n"/>
      <c r="F19" s="850" t="n"/>
      <c r="G19" s="849">
        <f>B19+C19+D19+E19+F19</f>
        <v/>
      </c>
      <c r="H19" s="850" t="n"/>
      <c r="I19" s="850" t="n"/>
      <c r="J19" s="850" t="n"/>
      <c r="K19" s="850" t="n"/>
      <c r="L19" s="850" t="n"/>
      <c r="M19" s="849">
        <f>SUM(H19:L19)</f>
        <v/>
      </c>
      <c r="N19" s="849">
        <f>G19+M19</f>
        <v/>
      </c>
      <c r="O19" s="845" t="n"/>
      <c r="P19" s="845" t="n"/>
      <c r="Q19" s="845" t="n"/>
      <c r="R19" s="845" t="n"/>
      <c r="S19" s="845" t="n"/>
      <c r="T19" s="845" t="n"/>
      <c r="U19" s="845" t="n"/>
      <c r="V19" s="845" t="n"/>
      <c r="W19" s="845" t="n"/>
      <c r="X19" s="845" t="n"/>
      <c r="Y19" s="845" t="n"/>
      <c r="Z19" s="845" t="n"/>
    </row>
    <row r="20">
      <c r="A20" s="847" t="inlineStr">
        <is>
          <t>Производственные расходы</t>
        </is>
      </c>
      <c r="B20" s="850" t="n"/>
      <c r="C20" s="850" t="n"/>
      <c r="D20" s="850" t="n"/>
      <c r="E20" s="850" t="n"/>
      <c r="F20" s="850" t="n"/>
      <c r="G20" s="849">
        <f>B20+C20+D20+E20+F20</f>
        <v/>
      </c>
      <c r="H20" s="849" t="n">
        <v>100000</v>
      </c>
      <c r="I20" s="849" t="n">
        <v>100000</v>
      </c>
      <c r="J20" s="849" t="n">
        <v>100000</v>
      </c>
      <c r="K20" s="849" t="n">
        <v>100000</v>
      </c>
      <c r="L20" s="849" t="n">
        <v>100000</v>
      </c>
      <c r="M20" s="849">
        <f>SUM(H20:L20)</f>
        <v/>
      </c>
      <c r="N20" s="849">
        <f>G20+M20</f>
        <v/>
      </c>
      <c r="O20" s="845" t="n"/>
      <c r="P20" s="845" t="n"/>
      <c r="Q20" s="845" t="n"/>
      <c r="R20" s="845" t="n"/>
      <c r="S20" s="845" t="n"/>
      <c r="T20" s="845" t="n"/>
      <c r="U20" s="845" t="n"/>
      <c r="V20" s="845" t="n"/>
      <c r="W20" s="845" t="n"/>
      <c r="X20" s="845" t="n"/>
      <c r="Y20" s="845" t="n"/>
      <c r="Z20" s="845" t="n"/>
    </row>
    <row r="21">
      <c r="A21" s="847" t="inlineStr">
        <is>
          <t>Инвентарь</t>
        </is>
      </c>
      <c r="B21" s="850" t="n"/>
      <c r="C21" s="850" t="n"/>
      <c r="D21" s="850" t="n"/>
      <c r="E21" s="850" t="n"/>
      <c r="F21" s="850" t="n"/>
      <c r="G21" s="849">
        <f>B21+C21+D21+E21+F21</f>
        <v/>
      </c>
      <c r="H21" s="850" t="n"/>
      <c r="I21" s="850" t="n"/>
      <c r="J21" s="850" t="n"/>
      <c r="K21" s="850" t="n"/>
      <c r="L21" s="850" t="n"/>
      <c r="M21" s="849">
        <f>SUM(H21:L21)</f>
        <v/>
      </c>
      <c r="N21" s="849">
        <f>G21+M21</f>
        <v/>
      </c>
      <c r="O21" s="845" t="n"/>
      <c r="P21" s="845" t="n"/>
      <c r="Q21" s="845" t="n"/>
      <c r="R21" s="845" t="n"/>
      <c r="S21" s="845" t="n"/>
      <c r="T21" s="845" t="n"/>
      <c r="U21" s="845" t="n"/>
      <c r="V21" s="845" t="n"/>
      <c r="W21" s="845" t="n"/>
      <c r="X21" s="845" t="n"/>
      <c r="Y21" s="845" t="n"/>
      <c r="Z21" s="845" t="n"/>
    </row>
    <row r="22">
      <c r="A22" s="847" t="inlineStr">
        <is>
          <t>Униформа</t>
        </is>
      </c>
      <c r="B22" s="850" t="n"/>
      <c r="C22" s="850" t="n"/>
      <c r="D22" s="850" t="n"/>
      <c r="E22" s="850" t="n"/>
      <c r="F22" s="850" t="n"/>
      <c r="G22" s="849">
        <f>B22+C22+D22+E22+F22</f>
        <v/>
      </c>
      <c r="H22" s="850" t="n"/>
      <c r="I22" s="850" t="n"/>
      <c r="J22" s="850" t="n"/>
      <c r="K22" s="850" t="n"/>
      <c r="L22" s="850" t="n"/>
      <c r="M22" s="849">
        <f>SUM(H22:L22)</f>
        <v/>
      </c>
      <c r="N22" s="849">
        <f>G22+M22</f>
        <v/>
      </c>
      <c r="O22" s="845" t="n"/>
      <c r="P22" s="845" t="n"/>
      <c r="Q22" s="845" t="n"/>
      <c r="R22" s="845" t="n"/>
      <c r="S22" s="845" t="n"/>
      <c r="T22" s="845" t="n"/>
      <c r="U22" s="845" t="n"/>
      <c r="V22" s="845" t="n"/>
      <c r="W22" s="845" t="n"/>
      <c r="X22" s="845" t="n"/>
      <c r="Y22" s="845" t="n"/>
      <c r="Z22" s="845" t="n"/>
    </row>
    <row r="23">
      <c r="A23" s="847" t="inlineStr">
        <is>
          <t>Упаковка</t>
        </is>
      </c>
      <c r="B23" s="850" t="n"/>
      <c r="C23" s="850" t="n"/>
      <c r="D23" s="850" t="n"/>
      <c r="E23" s="850" t="n"/>
      <c r="F23" s="850" t="n"/>
      <c r="G23" s="849">
        <f>B23+C23+D23+E23+F23</f>
        <v/>
      </c>
      <c r="H23" s="850" t="n"/>
      <c r="I23" s="850" t="n"/>
      <c r="J23" s="850" t="n"/>
      <c r="K23" s="850" t="n"/>
      <c r="L23" s="850" t="n"/>
      <c r="M23" s="849">
        <f>SUM(H23:L23)</f>
        <v/>
      </c>
      <c r="N23" s="849">
        <f>G23+M23</f>
        <v/>
      </c>
      <c r="O23" s="845" t="n"/>
      <c r="P23" s="845" t="n"/>
      <c r="Q23" s="845" t="n"/>
      <c r="R23" s="845" t="n"/>
      <c r="S23" s="845" t="n"/>
      <c r="T23" s="845" t="n"/>
      <c r="U23" s="845" t="n"/>
      <c r="V23" s="845" t="n"/>
      <c r="W23" s="845" t="n"/>
      <c r="X23" s="845" t="n"/>
      <c r="Y23" s="845" t="n"/>
      <c r="Z23" s="845" t="n"/>
    </row>
    <row r="24">
      <c r="A24" s="847" t="inlineStr">
        <is>
          <t>Хоз.товары</t>
        </is>
      </c>
      <c r="B24" s="850" t="n"/>
      <c r="C24" s="850" t="n"/>
      <c r="D24" s="850" t="n"/>
      <c r="E24" s="850" t="n"/>
      <c r="F24" s="850" t="n"/>
      <c r="G24" s="849">
        <f>B24+C24+D24+E24+F24</f>
        <v/>
      </c>
      <c r="H24" s="850" t="n"/>
      <c r="I24" s="850" t="n"/>
      <c r="J24" s="850" t="n"/>
      <c r="K24" s="850" t="n"/>
      <c r="L24" s="850" t="n"/>
      <c r="M24" s="849">
        <f>SUM(H24:L24)</f>
        <v/>
      </c>
      <c r="N24" s="849">
        <f>G24+M24</f>
        <v/>
      </c>
      <c r="O24" s="845" t="n"/>
      <c r="P24" s="845" t="n"/>
      <c r="Q24" s="845" t="n"/>
      <c r="R24" s="845" t="n"/>
      <c r="S24" s="845" t="n"/>
      <c r="T24" s="845" t="n"/>
      <c r="U24" s="845" t="n"/>
      <c r="V24" s="845" t="n"/>
      <c r="W24" s="845" t="n"/>
      <c r="X24" s="845" t="n"/>
      <c r="Y24" s="845" t="n"/>
      <c r="Z24" s="845" t="n"/>
    </row>
    <row r="25">
      <c r="A25" s="847" t="inlineStr">
        <is>
          <t>Погашение кредита и %%</t>
        </is>
      </c>
      <c r="B25" s="849" t="n">
        <v>1749942</v>
      </c>
      <c r="C25" s="850" t="n"/>
      <c r="D25" s="850" t="n"/>
      <c r="E25" s="849" t="n">
        <v>4013564</v>
      </c>
      <c r="F25" s="849" t="n"/>
      <c r="G25" s="849">
        <f>B25+C25+D25+E25+F25</f>
        <v/>
      </c>
      <c r="H25" s="850" t="n"/>
      <c r="I25" s="850" t="n"/>
      <c r="J25" s="850" t="n"/>
      <c r="K25" s="850" t="n"/>
      <c r="L25" s="850" t="n"/>
      <c r="M25" s="849">
        <f>SUM(H25:L25)</f>
        <v/>
      </c>
      <c r="N25" s="849">
        <f>G25+M25</f>
        <v/>
      </c>
      <c r="O25" s="845" t="n"/>
      <c r="P25" s="845" t="n"/>
      <c r="Q25" s="845" t="n"/>
      <c r="R25" s="845" t="n"/>
      <c r="S25" s="845" t="n"/>
      <c r="T25" s="845" t="n"/>
      <c r="U25" s="845" t="n"/>
      <c r="V25" s="845" t="n"/>
      <c r="W25" s="845" t="n"/>
      <c r="X25" s="845" t="n"/>
      <c r="Y25" s="845" t="n"/>
      <c r="Z25" s="845" t="n"/>
    </row>
    <row r="26">
      <c r="A26" s="853" t="inlineStr">
        <is>
          <t>Расходы по реализации Разные(Логистика)</t>
        </is>
      </c>
      <c r="B26" s="854" t="n"/>
      <c r="C26" s="854" t="n"/>
      <c r="D26" s="852" t="n">
        <v>1500000</v>
      </c>
      <c r="E26" s="854" t="n"/>
      <c r="F26" s="852" t="n">
        <v>2000000</v>
      </c>
      <c r="G26" s="849">
        <f>B26+C26+D26+E26+F26</f>
        <v/>
      </c>
      <c r="H26" s="854" t="n"/>
      <c r="I26" s="854" t="n"/>
      <c r="J26" s="854" t="n"/>
      <c r="K26" s="854" t="n"/>
      <c r="L26" s="854" t="n"/>
      <c r="M26" s="849">
        <f>SUM(H26:L26)</f>
        <v/>
      </c>
      <c r="N26" s="849">
        <f>G26+M26</f>
        <v/>
      </c>
      <c r="O26" s="855" t="n"/>
      <c r="P26" s="855" t="n"/>
      <c r="Q26" s="855" t="n"/>
      <c r="R26" s="855" t="n"/>
      <c r="S26" s="855" t="n"/>
      <c r="T26" s="855" t="n"/>
      <c r="U26" s="855" t="n"/>
      <c r="V26" s="855" t="n"/>
      <c r="W26" s="855" t="n"/>
      <c r="X26" s="855" t="n"/>
      <c r="Y26" s="855" t="n"/>
      <c r="Z26" s="855" t="n"/>
    </row>
    <row r="27">
      <c r="A27" s="847" t="inlineStr">
        <is>
          <t>Ремонт помещений</t>
        </is>
      </c>
      <c r="B27" s="849" t="n">
        <v>500000</v>
      </c>
      <c r="C27" s="849" t="n">
        <v>500000</v>
      </c>
      <c r="D27" s="849" t="n">
        <v>500000</v>
      </c>
      <c r="E27" s="849" t="n">
        <v>500000</v>
      </c>
      <c r="F27" s="850" t="n"/>
      <c r="G27" s="849">
        <f>B27+C27+D27+E27+F27</f>
        <v/>
      </c>
      <c r="H27" s="850" t="n"/>
      <c r="I27" s="850" t="n"/>
      <c r="J27" s="850" t="n"/>
      <c r="K27" s="850" t="n"/>
      <c r="L27" s="850" t="n"/>
      <c r="M27" s="849">
        <f>SUM(H27:L27)</f>
        <v/>
      </c>
      <c r="N27" s="849">
        <f>G27+M27</f>
        <v/>
      </c>
      <c r="O27" s="845" t="n"/>
      <c r="P27" s="845" t="n"/>
      <c r="Q27" s="845" t="n"/>
      <c r="R27" s="845" t="n"/>
      <c r="S27" s="845" t="n"/>
      <c r="T27" s="845" t="n"/>
      <c r="U27" s="845" t="n"/>
      <c r="V27" s="845" t="n"/>
      <c r="W27" s="845" t="n"/>
      <c r="X27" s="845" t="n"/>
      <c r="Y27" s="845" t="n"/>
      <c r="Z27" s="845" t="n"/>
    </row>
    <row r="28">
      <c r="A28" s="847" t="inlineStr">
        <is>
          <t>Ремонт оборудования</t>
        </is>
      </c>
      <c r="B28" s="849" t="n">
        <v>1000000</v>
      </c>
      <c r="C28" s="849" t="n">
        <v>500000</v>
      </c>
      <c r="D28" s="849" t="n">
        <v>500000</v>
      </c>
      <c r="E28" s="849" t="n">
        <v>1000000</v>
      </c>
      <c r="F28" s="850" t="n"/>
      <c r="G28" s="849">
        <f>B28+C28+D28+E28+F28</f>
        <v/>
      </c>
      <c r="H28" s="850" t="n"/>
      <c r="I28" s="850" t="n"/>
      <c r="J28" s="850" t="n"/>
      <c r="K28" s="850" t="n"/>
      <c r="L28" s="850" t="n"/>
      <c r="M28" s="849">
        <f>SUM(H28:L28)</f>
        <v/>
      </c>
      <c r="N28" s="849">
        <f>G28+M28</f>
        <v/>
      </c>
      <c r="O28" s="845" t="n"/>
      <c r="P28" s="845" t="n"/>
      <c r="Q28" s="845" t="n"/>
      <c r="R28" s="845" t="n"/>
      <c r="S28" s="845" t="n"/>
      <c r="T28" s="845" t="n"/>
      <c r="U28" s="845" t="n"/>
      <c r="V28" s="845" t="n"/>
      <c r="W28" s="845" t="n"/>
      <c r="X28" s="845" t="n"/>
      <c r="Y28" s="845" t="n"/>
      <c r="Z28" s="845" t="n"/>
    </row>
    <row r="29">
      <c r="A29" s="847" t="inlineStr">
        <is>
          <t>Приобретение основных средств</t>
        </is>
      </c>
      <c r="B29" s="850" t="n"/>
      <c r="C29" s="850" t="n"/>
      <c r="D29" s="850" t="n"/>
      <c r="E29" s="850" t="n"/>
      <c r="F29" s="850" t="n"/>
      <c r="G29" s="849">
        <f>B29+C29+D29+E29+F29</f>
        <v/>
      </c>
      <c r="H29" s="850" t="n"/>
      <c r="I29" s="850" t="n"/>
      <c r="J29" s="850" t="n"/>
      <c r="K29" s="850" t="n"/>
      <c r="L29" s="850" t="n"/>
      <c r="M29" s="849">
        <f>SUM(H29:L29)</f>
        <v/>
      </c>
      <c r="N29" s="849">
        <f>G29+M29</f>
        <v/>
      </c>
      <c r="O29" s="845" t="n"/>
      <c r="P29" s="845" t="n"/>
      <c r="Q29" s="845" t="n"/>
      <c r="R29" s="845" t="n"/>
      <c r="S29" s="845" t="n"/>
      <c r="T29" s="845" t="n"/>
      <c r="U29" s="845" t="n"/>
      <c r="V29" s="845" t="n"/>
      <c r="W29" s="845" t="n"/>
      <c r="X29" s="845" t="n"/>
      <c r="Y29" s="845" t="n"/>
      <c r="Z29" s="845" t="n"/>
    </row>
    <row r="30">
      <c r="A30" s="847" t="inlineStr">
        <is>
          <t>Сырье Платежи поставщикам Стас</t>
        </is>
      </c>
      <c r="B30" s="850" t="n"/>
      <c r="C30" s="850" t="n"/>
      <c r="D30" s="850" t="n"/>
      <c r="E30" s="850" t="n"/>
      <c r="F30" s="850" t="n"/>
      <c r="G30" s="849">
        <f>B30+C30+D30+E30+F30</f>
        <v/>
      </c>
      <c r="H30" s="849" t="inlineStr">
        <is>
          <t>2 000 000</t>
        </is>
      </c>
      <c r="I30" s="849" t="inlineStr">
        <is>
          <t>2 000 000</t>
        </is>
      </c>
      <c r="J30" s="849" t="inlineStr">
        <is>
          <t>2 000 000</t>
        </is>
      </c>
      <c r="K30" s="849" t="inlineStr">
        <is>
          <t>2 000 000</t>
        </is>
      </c>
      <c r="L30" s="849" t="inlineStr">
        <is>
          <t>2 000 000</t>
        </is>
      </c>
      <c r="M30" s="849">
        <f>SUM(H30:L30)</f>
        <v/>
      </c>
      <c r="N30" s="849">
        <f>G30+M30</f>
        <v/>
      </c>
      <c r="O30" s="845" t="n"/>
      <c r="P30" s="845" t="n"/>
      <c r="Q30" s="845" t="n"/>
      <c r="R30" s="845" t="n"/>
      <c r="S30" s="845" t="n"/>
      <c r="T30" s="845" t="n"/>
      <c r="U30" s="845" t="n"/>
      <c r="V30" s="845" t="n"/>
      <c r="W30" s="845" t="n"/>
      <c r="X30" s="845" t="n"/>
      <c r="Y30" s="845" t="n"/>
      <c r="Z30" s="845" t="n"/>
    </row>
    <row r="31">
      <c r="A31" s="847" t="inlineStr">
        <is>
          <t>Электроэнергия и комун расходы</t>
        </is>
      </c>
      <c r="B31" s="850" t="n"/>
      <c r="C31" s="850" t="n"/>
      <c r="D31" s="850" t="n"/>
      <c r="E31" s="849" t="n">
        <v>9000000</v>
      </c>
      <c r="F31" s="850" t="n"/>
      <c r="G31" s="849">
        <f>B31+C31+D31+E31+F31</f>
        <v/>
      </c>
      <c r="H31" s="850" t="n"/>
      <c r="I31" s="850" t="n"/>
      <c r="J31" s="850" t="n"/>
      <c r="K31" s="850" t="n"/>
      <c r="L31" s="850" t="n"/>
      <c r="M31" s="849">
        <f>SUM(H31:L31)</f>
        <v/>
      </c>
      <c r="N31" s="849">
        <f>G31+M31</f>
        <v/>
      </c>
      <c r="O31" s="845" t="n"/>
      <c r="P31" s="845" t="n"/>
      <c r="Q31" s="845" t="n"/>
      <c r="R31" s="845" t="n"/>
      <c r="S31" s="845" t="n"/>
      <c r="T31" s="845" t="n"/>
      <c r="U31" s="845" t="n"/>
      <c r="V31" s="845" t="n"/>
      <c r="W31" s="845" t="n"/>
      <c r="X31" s="845" t="n"/>
      <c r="Y31" s="845" t="n"/>
      <c r="Z31" s="845" t="n"/>
    </row>
    <row r="32" ht="15.75" customHeight="1" s="1127">
      <c r="A32" s="856" t="inlineStr">
        <is>
          <t>ИТОГО</t>
        </is>
      </c>
      <c r="B32" s="849">
        <f>SUM(B4:B31)</f>
        <v/>
      </c>
      <c r="C32" s="849">
        <f>SUM(C4:C31)</f>
        <v/>
      </c>
      <c r="D32" s="849">
        <f>SUM(D4:D31)</f>
        <v/>
      </c>
      <c r="E32" s="849">
        <f>SUM(E4:E31)</f>
        <v/>
      </c>
      <c r="F32" s="849">
        <f>SUM(F4:F31)</f>
        <v/>
      </c>
      <c r="G32" s="849">
        <f>B32+C32+D32+E32+F32</f>
        <v/>
      </c>
      <c r="H32" s="849">
        <f>SUM(H4:H31)</f>
        <v/>
      </c>
      <c r="I32" s="849">
        <f>SUM(I4:I31)</f>
        <v/>
      </c>
      <c r="J32" s="849">
        <f>SUM(J4:J31)</f>
        <v/>
      </c>
      <c r="K32" s="849">
        <f>SUM(K4:K31)</f>
        <v/>
      </c>
      <c r="L32" s="849">
        <f>SUM(L4:L31)</f>
        <v/>
      </c>
      <c r="M32" s="849">
        <f>SUM(M4:M31)</f>
        <v/>
      </c>
      <c r="N32" s="849">
        <f>G32+M32</f>
        <v/>
      </c>
      <c r="O32" s="845" t="n"/>
      <c r="P32" s="845" t="n"/>
      <c r="Q32" s="845" t="n"/>
      <c r="R32" s="845" t="n"/>
      <c r="S32" s="845" t="n"/>
      <c r="T32" s="845" t="n"/>
      <c r="U32" s="845" t="n"/>
      <c r="V32" s="845" t="n"/>
      <c r="W32" s="845" t="n"/>
      <c r="X32" s="845" t="n"/>
      <c r="Y32" s="845" t="n"/>
      <c r="Z32" s="845" t="n"/>
    </row>
    <row r="33">
      <c r="A33" s="845" t="n"/>
      <c r="B33" s="857" t="n"/>
      <c r="C33" s="857" t="n"/>
      <c r="D33" s="857" t="n"/>
      <c r="E33" s="857" t="n"/>
      <c r="F33" s="857" t="n"/>
      <c r="G33" s="858" t="n"/>
      <c r="H33" s="857" t="n"/>
      <c r="I33" s="857" t="n"/>
      <c r="J33" s="857" t="n"/>
      <c r="K33" s="857" t="n"/>
      <c r="L33" s="857" t="n"/>
      <c r="M33" s="857" t="n"/>
      <c r="N33" s="857" t="n"/>
      <c r="O33" s="845" t="n"/>
      <c r="P33" s="845" t="n"/>
      <c r="Q33" s="845" t="n"/>
      <c r="R33" s="845" t="n"/>
      <c r="S33" s="845" t="n"/>
      <c r="T33" s="845" t="n"/>
      <c r="U33" s="845" t="n"/>
      <c r="V33" s="845" t="n"/>
      <c r="W33" s="845" t="n"/>
      <c r="X33" s="845" t="n"/>
      <c r="Y33" s="845" t="n"/>
      <c r="Z33" s="845" t="n"/>
    </row>
    <row r="34">
      <c r="A34" s="845" t="n"/>
      <c r="B34" s="857" t="n"/>
      <c r="C34" s="857" t="n"/>
      <c r="D34" s="857" t="n"/>
      <c r="E34" s="857" t="n"/>
      <c r="F34" s="857" t="n"/>
      <c r="G34" s="858" t="n"/>
      <c r="H34" s="857" t="n"/>
      <c r="I34" s="857" t="n"/>
      <c r="J34" s="857" t="n"/>
      <c r="K34" s="857" t="n"/>
      <c r="L34" s="857" t="n"/>
      <c r="M34" s="857" t="n"/>
      <c r="N34" s="857" t="n"/>
      <c r="O34" s="845" t="n"/>
      <c r="P34" s="845" t="n"/>
      <c r="Q34" s="845" t="n"/>
      <c r="R34" s="845" t="n"/>
      <c r="S34" s="845" t="n"/>
      <c r="T34" s="845" t="n"/>
      <c r="U34" s="845" t="n"/>
      <c r="V34" s="845" t="n"/>
      <c r="W34" s="845" t="n"/>
      <c r="X34" s="845" t="n"/>
      <c r="Y34" s="845" t="n"/>
      <c r="Z34" s="845" t="n"/>
    </row>
    <row r="35">
      <c r="A35" s="845" t="n"/>
      <c r="B35" s="857" t="n"/>
      <c r="C35" s="857" t="n"/>
      <c r="D35" s="857" t="n"/>
      <c r="E35" s="857" t="n"/>
      <c r="F35" s="857" t="n"/>
      <c r="G35" s="858" t="n"/>
      <c r="H35" s="857" t="n"/>
      <c r="I35" s="857" t="n"/>
      <c r="J35" s="857" t="n"/>
      <c r="K35" s="857" t="n"/>
      <c r="L35" s="857" t="n"/>
      <c r="M35" s="857" t="n"/>
      <c r="N35" s="857" t="n"/>
      <c r="O35" s="845" t="n"/>
      <c r="P35" s="845" t="n"/>
      <c r="Q35" s="845" t="n"/>
      <c r="R35" s="845" t="n"/>
      <c r="S35" s="845" t="n"/>
      <c r="T35" s="845" t="n"/>
      <c r="U35" s="845" t="n"/>
      <c r="V35" s="845" t="n"/>
      <c r="W35" s="845" t="n"/>
      <c r="X35" s="845" t="n"/>
      <c r="Y35" s="845" t="n"/>
      <c r="Z35" s="845" t="n"/>
    </row>
    <row r="36">
      <c r="A36" s="845" t="n"/>
      <c r="B36" s="857" t="n"/>
      <c r="C36" s="857" t="n"/>
      <c r="D36" s="857" t="n"/>
      <c r="E36" s="857" t="n"/>
      <c r="F36" s="857" t="n"/>
      <c r="G36" s="858" t="n"/>
      <c r="H36" s="857" t="n"/>
      <c r="I36" s="857" t="n"/>
      <c r="J36" s="857" t="n"/>
      <c r="K36" s="857" t="n"/>
      <c r="L36" s="857" t="n"/>
      <c r="M36" s="857" t="n"/>
      <c r="N36" s="857" t="n"/>
      <c r="O36" s="845" t="n"/>
      <c r="P36" s="845" t="n"/>
      <c r="Q36" s="845" t="n"/>
      <c r="R36" s="845" t="n"/>
      <c r="S36" s="845" t="n"/>
      <c r="T36" s="845" t="n"/>
      <c r="U36" s="845" t="n"/>
      <c r="V36" s="845" t="n"/>
      <c r="W36" s="845" t="n"/>
      <c r="X36" s="845" t="n"/>
      <c r="Y36" s="845" t="n"/>
      <c r="Z36" s="845" t="n"/>
    </row>
    <row r="37">
      <c r="A37" s="845" t="n"/>
      <c r="B37" s="857" t="n"/>
      <c r="C37" s="857" t="n"/>
      <c r="D37" s="857" t="n"/>
      <c r="E37" s="857" t="n"/>
      <c r="F37" s="857" t="n"/>
      <c r="G37" s="858" t="n"/>
      <c r="H37" s="857" t="n"/>
      <c r="I37" s="857" t="n"/>
      <c r="J37" s="857" t="n"/>
      <c r="K37" s="857" t="n"/>
      <c r="L37" s="857" t="n"/>
      <c r="M37" s="857" t="n"/>
      <c r="N37" s="857" t="n"/>
      <c r="O37" s="845" t="n"/>
      <c r="P37" s="845" t="n"/>
      <c r="Q37" s="845" t="n"/>
      <c r="R37" s="845" t="n"/>
      <c r="S37" s="845" t="n"/>
      <c r="T37" s="845" t="n"/>
      <c r="U37" s="845" t="n"/>
      <c r="V37" s="845" t="n"/>
      <c r="W37" s="845" t="n"/>
      <c r="X37" s="845" t="n"/>
      <c r="Y37" s="845" t="n"/>
      <c r="Z37" s="845" t="n"/>
    </row>
    <row r="38">
      <c r="A38" s="845" t="n"/>
      <c r="B38" s="857" t="n"/>
      <c r="C38" s="857" t="n"/>
      <c r="D38" s="857" t="n"/>
      <c r="E38" s="857" t="n"/>
      <c r="F38" s="857" t="n"/>
      <c r="G38" s="858" t="n"/>
      <c r="H38" s="857" t="n"/>
      <c r="I38" s="857" t="n"/>
      <c r="J38" s="857" t="n"/>
      <c r="K38" s="857" t="n"/>
      <c r="L38" s="857" t="n"/>
      <c r="M38" s="857" t="n"/>
      <c r="N38" s="857" t="n"/>
      <c r="O38" s="845" t="n"/>
      <c r="P38" s="845" t="n"/>
      <c r="Q38" s="845" t="n"/>
      <c r="R38" s="845" t="n"/>
      <c r="S38" s="845" t="n"/>
      <c r="T38" s="845" t="n"/>
      <c r="U38" s="845" t="n"/>
      <c r="V38" s="845" t="n"/>
      <c r="W38" s="845" t="n"/>
      <c r="X38" s="845" t="n"/>
      <c r="Y38" s="845" t="n"/>
      <c r="Z38" s="845" t="n"/>
    </row>
    <row r="39">
      <c r="A39" s="845" t="n"/>
      <c r="B39" s="857" t="n"/>
      <c r="C39" s="857" t="n"/>
      <c r="D39" s="857" t="n"/>
      <c r="E39" s="857" t="n"/>
      <c r="F39" s="857" t="n"/>
      <c r="G39" s="858" t="n"/>
      <c r="H39" s="857" t="n"/>
      <c r="I39" s="857" t="n"/>
      <c r="J39" s="857" t="n"/>
      <c r="K39" s="857" t="n"/>
      <c r="L39" s="857" t="n"/>
      <c r="M39" s="857" t="n"/>
      <c r="N39" s="857" t="n"/>
      <c r="O39" s="845" t="n"/>
      <c r="P39" s="845" t="n"/>
      <c r="Q39" s="845" t="n"/>
      <c r="R39" s="845" t="n"/>
      <c r="S39" s="845" t="n"/>
      <c r="T39" s="845" t="n"/>
      <c r="U39" s="845" t="n"/>
      <c r="V39" s="845" t="n"/>
      <c r="W39" s="845" t="n"/>
      <c r="X39" s="845" t="n"/>
      <c r="Y39" s="845" t="n"/>
      <c r="Z39" s="845" t="n"/>
    </row>
    <row r="40">
      <c r="A40" s="845" t="n"/>
      <c r="B40" s="857" t="n"/>
      <c r="C40" s="857" t="n"/>
      <c r="D40" s="857" t="n"/>
      <c r="E40" s="857" t="n"/>
      <c r="F40" s="857" t="n"/>
      <c r="G40" s="858" t="n"/>
      <c r="H40" s="857" t="n"/>
      <c r="I40" s="857" t="n"/>
      <c r="J40" s="857" t="n"/>
      <c r="K40" s="857" t="n"/>
      <c r="L40" s="857" t="n"/>
      <c r="M40" s="857" t="n"/>
      <c r="N40" s="857" t="n"/>
      <c r="O40" s="845" t="n"/>
      <c r="P40" s="845" t="n"/>
      <c r="Q40" s="845" t="n"/>
      <c r="R40" s="845" t="n"/>
      <c r="S40" s="845" t="n"/>
      <c r="T40" s="845" t="n"/>
      <c r="U40" s="845" t="n"/>
      <c r="V40" s="845" t="n"/>
      <c r="W40" s="845" t="n"/>
      <c r="X40" s="845" t="n"/>
      <c r="Y40" s="845" t="n"/>
      <c r="Z40" s="845" t="n"/>
    </row>
    <row r="41">
      <c r="A41" s="845" t="n"/>
      <c r="B41" s="857" t="n"/>
      <c r="C41" s="857" t="n"/>
      <c r="D41" s="857" t="n"/>
      <c r="E41" s="857" t="n"/>
      <c r="F41" s="857" t="n"/>
      <c r="G41" s="858" t="n"/>
      <c r="H41" s="857" t="n"/>
      <c r="I41" s="857" t="n"/>
      <c r="J41" s="857" t="n"/>
      <c r="K41" s="857" t="n"/>
      <c r="L41" s="857" t="n"/>
      <c r="M41" s="857" t="n"/>
      <c r="N41" s="857" t="n"/>
      <c r="O41" s="845" t="n"/>
      <c r="P41" s="845" t="n"/>
      <c r="Q41" s="845" t="n"/>
      <c r="R41" s="845" t="n"/>
      <c r="S41" s="845" t="n"/>
      <c r="T41" s="845" t="n"/>
      <c r="U41" s="845" t="n"/>
      <c r="V41" s="845" t="n"/>
      <c r="W41" s="845" t="n"/>
      <c r="X41" s="845" t="n"/>
      <c r="Y41" s="845" t="n"/>
      <c r="Z41" s="845" t="n"/>
    </row>
    <row r="42">
      <c r="A42" s="845" t="n"/>
      <c r="B42" s="857" t="n"/>
      <c r="C42" s="857" t="n"/>
      <c r="D42" s="857" t="n"/>
      <c r="E42" s="857" t="n"/>
      <c r="F42" s="857" t="n"/>
      <c r="G42" s="858" t="n"/>
      <c r="H42" s="857" t="n"/>
      <c r="I42" s="857" t="n"/>
      <c r="J42" s="857" t="n"/>
      <c r="K42" s="857" t="n"/>
      <c r="L42" s="857" t="n"/>
      <c r="M42" s="857" t="n"/>
      <c r="N42" s="857" t="n"/>
      <c r="O42" s="845" t="n"/>
      <c r="P42" s="845" t="n"/>
      <c r="Q42" s="845" t="n"/>
      <c r="R42" s="845" t="n"/>
      <c r="S42" s="845" t="n"/>
      <c r="T42" s="845" t="n"/>
      <c r="U42" s="845" t="n"/>
      <c r="V42" s="845" t="n"/>
      <c r="W42" s="845" t="n"/>
      <c r="X42" s="845" t="n"/>
      <c r="Y42" s="845" t="n"/>
      <c r="Z42" s="845" t="n"/>
    </row>
    <row r="43">
      <c r="A43" s="845" t="n"/>
      <c r="B43" s="857" t="n"/>
      <c r="C43" s="857" t="n"/>
      <c r="D43" s="857" t="n"/>
      <c r="E43" s="857" t="n"/>
      <c r="F43" s="857" t="n"/>
      <c r="G43" s="858" t="n"/>
      <c r="H43" s="857" t="n"/>
      <c r="I43" s="857" t="n"/>
      <c r="J43" s="857" t="n"/>
      <c r="K43" s="857" t="n"/>
      <c r="L43" s="857" t="n"/>
      <c r="M43" s="857" t="n"/>
      <c r="N43" s="857" t="n"/>
      <c r="O43" s="845" t="n"/>
      <c r="P43" s="845" t="n"/>
      <c r="Q43" s="845" t="n"/>
      <c r="R43" s="845" t="n"/>
      <c r="S43" s="845" t="n"/>
      <c r="T43" s="845" t="n"/>
      <c r="U43" s="845" t="n"/>
      <c r="V43" s="845" t="n"/>
      <c r="W43" s="845" t="n"/>
      <c r="X43" s="845" t="n"/>
      <c r="Y43" s="845" t="n"/>
      <c r="Z43" s="845" t="n"/>
    </row>
    <row r="44">
      <c r="A44" s="845" t="n"/>
      <c r="B44" s="857" t="n"/>
      <c r="C44" s="857" t="n"/>
      <c r="D44" s="857" t="n"/>
      <c r="E44" s="857" t="n"/>
      <c r="F44" s="857" t="n"/>
      <c r="G44" s="858" t="n"/>
      <c r="H44" s="857" t="n"/>
      <c r="I44" s="857" t="n"/>
      <c r="J44" s="857" t="n"/>
      <c r="K44" s="857" t="n"/>
      <c r="L44" s="857" t="n"/>
      <c r="M44" s="857" t="n"/>
      <c r="N44" s="857" t="n"/>
      <c r="O44" s="845" t="n"/>
      <c r="P44" s="845" t="n"/>
      <c r="Q44" s="845" t="n"/>
      <c r="R44" s="845" t="n"/>
      <c r="S44" s="845" t="n"/>
      <c r="T44" s="845" t="n"/>
      <c r="U44" s="845" t="n"/>
      <c r="V44" s="845" t="n"/>
      <c r="W44" s="845" t="n"/>
      <c r="X44" s="845" t="n"/>
      <c r="Y44" s="845" t="n"/>
      <c r="Z44" s="845" t="n"/>
    </row>
    <row r="45">
      <c r="A45" s="845" t="n"/>
      <c r="B45" s="857" t="n"/>
      <c r="C45" s="857" t="n"/>
      <c r="D45" s="857" t="n"/>
      <c r="E45" s="857" t="n"/>
      <c r="F45" s="857" t="n"/>
      <c r="G45" s="858" t="n"/>
      <c r="H45" s="857" t="n"/>
      <c r="I45" s="857" t="n"/>
      <c r="J45" s="857" t="n"/>
      <c r="K45" s="857" t="n"/>
      <c r="L45" s="857" t="n"/>
      <c r="M45" s="857" t="n"/>
      <c r="N45" s="857" t="n"/>
      <c r="O45" s="845" t="n"/>
      <c r="P45" s="845" t="n"/>
      <c r="Q45" s="845" t="n"/>
      <c r="R45" s="845" t="n"/>
      <c r="S45" s="845" t="n"/>
      <c r="T45" s="845" t="n"/>
      <c r="U45" s="845" t="n"/>
      <c r="V45" s="845" t="n"/>
      <c r="W45" s="845" t="n"/>
      <c r="X45" s="845" t="n"/>
      <c r="Y45" s="845" t="n"/>
      <c r="Z45" s="845" t="n"/>
    </row>
    <row r="46">
      <c r="A46" s="845" t="n"/>
      <c r="B46" s="857" t="n"/>
      <c r="C46" s="857" t="n"/>
      <c r="D46" s="857" t="n"/>
      <c r="E46" s="857" t="n"/>
      <c r="F46" s="857" t="n"/>
      <c r="G46" s="858" t="n"/>
      <c r="H46" s="857" t="n"/>
      <c r="I46" s="857" t="n"/>
      <c r="J46" s="857" t="n"/>
      <c r="K46" s="857" t="n"/>
      <c r="L46" s="857" t="n"/>
      <c r="M46" s="857" t="n"/>
      <c r="N46" s="857" t="n"/>
      <c r="O46" s="845" t="n"/>
      <c r="P46" s="845" t="n"/>
      <c r="Q46" s="845" t="n"/>
      <c r="R46" s="845" t="n"/>
      <c r="S46" s="845" t="n"/>
      <c r="T46" s="845" t="n"/>
      <c r="U46" s="845" t="n"/>
      <c r="V46" s="845" t="n"/>
      <c r="W46" s="845" t="n"/>
      <c r="X46" s="845" t="n"/>
      <c r="Y46" s="845" t="n"/>
      <c r="Z46" s="845" t="n"/>
    </row>
    <row r="47">
      <c r="A47" s="845" t="n"/>
      <c r="B47" s="857" t="n"/>
      <c r="C47" s="857" t="n"/>
      <c r="D47" s="857" t="n"/>
      <c r="E47" s="857" t="n"/>
      <c r="F47" s="857" t="n"/>
      <c r="G47" s="858" t="n"/>
      <c r="H47" s="857" t="n"/>
      <c r="I47" s="857" t="n"/>
      <c r="J47" s="857" t="n"/>
      <c r="K47" s="857" t="n"/>
      <c r="L47" s="857" t="n"/>
      <c r="M47" s="857" t="n"/>
      <c r="N47" s="857" t="n"/>
      <c r="O47" s="845" t="n"/>
      <c r="P47" s="845" t="n"/>
      <c r="Q47" s="845" t="n"/>
      <c r="R47" s="845" t="n"/>
      <c r="S47" s="845" t="n"/>
      <c r="T47" s="845" t="n"/>
      <c r="U47" s="845" t="n"/>
      <c r="V47" s="845" t="n"/>
      <c r="W47" s="845" t="n"/>
      <c r="X47" s="845" t="n"/>
      <c r="Y47" s="845" t="n"/>
      <c r="Z47" s="845" t="n"/>
    </row>
    <row r="48">
      <c r="A48" s="845" t="n"/>
      <c r="B48" s="857" t="n"/>
      <c r="C48" s="857" t="n"/>
      <c r="D48" s="857" t="n"/>
      <c r="E48" s="857" t="n"/>
      <c r="F48" s="857" t="n"/>
      <c r="G48" s="858" t="n"/>
      <c r="H48" s="857" t="n"/>
      <c r="I48" s="857" t="n"/>
      <c r="J48" s="857" t="n"/>
      <c r="K48" s="857" t="n"/>
      <c r="L48" s="857" t="n"/>
      <c r="M48" s="857" t="n"/>
      <c r="N48" s="857" t="n"/>
      <c r="O48" s="845" t="n"/>
      <c r="P48" s="845" t="n"/>
      <c r="Q48" s="845" t="n"/>
      <c r="R48" s="845" t="n"/>
      <c r="S48" s="845" t="n"/>
      <c r="T48" s="845" t="n"/>
      <c r="U48" s="845" t="n"/>
      <c r="V48" s="845" t="n"/>
      <c r="W48" s="845" t="n"/>
      <c r="X48" s="845" t="n"/>
      <c r="Y48" s="845" t="n"/>
      <c r="Z48" s="845" t="n"/>
    </row>
    <row r="49">
      <c r="A49" s="845" t="n"/>
      <c r="B49" s="857" t="n"/>
      <c r="C49" s="857" t="n"/>
      <c r="D49" s="857" t="n"/>
      <c r="E49" s="857" t="n"/>
      <c r="F49" s="857" t="n"/>
      <c r="G49" s="858" t="n"/>
      <c r="H49" s="857" t="n"/>
      <c r="I49" s="857" t="n"/>
      <c r="J49" s="857" t="n"/>
      <c r="K49" s="857" t="n"/>
      <c r="L49" s="857" t="n"/>
      <c r="M49" s="857" t="n"/>
      <c r="N49" s="857" t="n"/>
      <c r="O49" s="845" t="n"/>
      <c r="P49" s="845" t="n"/>
      <c r="Q49" s="845" t="n"/>
      <c r="R49" s="845" t="n"/>
      <c r="S49" s="845" t="n"/>
      <c r="T49" s="845" t="n"/>
      <c r="U49" s="845" t="n"/>
      <c r="V49" s="845" t="n"/>
      <c r="W49" s="845" t="n"/>
      <c r="X49" s="845" t="n"/>
      <c r="Y49" s="845" t="n"/>
      <c r="Z49" s="845" t="n"/>
    </row>
    <row r="50">
      <c r="A50" s="845" t="n"/>
      <c r="B50" s="857" t="n"/>
      <c r="C50" s="857" t="n"/>
      <c r="D50" s="857" t="n"/>
      <c r="E50" s="857" t="n"/>
      <c r="F50" s="857" t="n"/>
      <c r="G50" s="858" t="n"/>
      <c r="H50" s="857" t="n"/>
      <c r="I50" s="857" t="n"/>
      <c r="J50" s="857" t="n"/>
      <c r="K50" s="857" t="n"/>
      <c r="L50" s="857" t="n"/>
      <c r="M50" s="857" t="n"/>
      <c r="N50" s="857" t="n"/>
      <c r="O50" s="845" t="n"/>
      <c r="P50" s="845" t="n"/>
      <c r="Q50" s="845" t="n"/>
      <c r="R50" s="845" t="n"/>
      <c r="S50" s="845" t="n"/>
      <c r="T50" s="845" t="n"/>
      <c r="U50" s="845" t="n"/>
      <c r="V50" s="845" t="n"/>
      <c r="W50" s="845" t="n"/>
      <c r="X50" s="845" t="n"/>
      <c r="Y50" s="845" t="n"/>
      <c r="Z50" s="845" t="n"/>
    </row>
    <row r="51">
      <c r="A51" s="845" t="n"/>
      <c r="B51" s="857" t="n"/>
      <c r="C51" s="857" t="n"/>
      <c r="D51" s="857" t="n"/>
      <c r="E51" s="857" t="n"/>
      <c r="F51" s="857" t="n"/>
      <c r="G51" s="858" t="n"/>
      <c r="H51" s="857" t="n"/>
      <c r="I51" s="857" t="n"/>
      <c r="J51" s="857" t="n"/>
      <c r="K51" s="857" t="n"/>
      <c r="L51" s="857" t="n"/>
      <c r="M51" s="857" t="n"/>
      <c r="N51" s="857" t="n"/>
      <c r="O51" s="845" t="n"/>
      <c r="P51" s="845" t="n"/>
      <c r="Q51" s="845" t="n"/>
      <c r="R51" s="845" t="n"/>
      <c r="S51" s="845" t="n"/>
      <c r="T51" s="845" t="n"/>
      <c r="U51" s="845" t="n"/>
      <c r="V51" s="845" t="n"/>
      <c r="W51" s="845" t="n"/>
      <c r="X51" s="845" t="n"/>
      <c r="Y51" s="845" t="n"/>
      <c r="Z51" s="845" t="n"/>
    </row>
    <row r="52">
      <c r="A52" s="845" t="n"/>
      <c r="B52" s="857" t="n"/>
      <c r="C52" s="857" t="n"/>
      <c r="D52" s="857" t="n"/>
      <c r="E52" s="857" t="n"/>
      <c r="F52" s="857" t="n"/>
      <c r="G52" s="858" t="n"/>
      <c r="H52" s="857" t="n"/>
      <c r="I52" s="857" t="n"/>
      <c r="J52" s="857" t="n"/>
      <c r="K52" s="857" t="n"/>
      <c r="L52" s="857" t="n"/>
      <c r="M52" s="857" t="n"/>
      <c r="N52" s="857" t="n"/>
      <c r="O52" s="845" t="n"/>
      <c r="P52" s="845" t="n"/>
      <c r="Q52" s="845" t="n"/>
      <c r="R52" s="845" t="n"/>
      <c r="S52" s="845" t="n"/>
      <c r="T52" s="845" t="n"/>
      <c r="U52" s="845" t="n"/>
      <c r="V52" s="845" t="n"/>
      <c r="W52" s="845" t="n"/>
      <c r="X52" s="845" t="n"/>
      <c r="Y52" s="845" t="n"/>
      <c r="Z52" s="845" t="n"/>
    </row>
    <row r="53">
      <c r="A53" s="845" t="n"/>
      <c r="B53" s="857" t="n"/>
      <c r="C53" s="857" t="n"/>
      <c r="D53" s="857" t="n"/>
      <c r="E53" s="857" t="n"/>
      <c r="F53" s="857" t="n"/>
      <c r="G53" s="858" t="n"/>
      <c r="H53" s="857" t="n"/>
      <c r="I53" s="857" t="n"/>
      <c r="J53" s="857" t="n"/>
      <c r="K53" s="857" t="n"/>
      <c r="L53" s="857" t="n"/>
      <c r="M53" s="857" t="n"/>
      <c r="N53" s="857" t="n"/>
      <c r="O53" s="845" t="n"/>
      <c r="P53" s="845" t="n"/>
      <c r="Q53" s="845" t="n"/>
      <c r="R53" s="845" t="n"/>
      <c r="S53" s="845" t="n"/>
      <c r="T53" s="845" t="n"/>
      <c r="U53" s="845" t="n"/>
      <c r="V53" s="845" t="n"/>
      <c r="W53" s="845" t="n"/>
      <c r="X53" s="845" t="n"/>
      <c r="Y53" s="845" t="n"/>
      <c r="Z53" s="845" t="n"/>
    </row>
    <row r="54">
      <c r="A54" s="845" t="n"/>
      <c r="B54" s="857" t="n"/>
      <c r="C54" s="857" t="n"/>
      <c r="D54" s="857" t="n"/>
      <c r="E54" s="857" t="n"/>
      <c r="F54" s="857" t="n"/>
      <c r="G54" s="858" t="n"/>
      <c r="H54" s="857" t="n"/>
      <c r="I54" s="857" t="n"/>
      <c r="J54" s="857" t="n"/>
      <c r="K54" s="857" t="n"/>
      <c r="L54" s="857" t="n"/>
      <c r="M54" s="857" t="n"/>
      <c r="N54" s="857" t="n"/>
      <c r="O54" s="845" t="n"/>
      <c r="P54" s="845" t="n"/>
      <c r="Q54" s="845" t="n"/>
      <c r="R54" s="845" t="n"/>
      <c r="S54" s="845" t="n"/>
      <c r="T54" s="845" t="n"/>
      <c r="U54" s="845" t="n"/>
      <c r="V54" s="845" t="n"/>
      <c r="W54" s="845" t="n"/>
      <c r="X54" s="845" t="n"/>
      <c r="Y54" s="845" t="n"/>
      <c r="Z54" s="845" t="n"/>
    </row>
    <row r="55">
      <c r="A55" s="845" t="n"/>
      <c r="B55" s="857" t="n"/>
      <c r="C55" s="857" t="n"/>
      <c r="D55" s="857" t="n"/>
      <c r="E55" s="857" t="n"/>
      <c r="F55" s="857" t="n"/>
      <c r="G55" s="858" t="n"/>
      <c r="H55" s="857" t="n"/>
      <c r="I55" s="857" t="n"/>
      <c r="J55" s="857" t="n"/>
      <c r="K55" s="857" t="n"/>
      <c r="L55" s="857" t="n"/>
      <c r="M55" s="857" t="n"/>
      <c r="N55" s="857" t="n"/>
      <c r="O55" s="845" t="n"/>
      <c r="P55" s="845" t="n"/>
      <c r="Q55" s="845" t="n"/>
      <c r="R55" s="845" t="n"/>
      <c r="S55" s="845" t="n"/>
      <c r="T55" s="845" t="n"/>
      <c r="U55" s="845" t="n"/>
      <c r="V55" s="845" t="n"/>
      <c r="W55" s="845" t="n"/>
      <c r="X55" s="845" t="n"/>
      <c r="Y55" s="845" t="n"/>
      <c r="Z55" s="845" t="n"/>
    </row>
    <row r="56">
      <c r="A56" s="845" t="n"/>
      <c r="B56" s="857" t="n"/>
      <c r="C56" s="857" t="n"/>
      <c r="D56" s="857" t="n"/>
      <c r="E56" s="857" t="n"/>
      <c r="F56" s="857" t="n"/>
      <c r="G56" s="858" t="n"/>
      <c r="H56" s="857" t="n"/>
      <c r="I56" s="857" t="n"/>
      <c r="J56" s="857" t="n"/>
      <c r="K56" s="857" t="n"/>
      <c r="L56" s="857" t="n"/>
      <c r="M56" s="857" t="n"/>
      <c r="N56" s="857" t="n"/>
      <c r="O56" s="845" t="n"/>
      <c r="P56" s="845" t="n"/>
      <c r="Q56" s="845" t="n"/>
      <c r="R56" s="845" t="n"/>
      <c r="S56" s="845" t="n"/>
      <c r="T56" s="845" t="n"/>
      <c r="U56" s="845" t="n"/>
      <c r="V56" s="845" t="n"/>
      <c r="W56" s="845" t="n"/>
      <c r="X56" s="845" t="n"/>
      <c r="Y56" s="845" t="n"/>
      <c r="Z56" s="845" t="n"/>
    </row>
    <row r="57">
      <c r="A57" s="845" t="n"/>
      <c r="B57" s="857" t="n"/>
      <c r="C57" s="857" t="n"/>
      <c r="D57" s="857" t="n"/>
      <c r="E57" s="857" t="n"/>
      <c r="F57" s="857" t="n"/>
      <c r="G57" s="858" t="n"/>
      <c r="H57" s="857" t="n"/>
      <c r="I57" s="857" t="n"/>
      <c r="J57" s="857" t="n"/>
      <c r="K57" s="857" t="n"/>
      <c r="L57" s="857" t="n"/>
      <c r="M57" s="857" t="n"/>
      <c r="N57" s="857" t="n"/>
      <c r="O57" s="845" t="n"/>
      <c r="P57" s="845" t="n"/>
      <c r="Q57" s="845" t="n"/>
      <c r="R57" s="845" t="n"/>
      <c r="S57" s="845" t="n"/>
      <c r="T57" s="845" t="n"/>
      <c r="U57" s="845" t="n"/>
      <c r="V57" s="845" t="n"/>
      <c r="W57" s="845" t="n"/>
      <c r="X57" s="845" t="n"/>
      <c r="Y57" s="845" t="n"/>
      <c r="Z57" s="845" t="n"/>
    </row>
    <row r="58">
      <c r="A58" s="845" t="n"/>
      <c r="B58" s="857" t="n"/>
      <c r="C58" s="857" t="n"/>
      <c r="D58" s="857" t="n"/>
      <c r="E58" s="857" t="n"/>
      <c r="F58" s="857" t="n"/>
      <c r="G58" s="858" t="n"/>
      <c r="H58" s="857" t="n"/>
      <c r="I58" s="857" t="n"/>
      <c r="J58" s="857" t="n"/>
      <c r="K58" s="857" t="n"/>
      <c r="L58" s="857" t="n"/>
      <c r="M58" s="857" t="n"/>
      <c r="N58" s="857" t="n"/>
      <c r="O58" s="845" t="n"/>
      <c r="P58" s="845" t="n"/>
      <c r="Q58" s="845" t="n"/>
      <c r="R58" s="845" t="n"/>
      <c r="S58" s="845" t="n"/>
      <c r="T58" s="845" t="n"/>
      <c r="U58" s="845" t="n"/>
      <c r="V58" s="845" t="n"/>
      <c r="W58" s="845" t="n"/>
      <c r="X58" s="845" t="n"/>
      <c r="Y58" s="845" t="n"/>
      <c r="Z58" s="845" t="n"/>
    </row>
    <row r="59">
      <c r="A59" s="845" t="n"/>
      <c r="B59" s="857" t="n"/>
      <c r="C59" s="857" t="n"/>
      <c r="D59" s="857" t="n"/>
      <c r="E59" s="857" t="n"/>
      <c r="F59" s="857" t="n"/>
      <c r="G59" s="858" t="n"/>
      <c r="H59" s="857" t="n"/>
      <c r="I59" s="857" t="n"/>
      <c r="J59" s="857" t="n"/>
      <c r="K59" s="857" t="n"/>
      <c r="L59" s="857" t="n"/>
      <c r="M59" s="857" t="n"/>
      <c r="N59" s="857" t="n"/>
      <c r="O59" s="845" t="n"/>
      <c r="P59" s="845" t="n"/>
      <c r="Q59" s="845" t="n"/>
      <c r="R59" s="845" t="n"/>
      <c r="S59" s="845" t="n"/>
      <c r="T59" s="845" t="n"/>
      <c r="U59" s="845" t="n"/>
      <c r="V59" s="845" t="n"/>
      <c r="W59" s="845" t="n"/>
      <c r="X59" s="845" t="n"/>
      <c r="Y59" s="845" t="n"/>
      <c r="Z59" s="845" t="n"/>
    </row>
    <row r="60">
      <c r="A60" s="845" t="n"/>
      <c r="B60" s="857" t="n"/>
      <c r="C60" s="857" t="n"/>
      <c r="D60" s="857" t="n"/>
      <c r="E60" s="857" t="n"/>
      <c r="F60" s="857" t="n"/>
      <c r="G60" s="858" t="n"/>
      <c r="H60" s="857" t="n"/>
      <c r="I60" s="857" t="n"/>
      <c r="J60" s="857" t="n"/>
      <c r="K60" s="857" t="n"/>
      <c r="L60" s="857" t="n"/>
      <c r="M60" s="857" t="n"/>
      <c r="N60" s="857" t="n"/>
      <c r="O60" s="845" t="n"/>
      <c r="P60" s="845" t="n"/>
      <c r="Q60" s="845" t="n"/>
      <c r="R60" s="845" t="n"/>
      <c r="S60" s="845" t="n"/>
      <c r="T60" s="845" t="n"/>
      <c r="U60" s="845" t="n"/>
      <c r="V60" s="845" t="n"/>
      <c r="W60" s="845" t="n"/>
      <c r="X60" s="845" t="n"/>
      <c r="Y60" s="845" t="n"/>
      <c r="Z60" s="845" t="n"/>
    </row>
    <row r="61">
      <c r="A61" s="845" t="n"/>
      <c r="B61" s="857" t="n"/>
      <c r="C61" s="857" t="n"/>
      <c r="D61" s="857" t="n"/>
      <c r="E61" s="857" t="n"/>
      <c r="F61" s="857" t="n"/>
      <c r="G61" s="858" t="n"/>
      <c r="H61" s="857" t="n"/>
      <c r="I61" s="857" t="n"/>
      <c r="J61" s="857" t="n"/>
      <c r="K61" s="857" t="n"/>
      <c r="L61" s="857" t="n"/>
      <c r="M61" s="857" t="n"/>
      <c r="N61" s="857" t="n"/>
      <c r="O61" s="845" t="n"/>
      <c r="P61" s="845" t="n"/>
      <c r="Q61" s="845" t="n"/>
      <c r="R61" s="845" t="n"/>
      <c r="S61" s="845" t="n"/>
      <c r="T61" s="845" t="n"/>
      <c r="U61" s="845" t="n"/>
      <c r="V61" s="845" t="n"/>
      <c r="W61" s="845" t="n"/>
      <c r="X61" s="845" t="n"/>
      <c r="Y61" s="845" t="n"/>
      <c r="Z61" s="845" t="n"/>
    </row>
    <row r="62">
      <c r="A62" s="845" t="n"/>
      <c r="B62" s="857" t="n"/>
      <c r="C62" s="857" t="n"/>
      <c r="D62" s="857" t="n"/>
      <c r="E62" s="857" t="n"/>
      <c r="F62" s="857" t="n"/>
      <c r="G62" s="858" t="n"/>
      <c r="H62" s="857" t="n"/>
      <c r="I62" s="857" t="n"/>
      <c r="J62" s="857" t="n"/>
      <c r="K62" s="857" t="n"/>
      <c r="L62" s="857" t="n"/>
      <c r="M62" s="857" t="n"/>
      <c r="N62" s="857" t="n"/>
      <c r="O62" s="845" t="n"/>
      <c r="P62" s="845" t="n"/>
      <c r="Q62" s="845" t="n"/>
      <c r="R62" s="845" t="n"/>
      <c r="S62" s="845" t="n"/>
      <c r="T62" s="845" t="n"/>
      <c r="U62" s="845" t="n"/>
      <c r="V62" s="845" t="n"/>
      <c r="W62" s="845" t="n"/>
      <c r="X62" s="845" t="n"/>
      <c r="Y62" s="845" t="n"/>
      <c r="Z62" s="845" t="n"/>
    </row>
    <row r="63">
      <c r="A63" s="845" t="n"/>
      <c r="B63" s="857" t="n"/>
      <c r="C63" s="857" t="n"/>
      <c r="D63" s="857" t="n"/>
      <c r="E63" s="857" t="n"/>
      <c r="F63" s="857" t="n"/>
      <c r="G63" s="858" t="n"/>
      <c r="H63" s="857" t="n"/>
      <c r="I63" s="857" t="n"/>
      <c r="J63" s="857" t="n"/>
      <c r="K63" s="857" t="n"/>
      <c r="L63" s="857" t="n"/>
      <c r="M63" s="857" t="n"/>
      <c r="N63" s="857" t="n"/>
      <c r="O63" s="845" t="n"/>
      <c r="P63" s="845" t="n"/>
      <c r="Q63" s="845" t="n"/>
      <c r="R63" s="845" t="n"/>
      <c r="S63" s="845" t="n"/>
      <c r="T63" s="845" t="n"/>
      <c r="U63" s="845" t="n"/>
      <c r="V63" s="845" t="n"/>
      <c r="W63" s="845" t="n"/>
      <c r="X63" s="845" t="n"/>
      <c r="Y63" s="845" t="n"/>
      <c r="Z63" s="845" t="n"/>
    </row>
    <row r="64">
      <c r="A64" s="845" t="n"/>
      <c r="B64" s="857" t="n"/>
      <c r="C64" s="857" t="n"/>
      <c r="D64" s="857" t="n"/>
      <c r="E64" s="857" t="n"/>
      <c r="F64" s="857" t="n"/>
      <c r="G64" s="858" t="n"/>
      <c r="H64" s="857" t="n"/>
      <c r="I64" s="857" t="n"/>
      <c r="J64" s="857" t="n"/>
      <c r="K64" s="857" t="n"/>
      <c r="L64" s="857" t="n"/>
      <c r="M64" s="857" t="n"/>
      <c r="N64" s="857" t="n"/>
      <c r="O64" s="845" t="n"/>
      <c r="P64" s="845" t="n"/>
      <c r="Q64" s="845" t="n"/>
      <c r="R64" s="845" t="n"/>
      <c r="S64" s="845" t="n"/>
      <c r="T64" s="845" t="n"/>
      <c r="U64" s="845" t="n"/>
      <c r="V64" s="845" t="n"/>
      <c r="W64" s="845" t="n"/>
      <c r="X64" s="845" t="n"/>
      <c r="Y64" s="845" t="n"/>
      <c r="Z64" s="845" t="n"/>
    </row>
    <row r="65">
      <c r="A65" s="845" t="n"/>
      <c r="B65" s="857" t="n"/>
      <c r="C65" s="857" t="n"/>
      <c r="D65" s="857" t="n"/>
      <c r="E65" s="857" t="n"/>
      <c r="F65" s="857" t="n"/>
      <c r="G65" s="858" t="n"/>
      <c r="H65" s="857" t="n"/>
      <c r="I65" s="857" t="n"/>
      <c r="J65" s="857" t="n"/>
      <c r="K65" s="857" t="n"/>
      <c r="L65" s="857" t="n"/>
      <c r="M65" s="857" t="n"/>
      <c r="N65" s="857" t="n"/>
      <c r="O65" s="845" t="n"/>
      <c r="P65" s="845" t="n"/>
      <c r="Q65" s="845" t="n"/>
      <c r="R65" s="845" t="n"/>
      <c r="S65" s="845" t="n"/>
      <c r="T65" s="845" t="n"/>
      <c r="U65" s="845" t="n"/>
      <c r="V65" s="845" t="n"/>
      <c r="W65" s="845" t="n"/>
      <c r="X65" s="845" t="n"/>
      <c r="Y65" s="845" t="n"/>
      <c r="Z65" s="845" t="n"/>
    </row>
    <row r="66">
      <c r="A66" s="845" t="n"/>
      <c r="B66" s="857" t="n"/>
      <c r="C66" s="857" t="n"/>
      <c r="D66" s="857" t="n"/>
      <c r="E66" s="857" t="n"/>
      <c r="F66" s="857" t="n"/>
      <c r="G66" s="858" t="n"/>
      <c r="H66" s="857" t="n"/>
      <c r="I66" s="857" t="n"/>
      <c r="J66" s="857" t="n"/>
      <c r="K66" s="857" t="n"/>
      <c r="L66" s="857" t="n"/>
      <c r="M66" s="857" t="n"/>
      <c r="N66" s="857" t="n"/>
      <c r="O66" s="845" t="n"/>
      <c r="P66" s="845" t="n"/>
      <c r="Q66" s="845" t="n"/>
      <c r="R66" s="845" t="n"/>
      <c r="S66" s="845" t="n"/>
      <c r="T66" s="845" t="n"/>
      <c r="U66" s="845" t="n"/>
      <c r="V66" s="845" t="n"/>
      <c r="W66" s="845" t="n"/>
      <c r="X66" s="845" t="n"/>
      <c r="Y66" s="845" t="n"/>
      <c r="Z66" s="845" t="n"/>
    </row>
    <row r="67">
      <c r="A67" s="845" t="n"/>
      <c r="B67" s="857" t="n"/>
      <c r="C67" s="857" t="n"/>
      <c r="D67" s="857" t="n"/>
      <c r="E67" s="857" t="n"/>
      <c r="F67" s="857" t="n"/>
      <c r="G67" s="858" t="n"/>
      <c r="H67" s="857" t="n"/>
      <c r="I67" s="857" t="n"/>
      <c r="J67" s="857" t="n"/>
      <c r="K67" s="857" t="n"/>
      <c r="L67" s="857" t="n"/>
      <c r="M67" s="857" t="n"/>
      <c r="N67" s="857" t="n"/>
      <c r="O67" s="845" t="n"/>
      <c r="P67" s="845" t="n"/>
      <c r="Q67" s="845" t="n"/>
      <c r="R67" s="845" t="n"/>
      <c r="S67" s="845" t="n"/>
      <c r="T67" s="845" t="n"/>
      <c r="U67" s="845" t="n"/>
      <c r="V67" s="845" t="n"/>
      <c r="W67" s="845" t="n"/>
      <c r="X67" s="845" t="n"/>
      <c r="Y67" s="845" t="n"/>
      <c r="Z67" s="845" t="n"/>
    </row>
    <row r="68">
      <c r="A68" s="845" t="n"/>
      <c r="B68" s="857" t="n"/>
      <c r="C68" s="857" t="n"/>
      <c r="D68" s="857" t="n"/>
      <c r="E68" s="857" t="n"/>
      <c r="F68" s="857" t="n"/>
      <c r="G68" s="858" t="n"/>
      <c r="H68" s="857" t="n"/>
      <c r="I68" s="857" t="n"/>
      <c r="J68" s="857" t="n"/>
      <c r="K68" s="857" t="n"/>
      <c r="L68" s="857" t="n"/>
      <c r="M68" s="857" t="n"/>
      <c r="N68" s="857" t="n"/>
      <c r="O68" s="845" t="n"/>
      <c r="P68" s="845" t="n"/>
      <c r="Q68" s="845" t="n"/>
      <c r="R68" s="845" t="n"/>
      <c r="S68" s="845" t="n"/>
      <c r="T68" s="845" t="n"/>
      <c r="U68" s="845" t="n"/>
      <c r="V68" s="845" t="n"/>
      <c r="W68" s="845" t="n"/>
      <c r="X68" s="845" t="n"/>
      <c r="Y68" s="845" t="n"/>
      <c r="Z68" s="845" t="n"/>
    </row>
    <row r="69">
      <c r="A69" s="845" t="n"/>
      <c r="B69" s="857" t="n"/>
      <c r="C69" s="857" t="n"/>
      <c r="D69" s="857" t="n"/>
      <c r="E69" s="857" t="n"/>
      <c r="F69" s="857" t="n"/>
      <c r="G69" s="858" t="n"/>
      <c r="H69" s="857" t="n"/>
      <c r="I69" s="857" t="n"/>
      <c r="J69" s="857" t="n"/>
      <c r="K69" s="857" t="n"/>
      <c r="L69" s="857" t="n"/>
      <c r="M69" s="857" t="n"/>
      <c r="N69" s="857" t="n"/>
      <c r="O69" s="845" t="n"/>
      <c r="P69" s="845" t="n"/>
      <c r="Q69" s="845" t="n"/>
      <c r="R69" s="845" t="n"/>
      <c r="S69" s="845" t="n"/>
      <c r="T69" s="845" t="n"/>
      <c r="U69" s="845" t="n"/>
      <c r="V69" s="845" t="n"/>
      <c r="W69" s="845" t="n"/>
      <c r="X69" s="845" t="n"/>
      <c r="Y69" s="845" t="n"/>
      <c r="Z69" s="845" t="n"/>
    </row>
    <row r="70">
      <c r="A70" s="845" t="n"/>
      <c r="B70" s="857" t="n"/>
      <c r="C70" s="857" t="n"/>
      <c r="D70" s="857" t="n"/>
      <c r="E70" s="857" t="n"/>
      <c r="F70" s="857" t="n"/>
      <c r="G70" s="858" t="n"/>
      <c r="H70" s="857" t="n"/>
      <c r="I70" s="857" t="n"/>
      <c r="J70" s="857" t="n"/>
      <c r="K70" s="857" t="n"/>
      <c r="L70" s="857" t="n"/>
      <c r="M70" s="857" t="n"/>
      <c r="N70" s="857" t="n"/>
      <c r="O70" s="845" t="n"/>
      <c r="P70" s="845" t="n"/>
      <c r="Q70" s="845" t="n"/>
      <c r="R70" s="845" t="n"/>
      <c r="S70" s="845" t="n"/>
      <c r="T70" s="845" t="n"/>
      <c r="U70" s="845" t="n"/>
      <c r="V70" s="845" t="n"/>
      <c r="W70" s="845" t="n"/>
      <c r="X70" s="845" t="n"/>
      <c r="Y70" s="845" t="n"/>
      <c r="Z70" s="845" t="n"/>
    </row>
    <row r="71">
      <c r="A71" s="845" t="n"/>
      <c r="B71" s="857" t="n"/>
      <c r="C71" s="857" t="n"/>
      <c r="D71" s="857" t="n"/>
      <c r="E71" s="857" t="n"/>
      <c r="F71" s="857" t="n"/>
      <c r="G71" s="858" t="n"/>
      <c r="H71" s="857" t="n"/>
      <c r="I71" s="857" t="n"/>
      <c r="J71" s="857" t="n"/>
      <c r="K71" s="857" t="n"/>
      <c r="L71" s="857" t="n"/>
      <c r="M71" s="857" t="n"/>
      <c r="N71" s="857" t="n"/>
      <c r="O71" s="845" t="n"/>
      <c r="P71" s="845" t="n"/>
      <c r="Q71" s="845" t="n"/>
      <c r="R71" s="845" t="n"/>
      <c r="S71" s="845" t="n"/>
      <c r="T71" s="845" t="n"/>
      <c r="U71" s="845" t="n"/>
      <c r="V71" s="845" t="n"/>
      <c r="W71" s="845" t="n"/>
      <c r="X71" s="845" t="n"/>
      <c r="Y71" s="845" t="n"/>
      <c r="Z71" s="845" t="n"/>
    </row>
    <row r="72">
      <c r="A72" s="845" t="n"/>
      <c r="B72" s="857" t="n"/>
      <c r="C72" s="857" t="n"/>
      <c r="D72" s="857" t="n"/>
      <c r="E72" s="857" t="n"/>
      <c r="F72" s="857" t="n"/>
      <c r="G72" s="858" t="n"/>
      <c r="H72" s="857" t="n"/>
      <c r="I72" s="857" t="n"/>
      <c r="J72" s="857" t="n"/>
      <c r="K72" s="857" t="n"/>
      <c r="L72" s="857" t="n"/>
      <c r="M72" s="857" t="n"/>
      <c r="N72" s="857" t="n"/>
      <c r="O72" s="845" t="n"/>
      <c r="P72" s="845" t="n"/>
      <c r="Q72" s="845" t="n"/>
      <c r="R72" s="845" t="n"/>
      <c r="S72" s="845" t="n"/>
      <c r="T72" s="845" t="n"/>
      <c r="U72" s="845" t="n"/>
      <c r="V72" s="845" t="n"/>
      <c r="W72" s="845" t="n"/>
      <c r="X72" s="845" t="n"/>
      <c r="Y72" s="845" t="n"/>
      <c r="Z72" s="845" t="n"/>
    </row>
    <row r="73">
      <c r="A73" s="845" t="n"/>
      <c r="B73" s="857" t="n"/>
      <c r="C73" s="857" t="n"/>
      <c r="D73" s="857" t="n"/>
      <c r="E73" s="857" t="n"/>
      <c r="F73" s="857" t="n"/>
      <c r="G73" s="858" t="n"/>
      <c r="H73" s="857" t="n"/>
      <c r="I73" s="857" t="n"/>
      <c r="J73" s="857" t="n"/>
      <c r="K73" s="857" t="n"/>
      <c r="L73" s="857" t="n"/>
      <c r="M73" s="857" t="n"/>
      <c r="N73" s="857" t="n"/>
      <c r="O73" s="845" t="n"/>
      <c r="P73" s="845" t="n"/>
      <c r="Q73" s="845" t="n"/>
      <c r="R73" s="845" t="n"/>
      <c r="S73" s="845" t="n"/>
      <c r="T73" s="845" t="n"/>
      <c r="U73" s="845" t="n"/>
      <c r="V73" s="845" t="n"/>
      <c r="W73" s="845" t="n"/>
      <c r="X73" s="845" t="n"/>
      <c r="Y73" s="845" t="n"/>
      <c r="Z73" s="845" t="n"/>
    </row>
    <row r="74">
      <c r="A74" s="845" t="n"/>
      <c r="B74" s="857" t="n"/>
      <c r="C74" s="857" t="n"/>
      <c r="D74" s="857" t="n"/>
      <c r="E74" s="857" t="n"/>
      <c r="F74" s="857" t="n"/>
      <c r="G74" s="858" t="n"/>
      <c r="H74" s="857" t="n"/>
      <c r="I74" s="857" t="n"/>
      <c r="J74" s="857" t="n"/>
      <c r="K74" s="857" t="n"/>
      <c r="L74" s="857" t="n"/>
      <c r="M74" s="857" t="n"/>
      <c r="N74" s="857" t="n"/>
      <c r="O74" s="845" t="n"/>
      <c r="P74" s="845" t="n"/>
      <c r="Q74" s="845" t="n"/>
      <c r="R74" s="845" t="n"/>
      <c r="S74" s="845" t="n"/>
      <c r="T74" s="845" t="n"/>
      <c r="U74" s="845" t="n"/>
      <c r="V74" s="845" t="n"/>
      <c r="W74" s="845" t="n"/>
      <c r="X74" s="845" t="n"/>
      <c r="Y74" s="845" t="n"/>
      <c r="Z74" s="845" t="n"/>
    </row>
    <row r="75">
      <c r="A75" s="845" t="n"/>
      <c r="B75" s="857" t="n"/>
      <c r="C75" s="857" t="n"/>
      <c r="D75" s="857" t="n"/>
      <c r="E75" s="857" t="n"/>
      <c r="F75" s="857" t="n"/>
      <c r="G75" s="858" t="n"/>
      <c r="H75" s="857" t="n"/>
      <c r="I75" s="857" t="n"/>
      <c r="J75" s="857" t="n"/>
      <c r="K75" s="857" t="n"/>
      <c r="L75" s="857" t="n"/>
      <c r="M75" s="857" t="n"/>
      <c r="N75" s="857" t="n"/>
      <c r="O75" s="845" t="n"/>
      <c r="P75" s="845" t="n"/>
      <c r="Q75" s="845" t="n"/>
      <c r="R75" s="845" t="n"/>
      <c r="S75" s="845" t="n"/>
      <c r="T75" s="845" t="n"/>
      <c r="U75" s="845" t="n"/>
      <c r="V75" s="845" t="n"/>
      <c r="W75" s="845" t="n"/>
      <c r="X75" s="845" t="n"/>
      <c r="Y75" s="845" t="n"/>
      <c r="Z75" s="845" t="n"/>
    </row>
    <row r="76">
      <c r="A76" s="845" t="n"/>
      <c r="B76" s="857" t="n"/>
      <c r="C76" s="857" t="n"/>
      <c r="D76" s="857" t="n"/>
      <c r="E76" s="857" t="n"/>
      <c r="F76" s="857" t="n"/>
      <c r="G76" s="858" t="n"/>
      <c r="H76" s="857" t="n"/>
      <c r="I76" s="857" t="n"/>
      <c r="J76" s="857" t="n"/>
      <c r="K76" s="857" t="n"/>
      <c r="L76" s="857" t="n"/>
      <c r="M76" s="857" t="n"/>
      <c r="N76" s="857" t="n"/>
      <c r="O76" s="845" t="n"/>
      <c r="P76" s="845" t="n"/>
      <c r="Q76" s="845" t="n"/>
      <c r="R76" s="845" t="n"/>
      <c r="S76" s="845" t="n"/>
      <c r="T76" s="845" t="n"/>
      <c r="U76" s="845" t="n"/>
      <c r="V76" s="845" t="n"/>
      <c r="W76" s="845" t="n"/>
      <c r="X76" s="845" t="n"/>
      <c r="Y76" s="845" t="n"/>
      <c r="Z76" s="845" t="n"/>
    </row>
    <row r="77">
      <c r="A77" s="845" t="n"/>
      <c r="B77" s="857" t="n"/>
      <c r="C77" s="857" t="n"/>
      <c r="D77" s="857" t="n"/>
      <c r="E77" s="857" t="n"/>
      <c r="F77" s="857" t="n"/>
      <c r="G77" s="858" t="n"/>
      <c r="H77" s="857" t="n"/>
      <c r="I77" s="857" t="n"/>
      <c r="J77" s="857" t="n"/>
      <c r="K77" s="857" t="n"/>
      <c r="L77" s="857" t="n"/>
      <c r="M77" s="857" t="n"/>
      <c r="N77" s="857" t="n"/>
      <c r="O77" s="845" t="n"/>
      <c r="P77" s="845" t="n"/>
      <c r="Q77" s="845" t="n"/>
      <c r="R77" s="845" t="n"/>
      <c r="S77" s="845" t="n"/>
      <c r="T77" s="845" t="n"/>
      <c r="U77" s="845" t="n"/>
      <c r="V77" s="845" t="n"/>
      <c r="W77" s="845" t="n"/>
      <c r="X77" s="845" t="n"/>
      <c r="Y77" s="845" t="n"/>
      <c r="Z77" s="845" t="n"/>
    </row>
    <row r="78">
      <c r="A78" s="845" t="n"/>
      <c r="B78" s="857" t="n"/>
      <c r="C78" s="857" t="n"/>
      <c r="D78" s="857" t="n"/>
      <c r="E78" s="857" t="n"/>
      <c r="F78" s="857" t="n"/>
      <c r="G78" s="858" t="n"/>
      <c r="H78" s="857" t="n"/>
      <c r="I78" s="857" t="n"/>
      <c r="J78" s="857" t="n"/>
      <c r="K78" s="857" t="n"/>
      <c r="L78" s="857" t="n"/>
      <c r="M78" s="857" t="n"/>
      <c r="N78" s="857" t="n"/>
      <c r="O78" s="845" t="n"/>
      <c r="P78" s="845" t="n"/>
      <c r="Q78" s="845" t="n"/>
      <c r="R78" s="845" t="n"/>
      <c r="S78" s="845" t="n"/>
      <c r="T78" s="845" t="n"/>
      <c r="U78" s="845" t="n"/>
      <c r="V78" s="845" t="n"/>
      <c r="W78" s="845" t="n"/>
      <c r="X78" s="845" t="n"/>
      <c r="Y78" s="845" t="n"/>
      <c r="Z78" s="845" t="n"/>
    </row>
    <row r="79">
      <c r="A79" s="845" t="n"/>
      <c r="B79" s="857" t="n"/>
      <c r="C79" s="857" t="n"/>
      <c r="D79" s="857" t="n"/>
      <c r="E79" s="857" t="n"/>
      <c r="F79" s="857" t="n"/>
      <c r="G79" s="858" t="n"/>
      <c r="H79" s="857" t="n"/>
      <c r="I79" s="857" t="n"/>
      <c r="J79" s="857" t="n"/>
      <c r="K79" s="857" t="n"/>
      <c r="L79" s="857" t="n"/>
      <c r="M79" s="857" t="n"/>
      <c r="N79" s="857" t="n"/>
      <c r="O79" s="845" t="n"/>
      <c r="P79" s="845" t="n"/>
      <c r="Q79" s="845" t="n"/>
      <c r="R79" s="845" t="n"/>
      <c r="S79" s="845" t="n"/>
      <c r="T79" s="845" t="n"/>
      <c r="U79" s="845" t="n"/>
      <c r="V79" s="845" t="n"/>
      <c r="W79" s="845" t="n"/>
      <c r="X79" s="845" t="n"/>
      <c r="Y79" s="845" t="n"/>
      <c r="Z79" s="845" t="n"/>
    </row>
    <row r="80">
      <c r="A80" s="845" t="n"/>
      <c r="B80" s="857" t="n"/>
      <c r="C80" s="857" t="n"/>
      <c r="D80" s="857" t="n"/>
      <c r="E80" s="857" t="n"/>
      <c r="F80" s="857" t="n"/>
      <c r="G80" s="858" t="n"/>
      <c r="H80" s="857" t="n"/>
      <c r="I80" s="857" t="n"/>
      <c r="J80" s="857" t="n"/>
      <c r="K80" s="857" t="n"/>
      <c r="L80" s="857" t="n"/>
      <c r="M80" s="857" t="n"/>
      <c r="N80" s="857" t="n"/>
      <c r="O80" s="845" t="n"/>
      <c r="P80" s="845" t="n"/>
      <c r="Q80" s="845" t="n"/>
      <c r="R80" s="845" t="n"/>
      <c r="S80" s="845" t="n"/>
      <c r="T80" s="845" t="n"/>
      <c r="U80" s="845" t="n"/>
      <c r="V80" s="845" t="n"/>
      <c r="W80" s="845" t="n"/>
      <c r="X80" s="845" t="n"/>
      <c r="Y80" s="845" t="n"/>
      <c r="Z80" s="845" t="n"/>
    </row>
    <row r="81">
      <c r="A81" s="845" t="n"/>
      <c r="B81" s="857" t="n"/>
      <c r="C81" s="857" t="n"/>
      <c r="D81" s="857" t="n"/>
      <c r="E81" s="857" t="n"/>
      <c r="F81" s="857" t="n"/>
      <c r="G81" s="858" t="n"/>
      <c r="H81" s="857" t="n"/>
      <c r="I81" s="857" t="n"/>
      <c r="J81" s="857" t="n"/>
      <c r="K81" s="857" t="n"/>
      <c r="L81" s="857" t="n"/>
      <c r="M81" s="857" t="n"/>
      <c r="N81" s="857" t="n"/>
      <c r="O81" s="845" t="n"/>
      <c r="P81" s="845" t="n"/>
      <c r="Q81" s="845" t="n"/>
      <c r="R81" s="845" t="n"/>
      <c r="S81" s="845" t="n"/>
      <c r="T81" s="845" t="n"/>
      <c r="U81" s="845" t="n"/>
      <c r="V81" s="845" t="n"/>
      <c r="W81" s="845" t="n"/>
      <c r="X81" s="845" t="n"/>
      <c r="Y81" s="845" t="n"/>
      <c r="Z81" s="845" t="n"/>
    </row>
    <row r="82">
      <c r="A82" s="845" t="n"/>
      <c r="B82" s="857" t="n"/>
      <c r="C82" s="857" t="n"/>
      <c r="D82" s="857" t="n"/>
      <c r="E82" s="857" t="n"/>
      <c r="F82" s="857" t="n"/>
      <c r="G82" s="858" t="n"/>
      <c r="H82" s="857" t="n"/>
      <c r="I82" s="857" t="n"/>
      <c r="J82" s="857" t="n"/>
      <c r="K82" s="857" t="n"/>
      <c r="L82" s="857" t="n"/>
      <c r="M82" s="857" t="n"/>
      <c r="N82" s="857" t="n"/>
      <c r="O82" s="845" t="n"/>
      <c r="P82" s="845" t="n"/>
      <c r="Q82" s="845" t="n"/>
      <c r="R82" s="845" t="n"/>
      <c r="S82" s="845" t="n"/>
      <c r="T82" s="845" t="n"/>
      <c r="U82" s="845" t="n"/>
      <c r="V82" s="845" t="n"/>
      <c r="W82" s="845" t="n"/>
      <c r="X82" s="845" t="n"/>
      <c r="Y82" s="845" t="n"/>
      <c r="Z82" s="845" t="n"/>
    </row>
    <row r="83">
      <c r="A83" s="845" t="n"/>
      <c r="B83" s="857" t="n"/>
      <c r="C83" s="857" t="n"/>
      <c r="D83" s="857" t="n"/>
      <c r="E83" s="857" t="n"/>
      <c r="F83" s="857" t="n"/>
      <c r="G83" s="858" t="n"/>
      <c r="H83" s="857" t="n"/>
      <c r="I83" s="857" t="n"/>
      <c r="J83" s="857" t="n"/>
      <c r="K83" s="857" t="n"/>
      <c r="L83" s="857" t="n"/>
      <c r="M83" s="857" t="n"/>
      <c r="N83" s="857" t="n"/>
      <c r="O83" s="845" t="n"/>
      <c r="P83" s="845" t="n"/>
      <c r="Q83" s="845" t="n"/>
      <c r="R83" s="845" t="n"/>
      <c r="S83" s="845" t="n"/>
      <c r="T83" s="845" t="n"/>
      <c r="U83" s="845" t="n"/>
      <c r="V83" s="845" t="n"/>
      <c r="W83" s="845" t="n"/>
      <c r="X83" s="845" t="n"/>
      <c r="Y83" s="845" t="n"/>
      <c r="Z83" s="845" t="n"/>
    </row>
    <row r="84">
      <c r="A84" s="845" t="n"/>
      <c r="B84" s="857" t="n"/>
      <c r="C84" s="857" t="n"/>
      <c r="D84" s="857" t="n"/>
      <c r="E84" s="857" t="n"/>
      <c r="F84" s="857" t="n"/>
      <c r="G84" s="858" t="n"/>
      <c r="H84" s="857" t="n"/>
      <c r="I84" s="857" t="n"/>
      <c r="J84" s="857" t="n"/>
      <c r="K84" s="857" t="n"/>
      <c r="L84" s="857" t="n"/>
      <c r="M84" s="857" t="n"/>
      <c r="N84" s="857" t="n"/>
      <c r="O84" s="845" t="n"/>
      <c r="P84" s="845" t="n"/>
      <c r="Q84" s="845" t="n"/>
      <c r="R84" s="845" t="n"/>
      <c r="S84" s="845" t="n"/>
      <c r="T84" s="845" t="n"/>
      <c r="U84" s="845" t="n"/>
      <c r="V84" s="845" t="n"/>
      <c r="W84" s="845" t="n"/>
      <c r="X84" s="845" t="n"/>
      <c r="Y84" s="845" t="n"/>
      <c r="Z84" s="845" t="n"/>
    </row>
    <row r="85">
      <c r="A85" s="845" t="n"/>
      <c r="B85" s="857" t="n"/>
      <c r="C85" s="857" t="n"/>
      <c r="D85" s="857" t="n"/>
      <c r="E85" s="857" t="n"/>
      <c r="F85" s="857" t="n"/>
      <c r="G85" s="858" t="n"/>
      <c r="H85" s="857" t="n"/>
      <c r="I85" s="857" t="n"/>
      <c r="J85" s="857" t="n"/>
      <c r="K85" s="857" t="n"/>
      <c r="L85" s="857" t="n"/>
      <c r="M85" s="857" t="n"/>
      <c r="N85" s="857" t="n"/>
      <c r="O85" s="845" t="n"/>
      <c r="P85" s="845" t="n"/>
      <c r="Q85" s="845" t="n"/>
      <c r="R85" s="845" t="n"/>
      <c r="S85" s="845" t="n"/>
      <c r="T85" s="845" t="n"/>
      <c r="U85" s="845" t="n"/>
      <c r="V85" s="845" t="n"/>
      <c r="W85" s="845" t="n"/>
      <c r="X85" s="845" t="n"/>
      <c r="Y85" s="845" t="n"/>
      <c r="Z85" s="845" t="n"/>
    </row>
    <row r="86">
      <c r="A86" s="845" t="n"/>
      <c r="B86" s="857" t="n"/>
      <c r="C86" s="857" t="n"/>
      <c r="D86" s="857" t="n"/>
      <c r="E86" s="857" t="n"/>
      <c r="F86" s="857" t="n"/>
      <c r="G86" s="858" t="n"/>
      <c r="H86" s="857" t="n"/>
      <c r="I86" s="857" t="n"/>
      <c r="J86" s="857" t="n"/>
      <c r="K86" s="857" t="n"/>
      <c r="L86" s="857" t="n"/>
      <c r="M86" s="857" t="n"/>
      <c r="N86" s="857" t="n"/>
      <c r="O86" s="845" t="n"/>
      <c r="P86" s="845" t="n"/>
      <c r="Q86" s="845" t="n"/>
      <c r="R86" s="845" t="n"/>
      <c r="S86" s="845" t="n"/>
      <c r="T86" s="845" t="n"/>
      <c r="U86" s="845" t="n"/>
      <c r="V86" s="845" t="n"/>
      <c r="W86" s="845" t="n"/>
      <c r="X86" s="845" t="n"/>
      <c r="Y86" s="845" t="n"/>
      <c r="Z86" s="845" t="n"/>
    </row>
    <row r="87">
      <c r="A87" s="845" t="n"/>
      <c r="B87" s="857" t="n"/>
      <c r="C87" s="857" t="n"/>
      <c r="D87" s="857" t="n"/>
      <c r="E87" s="857" t="n"/>
      <c r="F87" s="857" t="n"/>
      <c r="G87" s="858" t="n"/>
      <c r="H87" s="857" t="n"/>
      <c r="I87" s="857" t="n"/>
      <c r="J87" s="857" t="n"/>
      <c r="K87" s="857" t="n"/>
      <c r="L87" s="857" t="n"/>
      <c r="M87" s="857" t="n"/>
      <c r="N87" s="857" t="n"/>
      <c r="O87" s="845" t="n"/>
      <c r="P87" s="845" t="n"/>
      <c r="Q87" s="845" t="n"/>
      <c r="R87" s="845" t="n"/>
      <c r="S87" s="845" t="n"/>
      <c r="T87" s="845" t="n"/>
      <c r="U87" s="845" t="n"/>
      <c r="V87" s="845" t="n"/>
      <c r="W87" s="845" t="n"/>
      <c r="X87" s="845" t="n"/>
      <c r="Y87" s="845" t="n"/>
      <c r="Z87" s="845" t="n"/>
    </row>
    <row r="88">
      <c r="A88" s="845" t="n"/>
      <c r="B88" s="857" t="n"/>
      <c r="C88" s="857" t="n"/>
      <c r="D88" s="857" t="n"/>
      <c r="E88" s="857" t="n"/>
      <c r="F88" s="857" t="n"/>
      <c r="G88" s="858" t="n"/>
      <c r="H88" s="857" t="n"/>
      <c r="I88" s="857" t="n"/>
      <c r="J88" s="857" t="n"/>
      <c r="K88" s="857" t="n"/>
      <c r="L88" s="857" t="n"/>
      <c r="M88" s="857" t="n"/>
      <c r="N88" s="857" t="n"/>
      <c r="O88" s="845" t="n"/>
      <c r="P88" s="845" t="n"/>
      <c r="Q88" s="845" t="n"/>
      <c r="R88" s="845" t="n"/>
      <c r="S88" s="845" t="n"/>
      <c r="T88" s="845" t="n"/>
      <c r="U88" s="845" t="n"/>
      <c r="V88" s="845" t="n"/>
      <c r="W88" s="845" t="n"/>
      <c r="X88" s="845" t="n"/>
      <c r="Y88" s="845" t="n"/>
      <c r="Z88" s="845" t="n"/>
    </row>
    <row r="89">
      <c r="A89" s="845" t="n"/>
      <c r="B89" s="857" t="n"/>
      <c r="C89" s="857" t="n"/>
      <c r="D89" s="857" t="n"/>
      <c r="E89" s="857" t="n"/>
      <c r="F89" s="857" t="n"/>
      <c r="G89" s="858" t="n"/>
      <c r="H89" s="857" t="n"/>
      <c r="I89" s="857" t="n"/>
      <c r="J89" s="857" t="n"/>
      <c r="K89" s="857" t="n"/>
      <c r="L89" s="857" t="n"/>
      <c r="M89" s="857" t="n"/>
      <c r="N89" s="857" t="n"/>
      <c r="O89" s="845" t="n"/>
      <c r="P89" s="845" t="n"/>
      <c r="Q89" s="845" t="n"/>
      <c r="R89" s="845" t="n"/>
      <c r="S89" s="845" t="n"/>
      <c r="T89" s="845" t="n"/>
      <c r="U89" s="845" t="n"/>
      <c r="V89" s="845" t="n"/>
      <c r="W89" s="845" t="n"/>
      <c r="X89" s="845" t="n"/>
      <c r="Y89" s="845" t="n"/>
      <c r="Z89" s="845" t="n"/>
    </row>
    <row r="90">
      <c r="A90" s="845" t="n"/>
      <c r="B90" s="857" t="n"/>
      <c r="C90" s="857" t="n"/>
      <c r="D90" s="857" t="n"/>
      <c r="E90" s="857" t="n"/>
      <c r="F90" s="857" t="n"/>
      <c r="G90" s="858" t="n"/>
      <c r="H90" s="857" t="n"/>
      <c r="I90" s="857" t="n"/>
      <c r="J90" s="857" t="n"/>
      <c r="K90" s="857" t="n"/>
      <c r="L90" s="857" t="n"/>
      <c r="M90" s="857" t="n"/>
      <c r="N90" s="857" t="n"/>
      <c r="O90" s="845" t="n"/>
      <c r="P90" s="845" t="n"/>
      <c r="Q90" s="845" t="n"/>
      <c r="R90" s="845" t="n"/>
      <c r="S90" s="845" t="n"/>
      <c r="T90" s="845" t="n"/>
      <c r="U90" s="845" t="n"/>
      <c r="V90" s="845" t="n"/>
      <c r="W90" s="845" t="n"/>
      <c r="X90" s="845" t="n"/>
      <c r="Y90" s="845" t="n"/>
      <c r="Z90" s="845" t="n"/>
    </row>
    <row r="91">
      <c r="A91" s="845" t="n"/>
      <c r="B91" s="857" t="n"/>
      <c r="C91" s="857" t="n"/>
      <c r="D91" s="857" t="n"/>
      <c r="E91" s="857" t="n"/>
      <c r="F91" s="857" t="n"/>
      <c r="G91" s="858" t="n"/>
      <c r="H91" s="857" t="n"/>
      <c r="I91" s="857" t="n"/>
      <c r="J91" s="857" t="n"/>
      <c r="K91" s="857" t="n"/>
      <c r="L91" s="857" t="n"/>
      <c r="M91" s="857" t="n"/>
      <c r="N91" s="857" t="n"/>
      <c r="O91" s="845" t="n"/>
      <c r="P91" s="845" t="n"/>
      <c r="Q91" s="845" t="n"/>
      <c r="R91" s="845" t="n"/>
      <c r="S91" s="845" t="n"/>
      <c r="T91" s="845" t="n"/>
      <c r="U91" s="845" t="n"/>
      <c r="V91" s="845" t="n"/>
      <c r="W91" s="845" t="n"/>
      <c r="X91" s="845" t="n"/>
      <c r="Y91" s="845" t="n"/>
      <c r="Z91" s="845" t="n"/>
    </row>
    <row r="92">
      <c r="A92" s="845" t="n"/>
      <c r="B92" s="857" t="n"/>
      <c r="C92" s="857" t="n"/>
      <c r="D92" s="857" t="n"/>
      <c r="E92" s="857" t="n"/>
      <c r="F92" s="857" t="n"/>
      <c r="G92" s="858" t="n"/>
      <c r="H92" s="857" t="n"/>
      <c r="I92" s="857" t="n"/>
      <c r="J92" s="857" t="n"/>
      <c r="K92" s="857" t="n"/>
      <c r="L92" s="857" t="n"/>
      <c r="M92" s="857" t="n"/>
      <c r="N92" s="857" t="n"/>
      <c r="O92" s="845" t="n"/>
      <c r="P92" s="845" t="n"/>
      <c r="Q92" s="845" t="n"/>
      <c r="R92" s="845" t="n"/>
      <c r="S92" s="845" t="n"/>
      <c r="T92" s="845" t="n"/>
      <c r="U92" s="845" t="n"/>
      <c r="V92" s="845" t="n"/>
      <c r="W92" s="845" t="n"/>
      <c r="X92" s="845" t="n"/>
      <c r="Y92" s="845" t="n"/>
      <c r="Z92" s="845" t="n"/>
    </row>
    <row r="93">
      <c r="A93" s="845" t="n"/>
      <c r="B93" s="857" t="n"/>
      <c r="C93" s="857" t="n"/>
      <c r="D93" s="857" t="n"/>
      <c r="E93" s="857" t="n"/>
      <c r="F93" s="857" t="n"/>
      <c r="G93" s="858" t="n"/>
      <c r="H93" s="857" t="n"/>
      <c r="I93" s="857" t="n"/>
      <c r="J93" s="857" t="n"/>
      <c r="K93" s="857" t="n"/>
      <c r="L93" s="857" t="n"/>
      <c r="M93" s="857" t="n"/>
      <c r="N93" s="857" t="n"/>
      <c r="O93" s="845" t="n"/>
      <c r="P93" s="845" t="n"/>
      <c r="Q93" s="845" t="n"/>
      <c r="R93" s="845" t="n"/>
      <c r="S93" s="845" t="n"/>
      <c r="T93" s="845" t="n"/>
      <c r="U93" s="845" t="n"/>
      <c r="V93" s="845" t="n"/>
      <c r="W93" s="845" t="n"/>
      <c r="X93" s="845" t="n"/>
      <c r="Y93" s="845" t="n"/>
      <c r="Z93" s="845" t="n"/>
    </row>
    <row r="94">
      <c r="A94" s="845" t="n"/>
      <c r="B94" s="857" t="n"/>
      <c r="C94" s="857" t="n"/>
      <c r="D94" s="857" t="n"/>
      <c r="E94" s="857" t="n"/>
      <c r="F94" s="857" t="n"/>
      <c r="G94" s="858" t="n"/>
      <c r="H94" s="857" t="n"/>
      <c r="I94" s="857" t="n"/>
      <c r="J94" s="857" t="n"/>
      <c r="K94" s="857" t="n"/>
      <c r="L94" s="857" t="n"/>
      <c r="M94" s="857" t="n"/>
      <c r="N94" s="857" t="n"/>
      <c r="O94" s="845" t="n"/>
      <c r="P94" s="845" t="n"/>
      <c r="Q94" s="845" t="n"/>
      <c r="R94" s="845" t="n"/>
      <c r="S94" s="845" t="n"/>
      <c r="T94" s="845" t="n"/>
      <c r="U94" s="845" t="n"/>
      <c r="V94" s="845" t="n"/>
      <c r="W94" s="845" t="n"/>
      <c r="X94" s="845" t="n"/>
      <c r="Y94" s="845" t="n"/>
      <c r="Z94" s="845" t="n"/>
    </row>
    <row r="95">
      <c r="A95" s="845" t="n"/>
      <c r="B95" s="857" t="n"/>
      <c r="C95" s="857" t="n"/>
      <c r="D95" s="857" t="n"/>
      <c r="E95" s="857" t="n"/>
      <c r="F95" s="857" t="n"/>
      <c r="G95" s="858" t="n"/>
      <c r="H95" s="857" t="n"/>
      <c r="I95" s="857" t="n"/>
      <c r="J95" s="857" t="n"/>
      <c r="K95" s="857" t="n"/>
      <c r="L95" s="857" t="n"/>
      <c r="M95" s="857" t="n"/>
      <c r="N95" s="857" t="n"/>
      <c r="O95" s="845" t="n"/>
      <c r="P95" s="845" t="n"/>
      <c r="Q95" s="845" t="n"/>
      <c r="R95" s="845" t="n"/>
      <c r="S95" s="845" t="n"/>
      <c r="T95" s="845" t="n"/>
      <c r="U95" s="845" t="n"/>
      <c r="V95" s="845" t="n"/>
      <c r="W95" s="845" t="n"/>
      <c r="X95" s="845" t="n"/>
      <c r="Y95" s="845" t="n"/>
      <c r="Z95" s="845" t="n"/>
    </row>
    <row r="96">
      <c r="A96" s="845" t="n"/>
      <c r="B96" s="857" t="n"/>
      <c r="C96" s="857" t="n"/>
      <c r="D96" s="857" t="n"/>
      <c r="E96" s="857" t="n"/>
      <c r="F96" s="857" t="n"/>
      <c r="G96" s="858" t="n"/>
      <c r="H96" s="857" t="n"/>
      <c r="I96" s="857" t="n"/>
      <c r="J96" s="857" t="n"/>
      <c r="K96" s="857" t="n"/>
      <c r="L96" s="857" t="n"/>
      <c r="M96" s="857" t="n"/>
      <c r="N96" s="857" t="n"/>
      <c r="O96" s="845" t="n"/>
      <c r="P96" s="845" t="n"/>
      <c r="Q96" s="845" t="n"/>
      <c r="R96" s="845" t="n"/>
      <c r="S96" s="845" t="n"/>
      <c r="T96" s="845" t="n"/>
      <c r="U96" s="845" t="n"/>
      <c r="V96" s="845" t="n"/>
      <c r="W96" s="845" t="n"/>
      <c r="X96" s="845" t="n"/>
      <c r="Y96" s="845" t="n"/>
      <c r="Z96" s="845" t="n"/>
    </row>
    <row r="97">
      <c r="A97" s="845" t="n"/>
      <c r="B97" s="857" t="n"/>
      <c r="C97" s="857" t="n"/>
      <c r="D97" s="857" t="n"/>
      <c r="E97" s="857" t="n"/>
      <c r="F97" s="857" t="n"/>
      <c r="G97" s="858" t="n"/>
      <c r="H97" s="857" t="n"/>
      <c r="I97" s="857" t="n"/>
      <c r="J97" s="857" t="n"/>
      <c r="K97" s="857" t="n"/>
      <c r="L97" s="857" t="n"/>
      <c r="M97" s="857" t="n"/>
      <c r="N97" s="857" t="n"/>
      <c r="O97" s="845" t="n"/>
      <c r="P97" s="845" t="n"/>
      <c r="Q97" s="845" t="n"/>
      <c r="R97" s="845" t="n"/>
      <c r="S97" s="845" t="n"/>
      <c r="T97" s="845" t="n"/>
      <c r="U97" s="845" t="n"/>
      <c r="V97" s="845" t="n"/>
      <c r="W97" s="845" t="n"/>
      <c r="X97" s="845" t="n"/>
      <c r="Y97" s="845" t="n"/>
      <c r="Z97" s="845" t="n"/>
    </row>
    <row r="98">
      <c r="A98" s="845" t="n"/>
      <c r="B98" s="857" t="n"/>
      <c r="C98" s="857" t="n"/>
      <c r="D98" s="857" t="n"/>
      <c r="E98" s="857" t="n"/>
      <c r="F98" s="857" t="n"/>
      <c r="G98" s="858" t="n"/>
      <c r="H98" s="857" t="n"/>
      <c r="I98" s="857" t="n"/>
      <c r="J98" s="857" t="n"/>
      <c r="K98" s="857" t="n"/>
      <c r="L98" s="857" t="n"/>
      <c r="M98" s="857" t="n"/>
      <c r="N98" s="857" t="n"/>
      <c r="O98" s="845" t="n"/>
      <c r="P98" s="845" t="n"/>
      <c r="Q98" s="845" t="n"/>
      <c r="R98" s="845" t="n"/>
      <c r="S98" s="845" t="n"/>
      <c r="T98" s="845" t="n"/>
      <c r="U98" s="845" t="n"/>
      <c r="V98" s="845" t="n"/>
      <c r="W98" s="845" t="n"/>
      <c r="X98" s="845" t="n"/>
      <c r="Y98" s="845" t="n"/>
      <c r="Z98" s="845" t="n"/>
    </row>
    <row r="99">
      <c r="A99" s="845" t="n"/>
      <c r="B99" s="857" t="n"/>
      <c r="C99" s="857" t="n"/>
      <c r="D99" s="857" t="n"/>
      <c r="E99" s="857" t="n"/>
      <c r="F99" s="857" t="n"/>
      <c r="G99" s="858" t="n"/>
      <c r="H99" s="857" t="n"/>
      <c r="I99" s="857" t="n"/>
      <c r="J99" s="857" t="n"/>
      <c r="K99" s="857" t="n"/>
      <c r="L99" s="857" t="n"/>
      <c r="M99" s="857" t="n"/>
      <c r="N99" s="857" t="n"/>
      <c r="O99" s="845" t="n"/>
      <c r="P99" s="845" t="n"/>
      <c r="Q99" s="845" t="n"/>
      <c r="R99" s="845" t="n"/>
      <c r="S99" s="845" t="n"/>
      <c r="T99" s="845" t="n"/>
      <c r="U99" s="845" t="n"/>
      <c r="V99" s="845" t="n"/>
      <c r="W99" s="845" t="n"/>
      <c r="X99" s="845" t="n"/>
      <c r="Y99" s="845" t="n"/>
      <c r="Z99" s="845" t="n"/>
    </row>
    <row r="100">
      <c r="A100" s="845" t="n"/>
      <c r="B100" s="857" t="n"/>
      <c r="C100" s="857" t="n"/>
      <c r="D100" s="857" t="n"/>
      <c r="E100" s="857" t="n"/>
      <c r="F100" s="857" t="n"/>
      <c r="G100" s="858" t="n"/>
      <c r="H100" s="857" t="n"/>
      <c r="I100" s="857" t="n"/>
      <c r="J100" s="857" t="n"/>
      <c r="K100" s="857" t="n"/>
      <c r="L100" s="857" t="n"/>
      <c r="M100" s="857" t="n"/>
      <c r="N100" s="857" t="n"/>
      <c r="O100" s="845" t="n"/>
      <c r="P100" s="845" t="n"/>
      <c r="Q100" s="845" t="n"/>
      <c r="R100" s="845" t="n"/>
      <c r="S100" s="845" t="n"/>
      <c r="T100" s="845" t="n"/>
      <c r="U100" s="845" t="n"/>
      <c r="V100" s="845" t="n"/>
      <c r="W100" s="845" t="n"/>
      <c r="X100" s="845" t="n"/>
      <c r="Y100" s="845" t="n"/>
      <c r="Z100" s="845" t="n"/>
    </row>
    <row r="101">
      <c r="A101" s="845" t="n"/>
      <c r="B101" s="857" t="n"/>
      <c r="C101" s="857" t="n"/>
      <c r="D101" s="857" t="n"/>
      <c r="E101" s="857" t="n"/>
      <c r="F101" s="857" t="n"/>
      <c r="G101" s="858" t="n"/>
      <c r="H101" s="857" t="n"/>
      <c r="I101" s="857" t="n"/>
      <c r="J101" s="857" t="n"/>
      <c r="K101" s="857" t="n"/>
      <c r="L101" s="857" t="n"/>
      <c r="M101" s="857" t="n"/>
      <c r="N101" s="857" t="n"/>
      <c r="O101" s="845" t="n"/>
      <c r="P101" s="845" t="n"/>
      <c r="Q101" s="845" t="n"/>
      <c r="R101" s="845" t="n"/>
      <c r="S101" s="845" t="n"/>
      <c r="T101" s="845" t="n"/>
      <c r="U101" s="845" t="n"/>
      <c r="V101" s="845" t="n"/>
      <c r="W101" s="845" t="n"/>
      <c r="X101" s="845" t="n"/>
      <c r="Y101" s="845" t="n"/>
      <c r="Z101" s="845" t="n"/>
    </row>
    <row r="102">
      <c r="A102" s="845" t="n"/>
      <c r="B102" s="857" t="n"/>
      <c r="C102" s="857" t="n"/>
      <c r="D102" s="857" t="n"/>
      <c r="E102" s="857" t="n"/>
      <c r="F102" s="857" t="n"/>
      <c r="G102" s="858" t="n"/>
      <c r="H102" s="857" t="n"/>
      <c r="I102" s="857" t="n"/>
      <c r="J102" s="857" t="n"/>
      <c r="K102" s="857" t="n"/>
      <c r="L102" s="857" t="n"/>
      <c r="M102" s="857" t="n"/>
      <c r="N102" s="857" t="n"/>
      <c r="O102" s="845" t="n"/>
      <c r="P102" s="845" t="n"/>
      <c r="Q102" s="845" t="n"/>
      <c r="R102" s="845" t="n"/>
      <c r="S102" s="845" t="n"/>
      <c r="T102" s="845" t="n"/>
      <c r="U102" s="845" t="n"/>
      <c r="V102" s="845" t="n"/>
      <c r="W102" s="845" t="n"/>
      <c r="X102" s="845" t="n"/>
      <c r="Y102" s="845" t="n"/>
      <c r="Z102" s="845" t="n"/>
    </row>
    <row r="103">
      <c r="A103" s="845" t="n"/>
      <c r="B103" s="857" t="n"/>
      <c r="C103" s="857" t="n"/>
      <c r="D103" s="857" t="n"/>
      <c r="E103" s="857" t="n"/>
      <c r="F103" s="857" t="n"/>
      <c r="G103" s="858" t="n"/>
      <c r="H103" s="857" t="n"/>
      <c r="I103" s="857" t="n"/>
      <c r="J103" s="857" t="n"/>
      <c r="K103" s="857" t="n"/>
      <c r="L103" s="857" t="n"/>
      <c r="M103" s="857" t="n"/>
      <c r="N103" s="857" t="n"/>
      <c r="O103" s="845" t="n"/>
      <c r="P103" s="845" t="n"/>
      <c r="Q103" s="845" t="n"/>
      <c r="R103" s="845" t="n"/>
      <c r="S103" s="845" t="n"/>
      <c r="T103" s="845" t="n"/>
      <c r="U103" s="845" t="n"/>
      <c r="V103" s="845" t="n"/>
      <c r="W103" s="845" t="n"/>
      <c r="X103" s="845" t="n"/>
      <c r="Y103" s="845" t="n"/>
      <c r="Z103" s="845" t="n"/>
    </row>
    <row r="104">
      <c r="A104" s="845" t="n"/>
      <c r="B104" s="857" t="n"/>
      <c r="C104" s="857" t="n"/>
      <c r="D104" s="857" t="n"/>
      <c r="E104" s="857" t="n"/>
      <c r="F104" s="857" t="n"/>
      <c r="G104" s="858" t="n"/>
      <c r="H104" s="857" t="n"/>
      <c r="I104" s="857" t="n"/>
      <c r="J104" s="857" t="n"/>
      <c r="K104" s="857" t="n"/>
      <c r="L104" s="857" t="n"/>
      <c r="M104" s="857" t="n"/>
      <c r="N104" s="857" t="n"/>
      <c r="O104" s="845" t="n"/>
      <c r="P104" s="845" t="n"/>
      <c r="Q104" s="845" t="n"/>
      <c r="R104" s="845" t="n"/>
      <c r="S104" s="845" t="n"/>
      <c r="T104" s="845" t="n"/>
      <c r="U104" s="845" t="n"/>
      <c r="V104" s="845" t="n"/>
      <c r="W104" s="845" t="n"/>
      <c r="X104" s="845" t="n"/>
      <c r="Y104" s="845" t="n"/>
      <c r="Z104" s="845" t="n"/>
    </row>
    <row r="105">
      <c r="A105" s="845" t="n"/>
      <c r="B105" s="857" t="n"/>
      <c r="C105" s="857" t="n"/>
      <c r="D105" s="857" t="n"/>
      <c r="E105" s="857" t="n"/>
      <c r="F105" s="857" t="n"/>
      <c r="G105" s="858" t="n"/>
      <c r="H105" s="857" t="n"/>
      <c r="I105" s="857" t="n"/>
      <c r="J105" s="857" t="n"/>
      <c r="K105" s="857" t="n"/>
      <c r="L105" s="857" t="n"/>
      <c r="M105" s="857" t="n"/>
      <c r="N105" s="857" t="n"/>
      <c r="O105" s="845" t="n"/>
      <c r="P105" s="845" t="n"/>
      <c r="Q105" s="845" t="n"/>
      <c r="R105" s="845" t="n"/>
      <c r="S105" s="845" t="n"/>
      <c r="T105" s="845" t="n"/>
      <c r="U105" s="845" t="n"/>
      <c r="V105" s="845" t="n"/>
      <c r="W105" s="845" t="n"/>
      <c r="X105" s="845" t="n"/>
      <c r="Y105" s="845" t="n"/>
      <c r="Z105" s="845" t="n"/>
    </row>
    <row r="106">
      <c r="A106" s="845" t="n"/>
      <c r="B106" s="857" t="n"/>
      <c r="C106" s="857" t="n"/>
      <c r="D106" s="857" t="n"/>
      <c r="E106" s="857" t="n"/>
      <c r="F106" s="857" t="n"/>
      <c r="G106" s="858" t="n"/>
      <c r="H106" s="857" t="n"/>
      <c r="I106" s="857" t="n"/>
      <c r="J106" s="857" t="n"/>
      <c r="K106" s="857" t="n"/>
      <c r="L106" s="857" t="n"/>
      <c r="M106" s="857" t="n"/>
      <c r="N106" s="857" t="n"/>
      <c r="O106" s="845" t="n"/>
      <c r="P106" s="845" t="n"/>
      <c r="Q106" s="845" t="n"/>
      <c r="R106" s="845" t="n"/>
      <c r="S106" s="845" t="n"/>
      <c r="T106" s="845" t="n"/>
      <c r="U106" s="845" t="n"/>
      <c r="V106" s="845" t="n"/>
      <c r="W106" s="845" t="n"/>
      <c r="X106" s="845" t="n"/>
      <c r="Y106" s="845" t="n"/>
      <c r="Z106" s="845" t="n"/>
    </row>
    <row r="107">
      <c r="A107" s="845" t="n"/>
      <c r="B107" s="857" t="n"/>
      <c r="C107" s="857" t="n"/>
      <c r="D107" s="857" t="n"/>
      <c r="E107" s="857" t="n"/>
      <c r="F107" s="857" t="n"/>
      <c r="G107" s="858" t="n"/>
      <c r="H107" s="857" t="n"/>
      <c r="I107" s="857" t="n"/>
      <c r="J107" s="857" t="n"/>
      <c r="K107" s="857" t="n"/>
      <c r="L107" s="857" t="n"/>
      <c r="M107" s="857" t="n"/>
      <c r="N107" s="857" t="n"/>
      <c r="O107" s="845" t="n"/>
      <c r="P107" s="845" t="n"/>
      <c r="Q107" s="845" t="n"/>
      <c r="R107" s="845" t="n"/>
      <c r="S107" s="845" t="n"/>
      <c r="T107" s="845" t="n"/>
      <c r="U107" s="845" t="n"/>
      <c r="V107" s="845" t="n"/>
      <c r="W107" s="845" t="n"/>
      <c r="X107" s="845" t="n"/>
      <c r="Y107" s="845" t="n"/>
      <c r="Z107" s="845" t="n"/>
    </row>
    <row r="108">
      <c r="A108" s="845" t="n"/>
      <c r="B108" s="857" t="n"/>
      <c r="C108" s="857" t="n"/>
      <c r="D108" s="857" t="n"/>
      <c r="E108" s="857" t="n"/>
      <c r="F108" s="857" t="n"/>
      <c r="G108" s="858" t="n"/>
      <c r="H108" s="857" t="n"/>
      <c r="I108" s="857" t="n"/>
      <c r="J108" s="857" t="n"/>
      <c r="K108" s="857" t="n"/>
      <c r="L108" s="857" t="n"/>
      <c r="M108" s="857" t="n"/>
      <c r="N108" s="857" t="n"/>
      <c r="O108" s="845" t="n"/>
      <c r="P108" s="845" t="n"/>
      <c r="Q108" s="845" t="n"/>
      <c r="R108" s="845" t="n"/>
      <c r="S108" s="845" t="n"/>
      <c r="T108" s="845" t="n"/>
      <c r="U108" s="845" t="n"/>
      <c r="V108" s="845" t="n"/>
      <c r="W108" s="845" t="n"/>
      <c r="X108" s="845" t="n"/>
      <c r="Y108" s="845" t="n"/>
      <c r="Z108" s="845" t="n"/>
    </row>
    <row r="109">
      <c r="A109" s="845" t="n"/>
      <c r="B109" s="857" t="n"/>
      <c r="C109" s="857" t="n"/>
      <c r="D109" s="857" t="n"/>
      <c r="E109" s="857" t="n"/>
      <c r="F109" s="857" t="n"/>
      <c r="G109" s="858" t="n"/>
      <c r="H109" s="857" t="n"/>
      <c r="I109" s="857" t="n"/>
      <c r="J109" s="857" t="n"/>
      <c r="K109" s="857" t="n"/>
      <c r="L109" s="857" t="n"/>
      <c r="M109" s="857" t="n"/>
      <c r="N109" s="857" t="n"/>
      <c r="O109" s="845" t="n"/>
      <c r="P109" s="845" t="n"/>
      <c r="Q109" s="845" t="n"/>
      <c r="R109" s="845" t="n"/>
      <c r="S109" s="845" t="n"/>
      <c r="T109" s="845" t="n"/>
      <c r="U109" s="845" t="n"/>
      <c r="V109" s="845" t="n"/>
      <c r="W109" s="845" t="n"/>
      <c r="X109" s="845" t="n"/>
      <c r="Y109" s="845" t="n"/>
      <c r="Z109" s="845" t="n"/>
    </row>
    <row r="110">
      <c r="A110" s="845" t="n"/>
      <c r="B110" s="857" t="n"/>
      <c r="C110" s="857" t="n"/>
      <c r="D110" s="857" t="n"/>
      <c r="E110" s="857" t="n"/>
      <c r="F110" s="857" t="n"/>
      <c r="G110" s="858" t="n"/>
      <c r="H110" s="857" t="n"/>
      <c r="I110" s="857" t="n"/>
      <c r="J110" s="857" t="n"/>
      <c r="K110" s="857" t="n"/>
      <c r="L110" s="857" t="n"/>
      <c r="M110" s="857" t="n"/>
      <c r="N110" s="857" t="n"/>
      <c r="O110" s="845" t="n"/>
      <c r="P110" s="845" t="n"/>
      <c r="Q110" s="845" t="n"/>
      <c r="R110" s="845" t="n"/>
      <c r="S110" s="845" t="n"/>
      <c r="T110" s="845" t="n"/>
      <c r="U110" s="845" t="n"/>
      <c r="V110" s="845" t="n"/>
      <c r="W110" s="845" t="n"/>
      <c r="X110" s="845" t="n"/>
      <c r="Y110" s="845" t="n"/>
      <c r="Z110" s="845" t="n"/>
    </row>
    <row r="111">
      <c r="A111" s="845" t="n"/>
      <c r="B111" s="857" t="n"/>
      <c r="C111" s="857" t="n"/>
      <c r="D111" s="857" t="n"/>
      <c r="E111" s="857" t="n"/>
      <c r="F111" s="857" t="n"/>
      <c r="G111" s="858" t="n"/>
      <c r="H111" s="857" t="n"/>
      <c r="I111" s="857" t="n"/>
      <c r="J111" s="857" t="n"/>
      <c r="K111" s="857" t="n"/>
      <c r="L111" s="857" t="n"/>
      <c r="M111" s="857" t="n"/>
      <c r="N111" s="857" t="n"/>
      <c r="O111" s="845" t="n"/>
      <c r="P111" s="845" t="n"/>
      <c r="Q111" s="845" t="n"/>
      <c r="R111" s="845" t="n"/>
      <c r="S111" s="845" t="n"/>
      <c r="T111" s="845" t="n"/>
      <c r="U111" s="845" t="n"/>
      <c r="V111" s="845" t="n"/>
      <c r="W111" s="845" t="n"/>
      <c r="X111" s="845" t="n"/>
      <c r="Y111" s="845" t="n"/>
      <c r="Z111" s="845" t="n"/>
    </row>
    <row r="112">
      <c r="A112" s="845" t="n"/>
      <c r="B112" s="857" t="n"/>
      <c r="C112" s="857" t="n"/>
      <c r="D112" s="857" t="n"/>
      <c r="E112" s="857" t="n"/>
      <c r="F112" s="857" t="n"/>
      <c r="G112" s="858" t="n"/>
      <c r="H112" s="857" t="n"/>
      <c r="I112" s="857" t="n"/>
      <c r="J112" s="857" t="n"/>
      <c r="K112" s="857" t="n"/>
      <c r="L112" s="857" t="n"/>
      <c r="M112" s="857" t="n"/>
      <c r="N112" s="857" t="n"/>
      <c r="O112" s="845" t="n"/>
      <c r="P112" s="845" t="n"/>
      <c r="Q112" s="845" t="n"/>
      <c r="R112" s="845" t="n"/>
      <c r="S112" s="845" t="n"/>
      <c r="T112" s="845" t="n"/>
      <c r="U112" s="845" t="n"/>
      <c r="V112" s="845" t="n"/>
      <c r="W112" s="845" t="n"/>
      <c r="X112" s="845" t="n"/>
      <c r="Y112" s="845" t="n"/>
      <c r="Z112" s="845" t="n"/>
    </row>
    <row r="113">
      <c r="A113" s="845" t="n"/>
      <c r="B113" s="857" t="n"/>
      <c r="C113" s="857" t="n"/>
      <c r="D113" s="857" t="n"/>
      <c r="E113" s="857" t="n"/>
      <c r="F113" s="857" t="n"/>
      <c r="G113" s="858" t="n"/>
      <c r="H113" s="857" t="n"/>
      <c r="I113" s="857" t="n"/>
      <c r="J113" s="857" t="n"/>
      <c r="K113" s="857" t="n"/>
      <c r="L113" s="857" t="n"/>
      <c r="M113" s="857" t="n"/>
      <c r="N113" s="857" t="n"/>
      <c r="O113" s="845" t="n"/>
      <c r="P113" s="845" t="n"/>
      <c r="Q113" s="845" t="n"/>
      <c r="R113" s="845" t="n"/>
      <c r="S113" s="845" t="n"/>
      <c r="T113" s="845" t="n"/>
      <c r="U113" s="845" t="n"/>
      <c r="V113" s="845" t="n"/>
      <c r="W113" s="845" t="n"/>
      <c r="X113" s="845" t="n"/>
      <c r="Y113" s="845" t="n"/>
      <c r="Z113" s="845" t="n"/>
    </row>
    <row r="114">
      <c r="A114" s="845" t="n"/>
      <c r="B114" s="857" t="n"/>
      <c r="C114" s="857" t="n"/>
      <c r="D114" s="857" t="n"/>
      <c r="E114" s="857" t="n"/>
      <c r="F114" s="857" t="n"/>
      <c r="G114" s="858" t="n"/>
      <c r="H114" s="857" t="n"/>
      <c r="I114" s="857" t="n"/>
      <c r="J114" s="857" t="n"/>
      <c r="K114" s="857" t="n"/>
      <c r="L114" s="857" t="n"/>
      <c r="M114" s="857" t="n"/>
      <c r="N114" s="857" t="n"/>
      <c r="O114" s="845" t="n"/>
      <c r="P114" s="845" t="n"/>
      <c r="Q114" s="845" t="n"/>
      <c r="R114" s="845" t="n"/>
      <c r="S114" s="845" t="n"/>
      <c r="T114" s="845" t="n"/>
      <c r="U114" s="845" t="n"/>
      <c r="V114" s="845" t="n"/>
      <c r="W114" s="845" t="n"/>
      <c r="X114" s="845" t="n"/>
      <c r="Y114" s="845" t="n"/>
      <c r="Z114" s="845" t="n"/>
    </row>
    <row r="115">
      <c r="A115" s="845" t="n"/>
      <c r="B115" s="857" t="n"/>
      <c r="C115" s="857" t="n"/>
      <c r="D115" s="857" t="n"/>
      <c r="E115" s="857" t="n"/>
      <c r="F115" s="857" t="n"/>
      <c r="G115" s="858" t="n"/>
      <c r="H115" s="857" t="n"/>
      <c r="I115" s="857" t="n"/>
      <c r="J115" s="857" t="n"/>
      <c r="K115" s="857" t="n"/>
      <c r="L115" s="857" t="n"/>
      <c r="M115" s="857" t="n"/>
      <c r="N115" s="857" t="n"/>
      <c r="O115" s="845" t="n"/>
      <c r="P115" s="845" t="n"/>
      <c r="Q115" s="845" t="n"/>
      <c r="R115" s="845" t="n"/>
      <c r="S115" s="845" t="n"/>
      <c r="T115" s="845" t="n"/>
      <c r="U115" s="845" t="n"/>
      <c r="V115" s="845" t="n"/>
      <c r="W115" s="845" t="n"/>
      <c r="X115" s="845" t="n"/>
      <c r="Y115" s="845" t="n"/>
      <c r="Z115" s="845" t="n"/>
    </row>
    <row r="116">
      <c r="A116" s="845" t="n"/>
      <c r="B116" s="857" t="n"/>
      <c r="C116" s="857" t="n"/>
      <c r="D116" s="857" t="n"/>
      <c r="E116" s="857" t="n"/>
      <c r="F116" s="857" t="n"/>
      <c r="G116" s="858" t="n"/>
      <c r="H116" s="857" t="n"/>
      <c r="I116" s="857" t="n"/>
      <c r="J116" s="857" t="n"/>
      <c r="K116" s="857" t="n"/>
      <c r="L116" s="857" t="n"/>
      <c r="M116" s="857" t="n"/>
      <c r="N116" s="857" t="n"/>
      <c r="O116" s="845" t="n"/>
      <c r="P116" s="845" t="n"/>
      <c r="Q116" s="845" t="n"/>
      <c r="R116" s="845" t="n"/>
      <c r="S116" s="845" t="n"/>
      <c r="T116" s="845" t="n"/>
      <c r="U116" s="845" t="n"/>
      <c r="V116" s="845" t="n"/>
      <c r="W116" s="845" t="n"/>
      <c r="X116" s="845" t="n"/>
      <c r="Y116" s="845" t="n"/>
      <c r="Z116" s="845" t="n"/>
    </row>
    <row r="117">
      <c r="A117" s="845" t="n"/>
      <c r="B117" s="857" t="n"/>
      <c r="C117" s="857" t="n"/>
      <c r="D117" s="857" t="n"/>
      <c r="E117" s="857" t="n"/>
      <c r="F117" s="857" t="n"/>
      <c r="G117" s="858" t="n"/>
      <c r="H117" s="857" t="n"/>
      <c r="I117" s="857" t="n"/>
      <c r="J117" s="857" t="n"/>
      <c r="K117" s="857" t="n"/>
      <c r="L117" s="857" t="n"/>
      <c r="M117" s="857" t="n"/>
      <c r="N117" s="857" t="n"/>
      <c r="O117" s="845" t="n"/>
      <c r="P117" s="845" t="n"/>
      <c r="Q117" s="845" t="n"/>
      <c r="R117" s="845" t="n"/>
      <c r="S117" s="845" t="n"/>
      <c r="T117" s="845" t="n"/>
      <c r="U117" s="845" t="n"/>
      <c r="V117" s="845" t="n"/>
      <c r="W117" s="845" t="n"/>
      <c r="X117" s="845" t="n"/>
      <c r="Y117" s="845" t="n"/>
      <c r="Z117" s="845" t="n"/>
    </row>
    <row r="118">
      <c r="A118" s="845" t="n"/>
      <c r="B118" s="857" t="n"/>
      <c r="C118" s="857" t="n"/>
      <c r="D118" s="857" t="n"/>
      <c r="E118" s="857" t="n"/>
      <c r="F118" s="857" t="n"/>
      <c r="G118" s="858" t="n"/>
      <c r="H118" s="857" t="n"/>
      <c r="I118" s="857" t="n"/>
      <c r="J118" s="857" t="n"/>
      <c r="K118" s="857" t="n"/>
      <c r="L118" s="857" t="n"/>
      <c r="M118" s="857" t="n"/>
      <c r="N118" s="857" t="n"/>
      <c r="O118" s="845" t="n"/>
      <c r="P118" s="845" t="n"/>
      <c r="Q118" s="845" t="n"/>
      <c r="R118" s="845" t="n"/>
      <c r="S118" s="845" t="n"/>
      <c r="T118" s="845" t="n"/>
      <c r="U118" s="845" t="n"/>
      <c r="V118" s="845" t="n"/>
      <c r="W118" s="845" t="n"/>
      <c r="X118" s="845" t="n"/>
      <c r="Y118" s="845" t="n"/>
      <c r="Z118" s="845" t="n"/>
    </row>
    <row r="119">
      <c r="A119" s="845" t="n"/>
      <c r="B119" s="857" t="n"/>
      <c r="C119" s="857" t="n"/>
      <c r="D119" s="857" t="n"/>
      <c r="E119" s="857" t="n"/>
      <c r="F119" s="857" t="n"/>
      <c r="G119" s="858" t="n"/>
      <c r="H119" s="857" t="n"/>
      <c r="I119" s="857" t="n"/>
      <c r="J119" s="857" t="n"/>
      <c r="K119" s="857" t="n"/>
      <c r="L119" s="857" t="n"/>
      <c r="M119" s="857" t="n"/>
      <c r="N119" s="857" t="n"/>
      <c r="O119" s="845" t="n"/>
      <c r="P119" s="845" t="n"/>
      <c r="Q119" s="845" t="n"/>
      <c r="R119" s="845" t="n"/>
      <c r="S119" s="845" t="n"/>
      <c r="T119" s="845" t="n"/>
      <c r="U119" s="845" t="n"/>
      <c r="V119" s="845" t="n"/>
      <c r="W119" s="845" t="n"/>
      <c r="X119" s="845" t="n"/>
      <c r="Y119" s="845" t="n"/>
      <c r="Z119" s="845" t="n"/>
    </row>
    <row r="120">
      <c r="A120" s="845" t="n"/>
      <c r="B120" s="857" t="n"/>
      <c r="C120" s="857" t="n"/>
      <c r="D120" s="857" t="n"/>
      <c r="E120" s="857" t="n"/>
      <c r="F120" s="857" t="n"/>
      <c r="G120" s="858" t="n"/>
      <c r="H120" s="857" t="n"/>
      <c r="I120" s="857" t="n"/>
      <c r="J120" s="857" t="n"/>
      <c r="K120" s="857" t="n"/>
      <c r="L120" s="857" t="n"/>
      <c r="M120" s="857" t="n"/>
      <c r="N120" s="857" t="n"/>
      <c r="O120" s="845" t="n"/>
      <c r="P120" s="845" t="n"/>
      <c r="Q120" s="845" t="n"/>
      <c r="R120" s="845" t="n"/>
      <c r="S120" s="845" t="n"/>
      <c r="T120" s="845" t="n"/>
      <c r="U120" s="845" t="n"/>
      <c r="V120" s="845" t="n"/>
      <c r="W120" s="845" t="n"/>
      <c r="X120" s="845" t="n"/>
      <c r="Y120" s="845" t="n"/>
      <c r="Z120" s="845" t="n"/>
    </row>
    <row r="121">
      <c r="A121" s="845" t="n"/>
      <c r="B121" s="857" t="n"/>
      <c r="C121" s="857" t="n"/>
      <c r="D121" s="857" t="n"/>
      <c r="E121" s="857" t="n"/>
      <c r="F121" s="857" t="n"/>
      <c r="G121" s="858" t="n"/>
      <c r="H121" s="857" t="n"/>
      <c r="I121" s="857" t="n"/>
      <c r="J121" s="857" t="n"/>
      <c r="K121" s="857" t="n"/>
      <c r="L121" s="857" t="n"/>
      <c r="M121" s="857" t="n"/>
      <c r="N121" s="857" t="n"/>
      <c r="O121" s="845" t="n"/>
      <c r="P121" s="845" t="n"/>
      <c r="Q121" s="845" t="n"/>
      <c r="R121" s="845" t="n"/>
      <c r="S121" s="845" t="n"/>
      <c r="T121" s="845" t="n"/>
      <c r="U121" s="845" t="n"/>
      <c r="V121" s="845" t="n"/>
      <c r="W121" s="845" t="n"/>
      <c r="X121" s="845" t="n"/>
      <c r="Y121" s="845" t="n"/>
      <c r="Z121" s="845" t="n"/>
    </row>
    <row r="122">
      <c r="A122" s="845" t="n"/>
      <c r="B122" s="857" t="n"/>
      <c r="C122" s="857" t="n"/>
      <c r="D122" s="857" t="n"/>
      <c r="E122" s="857" t="n"/>
      <c r="F122" s="857" t="n"/>
      <c r="G122" s="858" t="n"/>
      <c r="H122" s="857" t="n"/>
      <c r="I122" s="857" t="n"/>
      <c r="J122" s="857" t="n"/>
      <c r="K122" s="857" t="n"/>
      <c r="L122" s="857" t="n"/>
      <c r="M122" s="857" t="n"/>
      <c r="N122" s="857" t="n"/>
      <c r="O122" s="845" t="n"/>
      <c r="P122" s="845" t="n"/>
      <c r="Q122" s="845" t="n"/>
      <c r="R122" s="845" t="n"/>
      <c r="S122" s="845" t="n"/>
      <c r="T122" s="845" t="n"/>
      <c r="U122" s="845" t="n"/>
      <c r="V122" s="845" t="n"/>
      <c r="W122" s="845" t="n"/>
      <c r="X122" s="845" t="n"/>
      <c r="Y122" s="845" t="n"/>
      <c r="Z122" s="845" t="n"/>
    </row>
    <row r="123">
      <c r="A123" s="845" t="n"/>
      <c r="B123" s="857" t="n"/>
      <c r="C123" s="857" t="n"/>
      <c r="D123" s="857" t="n"/>
      <c r="E123" s="857" t="n"/>
      <c r="F123" s="857" t="n"/>
      <c r="G123" s="858" t="n"/>
      <c r="H123" s="857" t="n"/>
      <c r="I123" s="857" t="n"/>
      <c r="J123" s="857" t="n"/>
      <c r="K123" s="857" t="n"/>
      <c r="L123" s="857" t="n"/>
      <c r="M123" s="857" t="n"/>
      <c r="N123" s="857" t="n"/>
      <c r="O123" s="845" t="n"/>
      <c r="P123" s="845" t="n"/>
      <c r="Q123" s="845" t="n"/>
      <c r="R123" s="845" t="n"/>
      <c r="S123" s="845" t="n"/>
      <c r="T123" s="845" t="n"/>
      <c r="U123" s="845" t="n"/>
      <c r="V123" s="845" t="n"/>
      <c r="W123" s="845" t="n"/>
      <c r="X123" s="845" t="n"/>
      <c r="Y123" s="845" t="n"/>
      <c r="Z123" s="845" t="n"/>
    </row>
    <row r="124">
      <c r="A124" s="845" t="n"/>
      <c r="B124" s="857" t="n"/>
      <c r="C124" s="857" t="n"/>
      <c r="D124" s="857" t="n"/>
      <c r="E124" s="857" t="n"/>
      <c r="F124" s="857" t="n"/>
      <c r="G124" s="858" t="n"/>
      <c r="H124" s="857" t="n"/>
      <c r="I124" s="857" t="n"/>
      <c r="J124" s="857" t="n"/>
      <c r="K124" s="857" t="n"/>
      <c r="L124" s="857" t="n"/>
      <c r="M124" s="857" t="n"/>
      <c r="N124" s="857" t="n"/>
      <c r="O124" s="845" t="n"/>
      <c r="P124" s="845" t="n"/>
      <c r="Q124" s="845" t="n"/>
      <c r="R124" s="845" t="n"/>
      <c r="S124" s="845" t="n"/>
      <c r="T124" s="845" t="n"/>
      <c r="U124" s="845" t="n"/>
      <c r="V124" s="845" t="n"/>
      <c r="W124" s="845" t="n"/>
      <c r="X124" s="845" t="n"/>
      <c r="Y124" s="845" t="n"/>
      <c r="Z124" s="845" t="n"/>
    </row>
    <row r="125">
      <c r="A125" s="845" t="n"/>
      <c r="B125" s="857" t="n"/>
      <c r="C125" s="857" t="n"/>
      <c r="D125" s="857" t="n"/>
      <c r="E125" s="857" t="n"/>
      <c r="F125" s="857" t="n"/>
      <c r="G125" s="858" t="n"/>
      <c r="H125" s="857" t="n"/>
      <c r="I125" s="857" t="n"/>
      <c r="J125" s="857" t="n"/>
      <c r="K125" s="857" t="n"/>
      <c r="L125" s="857" t="n"/>
      <c r="M125" s="857" t="n"/>
      <c r="N125" s="857" t="n"/>
      <c r="O125" s="845" t="n"/>
      <c r="P125" s="845" t="n"/>
      <c r="Q125" s="845" t="n"/>
      <c r="R125" s="845" t="n"/>
      <c r="S125" s="845" t="n"/>
      <c r="T125" s="845" t="n"/>
      <c r="U125" s="845" t="n"/>
      <c r="V125" s="845" t="n"/>
      <c r="W125" s="845" t="n"/>
      <c r="X125" s="845" t="n"/>
      <c r="Y125" s="845" t="n"/>
      <c r="Z125" s="845" t="n"/>
    </row>
    <row r="126">
      <c r="A126" s="845" t="n"/>
      <c r="B126" s="857" t="n"/>
      <c r="C126" s="857" t="n"/>
      <c r="D126" s="857" t="n"/>
      <c r="E126" s="857" t="n"/>
      <c r="F126" s="857" t="n"/>
      <c r="G126" s="858" t="n"/>
      <c r="H126" s="857" t="n"/>
      <c r="I126" s="857" t="n"/>
      <c r="J126" s="857" t="n"/>
      <c r="K126" s="857" t="n"/>
      <c r="L126" s="857" t="n"/>
      <c r="M126" s="857" t="n"/>
      <c r="N126" s="857" t="n"/>
      <c r="O126" s="845" t="n"/>
      <c r="P126" s="845" t="n"/>
      <c r="Q126" s="845" t="n"/>
      <c r="R126" s="845" t="n"/>
      <c r="S126" s="845" t="n"/>
      <c r="T126" s="845" t="n"/>
      <c r="U126" s="845" t="n"/>
      <c r="V126" s="845" t="n"/>
      <c r="W126" s="845" t="n"/>
      <c r="X126" s="845" t="n"/>
      <c r="Y126" s="845" t="n"/>
      <c r="Z126" s="845" t="n"/>
    </row>
    <row r="127">
      <c r="A127" s="845" t="n"/>
      <c r="B127" s="857" t="n"/>
      <c r="C127" s="857" t="n"/>
      <c r="D127" s="857" t="n"/>
      <c r="E127" s="857" t="n"/>
      <c r="F127" s="857" t="n"/>
      <c r="G127" s="858" t="n"/>
      <c r="H127" s="857" t="n"/>
      <c r="I127" s="857" t="n"/>
      <c r="J127" s="857" t="n"/>
      <c r="K127" s="857" t="n"/>
      <c r="L127" s="857" t="n"/>
      <c r="M127" s="857" t="n"/>
      <c r="N127" s="857" t="n"/>
      <c r="O127" s="845" t="n"/>
      <c r="P127" s="845" t="n"/>
      <c r="Q127" s="845" t="n"/>
      <c r="R127" s="845" t="n"/>
      <c r="S127" s="845" t="n"/>
      <c r="T127" s="845" t="n"/>
      <c r="U127" s="845" t="n"/>
      <c r="V127" s="845" t="n"/>
      <c r="W127" s="845" t="n"/>
      <c r="X127" s="845" t="n"/>
      <c r="Y127" s="845" t="n"/>
      <c r="Z127" s="845" t="n"/>
    </row>
    <row r="128">
      <c r="A128" s="845" t="n"/>
      <c r="B128" s="857" t="n"/>
      <c r="C128" s="857" t="n"/>
      <c r="D128" s="857" t="n"/>
      <c r="E128" s="857" t="n"/>
      <c r="F128" s="857" t="n"/>
      <c r="G128" s="858" t="n"/>
      <c r="H128" s="857" t="n"/>
      <c r="I128" s="857" t="n"/>
      <c r="J128" s="857" t="n"/>
      <c r="K128" s="857" t="n"/>
      <c r="L128" s="857" t="n"/>
      <c r="M128" s="857" t="n"/>
      <c r="N128" s="857" t="n"/>
      <c r="O128" s="845" t="n"/>
      <c r="P128" s="845" t="n"/>
      <c r="Q128" s="845" t="n"/>
      <c r="R128" s="845" t="n"/>
      <c r="S128" s="845" t="n"/>
      <c r="T128" s="845" t="n"/>
      <c r="U128" s="845" t="n"/>
      <c r="V128" s="845" t="n"/>
      <c r="W128" s="845" t="n"/>
      <c r="X128" s="845" t="n"/>
      <c r="Y128" s="845" t="n"/>
      <c r="Z128" s="845" t="n"/>
    </row>
    <row r="129">
      <c r="A129" s="845" t="n"/>
      <c r="B129" s="857" t="n"/>
      <c r="C129" s="857" t="n"/>
      <c r="D129" s="857" t="n"/>
      <c r="E129" s="857" t="n"/>
      <c r="F129" s="857" t="n"/>
      <c r="G129" s="858" t="n"/>
      <c r="H129" s="857" t="n"/>
      <c r="I129" s="857" t="n"/>
      <c r="J129" s="857" t="n"/>
      <c r="K129" s="857" t="n"/>
      <c r="L129" s="857" t="n"/>
      <c r="M129" s="857" t="n"/>
      <c r="N129" s="857" t="n"/>
      <c r="O129" s="845" t="n"/>
      <c r="P129" s="845" t="n"/>
      <c r="Q129" s="845" t="n"/>
      <c r="R129" s="845" t="n"/>
      <c r="S129" s="845" t="n"/>
      <c r="T129" s="845" t="n"/>
      <c r="U129" s="845" t="n"/>
      <c r="V129" s="845" t="n"/>
      <c r="W129" s="845" t="n"/>
      <c r="X129" s="845" t="n"/>
      <c r="Y129" s="845" t="n"/>
      <c r="Z129" s="845" t="n"/>
    </row>
    <row r="130">
      <c r="A130" s="845" t="n"/>
      <c r="B130" s="857" t="n"/>
      <c r="C130" s="857" t="n"/>
      <c r="D130" s="857" t="n"/>
      <c r="E130" s="857" t="n"/>
      <c r="F130" s="857" t="n"/>
      <c r="G130" s="858" t="n"/>
      <c r="H130" s="857" t="n"/>
      <c r="I130" s="857" t="n"/>
      <c r="J130" s="857" t="n"/>
      <c r="K130" s="857" t="n"/>
      <c r="L130" s="857" t="n"/>
      <c r="M130" s="857" t="n"/>
      <c r="N130" s="857" t="n"/>
      <c r="O130" s="845" t="n"/>
      <c r="P130" s="845" t="n"/>
      <c r="Q130" s="845" t="n"/>
      <c r="R130" s="845" t="n"/>
      <c r="S130" s="845" t="n"/>
      <c r="T130" s="845" t="n"/>
      <c r="U130" s="845" t="n"/>
      <c r="V130" s="845" t="n"/>
      <c r="W130" s="845" t="n"/>
      <c r="X130" s="845" t="n"/>
      <c r="Y130" s="845" t="n"/>
      <c r="Z130" s="845" t="n"/>
    </row>
    <row r="131">
      <c r="A131" s="845" t="n"/>
      <c r="B131" s="857" t="n"/>
      <c r="C131" s="857" t="n"/>
      <c r="D131" s="857" t="n"/>
      <c r="E131" s="857" t="n"/>
      <c r="F131" s="857" t="n"/>
      <c r="G131" s="858" t="n"/>
      <c r="H131" s="857" t="n"/>
      <c r="I131" s="857" t="n"/>
      <c r="J131" s="857" t="n"/>
      <c r="K131" s="857" t="n"/>
      <c r="L131" s="857" t="n"/>
      <c r="M131" s="857" t="n"/>
      <c r="N131" s="857" t="n"/>
      <c r="O131" s="845" t="n"/>
      <c r="P131" s="845" t="n"/>
      <c r="Q131" s="845" t="n"/>
      <c r="R131" s="845" t="n"/>
      <c r="S131" s="845" t="n"/>
      <c r="T131" s="845" t="n"/>
      <c r="U131" s="845" t="n"/>
      <c r="V131" s="845" t="n"/>
      <c r="W131" s="845" t="n"/>
      <c r="X131" s="845" t="n"/>
      <c r="Y131" s="845" t="n"/>
      <c r="Z131" s="845" t="n"/>
    </row>
    <row r="132">
      <c r="A132" s="845" t="n"/>
      <c r="B132" s="857" t="n"/>
      <c r="C132" s="857" t="n"/>
      <c r="D132" s="857" t="n"/>
      <c r="E132" s="857" t="n"/>
      <c r="F132" s="857" t="n"/>
      <c r="G132" s="858" t="n"/>
      <c r="H132" s="857" t="n"/>
      <c r="I132" s="857" t="n"/>
      <c r="J132" s="857" t="n"/>
      <c r="K132" s="857" t="n"/>
      <c r="L132" s="857" t="n"/>
      <c r="M132" s="857" t="n"/>
      <c r="N132" s="857" t="n"/>
      <c r="O132" s="845" t="n"/>
      <c r="P132" s="845" t="n"/>
      <c r="Q132" s="845" t="n"/>
      <c r="R132" s="845" t="n"/>
      <c r="S132" s="845" t="n"/>
      <c r="T132" s="845" t="n"/>
      <c r="U132" s="845" t="n"/>
      <c r="V132" s="845" t="n"/>
      <c r="W132" s="845" t="n"/>
      <c r="X132" s="845" t="n"/>
      <c r="Y132" s="845" t="n"/>
      <c r="Z132" s="845" t="n"/>
    </row>
    <row r="133">
      <c r="A133" s="845" t="n"/>
      <c r="B133" s="857" t="n"/>
      <c r="C133" s="857" t="n"/>
      <c r="D133" s="857" t="n"/>
      <c r="E133" s="857" t="n"/>
      <c r="F133" s="857" t="n"/>
      <c r="G133" s="858" t="n"/>
      <c r="H133" s="857" t="n"/>
      <c r="I133" s="857" t="n"/>
      <c r="J133" s="857" t="n"/>
      <c r="K133" s="857" t="n"/>
      <c r="L133" s="857" t="n"/>
      <c r="M133" s="857" t="n"/>
      <c r="N133" s="857" t="n"/>
      <c r="O133" s="845" t="n"/>
      <c r="P133" s="845" t="n"/>
      <c r="Q133" s="845" t="n"/>
      <c r="R133" s="845" t="n"/>
      <c r="S133" s="845" t="n"/>
      <c r="T133" s="845" t="n"/>
      <c r="U133" s="845" t="n"/>
      <c r="V133" s="845" t="n"/>
      <c r="W133" s="845" t="n"/>
      <c r="X133" s="845" t="n"/>
      <c r="Y133" s="845" t="n"/>
      <c r="Z133" s="845" t="n"/>
    </row>
    <row r="134">
      <c r="A134" s="845" t="n"/>
      <c r="B134" s="857" t="n"/>
      <c r="C134" s="857" t="n"/>
      <c r="D134" s="857" t="n"/>
      <c r="E134" s="857" t="n"/>
      <c r="F134" s="857" t="n"/>
      <c r="G134" s="858" t="n"/>
      <c r="H134" s="857" t="n"/>
      <c r="I134" s="857" t="n"/>
      <c r="J134" s="857" t="n"/>
      <c r="K134" s="857" t="n"/>
      <c r="L134" s="857" t="n"/>
      <c r="M134" s="857" t="n"/>
      <c r="N134" s="857" t="n"/>
      <c r="O134" s="845" t="n"/>
      <c r="P134" s="845" t="n"/>
      <c r="Q134" s="845" t="n"/>
      <c r="R134" s="845" t="n"/>
      <c r="S134" s="845" t="n"/>
      <c r="T134" s="845" t="n"/>
      <c r="U134" s="845" t="n"/>
      <c r="V134" s="845" t="n"/>
      <c r="W134" s="845" t="n"/>
      <c r="X134" s="845" t="n"/>
      <c r="Y134" s="845" t="n"/>
      <c r="Z134" s="845" t="n"/>
    </row>
    <row r="135">
      <c r="A135" s="845" t="n"/>
      <c r="B135" s="857" t="n"/>
      <c r="C135" s="857" t="n"/>
      <c r="D135" s="857" t="n"/>
      <c r="E135" s="857" t="n"/>
      <c r="F135" s="857" t="n"/>
      <c r="G135" s="858" t="n"/>
      <c r="H135" s="857" t="n"/>
      <c r="I135" s="857" t="n"/>
      <c r="J135" s="857" t="n"/>
      <c r="K135" s="857" t="n"/>
      <c r="L135" s="857" t="n"/>
      <c r="M135" s="857" t="n"/>
      <c r="N135" s="857" t="n"/>
      <c r="O135" s="845" t="n"/>
      <c r="P135" s="845" t="n"/>
      <c r="Q135" s="845" t="n"/>
      <c r="R135" s="845" t="n"/>
      <c r="S135" s="845" t="n"/>
      <c r="T135" s="845" t="n"/>
      <c r="U135" s="845" t="n"/>
      <c r="V135" s="845" t="n"/>
      <c r="W135" s="845" t="n"/>
      <c r="X135" s="845" t="n"/>
      <c r="Y135" s="845" t="n"/>
      <c r="Z135" s="845" t="n"/>
    </row>
    <row r="136">
      <c r="A136" s="845" t="n"/>
      <c r="B136" s="857" t="n"/>
      <c r="C136" s="857" t="n"/>
      <c r="D136" s="857" t="n"/>
      <c r="E136" s="857" t="n"/>
      <c r="F136" s="857" t="n"/>
      <c r="G136" s="858" t="n"/>
      <c r="H136" s="857" t="n"/>
      <c r="I136" s="857" t="n"/>
      <c r="J136" s="857" t="n"/>
      <c r="K136" s="857" t="n"/>
      <c r="L136" s="857" t="n"/>
      <c r="M136" s="857" t="n"/>
      <c r="N136" s="857" t="n"/>
      <c r="O136" s="845" t="n"/>
      <c r="P136" s="845" t="n"/>
      <c r="Q136" s="845" t="n"/>
      <c r="R136" s="845" t="n"/>
      <c r="S136" s="845" t="n"/>
      <c r="T136" s="845" t="n"/>
      <c r="U136" s="845" t="n"/>
      <c r="V136" s="845" t="n"/>
      <c r="W136" s="845" t="n"/>
      <c r="X136" s="845" t="n"/>
      <c r="Y136" s="845" t="n"/>
      <c r="Z136" s="845" t="n"/>
    </row>
    <row r="137">
      <c r="A137" s="845" t="n"/>
      <c r="B137" s="857" t="n"/>
      <c r="C137" s="857" t="n"/>
      <c r="D137" s="857" t="n"/>
      <c r="E137" s="857" t="n"/>
      <c r="F137" s="857" t="n"/>
      <c r="G137" s="858" t="n"/>
      <c r="H137" s="857" t="n"/>
      <c r="I137" s="857" t="n"/>
      <c r="J137" s="857" t="n"/>
      <c r="K137" s="857" t="n"/>
      <c r="L137" s="857" t="n"/>
      <c r="M137" s="857" t="n"/>
      <c r="N137" s="857" t="n"/>
      <c r="O137" s="845" t="n"/>
      <c r="P137" s="845" t="n"/>
      <c r="Q137" s="845" t="n"/>
      <c r="R137" s="845" t="n"/>
      <c r="S137" s="845" t="n"/>
      <c r="T137" s="845" t="n"/>
      <c r="U137" s="845" t="n"/>
      <c r="V137" s="845" t="n"/>
      <c r="W137" s="845" t="n"/>
      <c r="X137" s="845" t="n"/>
      <c r="Y137" s="845" t="n"/>
      <c r="Z137" s="845" t="n"/>
    </row>
    <row r="138">
      <c r="A138" s="845" t="n"/>
      <c r="B138" s="857" t="n"/>
      <c r="C138" s="857" t="n"/>
      <c r="D138" s="857" t="n"/>
      <c r="E138" s="857" t="n"/>
      <c r="F138" s="857" t="n"/>
      <c r="G138" s="858" t="n"/>
      <c r="H138" s="857" t="n"/>
      <c r="I138" s="857" t="n"/>
      <c r="J138" s="857" t="n"/>
      <c r="K138" s="857" t="n"/>
      <c r="L138" s="857" t="n"/>
      <c r="M138" s="857" t="n"/>
      <c r="N138" s="857" t="n"/>
      <c r="O138" s="845" t="n"/>
      <c r="P138" s="845" t="n"/>
      <c r="Q138" s="845" t="n"/>
      <c r="R138" s="845" t="n"/>
      <c r="S138" s="845" t="n"/>
      <c r="T138" s="845" t="n"/>
      <c r="U138" s="845" t="n"/>
      <c r="V138" s="845" t="n"/>
      <c r="W138" s="845" t="n"/>
      <c r="X138" s="845" t="n"/>
      <c r="Y138" s="845" t="n"/>
      <c r="Z138" s="845" t="n"/>
    </row>
    <row r="139">
      <c r="A139" s="845" t="n"/>
      <c r="B139" s="857" t="n"/>
      <c r="C139" s="857" t="n"/>
      <c r="D139" s="857" t="n"/>
      <c r="E139" s="857" t="n"/>
      <c r="F139" s="857" t="n"/>
      <c r="G139" s="858" t="n"/>
      <c r="H139" s="857" t="n"/>
      <c r="I139" s="857" t="n"/>
      <c r="J139" s="857" t="n"/>
      <c r="K139" s="857" t="n"/>
      <c r="L139" s="857" t="n"/>
      <c r="M139" s="857" t="n"/>
      <c r="N139" s="857" t="n"/>
      <c r="O139" s="845" t="n"/>
      <c r="P139" s="845" t="n"/>
      <c r="Q139" s="845" t="n"/>
      <c r="R139" s="845" t="n"/>
      <c r="S139" s="845" t="n"/>
      <c r="T139" s="845" t="n"/>
      <c r="U139" s="845" t="n"/>
      <c r="V139" s="845" t="n"/>
      <c r="W139" s="845" t="n"/>
      <c r="X139" s="845" t="n"/>
      <c r="Y139" s="845" t="n"/>
      <c r="Z139" s="845" t="n"/>
    </row>
    <row r="140">
      <c r="A140" s="845" t="n"/>
      <c r="B140" s="857" t="n"/>
      <c r="C140" s="857" t="n"/>
      <c r="D140" s="857" t="n"/>
      <c r="E140" s="857" t="n"/>
      <c r="F140" s="857" t="n"/>
      <c r="G140" s="858" t="n"/>
      <c r="H140" s="857" t="n"/>
      <c r="I140" s="857" t="n"/>
      <c r="J140" s="857" t="n"/>
      <c r="K140" s="857" t="n"/>
      <c r="L140" s="857" t="n"/>
      <c r="M140" s="857" t="n"/>
      <c r="N140" s="857" t="n"/>
      <c r="O140" s="845" t="n"/>
      <c r="P140" s="845" t="n"/>
      <c r="Q140" s="845" t="n"/>
      <c r="R140" s="845" t="n"/>
      <c r="S140" s="845" t="n"/>
      <c r="T140" s="845" t="n"/>
      <c r="U140" s="845" t="n"/>
      <c r="V140" s="845" t="n"/>
      <c r="W140" s="845" t="n"/>
      <c r="X140" s="845" t="n"/>
      <c r="Y140" s="845" t="n"/>
      <c r="Z140" s="845" t="n"/>
    </row>
    <row r="141">
      <c r="A141" s="845" t="n"/>
      <c r="B141" s="857" t="n"/>
      <c r="C141" s="857" t="n"/>
      <c r="D141" s="857" t="n"/>
      <c r="E141" s="857" t="n"/>
      <c r="F141" s="857" t="n"/>
      <c r="G141" s="858" t="n"/>
      <c r="H141" s="857" t="n"/>
      <c r="I141" s="857" t="n"/>
      <c r="J141" s="857" t="n"/>
      <c r="K141" s="857" t="n"/>
      <c r="L141" s="857" t="n"/>
      <c r="M141" s="857" t="n"/>
      <c r="N141" s="857" t="n"/>
      <c r="O141" s="845" t="n"/>
      <c r="P141" s="845" t="n"/>
      <c r="Q141" s="845" t="n"/>
      <c r="R141" s="845" t="n"/>
      <c r="S141" s="845" t="n"/>
      <c r="T141" s="845" t="n"/>
      <c r="U141" s="845" t="n"/>
      <c r="V141" s="845" t="n"/>
      <c r="W141" s="845" t="n"/>
      <c r="X141" s="845" t="n"/>
      <c r="Y141" s="845" t="n"/>
      <c r="Z141" s="845" t="n"/>
    </row>
    <row r="142">
      <c r="A142" s="845" t="n"/>
      <c r="B142" s="857" t="n"/>
      <c r="C142" s="857" t="n"/>
      <c r="D142" s="857" t="n"/>
      <c r="E142" s="857" t="n"/>
      <c r="F142" s="857" t="n"/>
      <c r="G142" s="858" t="n"/>
      <c r="H142" s="857" t="n"/>
      <c r="I142" s="857" t="n"/>
      <c r="J142" s="857" t="n"/>
      <c r="K142" s="857" t="n"/>
      <c r="L142" s="857" t="n"/>
      <c r="M142" s="857" t="n"/>
      <c r="N142" s="857" t="n"/>
      <c r="O142" s="845" t="n"/>
      <c r="P142" s="845" t="n"/>
      <c r="Q142" s="845" t="n"/>
      <c r="R142" s="845" t="n"/>
      <c r="S142" s="845" t="n"/>
      <c r="T142" s="845" t="n"/>
      <c r="U142" s="845" t="n"/>
      <c r="V142" s="845" t="n"/>
      <c r="W142" s="845" t="n"/>
      <c r="X142" s="845" t="n"/>
      <c r="Y142" s="845" t="n"/>
      <c r="Z142" s="845" t="n"/>
    </row>
    <row r="143">
      <c r="A143" s="845" t="n"/>
      <c r="B143" s="857" t="n"/>
      <c r="C143" s="857" t="n"/>
      <c r="D143" s="857" t="n"/>
      <c r="E143" s="857" t="n"/>
      <c r="F143" s="857" t="n"/>
      <c r="G143" s="858" t="n"/>
      <c r="H143" s="857" t="n"/>
      <c r="I143" s="857" t="n"/>
      <c r="J143" s="857" t="n"/>
      <c r="K143" s="857" t="n"/>
      <c r="L143" s="857" t="n"/>
      <c r="M143" s="857" t="n"/>
      <c r="N143" s="857" t="n"/>
      <c r="O143" s="845" t="n"/>
      <c r="P143" s="845" t="n"/>
      <c r="Q143" s="845" t="n"/>
      <c r="R143" s="845" t="n"/>
      <c r="S143" s="845" t="n"/>
      <c r="T143" s="845" t="n"/>
      <c r="U143" s="845" t="n"/>
      <c r="V143" s="845" t="n"/>
      <c r="W143" s="845" t="n"/>
      <c r="X143" s="845" t="n"/>
      <c r="Y143" s="845" t="n"/>
      <c r="Z143" s="845" t="n"/>
    </row>
    <row r="144">
      <c r="A144" s="845" t="n"/>
      <c r="B144" s="857" t="n"/>
      <c r="C144" s="857" t="n"/>
      <c r="D144" s="857" t="n"/>
      <c r="E144" s="857" t="n"/>
      <c r="F144" s="857" t="n"/>
      <c r="G144" s="858" t="n"/>
      <c r="H144" s="857" t="n"/>
      <c r="I144" s="857" t="n"/>
      <c r="J144" s="857" t="n"/>
      <c r="K144" s="857" t="n"/>
      <c r="L144" s="857" t="n"/>
      <c r="M144" s="857" t="n"/>
      <c r="N144" s="857" t="n"/>
      <c r="O144" s="845" t="n"/>
      <c r="P144" s="845" t="n"/>
      <c r="Q144" s="845" t="n"/>
      <c r="R144" s="845" t="n"/>
      <c r="S144" s="845" t="n"/>
      <c r="T144" s="845" t="n"/>
      <c r="U144" s="845" t="n"/>
      <c r="V144" s="845" t="n"/>
      <c r="W144" s="845" t="n"/>
      <c r="X144" s="845" t="n"/>
      <c r="Y144" s="845" t="n"/>
      <c r="Z144" s="845" t="n"/>
    </row>
    <row r="145">
      <c r="A145" s="845" t="n"/>
      <c r="B145" s="857" t="n"/>
      <c r="C145" s="857" t="n"/>
      <c r="D145" s="857" t="n"/>
      <c r="E145" s="857" t="n"/>
      <c r="F145" s="857" t="n"/>
      <c r="G145" s="858" t="n"/>
      <c r="H145" s="857" t="n"/>
      <c r="I145" s="857" t="n"/>
      <c r="J145" s="857" t="n"/>
      <c r="K145" s="857" t="n"/>
      <c r="L145" s="857" t="n"/>
      <c r="M145" s="857" t="n"/>
      <c r="N145" s="857" t="n"/>
      <c r="O145" s="845" t="n"/>
      <c r="P145" s="845" t="n"/>
      <c r="Q145" s="845" t="n"/>
      <c r="R145" s="845" t="n"/>
      <c r="S145" s="845" t="n"/>
      <c r="T145" s="845" t="n"/>
      <c r="U145" s="845" t="n"/>
      <c r="V145" s="845" t="n"/>
      <c r="W145" s="845" t="n"/>
      <c r="X145" s="845" t="n"/>
      <c r="Y145" s="845" t="n"/>
      <c r="Z145" s="845" t="n"/>
    </row>
    <row r="146">
      <c r="A146" s="845" t="n"/>
      <c r="B146" s="857" t="n"/>
      <c r="C146" s="857" t="n"/>
      <c r="D146" s="857" t="n"/>
      <c r="E146" s="857" t="n"/>
      <c r="F146" s="857" t="n"/>
      <c r="G146" s="858" t="n"/>
      <c r="H146" s="857" t="n"/>
      <c r="I146" s="857" t="n"/>
      <c r="J146" s="857" t="n"/>
      <c r="K146" s="857" t="n"/>
      <c r="L146" s="857" t="n"/>
      <c r="M146" s="857" t="n"/>
      <c r="N146" s="857" t="n"/>
      <c r="O146" s="845" t="n"/>
      <c r="P146" s="845" t="n"/>
      <c r="Q146" s="845" t="n"/>
      <c r="R146" s="845" t="n"/>
      <c r="S146" s="845" t="n"/>
      <c r="T146" s="845" t="n"/>
      <c r="U146" s="845" t="n"/>
      <c r="V146" s="845" t="n"/>
      <c r="W146" s="845" t="n"/>
      <c r="X146" s="845" t="n"/>
      <c r="Y146" s="845" t="n"/>
      <c r="Z146" s="845" t="n"/>
    </row>
    <row r="147">
      <c r="A147" s="845" t="n"/>
      <c r="B147" s="857" t="n"/>
      <c r="C147" s="857" t="n"/>
      <c r="D147" s="857" t="n"/>
      <c r="E147" s="857" t="n"/>
      <c r="F147" s="857" t="n"/>
      <c r="G147" s="858" t="n"/>
      <c r="H147" s="857" t="n"/>
      <c r="I147" s="857" t="n"/>
      <c r="J147" s="857" t="n"/>
      <c r="K147" s="857" t="n"/>
      <c r="L147" s="857" t="n"/>
      <c r="M147" s="857" t="n"/>
      <c r="N147" s="857" t="n"/>
      <c r="O147" s="845" t="n"/>
      <c r="P147" s="845" t="n"/>
      <c r="Q147" s="845" t="n"/>
      <c r="R147" s="845" t="n"/>
      <c r="S147" s="845" t="n"/>
      <c r="T147" s="845" t="n"/>
      <c r="U147" s="845" t="n"/>
      <c r="V147" s="845" t="n"/>
      <c r="W147" s="845" t="n"/>
      <c r="X147" s="845" t="n"/>
      <c r="Y147" s="845" t="n"/>
      <c r="Z147" s="845" t="n"/>
    </row>
    <row r="148">
      <c r="A148" s="845" t="n"/>
      <c r="B148" s="857" t="n"/>
      <c r="C148" s="857" t="n"/>
      <c r="D148" s="857" t="n"/>
      <c r="E148" s="857" t="n"/>
      <c r="F148" s="857" t="n"/>
      <c r="G148" s="858" t="n"/>
      <c r="H148" s="857" t="n"/>
      <c r="I148" s="857" t="n"/>
      <c r="J148" s="857" t="n"/>
      <c r="K148" s="857" t="n"/>
      <c r="L148" s="857" t="n"/>
      <c r="M148" s="857" t="n"/>
      <c r="N148" s="857" t="n"/>
      <c r="O148" s="845" t="n"/>
      <c r="P148" s="845" t="n"/>
      <c r="Q148" s="845" t="n"/>
      <c r="R148" s="845" t="n"/>
      <c r="S148" s="845" t="n"/>
      <c r="T148" s="845" t="n"/>
      <c r="U148" s="845" t="n"/>
      <c r="V148" s="845" t="n"/>
      <c r="W148" s="845" t="n"/>
      <c r="X148" s="845" t="n"/>
      <c r="Y148" s="845" t="n"/>
      <c r="Z148" s="845" t="n"/>
    </row>
    <row r="149">
      <c r="A149" s="845" t="n"/>
      <c r="B149" s="857" t="n"/>
      <c r="C149" s="857" t="n"/>
      <c r="D149" s="857" t="n"/>
      <c r="E149" s="857" t="n"/>
      <c r="F149" s="857" t="n"/>
      <c r="G149" s="858" t="n"/>
      <c r="H149" s="857" t="n"/>
      <c r="I149" s="857" t="n"/>
      <c r="J149" s="857" t="n"/>
      <c r="K149" s="857" t="n"/>
      <c r="L149" s="857" t="n"/>
      <c r="M149" s="857" t="n"/>
      <c r="N149" s="857" t="n"/>
      <c r="O149" s="845" t="n"/>
      <c r="P149" s="845" t="n"/>
      <c r="Q149" s="845" t="n"/>
      <c r="R149" s="845" t="n"/>
      <c r="S149" s="845" t="n"/>
      <c r="T149" s="845" t="n"/>
      <c r="U149" s="845" t="n"/>
      <c r="V149" s="845" t="n"/>
      <c r="W149" s="845" t="n"/>
      <c r="X149" s="845" t="n"/>
      <c r="Y149" s="845" t="n"/>
      <c r="Z149" s="845" t="n"/>
    </row>
    <row r="150">
      <c r="A150" s="845" t="n"/>
      <c r="B150" s="857" t="n"/>
      <c r="C150" s="857" t="n"/>
      <c r="D150" s="857" t="n"/>
      <c r="E150" s="857" t="n"/>
      <c r="F150" s="857" t="n"/>
      <c r="G150" s="858" t="n"/>
      <c r="H150" s="857" t="n"/>
      <c r="I150" s="857" t="n"/>
      <c r="J150" s="857" t="n"/>
      <c r="K150" s="857" t="n"/>
      <c r="L150" s="857" t="n"/>
      <c r="M150" s="857" t="n"/>
      <c r="N150" s="857" t="n"/>
      <c r="O150" s="845" t="n"/>
      <c r="P150" s="845" t="n"/>
      <c r="Q150" s="845" t="n"/>
      <c r="R150" s="845" t="n"/>
      <c r="S150" s="845" t="n"/>
      <c r="T150" s="845" t="n"/>
      <c r="U150" s="845" t="n"/>
      <c r="V150" s="845" t="n"/>
      <c r="W150" s="845" t="n"/>
      <c r="X150" s="845" t="n"/>
      <c r="Y150" s="845" t="n"/>
      <c r="Z150" s="845" t="n"/>
    </row>
    <row r="151">
      <c r="A151" s="845" t="n"/>
      <c r="B151" s="857" t="n"/>
      <c r="C151" s="857" t="n"/>
      <c r="D151" s="857" t="n"/>
      <c r="E151" s="857" t="n"/>
      <c r="F151" s="857" t="n"/>
      <c r="G151" s="858" t="n"/>
      <c r="H151" s="857" t="n"/>
      <c r="I151" s="857" t="n"/>
      <c r="J151" s="857" t="n"/>
      <c r="K151" s="857" t="n"/>
      <c r="L151" s="857" t="n"/>
      <c r="M151" s="857" t="n"/>
      <c r="N151" s="857" t="n"/>
      <c r="O151" s="845" t="n"/>
      <c r="P151" s="845" t="n"/>
      <c r="Q151" s="845" t="n"/>
      <c r="R151" s="845" t="n"/>
      <c r="S151" s="845" t="n"/>
      <c r="T151" s="845" t="n"/>
      <c r="U151" s="845" t="n"/>
      <c r="V151" s="845" t="n"/>
      <c r="W151" s="845" t="n"/>
      <c r="X151" s="845" t="n"/>
      <c r="Y151" s="845" t="n"/>
      <c r="Z151" s="845" t="n"/>
    </row>
    <row r="152">
      <c r="A152" s="845" t="n"/>
      <c r="B152" s="857" t="n"/>
      <c r="C152" s="857" t="n"/>
      <c r="D152" s="857" t="n"/>
      <c r="E152" s="857" t="n"/>
      <c r="F152" s="857" t="n"/>
      <c r="G152" s="858" t="n"/>
      <c r="H152" s="857" t="n"/>
      <c r="I152" s="857" t="n"/>
      <c r="J152" s="857" t="n"/>
      <c r="K152" s="857" t="n"/>
      <c r="L152" s="857" t="n"/>
      <c r="M152" s="857" t="n"/>
      <c r="N152" s="857" t="n"/>
      <c r="O152" s="845" t="n"/>
      <c r="P152" s="845" t="n"/>
      <c r="Q152" s="845" t="n"/>
      <c r="R152" s="845" t="n"/>
      <c r="S152" s="845" t="n"/>
      <c r="T152" s="845" t="n"/>
      <c r="U152" s="845" t="n"/>
      <c r="V152" s="845" t="n"/>
      <c r="W152" s="845" t="n"/>
      <c r="X152" s="845" t="n"/>
      <c r="Y152" s="845" t="n"/>
      <c r="Z152" s="845" t="n"/>
    </row>
    <row r="153">
      <c r="A153" s="845" t="n"/>
      <c r="B153" s="857" t="n"/>
      <c r="C153" s="857" t="n"/>
      <c r="D153" s="857" t="n"/>
      <c r="E153" s="857" t="n"/>
      <c r="F153" s="857" t="n"/>
      <c r="G153" s="858" t="n"/>
      <c r="H153" s="857" t="n"/>
      <c r="I153" s="857" t="n"/>
      <c r="J153" s="857" t="n"/>
      <c r="K153" s="857" t="n"/>
      <c r="L153" s="857" t="n"/>
      <c r="M153" s="857" t="n"/>
      <c r="N153" s="857" t="n"/>
      <c r="O153" s="845" t="n"/>
      <c r="P153" s="845" t="n"/>
      <c r="Q153" s="845" t="n"/>
      <c r="R153" s="845" t="n"/>
      <c r="S153" s="845" t="n"/>
      <c r="T153" s="845" t="n"/>
      <c r="U153" s="845" t="n"/>
      <c r="V153" s="845" t="n"/>
      <c r="W153" s="845" t="n"/>
      <c r="X153" s="845" t="n"/>
      <c r="Y153" s="845" t="n"/>
      <c r="Z153" s="845" t="n"/>
    </row>
    <row r="154">
      <c r="A154" s="845" t="n"/>
      <c r="B154" s="857" t="n"/>
      <c r="C154" s="857" t="n"/>
      <c r="D154" s="857" t="n"/>
      <c r="E154" s="857" t="n"/>
      <c r="F154" s="857" t="n"/>
      <c r="G154" s="858" t="n"/>
      <c r="H154" s="857" t="n"/>
      <c r="I154" s="857" t="n"/>
      <c r="J154" s="857" t="n"/>
      <c r="K154" s="857" t="n"/>
      <c r="L154" s="857" t="n"/>
      <c r="M154" s="857" t="n"/>
      <c r="N154" s="857" t="n"/>
      <c r="O154" s="845" t="n"/>
      <c r="P154" s="845" t="n"/>
      <c r="Q154" s="845" t="n"/>
      <c r="R154" s="845" t="n"/>
      <c r="S154" s="845" t="n"/>
      <c r="T154" s="845" t="n"/>
      <c r="U154" s="845" t="n"/>
      <c r="V154" s="845" t="n"/>
      <c r="W154" s="845" t="n"/>
      <c r="X154" s="845" t="n"/>
      <c r="Y154" s="845" t="n"/>
      <c r="Z154" s="845" t="n"/>
    </row>
    <row r="155">
      <c r="A155" s="845" t="n"/>
      <c r="B155" s="857" t="n"/>
      <c r="C155" s="857" t="n"/>
      <c r="D155" s="857" t="n"/>
      <c r="E155" s="857" t="n"/>
      <c r="F155" s="857" t="n"/>
      <c r="G155" s="858" t="n"/>
      <c r="H155" s="857" t="n"/>
      <c r="I155" s="857" t="n"/>
      <c r="J155" s="857" t="n"/>
      <c r="K155" s="857" t="n"/>
      <c r="L155" s="857" t="n"/>
      <c r="M155" s="857" t="n"/>
      <c r="N155" s="857" t="n"/>
      <c r="O155" s="845" t="n"/>
      <c r="P155" s="845" t="n"/>
      <c r="Q155" s="845" t="n"/>
      <c r="R155" s="845" t="n"/>
      <c r="S155" s="845" t="n"/>
      <c r="T155" s="845" t="n"/>
      <c r="U155" s="845" t="n"/>
      <c r="V155" s="845" t="n"/>
      <c r="W155" s="845" t="n"/>
      <c r="X155" s="845" t="n"/>
      <c r="Y155" s="845" t="n"/>
      <c r="Z155" s="845" t="n"/>
    </row>
    <row r="156">
      <c r="A156" s="845" t="n"/>
      <c r="B156" s="857" t="n"/>
      <c r="C156" s="857" t="n"/>
      <c r="D156" s="857" t="n"/>
      <c r="E156" s="857" t="n"/>
      <c r="F156" s="857" t="n"/>
      <c r="G156" s="858" t="n"/>
      <c r="H156" s="857" t="n"/>
      <c r="I156" s="857" t="n"/>
      <c r="J156" s="857" t="n"/>
      <c r="K156" s="857" t="n"/>
      <c r="L156" s="857" t="n"/>
      <c r="M156" s="857" t="n"/>
      <c r="N156" s="857" t="n"/>
      <c r="O156" s="845" t="n"/>
      <c r="P156" s="845" t="n"/>
      <c r="Q156" s="845" t="n"/>
      <c r="R156" s="845" t="n"/>
      <c r="S156" s="845" t="n"/>
      <c r="T156" s="845" t="n"/>
      <c r="U156" s="845" t="n"/>
      <c r="V156" s="845" t="n"/>
      <c r="W156" s="845" t="n"/>
      <c r="X156" s="845" t="n"/>
      <c r="Y156" s="845" t="n"/>
      <c r="Z156" s="845" t="n"/>
    </row>
    <row r="157">
      <c r="A157" s="845" t="n"/>
      <c r="B157" s="857" t="n"/>
      <c r="C157" s="857" t="n"/>
      <c r="D157" s="857" t="n"/>
      <c r="E157" s="857" t="n"/>
      <c r="F157" s="857" t="n"/>
      <c r="G157" s="858" t="n"/>
      <c r="H157" s="857" t="n"/>
      <c r="I157" s="857" t="n"/>
      <c r="J157" s="857" t="n"/>
      <c r="K157" s="857" t="n"/>
      <c r="L157" s="857" t="n"/>
      <c r="M157" s="857" t="n"/>
      <c r="N157" s="857" t="n"/>
      <c r="O157" s="845" t="n"/>
      <c r="P157" s="845" t="n"/>
      <c r="Q157" s="845" t="n"/>
      <c r="R157" s="845" t="n"/>
      <c r="S157" s="845" t="n"/>
      <c r="T157" s="845" t="n"/>
      <c r="U157" s="845" t="n"/>
      <c r="V157" s="845" t="n"/>
      <c r="W157" s="845" t="n"/>
      <c r="X157" s="845" t="n"/>
      <c r="Y157" s="845" t="n"/>
      <c r="Z157" s="845" t="n"/>
    </row>
    <row r="158">
      <c r="A158" s="845" t="n"/>
      <c r="B158" s="857" t="n"/>
      <c r="C158" s="857" t="n"/>
      <c r="D158" s="857" t="n"/>
      <c r="E158" s="857" t="n"/>
      <c r="F158" s="857" t="n"/>
      <c r="G158" s="858" t="n"/>
      <c r="H158" s="857" t="n"/>
      <c r="I158" s="857" t="n"/>
      <c r="J158" s="857" t="n"/>
      <c r="K158" s="857" t="n"/>
      <c r="L158" s="857" t="n"/>
      <c r="M158" s="857" t="n"/>
      <c r="N158" s="857" t="n"/>
      <c r="O158" s="845" t="n"/>
      <c r="P158" s="845" t="n"/>
      <c r="Q158" s="845" t="n"/>
      <c r="R158" s="845" t="n"/>
      <c r="S158" s="845" t="n"/>
      <c r="T158" s="845" t="n"/>
      <c r="U158" s="845" t="n"/>
      <c r="V158" s="845" t="n"/>
      <c r="W158" s="845" t="n"/>
      <c r="X158" s="845" t="n"/>
      <c r="Y158" s="845" t="n"/>
      <c r="Z158" s="845" t="n"/>
    </row>
    <row r="159">
      <c r="A159" s="845" t="n"/>
      <c r="B159" s="857" t="n"/>
      <c r="C159" s="857" t="n"/>
      <c r="D159" s="857" t="n"/>
      <c r="E159" s="857" t="n"/>
      <c r="F159" s="857" t="n"/>
      <c r="G159" s="858" t="n"/>
      <c r="H159" s="857" t="n"/>
      <c r="I159" s="857" t="n"/>
      <c r="J159" s="857" t="n"/>
      <c r="K159" s="857" t="n"/>
      <c r="L159" s="857" t="n"/>
      <c r="M159" s="857" t="n"/>
      <c r="N159" s="857" t="n"/>
      <c r="O159" s="845" t="n"/>
      <c r="P159" s="845" t="n"/>
      <c r="Q159" s="845" t="n"/>
      <c r="R159" s="845" t="n"/>
      <c r="S159" s="845" t="n"/>
      <c r="T159" s="845" t="n"/>
      <c r="U159" s="845" t="n"/>
      <c r="V159" s="845" t="n"/>
      <c r="W159" s="845" t="n"/>
      <c r="X159" s="845" t="n"/>
      <c r="Y159" s="845" t="n"/>
      <c r="Z159" s="845" t="n"/>
    </row>
    <row r="160">
      <c r="A160" s="845" t="n"/>
      <c r="B160" s="857" t="n"/>
      <c r="C160" s="857" t="n"/>
      <c r="D160" s="857" t="n"/>
      <c r="E160" s="857" t="n"/>
      <c r="F160" s="857" t="n"/>
      <c r="G160" s="858" t="n"/>
      <c r="H160" s="857" t="n"/>
      <c r="I160" s="857" t="n"/>
      <c r="J160" s="857" t="n"/>
      <c r="K160" s="857" t="n"/>
      <c r="L160" s="857" t="n"/>
      <c r="M160" s="857" t="n"/>
      <c r="N160" s="857" t="n"/>
      <c r="O160" s="845" t="n"/>
      <c r="P160" s="845" t="n"/>
      <c r="Q160" s="845" t="n"/>
      <c r="R160" s="845" t="n"/>
      <c r="S160" s="845" t="n"/>
      <c r="T160" s="845" t="n"/>
      <c r="U160" s="845" t="n"/>
      <c r="V160" s="845" t="n"/>
      <c r="W160" s="845" t="n"/>
      <c r="X160" s="845" t="n"/>
      <c r="Y160" s="845" t="n"/>
      <c r="Z160" s="845" t="n"/>
    </row>
    <row r="161">
      <c r="A161" s="845" t="n"/>
      <c r="B161" s="857" t="n"/>
      <c r="C161" s="857" t="n"/>
      <c r="D161" s="857" t="n"/>
      <c r="E161" s="857" t="n"/>
      <c r="F161" s="857" t="n"/>
      <c r="G161" s="858" t="n"/>
      <c r="H161" s="857" t="n"/>
      <c r="I161" s="857" t="n"/>
      <c r="J161" s="857" t="n"/>
      <c r="K161" s="857" t="n"/>
      <c r="L161" s="857" t="n"/>
      <c r="M161" s="857" t="n"/>
      <c r="N161" s="857" t="n"/>
      <c r="O161" s="845" t="n"/>
      <c r="P161" s="845" t="n"/>
      <c r="Q161" s="845" t="n"/>
      <c r="R161" s="845" t="n"/>
      <c r="S161" s="845" t="n"/>
      <c r="T161" s="845" t="n"/>
      <c r="U161" s="845" t="n"/>
      <c r="V161" s="845" t="n"/>
      <c r="W161" s="845" t="n"/>
      <c r="X161" s="845" t="n"/>
      <c r="Y161" s="845" t="n"/>
      <c r="Z161" s="845" t="n"/>
    </row>
    <row r="162">
      <c r="A162" s="845" t="n"/>
      <c r="B162" s="857" t="n"/>
      <c r="C162" s="857" t="n"/>
      <c r="D162" s="857" t="n"/>
      <c r="E162" s="857" t="n"/>
      <c r="F162" s="857" t="n"/>
      <c r="G162" s="858" t="n"/>
      <c r="H162" s="857" t="n"/>
      <c r="I162" s="857" t="n"/>
      <c r="J162" s="857" t="n"/>
      <c r="K162" s="857" t="n"/>
      <c r="L162" s="857" t="n"/>
      <c r="M162" s="857" t="n"/>
      <c r="N162" s="857" t="n"/>
      <c r="O162" s="845" t="n"/>
      <c r="P162" s="845" t="n"/>
      <c r="Q162" s="845" t="n"/>
      <c r="R162" s="845" t="n"/>
      <c r="S162" s="845" t="n"/>
      <c r="T162" s="845" t="n"/>
      <c r="U162" s="845" t="n"/>
      <c r="V162" s="845" t="n"/>
      <c r="W162" s="845" t="n"/>
      <c r="X162" s="845" t="n"/>
      <c r="Y162" s="845" t="n"/>
      <c r="Z162" s="845" t="n"/>
    </row>
    <row r="163">
      <c r="A163" s="845" t="n"/>
      <c r="B163" s="857" t="n"/>
      <c r="C163" s="857" t="n"/>
      <c r="D163" s="857" t="n"/>
      <c r="E163" s="857" t="n"/>
      <c r="F163" s="857" t="n"/>
      <c r="G163" s="858" t="n"/>
      <c r="H163" s="857" t="n"/>
      <c r="I163" s="857" t="n"/>
      <c r="J163" s="857" t="n"/>
      <c r="K163" s="857" t="n"/>
      <c r="L163" s="857" t="n"/>
      <c r="M163" s="857" t="n"/>
      <c r="N163" s="857" t="n"/>
      <c r="O163" s="845" t="n"/>
      <c r="P163" s="845" t="n"/>
      <c r="Q163" s="845" t="n"/>
      <c r="R163" s="845" t="n"/>
      <c r="S163" s="845" t="n"/>
      <c r="T163" s="845" t="n"/>
      <c r="U163" s="845" t="n"/>
      <c r="V163" s="845" t="n"/>
      <c r="W163" s="845" t="n"/>
      <c r="X163" s="845" t="n"/>
      <c r="Y163" s="845" t="n"/>
      <c r="Z163" s="845" t="n"/>
    </row>
    <row r="164">
      <c r="A164" s="845" t="n"/>
      <c r="B164" s="857" t="n"/>
      <c r="C164" s="857" t="n"/>
      <c r="D164" s="857" t="n"/>
      <c r="E164" s="857" t="n"/>
      <c r="F164" s="857" t="n"/>
      <c r="G164" s="858" t="n"/>
      <c r="H164" s="857" t="n"/>
      <c r="I164" s="857" t="n"/>
      <c r="J164" s="857" t="n"/>
      <c r="K164" s="857" t="n"/>
      <c r="L164" s="857" t="n"/>
      <c r="M164" s="857" t="n"/>
      <c r="N164" s="857" t="n"/>
      <c r="O164" s="845" t="n"/>
      <c r="P164" s="845" t="n"/>
      <c r="Q164" s="845" t="n"/>
      <c r="R164" s="845" t="n"/>
      <c r="S164" s="845" t="n"/>
      <c r="T164" s="845" t="n"/>
      <c r="U164" s="845" t="n"/>
      <c r="V164" s="845" t="n"/>
      <c r="W164" s="845" t="n"/>
      <c r="X164" s="845" t="n"/>
      <c r="Y164" s="845" t="n"/>
      <c r="Z164" s="845" t="n"/>
    </row>
    <row r="165">
      <c r="A165" s="845" t="n"/>
      <c r="B165" s="857" t="n"/>
      <c r="C165" s="857" t="n"/>
      <c r="D165" s="857" t="n"/>
      <c r="E165" s="857" t="n"/>
      <c r="F165" s="857" t="n"/>
      <c r="G165" s="858" t="n"/>
      <c r="H165" s="857" t="n"/>
      <c r="I165" s="857" t="n"/>
      <c r="J165" s="857" t="n"/>
      <c r="K165" s="857" t="n"/>
      <c r="L165" s="857" t="n"/>
      <c r="M165" s="857" t="n"/>
      <c r="N165" s="857" t="n"/>
      <c r="O165" s="845" t="n"/>
      <c r="P165" s="845" t="n"/>
      <c r="Q165" s="845" t="n"/>
      <c r="R165" s="845" t="n"/>
      <c r="S165" s="845" t="n"/>
      <c r="T165" s="845" t="n"/>
      <c r="U165" s="845" t="n"/>
      <c r="V165" s="845" t="n"/>
      <c r="W165" s="845" t="n"/>
      <c r="X165" s="845" t="n"/>
      <c r="Y165" s="845" t="n"/>
      <c r="Z165" s="845" t="n"/>
    </row>
    <row r="166">
      <c r="A166" s="845" t="n"/>
      <c r="B166" s="857" t="n"/>
      <c r="C166" s="857" t="n"/>
      <c r="D166" s="857" t="n"/>
      <c r="E166" s="857" t="n"/>
      <c r="F166" s="857" t="n"/>
      <c r="G166" s="858" t="n"/>
      <c r="H166" s="857" t="n"/>
      <c r="I166" s="857" t="n"/>
      <c r="J166" s="857" t="n"/>
      <c r="K166" s="857" t="n"/>
      <c r="L166" s="857" t="n"/>
      <c r="M166" s="857" t="n"/>
      <c r="N166" s="857" t="n"/>
      <c r="O166" s="845" t="n"/>
      <c r="P166" s="845" t="n"/>
      <c r="Q166" s="845" t="n"/>
      <c r="R166" s="845" t="n"/>
      <c r="S166" s="845" t="n"/>
      <c r="T166" s="845" t="n"/>
      <c r="U166" s="845" t="n"/>
      <c r="V166" s="845" t="n"/>
      <c r="W166" s="845" t="n"/>
      <c r="X166" s="845" t="n"/>
      <c r="Y166" s="845" t="n"/>
      <c r="Z166" s="845" t="n"/>
    </row>
    <row r="167">
      <c r="A167" s="845" t="n"/>
      <c r="B167" s="857" t="n"/>
      <c r="C167" s="857" t="n"/>
      <c r="D167" s="857" t="n"/>
      <c r="E167" s="857" t="n"/>
      <c r="F167" s="857" t="n"/>
      <c r="G167" s="858" t="n"/>
      <c r="H167" s="857" t="n"/>
      <c r="I167" s="857" t="n"/>
      <c r="J167" s="857" t="n"/>
      <c r="K167" s="857" t="n"/>
      <c r="L167" s="857" t="n"/>
      <c r="M167" s="857" t="n"/>
      <c r="N167" s="857" t="n"/>
      <c r="O167" s="845" t="n"/>
      <c r="P167" s="845" t="n"/>
      <c r="Q167" s="845" t="n"/>
      <c r="R167" s="845" t="n"/>
      <c r="S167" s="845" t="n"/>
      <c r="T167" s="845" t="n"/>
      <c r="U167" s="845" t="n"/>
      <c r="V167" s="845" t="n"/>
      <c r="W167" s="845" t="n"/>
      <c r="X167" s="845" t="n"/>
      <c r="Y167" s="845" t="n"/>
      <c r="Z167" s="845" t="n"/>
    </row>
    <row r="168">
      <c r="A168" s="845" t="n"/>
      <c r="B168" s="857" t="n"/>
      <c r="C168" s="857" t="n"/>
      <c r="D168" s="857" t="n"/>
      <c r="E168" s="857" t="n"/>
      <c r="F168" s="857" t="n"/>
      <c r="G168" s="858" t="n"/>
      <c r="H168" s="857" t="n"/>
      <c r="I168" s="857" t="n"/>
      <c r="J168" s="857" t="n"/>
      <c r="K168" s="857" t="n"/>
      <c r="L168" s="857" t="n"/>
      <c r="M168" s="857" t="n"/>
      <c r="N168" s="857" t="n"/>
      <c r="O168" s="845" t="n"/>
      <c r="P168" s="845" t="n"/>
      <c r="Q168" s="845" t="n"/>
      <c r="R168" s="845" t="n"/>
      <c r="S168" s="845" t="n"/>
      <c r="T168" s="845" t="n"/>
      <c r="U168" s="845" t="n"/>
      <c r="V168" s="845" t="n"/>
      <c r="W168" s="845" t="n"/>
      <c r="X168" s="845" t="n"/>
      <c r="Y168" s="845" t="n"/>
      <c r="Z168" s="845" t="n"/>
    </row>
    <row r="169">
      <c r="A169" s="845" t="n"/>
      <c r="B169" s="857" t="n"/>
      <c r="C169" s="857" t="n"/>
      <c r="D169" s="857" t="n"/>
      <c r="E169" s="857" t="n"/>
      <c r="F169" s="857" t="n"/>
      <c r="G169" s="858" t="n"/>
      <c r="H169" s="857" t="n"/>
      <c r="I169" s="857" t="n"/>
      <c r="J169" s="857" t="n"/>
      <c r="K169" s="857" t="n"/>
      <c r="L169" s="857" t="n"/>
      <c r="M169" s="857" t="n"/>
      <c r="N169" s="857" t="n"/>
      <c r="O169" s="845" t="n"/>
      <c r="P169" s="845" t="n"/>
      <c r="Q169" s="845" t="n"/>
      <c r="R169" s="845" t="n"/>
      <c r="S169" s="845" t="n"/>
      <c r="T169" s="845" t="n"/>
      <c r="U169" s="845" t="n"/>
      <c r="V169" s="845" t="n"/>
      <c r="W169" s="845" t="n"/>
      <c r="X169" s="845" t="n"/>
      <c r="Y169" s="845" t="n"/>
      <c r="Z169" s="845" t="n"/>
    </row>
    <row r="170">
      <c r="A170" s="845" t="n"/>
      <c r="B170" s="857" t="n"/>
      <c r="C170" s="857" t="n"/>
      <c r="D170" s="857" t="n"/>
      <c r="E170" s="857" t="n"/>
      <c r="F170" s="857" t="n"/>
      <c r="G170" s="858" t="n"/>
      <c r="H170" s="857" t="n"/>
      <c r="I170" s="857" t="n"/>
      <c r="J170" s="857" t="n"/>
      <c r="K170" s="857" t="n"/>
      <c r="L170" s="857" t="n"/>
      <c r="M170" s="857" t="n"/>
      <c r="N170" s="857" t="n"/>
      <c r="O170" s="845" t="n"/>
      <c r="P170" s="845" t="n"/>
      <c r="Q170" s="845" t="n"/>
      <c r="R170" s="845" t="n"/>
      <c r="S170" s="845" t="n"/>
      <c r="T170" s="845" t="n"/>
      <c r="U170" s="845" t="n"/>
      <c r="V170" s="845" t="n"/>
      <c r="W170" s="845" t="n"/>
      <c r="X170" s="845" t="n"/>
      <c r="Y170" s="845" t="n"/>
      <c r="Z170" s="845" t="n"/>
    </row>
    <row r="171">
      <c r="A171" s="845" t="n"/>
      <c r="B171" s="857" t="n"/>
      <c r="C171" s="857" t="n"/>
      <c r="D171" s="857" t="n"/>
      <c r="E171" s="857" t="n"/>
      <c r="F171" s="857" t="n"/>
      <c r="G171" s="858" t="n"/>
      <c r="H171" s="857" t="n"/>
      <c r="I171" s="857" t="n"/>
      <c r="J171" s="857" t="n"/>
      <c r="K171" s="857" t="n"/>
      <c r="L171" s="857" t="n"/>
      <c r="M171" s="857" t="n"/>
      <c r="N171" s="857" t="n"/>
      <c r="O171" s="845" t="n"/>
      <c r="P171" s="845" t="n"/>
      <c r="Q171" s="845" t="n"/>
      <c r="R171" s="845" t="n"/>
      <c r="S171" s="845" t="n"/>
      <c r="T171" s="845" t="n"/>
      <c r="U171" s="845" t="n"/>
      <c r="V171" s="845" t="n"/>
      <c r="W171" s="845" t="n"/>
      <c r="X171" s="845" t="n"/>
      <c r="Y171" s="845" t="n"/>
      <c r="Z171" s="845" t="n"/>
    </row>
    <row r="172">
      <c r="A172" s="845" t="n"/>
      <c r="B172" s="857" t="n"/>
      <c r="C172" s="857" t="n"/>
      <c r="D172" s="857" t="n"/>
      <c r="E172" s="857" t="n"/>
      <c r="F172" s="857" t="n"/>
      <c r="G172" s="858" t="n"/>
      <c r="H172" s="857" t="n"/>
      <c r="I172" s="857" t="n"/>
      <c r="J172" s="857" t="n"/>
      <c r="K172" s="857" t="n"/>
      <c r="L172" s="857" t="n"/>
      <c r="M172" s="857" t="n"/>
      <c r="N172" s="857" t="n"/>
      <c r="O172" s="845" t="n"/>
      <c r="P172" s="845" t="n"/>
      <c r="Q172" s="845" t="n"/>
      <c r="R172" s="845" t="n"/>
      <c r="S172" s="845" t="n"/>
      <c r="T172" s="845" t="n"/>
      <c r="U172" s="845" t="n"/>
      <c r="V172" s="845" t="n"/>
      <c r="W172" s="845" t="n"/>
      <c r="X172" s="845" t="n"/>
      <c r="Y172" s="845" t="n"/>
      <c r="Z172" s="845" t="n"/>
    </row>
    <row r="173">
      <c r="A173" s="845" t="n"/>
      <c r="B173" s="857" t="n"/>
      <c r="C173" s="857" t="n"/>
      <c r="D173" s="857" t="n"/>
      <c r="E173" s="857" t="n"/>
      <c r="F173" s="857" t="n"/>
      <c r="G173" s="858" t="n"/>
      <c r="H173" s="857" t="n"/>
      <c r="I173" s="857" t="n"/>
      <c r="J173" s="857" t="n"/>
      <c r="K173" s="857" t="n"/>
      <c r="L173" s="857" t="n"/>
      <c r="M173" s="857" t="n"/>
      <c r="N173" s="857" t="n"/>
      <c r="O173" s="845" t="n"/>
      <c r="P173" s="845" t="n"/>
      <c r="Q173" s="845" t="n"/>
      <c r="R173" s="845" t="n"/>
      <c r="S173" s="845" t="n"/>
      <c r="T173" s="845" t="n"/>
      <c r="U173" s="845" t="n"/>
      <c r="V173" s="845" t="n"/>
      <c r="W173" s="845" t="n"/>
      <c r="X173" s="845" t="n"/>
      <c r="Y173" s="845" t="n"/>
      <c r="Z173" s="845" t="n"/>
    </row>
    <row r="174">
      <c r="A174" s="845" t="n"/>
      <c r="B174" s="857" t="n"/>
      <c r="C174" s="857" t="n"/>
      <c r="D174" s="857" t="n"/>
      <c r="E174" s="857" t="n"/>
      <c r="F174" s="857" t="n"/>
      <c r="G174" s="858" t="n"/>
      <c r="H174" s="857" t="n"/>
      <c r="I174" s="857" t="n"/>
      <c r="J174" s="857" t="n"/>
      <c r="K174" s="857" t="n"/>
      <c r="L174" s="857" t="n"/>
      <c r="M174" s="857" t="n"/>
      <c r="N174" s="857" t="n"/>
      <c r="O174" s="845" t="n"/>
      <c r="P174" s="845" t="n"/>
      <c r="Q174" s="845" t="n"/>
      <c r="R174" s="845" t="n"/>
      <c r="S174" s="845" t="n"/>
      <c r="T174" s="845" t="n"/>
      <c r="U174" s="845" t="n"/>
      <c r="V174" s="845" t="n"/>
      <c r="W174" s="845" t="n"/>
      <c r="X174" s="845" t="n"/>
      <c r="Y174" s="845" t="n"/>
      <c r="Z174" s="845" t="n"/>
    </row>
    <row r="175">
      <c r="A175" s="845" t="n"/>
      <c r="B175" s="857" t="n"/>
      <c r="C175" s="857" t="n"/>
      <c r="D175" s="857" t="n"/>
      <c r="E175" s="857" t="n"/>
      <c r="F175" s="857" t="n"/>
      <c r="G175" s="858" t="n"/>
      <c r="H175" s="857" t="n"/>
      <c r="I175" s="857" t="n"/>
      <c r="J175" s="857" t="n"/>
      <c r="K175" s="857" t="n"/>
      <c r="L175" s="857" t="n"/>
      <c r="M175" s="857" t="n"/>
      <c r="N175" s="857" t="n"/>
      <c r="O175" s="845" t="n"/>
      <c r="P175" s="845" t="n"/>
      <c r="Q175" s="845" t="n"/>
      <c r="R175" s="845" t="n"/>
      <c r="S175" s="845" t="n"/>
      <c r="T175" s="845" t="n"/>
      <c r="U175" s="845" t="n"/>
      <c r="V175" s="845" t="n"/>
      <c r="W175" s="845" t="n"/>
      <c r="X175" s="845" t="n"/>
      <c r="Y175" s="845" t="n"/>
      <c r="Z175" s="845" t="n"/>
    </row>
    <row r="176">
      <c r="A176" s="845" t="n"/>
      <c r="B176" s="857" t="n"/>
      <c r="C176" s="857" t="n"/>
      <c r="D176" s="857" t="n"/>
      <c r="E176" s="857" t="n"/>
      <c r="F176" s="857" t="n"/>
      <c r="G176" s="858" t="n"/>
      <c r="H176" s="857" t="n"/>
      <c r="I176" s="857" t="n"/>
      <c r="J176" s="857" t="n"/>
      <c r="K176" s="857" t="n"/>
      <c r="L176" s="857" t="n"/>
      <c r="M176" s="857" t="n"/>
      <c r="N176" s="857" t="n"/>
      <c r="O176" s="845" t="n"/>
      <c r="P176" s="845" t="n"/>
      <c r="Q176" s="845" t="n"/>
      <c r="R176" s="845" t="n"/>
      <c r="S176" s="845" t="n"/>
      <c r="T176" s="845" t="n"/>
      <c r="U176" s="845" t="n"/>
      <c r="V176" s="845" t="n"/>
      <c r="W176" s="845" t="n"/>
      <c r="X176" s="845" t="n"/>
      <c r="Y176" s="845" t="n"/>
      <c r="Z176" s="845" t="n"/>
    </row>
    <row r="177">
      <c r="A177" s="845" t="n"/>
      <c r="B177" s="857" t="n"/>
      <c r="C177" s="857" t="n"/>
      <c r="D177" s="857" t="n"/>
      <c r="E177" s="857" t="n"/>
      <c r="F177" s="857" t="n"/>
      <c r="G177" s="858" t="n"/>
      <c r="H177" s="857" t="n"/>
      <c r="I177" s="857" t="n"/>
      <c r="J177" s="857" t="n"/>
      <c r="K177" s="857" t="n"/>
      <c r="L177" s="857" t="n"/>
      <c r="M177" s="857" t="n"/>
      <c r="N177" s="857" t="n"/>
      <c r="O177" s="845" t="n"/>
      <c r="P177" s="845" t="n"/>
      <c r="Q177" s="845" t="n"/>
      <c r="R177" s="845" t="n"/>
      <c r="S177" s="845" t="n"/>
      <c r="T177" s="845" t="n"/>
      <c r="U177" s="845" t="n"/>
      <c r="V177" s="845" t="n"/>
      <c r="W177" s="845" t="n"/>
      <c r="X177" s="845" t="n"/>
      <c r="Y177" s="845" t="n"/>
      <c r="Z177" s="845" t="n"/>
    </row>
    <row r="178">
      <c r="A178" s="845" t="n"/>
      <c r="B178" s="857" t="n"/>
      <c r="C178" s="857" t="n"/>
      <c r="D178" s="857" t="n"/>
      <c r="E178" s="857" t="n"/>
      <c r="F178" s="857" t="n"/>
      <c r="G178" s="858" t="n"/>
      <c r="H178" s="857" t="n"/>
      <c r="I178" s="857" t="n"/>
      <c r="J178" s="857" t="n"/>
      <c r="K178" s="857" t="n"/>
      <c r="L178" s="857" t="n"/>
      <c r="M178" s="857" t="n"/>
      <c r="N178" s="857" t="n"/>
      <c r="O178" s="845" t="n"/>
      <c r="P178" s="845" t="n"/>
      <c r="Q178" s="845" t="n"/>
      <c r="R178" s="845" t="n"/>
      <c r="S178" s="845" t="n"/>
      <c r="T178" s="845" t="n"/>
      <c r="U178" s="845" t="n"/>
      <c r="V178" s="845" t="n"/>
      <c r="W178" s="845" t="n"/>
      <c r="X178" s="845" t="n"/>
      <c r="Y178" s="845" t="n"/>
      <c r="Z178" s="845" t="n"/>
    </row>
    <row r="179">
      <c r="A179" s="845" t="n"/>
      <c r="B179" s="857" t="n"/>
      <c r="C179" s="857" t="n"/>
      <c r="D179" s="857" t="n"/>
      <c r="E179" s="857" t="n"/>
      <c r="F179" s="857" t="n"/>
      <c r="G179" s="858" t="n"/>
      <c r="H179" s="857" t="n"/>
      <c r="I179" s="857" t="n"/>
      <c r="J179" s="857" t="n"/>
      <c r="K179" s="857" t="n"/>
      <c r="L179" s="857" t="n"/>
      <c r="M179" s="857" t="n"/>
      <c r="N179" s="857" t="n"/>
      <c r="O179" s="845" t="n"/>
      <c r="P179" s="845" t="n"/>
      <c r="Q179" s="845" t="n"/>
      <c r="R179" s="845" t="n"/>
      <c r="S179" s="845" t="n"/>
      <c r="T179" s="845" t="n"/>
      <c r="U179" s="845" t="n"/>
      <c r="V179" s="845" t="n"/>
      <c r="W179" s="845" t="n"/>
      <c r="X179" s="845" t="n"/>
      <c r="Y179" s="845" t="n"/>
      <c r="Z179" s="845" t="n"/>
    </row>
    <row r="180">
      <c r="A180" s="845" t="n"/>
      <c r="B180" s="857" t="n"/>
      <c r="C180" s="857" t="n"/>
      <c r="D180" s="857" t="n"/>
      <c r="E180" s="857" t="n"/>
      <c r="F180" s="857" t="n"/>
      <c r="G180" s="858" t="n"/>
      <c r="H180" s="857" t="n"/>
      <c r="I180" s="857" t="n"/>
      <c r="J180" s="857" t="n"/>
      <c r="K180" s="857" t="n"/>
      <c r="L180" s="857" t="n"/>
      <c r="M180" s="857" t="n"/>
      <c r="N180" s="857" t="n"/>
      <c r="O180" s="845" t="n"/>
      <c r="P180" s="845" t="n"/>
      <c r="Q180" s="845" t="n"/>
      <c r="R180" s="845" t="n"/>
      <c r="S180" s="845" t="n"/>
      <c r="T180" s="845" t="n"/>
      <c r="U180" s="845" t="n"/>
      <c r="V180" s="845" t="n"/>
      <c r="W180" s="845" t="n"/>
      <c r="X180" s="845" t="n"/>
      <c r="Y180" s="845" t="n"/>
      <c r="Z180" s="845" t="n"/>
    </row>
    <row r="181">
      <c r="A181" s="845" t="n"/>
      <c r="B181" s="857" t="n"/>
      <c r="C181" s="857" t="n"/>
      <c r="D181" s="857" t="n"/>
      <c r="E181" s="857" t="n"/>
      <c r="F181" s="857" t="n"/>
      <c r="G181" s="858" t="n"/>
      <c r="H181" s="857" t="n"/>
      <c r="I181" s="857" t="n"/>
      <c r="J181" s="857" t="n"/>
      <c r="K181" s="857" t="n"/>
      <c r="L181" s="857" t="n"/>
      <c r="M181" s="857" t="n"/>
      <c r="N181" s="857" t="n"/>
      <c r="O181" s="845" t="n"/>
      <c r="P181" s="845" t="n"/>
      <c r="Q181" s="845" t="n"/>
      <c r="R181" s="845" t="n"/>
      <c r="S181" s="845" t="n"/>
      <c r="T181" s="845" t="n"/>
      <c r="U181" s="845" t="n"/>
      <c r="V181" s="845" t="n"/>
      <c r="W181" s="845" t="n"/>
      <c r="X181" s="845" t="n"/>
      <c r="Y181" s="845" t="n"/>
      <c r="Z181" s="845" t="n"/>
    </row>
    <row r="182">
      <c r="A182" s="845" t="n"/>
      <c r="B182" s="857" t="n"/>
      <c r="C182" s="857" t="n"/>
      <c r="D182" s="857" t="n"/>
      <c r="E182" s="857" t="n"/>
      <c r="F182" s="857" t="n"/>
      <c r="G182" s="858" t="n"/>
      <c r="H182" s="857" t="n"/>
      <c r="I182" s="857" t="n"/>
      <c r="J182" s="857" t="n"/>
      <c r="K182" s="857" t="n"/>
      <c r="L182" s="857" t="n"/>
      <c r="M182" s="857" t="n"/>
      <c r="N182" s="857" t="n"/>
      <c r="O182" s="845" t="n"/>
      <c r="P182" s="845" t="n"/>
      <c r="Q182" s="845" t="n"/>
      <c r="R182" s="845" t="n"/>
      <c r="S182" s="845" t="n"/>
      <c r="T182" s="845" t="n"/>
      <c r="U182" s="845" t="n"/>
      <c r="V182" s="845" t="n"/>
      <c r="W182" s="845" t="n"/>
      <c r="X182" s="845" t="n"/>
      <c r="Y182" s="845" t="n"/>
      <c r="Z182" s="845" t="n"/>
    </row>
    <row r="183">
      <c r="A183" s="845" t="n"/>
      <c r="B183" s="857" t="n"/>
      <c r="C183" s="857" t="n"/>
      <c r="D183" s="857" t="n"/>
      <c r="E183" s="857" t="n"/>
      <c r="F183" s="857" t="n"/>
      <c r="G183" s="858" t="n"/>
      <c r="H183" s="857" t="n"/>
      <c r="I183" s="857" t="n"/>
      <c r="J183" s="857" t="n"/>
      <c r="K183" s="857" t="n"/>
      <c r="L183" s="857" t="n"/>
      <c r="M183" s="857" t="n"/>
      <c r="N183" s="857" t="n"/>
      <c r="O183" s="845" t="n"/>
      <c r="P183" s="845" t="n"/>
      <c r="Q183" s="845" t="n"/>
      <c r="R183" s="845" t="n"/>
      <c r="S183" s="845" t="n"/>
      <c r="T183" s="845" t="n"/>
      <c r="U183" s="845" t="n"/>
      <c r="V183" s="845" t="n"/>
      <c r="W183" s="845" t="n"/>
      <c r="X183" s="845" t="n"/>
      <c r="Y183" s="845" t="n"/>
      <c r="Z183" s="845" t="n"/>
    </row>
    <row r="184">
      <c r="A184" s="845" t="n"/>
      <c r="B184" s="857" t="n"/>
      <c r="C184" s="857" t="n"/>
      <c r="D184" s="857" t="n"/>
      <c r="E184" s="857" t="n"/>
      <c r="F184" s="857" t="n"/>
      <c r="G184" s="858" t="n"/>
      <c r="H184" s="857" t="n"/>
      <c r="I184" s="857" t="n"/>
      <c r="J184" s="857" t="n"/>
      <c r="K184" s="857" t="n"/>
      <c r="L184" s="857" t="n"/>
      <c r="M184" s="857" t="n"/>
      <c r="N184" s="857" t="n"/>
      <c r="O184" s="845" t="n"/>
      <c r="P184" s="845" t="n"/>
      <c r="Q184" s="845" t="n"/>
      <c r="R184" s="845" t="n"/>
      <c r="S184" s="845" t="n"/>
      <c r="T184" s="845" t="n"/>
      <c r="U184" s="845" t="n"/>
      <c r="V184" s="845" t="n"/>
      <c r="W184" s="845" t="n"/>
      <c r="X184" s="845" t="n"/>
      <c r="Y184" s="845" t="n"/>
      <c r="Z184" s="845" t="n"/>
    </row>
    <row r="185">
      <c r="A185" s="845" t="n"/>
      <c r="B185" s="857" t="n"/>
      <c r="C185" s="857" t="n"/>
      <c r="D185" s="857" t="n"/>
      <c r="E185" s="857" t="n"/>
      <c r="F185" s="857" t="n"/>
      <c r="G185" s="858" t="n"/>
      <c r="H185" s="857" t="n"/>
      <c r="I185" s="857" t="n"/>
      <c r="J185" s="857" t="n"/>
      <c r="K185" s="857" t="n"/>
      <c r="L185" s="857" t="n"/>
      <c r="M185" s="857" t="n"/>
      <c r="N185" s="857" t="n"/>
      <c r="O185" s="845" t="n"/>
      <c r="P185" s="845" t="n"/>
      <c r="Q185" s="845" t="n"/>
      <c r="R185" s="845" t="n"/>
      <c r="S185" s="845" t="n"/>
      <c r="T185" s="845" t="n"/>
      <c r="U185" s="845" t="n"/>
      <c r="V185" s="845" t="n"/>
      <c r="W185" s="845" t="n"/>
      <c r="X185" s="845" t="n"/>
      <c r="Y185" s="845" t="n"/>
      <c r="Z185" s="845" t="n"/>
    </row>
    <row r="186">
      <c r="A186" s="845" t="n"/>
      <c r="B186" s="857" t="n"/>
      <c r="C186" s="857" t="n"/>
      <c r="D186" s="857" t="n"/>
      <c r="E186" s="857" t="n"/>
      <c r="F186" s="857" t="n"/>
      <c r="G186" s="858" t="n"/>
      <c r="H186" s="857" t="n"/>
      <c r="I186" s="857" t="n"/>
      <c r="J186" s="857" t="n"/>
      <c r="K186" s="857" t="n"/>
      <c r="L186" s="857" t="n"/>
      <c r="M186" s="857" t="n"/>
      <c r="N186" s="857" t="n"/>
      <c r="O186" s="845" t="n"/>
      <c r="P186" s="845" t="n"/>
      <c r="Q186" s="845" t="n"/>
      <c r="R186" s="845" t="n"/>
      <c r="S186" s="845" t="n"/>
      <c r="T186" s="845" t="n"/>
      <c r="U186" s="845" t="n"/>
      <c r="V186" s="845" t="n"/>
      <c r="W186" s="845" t="n"/>
      <c r="X186" s="845" t="n"/>
      <c r="Y186" s="845" t="n"/>
      <c r="Z186" s="845" t="n"/>
    </row>
    <row r="187">
      <c r="A187" s="845" t="n"/>
      <c r="B187" s="857" t="n"/>
      <c r="C187" s="857" t="n"/>
      <c r="D187" s="857" t="n"/>
      <c r="E187" s="857" t="n"/>
      <c r="F187" s="857" t="n"/>
      <c r="G187" s="858" t="n"/>
      <c r="H187" s="857" t="n"/>
      <c r="I187" s="857" t="n"/>
      <c r="J187" s="857" t="n"/>
      <c r="K187" s="857" t="n"/>
      <c r="L187" s="857" t="n"/>
      <c r="M187" s="857" t="n"/>
      <c r="N187" s="857" t="n"/>
      <c r="O187" s="845" t="n"/>
      <c r="P187" s="845" t="n"/>
      <c r="Q187" s="845" t="n"/>
      <c r="R187" s="845" t="n"/>
      <c r="S187" s="845" t="n"/>
      <c r="T187" s="845" t="n"/>
      <c r="U187" s="845" t="n"/>
      <c r="V187" s="845" t="n"/>
      <c r="W187" s="845" t="n"/>
      <c r="X187" s="845" t="n"/>
      <c r="Y187" s="845" t="n"/>
      <c r="Z187" s="845" t="n"/>
    </row>
    <row r="188">
      <c r="A188" s="845" t="n"/>
      <c r="B188" s="857" t="n"/>
      <c r="C188" s="857" t="n"/>
      <c r="D188" s="857" t="n"/>
      <c r="E188" s="857" t="n"/>
      <c r="F188" s="857" t="n"/>
      <c r="G188" s="858" t="n"/>
      <c r="H188" s="857" t="n"/>
      <c r="I188" s="857" t="n"/>
      <c r="J188" s="857" t="n"/>
      <c r="K188" s="857" t="n"/>
      <c r="L188" s="857" t="n"/>
      <c r="M188" s="857" t="n"/>
      <c r="N188" s="857" t="n"/>
      <c r="O188" s="845" t="n"/>
      <c r="P188" s="845" t="n"/>
      <c r="Q188" s="845" t="n"/>
      <c r="R188" s="845" t="n"/>
      <c r="S188" s="845" t="n"/>
      <c r="T188" s="845" t="n"/>
      <c r="U188" s="845" t="n"/>
      <c r="V188" s="845" t="n"/>
      <c r="W188" s="845" t="n"/>
      <c r="X188" s="845" t="n"/>
      <c r="Y188" s="845" t="n"/>
      <c r="Z188" s="845" t="n"/>
    </row>
    <row r="189">
      <c r="A189" s="845" t="n"/>
      <c r="B189" s="857" t="n"/>
      <c r="C189" s="857" t="n"/>
      <c r="D189" s="857" t="n"/>
      <c r="E189" s="857" t="n"/>
      <c r="F189" s="857" t="n"/>
      <c r="G189" s="858" t="n"/>
      <c r="H189" s="857" t="n"/>
      <c r="I189" s="857" t="n"/>
      <c r="J189" s="857" t="n"/>
      <c r="K189" s="857" t="n"/>
      <c r="L189" s="857" t="n"/>
      <c r="M189" s="857" t="n"/>
      <c r="N189" s="857" t="n"/>
      <c r="O189" s="845" t="n"/>
      <c r="P189" s="845" t="n"/>
      <c r="Q189" s="845" t="n"/>
      <c r="R189" s="845" t="n"/>
      <c r="S189" s="845" t="n"/>
      <c r="T189" s="845" t="n"/>
      <c r="U189" s="845" t="n"/>
      <c r="V189" s="845" t="n"/>
      <c r="W189" s="845" t="n"/>
      <c r="X189" s="845" t="n"/>
      <c r="Y189" s="845" t="n"/>
      <c r="Z189" s="845" t="n"/>
    </row>
    <row r="190">
      <c r="A190" s="845" t="n"/>
      <c r="B190" s="857" t="n"/>
      <c r="C190" s="857" t="n"/>
      <c r="D190" s="857" t="n"/>
      <c r="E190" s="857" t="n"/>
      <c r="F190" s="857" t="n"/>
      <c r="G190" s="858" t="n"/>
      <c r="H190" s="857" t="n"/>
      <c r="I190" s="857" t="n"/>
      <c r="J190" s="857" t="n"/>
      <c r="K190" s="857" t="n"/>
      <c r="L190" s="857" t="n"/>
      <c r="M190" s="857" t="n"/>
      <c r="N190" s="857" t="n"/>
      <c r="O190" s="845" t="n"/>
      <c r="P190" s="845" t="n"/>
      <c r="Q190" s="845" t="n"/>
      <c r="R190" s="845" t="n"/>
      <c r="S190" s="845" t="n"/>
      <c r="T190" s="845" t="n"/>
      <c r="U190" s="845" t="n"/>
      <c r="V190" s="845" t="n"/>
      <c r="W190" s="845" t="n"/>
      <c r="X190" s="845" t="n"/>
      <c r="Y190" s="845" t="n"/>
      <c r="Z190" s="845" t="n"/>
    </row>
    <row r="191">
      <c r="A191" s="845" t="n"/>
      <c r="B191" s="857" t="n"/>
      <c r="C191" s="857" t="n"/>
      <c r="D191" s="857" t="n"/>
      <c r="E191" s="857" t="n"/>
      <c r="F191" s="857" t="n"/>
      <c r="G191" s="858" t="n"/>
      <c r="H191" s="857" t="n"/>
      <c r="I191" s="857" t="n"/>
      <c r="J191" s="857" t="n"/>
      <c r="K191" s="857" t="n"/>
      <c r="L191" s="857" t="n"/>
      <c r="M191" s="857" t="n"/>
      <c r="N191" s="857" t="n"/>
      <c r="O191" s="845" t="n"/>
      <c r="P191" s="845" t="n"/>
      <c r="Q191" s="845" t="n"/>
      <c r="R191" s="845" t="n"/>
      <c r="S191" s="845" t="n"/>
      <c r="T191" s="845" t="n"/>
      <c r="U191" s="845" t="n"/>
      <c r="V191" s="845" t="n"/>
      <c r="W191" s="845" t="n"/>
      <c r="X191" s="845" t="n"/>
      <c r="Y191" s="845" t="n"/>
      <c r="Z191" s="845" t="n"/>
    </row>
    <row r="192">
      <c r="A192" s="845" t="n"/>
      <c r="B192" s="857" t="n"/>
      <c r="C192" s="857" t="n"/>
      <c r="D192" s="857" t="n"/>
      <c r="E192" s="857" t="n"/>
      <c r="F192" s="857" t="n"/>
      <c r="G192" s="858" t="n"/>
      <c r="H192" s="857" t="n"/>
      <c r="I192" s="857" t="n"/>
      <c r="J192" s="857" t="n"/>
      <c r="K192" s="857" t="n"/>
      <c r="L192" s="857" t="n"/>
      <c r="M192" s="857" t="n"/>
      <c r="N192" s="857" t="n"/>
      <c r="O192" s="845" t="n"/>
      <c r="P192" s="845" t="n"/>
      <c r="Q192" s="845" t="n"/>
      <c r="R192" s="845" t="n"/>
      <c r="S192" s="845" t="n"/>
      <c r="T192" s="845" t="n"/>
      <c r="U192" s="845" t="n"/>
      <c r="V192" s="845" t="n"/>
      <c r="W192" s="845" t="n"/>
      <c r="X192" s="845" t="n"/>
      <c r="Y192" s="845" t="n"/>
      <c r="Z192" s="845" t="n"/>
    </row>
    <row r="193">
      <c r="A193" s="845" t="n"/>
      <c r="B193" s="857" t="n"/>
      <c r="C193" s="857" t="n"/>
      <c r="D193" s="857" t="n"/>
      <c r="E193" s="857" t="n"/>
      <c r="F193" s="857" t="n"/>
      <c r="G193" s="858" t="n"/>
      <c r="H193" s="857" t="n"/>
      <c r="I193" s="857" t="n"/>
      <c r="J193" s="857" t="n"/>
      <c r="K193" s="857" t="n"/>
      <c r="L193" s="857" t="n"/>
      <c r="M193" s="857" t="n"/>
      <c r="N193" s="857" t="n"/>
      <c r="O193" s="845" t="n"/>
      <c r="P193" s="845" t="n"/>
      <c r="Q193" s="845" t="n"/>
      <c r="R193" s="845" t="n"/>
      <c r="S193" s="845" t="n"/>
      <c r="T193" s="845" t="n"/>
      <c r="U193" s="845" t="n"/>
      <c r="V193" s="845" t="n"/>
      <c r="W193" s="845" t="n"/>
      <c r="X193" s="845" t="n"/>
      <c r="Y193" s="845" t="n"/>
      <c r="Z193" s="845" t="n"/>
    </row>
    <row r="194">
      <c r="A194" s="845" t="n"/>
      <c r="B194" s="857" t="n"/>
      <c r="C194" s="857" t="n"/>
      <c r="D194" s="857" t="n"/>
      <c r="E194" s="857" t="n"/>
      <c r="F194" s="857" t="n"/>
      <c r="G194" s="858" t="n"/>
      <c r="H194" s="857" t="n"/>
      <c r="I194" s="857" t="n"/>
      <c r="J194" s="857" t="n"/>
      <c r="K194" s="857" t="n"/>
      <c r="L194" s="857" t="n"/>
      <c r="M194" s="857" t="n"/>
      <c r="N194" s="857" t="n"/>
      <c r="O194" s="845" t="n"/>
      <c r="P194" s="845" t="n"/>
      <c r="Q194" s="845" t="n"/>
      <c r="R194" s="845" t="n"/>
      <c r="S194" s="845" t="n"/>
      <c r="T194" s="845" t="n"/>
      <c r="U194" s="845" t="n"/>
      <c r="V194" s="845" t="n"/>
      <c r="W194" s="845" t="n"/>
      <c r="X194" s="845" t="n"/>
      <c r="Y194" s="845" t="n"/>
      <c r="Z194" s="845" t="n"/>
    </row>
    <row r="195">
      <c r="A195" s="845" t="n"/>
      <c r="B195" s="857" t="n"/>
      <c r="C195" s="857" t="n"/>
      <c r="D195" s="857" t="n"/>
      <c r="E195" s="857" t="n"/>
      <c r="F195" s="857" t="n"/>
      <c r="G195" s="858" t="n"/>
      <c r="H195" s="857" t="n"/>
      <c r="I195" s="857" t="n"/>
      <c r="J195" s="857" t="n"/>
      <c r="K195" s="857" t="n"/>
      <c r="L195" s="857" t="n"/>
      <c r="M195" s="857" t="n"/>
      <c r="N195" s="857" t="n"/>
      <c r="O195" s="845" t="n"/>
      <c r="P195" s="845" t="n"/>
      <c r="Q195" s="845" t="n"/>
      <c r="R195" s="845" t="n"/>
      <c r="S195" s="845" t="n"/>
      <c r="T195" s="845" t="n"/>
      <c r="U195" s="845" t="n"/>
      <c r="V195" s="845" t="n"/>
      <c r="W195" s="845" t="n"/>
      <c r="X195" s="845" t="n"/>
      <c r="Y195" s="845" t="n"/>
      <c r="Z195" s="845" t="n"/>
    </row>
    <row r="196">
      <c r="A196" s="845" t="n"/>
      <c r="B196" s="857" t="n"/>
      <c r="C196" s="857" t="n"/>
      <c r="D196" s="857" t="n"/>
      <c r="E196" s="857" t="n"/>
      <c r="F196" s="857" t="n"/>
      <c r="G196" s="858" t="n"/>
      <c r="H196" s="857" t="n"/>
      <c r="I196" s="857" t="n"/>
      <c r="J196" s="857" t="n"/>
      <c r="K196" s="857" t="n"/>
      <c r="L196" s="857" t="n"/>
      <c r="M196" s="857" t="n"/>
      <c r="N196" s="857" t="n"/>
      <c r="O196" s="845" t="n"/>
      <c r="P196" s="845" t="n"/>
      <c r="Q196" s="845" t="n"/>
      <c r="R196" s="845" t="n"/>
      <c r="S196" s="845" t="n"/>
      <c r="T196" s="845" t="n"/>
      <c r="U196" s="845" t="n"/>
      <c r="V196" s="845" t="n"/>
      <c r="W196" s="845" t="n"/>
      <c r="X196" s="845" t="n"/>
      <c r="Y196" s="845" t="n"/>
      <c r="Z196" s="845" t="n"/>
    </row>
    <row r="197">
      <c r="A197" s="845" t="n"/>
      <c r="B197" s="857" t="n"/>
      <c r="C197" s="857" t="n"/>
      <c r="D197" s="857" t="n"/>
      <c r="E197" s="857" t="n"/>
      <c r="F197" s="857" t="n"/>
      <c r="G197" s="858" t="n"/>
      <c r="H197" s="857" t="n"/>
      <c r="I197" s="857" t="n"/>
      <c r="J197" s="857" t="n"/>
      <c r="K197" s="857" t="n"/>
      <c r="L197" s="857" t="n"/>
      <c r="M197" s="857" t="n"/>
      <c r="N197" s="857" t="n"/>
      <c r="O197" s="845" t="n"/>
      <c r="P197" s="845" t="n"/>
      <c r="Q197" s="845" t="n"/>
      <c r="R197" s="845" t="n"/>
      <c r="S197" s="845" t="n"/>
      <c r="T197" s="845" t="n"/>
      <c r="U197" s="845" t="n"/>
      <c r="V197" s="845" t="n"/>
      <c r="W197" s="845" t="n"/>
      <c r="X197" s="845" t="n"/>
      <c r="Y197" s="845" t="n"/>
      <c r="Z197" s="845" t="n"/>
    </row>
    <row r="198">
      <c r="A198" s="845" t="n"/>
      <c r="B198" s="857" t="n"/>
      <c r="C198" s="857" t="n"/>
      <c r="D198" s="857" t="n"/>
      <c r="E198" s="857" t="n"/>
      <c r="F198" s="857" t="n"/>
      <c r="G198" s="858" t="n"/>
      <c r="H198" s="857" t="n"/>
      <c r="I198" s="857" t="n"/>
      <c r="J198" s="857" t="n"/>
      <c r="K198" s="857" t="n"/>
      <c r="L198" s="857" t="n"/>
      <c r="M198" s="857" t="n"/>
      <c r="N198" s="857" t="n"/>
      <c r="O198" s="845" t="n"/>
      <c r="P198" s="845" t="n"/>
      <c r="Q198" s="845" t="n"/>
      <c r="R198" s="845" t="n"/>
      <c r="S198" s="845" t="n"/>
      <c r="T198" s="845" t="n"/>
      <c r="U198" s="845" t="n"/>
      <c r="V198" s="845" t="n"/>
      <c r="W198" s="845" t="n"/>
      <c r="X198" s="845" t="n"/>
      <c r="Y198" s="845" t="n"/>
      <c r="Z198" s="845" t="n"/>
    </row>
    <row r="199">
      <c r="A199" s="845" t="n"/>
      <c r="B199" s="857" t="n"/>
      <c r="C199" s="857" t="n"/>
      <c r="D199" s="857" t="n"/>
      <c r="E199" s="857" t="n"/>
      <c r="F199" s="857" t="n"/>
      <c r="G199" s="858" t="n"/>
      <c r="H199" s="857" t="n"/>
      <c r="I199" s="857" t="n"/>
      <c r="J199" s="857" t="n"/>
      <c r="K199" s="857" t="n"/>
      <c r="L199" s="857" t="n"/>
      <c r="M199" s="857" t="n"/>
      <c r="N199" s="857" t="n"/>
      <c r="O199" s="845" t="n"/>
      <c r="P199" s="845" t="n"/>
      <c r="Q199" s="845" t="n"/>
      <c r="R199" s="845" t="n"/>
      <c r="S199" s="845" t="n"/>
      <c r="T199" s="845" t="n"/>
      <c r="U199" s="845" t="n"/>
      <c r="V199" s="845" t="n"/>
      <c r="W199" s="845" t="n"/>
      <c r="X199" s="845" t="n"/>
      <c r="Y199" s="845" t="n"/>
      <c r="Z199" s="845" t="n"/>
    </row>
    <row r="200">
      <c r="A200" s="845" t="n"/>
      <c r="B200" s="857" t="n"/>
      <c r="C200" s="857" t="n"/>
      <c r="D200" s="857" t="n"/>
      <c r="E200" s="857" t="n"/>
      <c r="F200" s="857" t="n"/>
      <c r="G200" s="858" t="n"/>
      <c r="H200" s="857" t="n"/>
      <c r="I200" s="857" t="n"/>
      <c r="J200" s="857" t="n"/>
      <c r="K200" s="857" t="n"/>
      <c r="L200" s="857" t="n"/>
      <c r="M200" s="857" t="n"/>
      <c r="N200" s="857" t="n"/>
      <c r="O200" s="845" t="n"/>
      <c r="P200" s="845" t="n"/>
      <c r="Q200" s="845" t="n"/>
      <c r="R200" s="845" t="n"/>
      <c r="S200" s="845" t="n"/>
      <c r="T200" s="845" t="n"/>
      <c r="U200" s="845" t="n"/>
      <c r="V200" s="845" t="n"/>
      <c r="W200" s="845" t="n"/>
      <c r="X200" s="845" t="n"/>
      <c r="Y200" s="845" t="n"/>
      <c r="Z200" s="845" t="n"/>
    </row>
    <row r="201">
      <c r="A201" s="845" t="n"/>
      <c r="B201" s="857" t="n"/>
      <c r="C201" s="857" t="n"/>
      <c r="D201" s="857" t="n"/>
      <c r="E201" s="857" t="n"/>
      <c r="F201" s="857" t="n"/>
      <c r="G201" s="858" t="n"/>
      <c r="H201" s="857" t="n"/>
      <c r="I201" s="857" t="n"/>
      <c r="J201" s="857" t="n"/>
      <c r="K201" s="857" t="n"/>
      <c r="L201" s="857" t="n"/>
      <c r="M201" s="857" t="n"/>
      <c r="N201" s="857" t="n"/>
      <c r="O201" s="845" t="n"/>
      <c r="P201" s="845" t="n"/>
      <c r="Q201" s="845" t="n"/>
      <c r="R201" s="845" t="n"/>
      <c r="S201" s="845" t="n"/>
      <c r="T201" s="845" t="n"/>
      <c r="U201" s="845" t="n"/>
      <c r="V201" s="845" t="n"/>
      <c r="W201" s="845" t="n"/>
      <c r="X201" s="845" t="n"/>
      <c r="Y201" s="845" t="n"/>
      <c r="Z201" s="845" t="n"/>
    </row>
    <row r="202">
      <c r="A202" s="845" t="n"/>
      <c r="B202" s="857" t="n"/>
      <c r="C202" s="857" t="n"/>
      <c r="D202" s="857" t="n"/>
      <c r="E202" s="857" t="n"/>
      <c r="F202" s="857" t="n"/>
      <c r="G202" s="858" t="n"/>
      <c r="H202" s="857" t="n"/>
      <c r="I202" s="857" t="n"/>
      <c r="J202" s="857" t="n"/>
      <c r="K202" s="857" t="n"/>
      <c r="L202" s="857" t="n"/>
      <c r="M202" s="857" t="n"/>
      <c r="N202" s="857" t="n"/>
      <c r="O202" s="845" t="n"/>
      <c r="P202" s="845" t="n"/>
      <c r="Q202" s="845" t="n"/>
      <c r="R202" s="845" t="n"/>
      <c r="S202" s="845" t="n"/>
      <c r="T202" s="845" t="n"/>
      <c r="U202" s="845" t="n"/>
      <c r="V202" s="845" t="n"/>
      <c r="W202" s="845" t="n"/>
      <c r="X202" s="845" t="n"/>
      <c r="Y202" s="845" t="n"/>
      <c r="Z202" s="845" t="n"/>
    </row>
    <row r="203">
      <c r="A203" s="845" t="n"/>
      <c r="B203" s="857" t="n"/>
      <c r="C203" s="857" t="n"/>
      <c r="D203" s="857" t="n"/>
      <c r="E203" s="857" t="n"/>
      <c r="F203" s="857" t="n"/>
      <c r="G203" s="858" t="n"/>
      <c r="H203" s="857" t="n"/>
      <c r="I203" s="857" t="n"/>
      <c r="J203" s="857" t="n"/>
      <c r="K203" s="857" t="n"/>
      <c r="L203" s="857" t="n"/>
      <c r="M203" s="857" t="n"/>
      <c r="N203" s="857" t="n"/>
      <c r="O203" s="845" t="n"/>
      <c r="P203" s="845" t="n"/>
      <c r="Q203" s="845" t="n"/>
      <c r="R203" s="845" t="n"/>
      <c r="S203" s="845" t="n"/>
      <c r="T203" s="845" t="n"/>
      <c r="U203" s="845" t="n"/>
      <c r="V203" s="845" t="n"/>
      <c r="W203" s="845" t="n"/>
      <c r="X203" s="845" t="n"/>
      <c r="Y203" s="845" t="n"/>
      <c r="Z203" s="845" t="n"/>
    </row>
    <row r="204">
      <c r="A204" s="845" t="n"/>
      <c r="B204" s="857" t="n"/>
      <c r="C204" s="857" t="n"/>
      <c r="D204" s="857" t="n"/>
      <c r="E204" s="857" t="n"/>
      <c r="F204" s="857" t="n"/>
      <c r="G204" s="858" t="n"/>
      <c r="H204" s="857" t="n"/>
      <c r="I204" s="857" t="n"/>
      <c r="J204" s="857" t="n"/>
      <c r="K204" s="857" t="n"/>
      <c r="L204" s="857" t="n"/>
      <c r="M204" s="857" t="n"/>
      <c r="N204" s="857" t="n"/>
      <c r="O204" s="845" t="n"/>
      <c r="P204" s="845" t="n"/>
      <c r="Q204" s="845" t="n"/>
      <c r="R204" s="845" t="n"/>
      <c r="S204" s="845" t="n"/>
      <c r="T204" s="845" t="n"/>
      <c r="U204" s="845" t="n"/>
      <c r="V204" s="845" t="n"/>
      <c r="W204" s="845" t="n"/>
      <c r="X204" s="845" t="n"/>
      <c r="Y204" s="845" t="n"/>
      <c r="Z204" s="845" t="n"/>
    </row>
    <row r="205">
      <c r="A205" s="845" t="n"/>
      <c r="B205" s="857" t="n"/>
      <c r="C205" s="857" t="n"/>
      <c r="D205" s="857" t="n"/>
      <c r="E205" s="857" t="n"/>
      <c r="F205" s="857" t="n"/>
      <c r="G205" s="858" t="n"/>
      <c r="H205" s="857" t="n"/>
      <c r="I205" s="857" t="n"/>
      <c r="J205" s="857" t="n"/>
      <c r="K205" s="857" t="n"/>
      <c r="L205" s="857" t="n"/>
      <c r="M205" s="857" t="n"/>
      <c r="N205" s="857" t="n"/>
      <c r="O205" s="845" t="n"/>
      <c r="P205" s="845" t="n"/>
      <c r="Q205" s="845" t="n"/>
      <c r="R205" s="845" t="n"/>
      <c r="S205" s="845" t="n"/>
      <c r="T205" s="845" t="n"/>
      <c r="U205" s="845" t="n"/>
      <c r="V205" s="845" t="n"/>
      <c r="W205" s="845" t="n"/>
      <c r="X205" s="845" t="n"/>
      <c r="Y205" s="845" t="n"/>
      <c r="Z205" s="845" t="n"/>
    </row>
    <row r="206">
      <c r="A206" s="845" t="n"/>
      <c r="B206" s="857" t="n"/>
      <c r="C206" s="857" t="n"/>
      <c r="D206" s="857" t="n"/>
      <c r="E206" s="857" t="n"/>
      <c r="F206" s="857" t="n"/>
      <c r="G206" s="858" t="n"/>
      <c r="H206" s="857" t="n"/>
      <c r="I206" s="857" t="n"/>
      <c r="J206" s="857" t="n"/>
      <c r="K206" s="857" t="n"/>
      <c r="L206" s="857" t="n"/>
      <c r="M206" s="857" t="n"/>
      <c r="N206" s="857" t="n"/>
      <c r="O206" s="845" t="n"/>
      <c r="P206" s="845" t="n"/>
      <c r="Q206" s="845" t="n"/>
      <c r="R206" s="845" t="n"/>
      <c r="S206" s="845" t="n"/>
      <c r="T206" s="845" t="n"/>
      <c r="U206" s="845" t="n"/>
      <c r="V206" s="845" t="n"/>
      <c r="W206" s="845" t="n"/>
      <c r="X206" s="845" t="n"/>
      <c r="Y206" s="845" t="n"/>
      <c r="Z206" s="845" t="n"/>
    </row>
    <row r="207">
      <c r="A207" s="845" t="n"/>
      <c r="B207" s="857" t="n"/>
      <c r="C207" s="857" t="n"/>
      <c r="D207" s="857" t="n"/>
      <c r="E207" s="857" t="n"/>
      <c r="F207" s="857" t="n"/>
      <c r="G207" s="858" t="n"/>
      <c r="H207" s="857" t="n"/>
      <c r="I207" s="857" t="n"/>
      <c r="J207" s="857" t="n"/>
      <c r="K207" s="857" t="n"/>
      <c r="L207" s="857" t="n"/>
      <c r="M207" s="857" t="n"/>
      <c r="N207" s="857" t="n"/>
      <c r="O207" s="845" t="n"/>
      <c r="P207" s="845" t="n"/>
      <c r="Q207" s="845" t="n"/>
      <c r="R207" s="845" t="n"/>
      <c r="S207" s="845" t="n"/>
      <c r="T207" s="845" t="n"/>
      <c r="U207" s="845" t="n"/>
      <c r="V207" s="845" t="n"/>
      <c r="W207" s="845" t="n"/>
      <c r="X207" s="845" t="n"/>
      <c r="Y207" s="845" t="n"/>
      <c r="Z207" s="845" t="n"/>
    </row>
    <row r="208">
      <c r="A208" s="845" t="n"/>
      <c r="B208" s="857" t="n"/>
      <c r="C208" s="857" t="n"/>
      <c r="D208" s="857" t="n"/>
      <c r="E208" s="857" t="n"/>
      <c r="F208" s="857" t="n"/>
      <c r="G208" s="858" t="n"/>
      <c r="H208" s="857" t="n"/>
      <c r="I208" s="857" t="n"/>
      <c r="J208" s="857" t="n"/>
      <c r="K208" s="857" t="n"/>
      <c r="L208" s="857" t="n"/>
      <c r="M208" s="857" t="n"/>
      <c r="N208" s="857" t="n"/>
      <c r="O208" s="845" t="n"/>
      <c r="P208" s="845" t="n"/>
      <c r="Q208" s="845" t="n"/>
      <c r="R208" s="845" t="n"/>
      <c r="S208" s="845" t="n"/>
      <c r="T208" s="845" t="n"/>
      <c r="U208" s="845" t="n"/>
      <c r="V208" s="845" t="n"/>
      <c r="W208" s="845" t="n"/>
      <c r="X208" s="845" t="n"/>
      <c r="Y208" s="845" t="n"/>
      <c r="Z208" s="845" t="n"/>
    </row>
    <row r="209">
      <c r="A209" s="845" t="n"/>
      <c r="B209" s="857" t="n"/>
      <c r="C209" s="857" t="n"/>
      <c r="D209" s="857" t="n"/>
      <c r="E209" s="857" t="n"/>
      <c r="F209" s="857" t="n"/>
      <c r="G209" s="858" t="n"/>
      <c r="H209" s="857" t="n"/>
      <c r="I209" s="857" t="n"/>
      <c r="J209" s="857" t="n"/>
      <c r="K209" s="857" t="n"/>
      <c r="L209" s="857" t="n"/>
      <c r="M209" s="857" t="n"/>
      <c r="N209" s="857" t="n"/>
      <c r="O209" s="845" t="n"/>
      <c r="P209" s="845" t="n"/>
      <c r="Q209" s="845" t="n"/>
      <c r="R209" s="845" t="n"/>
      <c r="S209" s="845" t="n"/>
      <c r="T209" s="845" t="n"/>
      <c r="U209" s="845" t="n"/>
      <c r="V209" s="845" t="n"/>
      <c r="W209" s="845" t="n"/>
      <c r="X209" s="845" t="n"/>
      <c r="Y209" s="845" t="n"/>
      <c r="Z209" s="845" t="n"/>
    </row>
    <row r="210">
      <c r="A210" s="845" t="n"/>
      <c r="B210" s="857" t="n"/>
      <c r="C210" s="857" t="n"/>
      <c r="D210" s="857" t="n"/>
      <c r="E210" s="857" t="n"/>
      <c r="F210" s="857" t="n"/>
      <c r="G210" s="858" t="n"/>
      <c r="H210" s="857" t="n"/>
      <c r="I210" s="857" t="n"/>
      <c r="J210" s="857" t="n"/>
      <c r="K210" s="857" t="n"/>
      <c r="L210" s="857" t="n"/>
      <c r="M210" s="857" t="n"/>
      <c r="N210" s="857" t="n"/>
      <c r="O210" s="845" t="n"/>
      <c r="P210" s="845" t="n"/>
      <c r="Q210" s="845" t="n"/>
      <c r="R210" s="845" t="n"/>
      <c r="S210" s="845" t="n"/>
      <c r="T210" s="845" t="n"/>
      <c r="U210" s="845" t="n"/>
      <c r="V210" s="845" t="n"/>
      <c r="W210" s="845" t="n"/>
      <c r="X210" s="845" t="n"/>
      <c r="Y210" s="845" t="n"/>
      <c r="Z210" s="845" t="n"/>
    </row>
    <row r="211">
      <c r="A211" s="845" t="n"/>
      <c r="B211" s="857" t="n"/>
      <c r="C211" s="857" t="n"/>
      <c r="D211" s="857" t="n"/>
      <c r="E211" s="857" t="n"/>
      <c r="F211" s="857" t="n"/>
      <c r="G211" s="858" t="n"/>
      <c r="H211" s="857" t="n"/>
      <c r="I211" s="857" t="n"/>
      <c r="J211" s="857" t="n"/>
      <c r="K211" s="857" t="n"/>
      <c r="L211" s="857" t="n"/>
      <c r="M211" s="857" t="n"/>
      <c r="N211" s="857" t="n"/>
      <c r="O211" s="845" t="n"/>
      <c r="P211" s="845" t="n"/>
      <c r="Q211" s="845" t="n"/>
      <c r="R211" s="845" t="n"/>
      <c r="S211" s="845" t="n"/>
      <c r="T211" s="845" t="n"/>
      <c r="U211" s="845" t="n"/>
      <c r="V211" s="845" t="n"/>
      <c r="W211" s="845" t="n"/>
      <c r="X211" s="845" t="n"/>
      <c r="Y211" s="845" t="n"/>
      <c r="Z211" s="845" t="n"/>
    </row>
    <row r="212">
      <c r="A212" s="845" t="n"/>
      <c r="B212" s="857" t="n"/>
      <c r="C212" s="857" t="n"/>
      <c r="D212" s="857" t="n"/>
      <c r="E212" s="857" t="n"/>
      <c r="F212" s="857" t="n"/>
      <c r="G212" s="858" t="n"/>
      <c r="H212" s="857" t="n"/>
      <c r="I212" s="857" t="n"/>
      <c r="J212" s="857" t="n"/>
      <c r="K212" s="857" t="n"/>
      <c r="L212" s="857" t="n"/>
      <c r="M212" s="857" t="n"/>
      <c r="N212" s="857" t="n"/>
      <c r="O212" s="845" t="n"/>
      <c r="P212" s="845" t="n"/>
      <c r="Q212" s="845" t="n"/>
      <c r="R212" s="845" t="n"/>
      <c r="S212" s="845" t="n"/>
      <c r="T212" s="845" t="n"/>
      <c r="U212" s="845" t="n"/>
      <c r="V212" s="845" t="n"/>
      <c r="W212" s="845" t="n"/>
      <c r="X212" s="845" t="n"/>
      <c r="Y212" s="845" t="n"/>
      <c r="Z212" s="845" t="n"/>
    </row>
    <row r="213">
      <c r="A213" s="845" t="n"/>
      <c r="B213" s="857" t="n"/>
      <c r="C213" s="857" t="n"/>
      <c r="D213" s="857" t="n"/>
      <c r="E213" s="857" t="n"/>
      <c r="F213" s="857" t="n"/>
      <c r="G213" s="858" t="n"/>
      <c r="H213" s="857" t="n"/>
      <c r="I213" s="857" t="n"/>
      <c r="J213" s="857" t="n"/>
      <c r="K213" s="857" t="n"/>
      <c r="L213" s="857" t="n"/>
      <c r="M213" s="857" t="n"/>
      <c r="N213" s="857" t="n"/>
      <c r="O213" s="845" t="n"/>
      <c r="P213" s="845" t="n"/>
      <c r="Q213" s="845" t="n"/>
      <c r="R213" s="845" t="n"/>
      <c r="S213" s="845" t="n"/>
      <c r="T213" s="845" t="n"/>
      <c r="U213" s="845" t="n"/>
      <c r="V213" s="845" t="n"/>
      <c r="W213" s="845" t="n"/>
      <c r="X213" s="845" t="n"/>
      <c r="Y213" s="845" t="n"/>
      <c r="Z213" s="845" t="n"/>
    </row>
    <row r="214">
      <c r="A214" s="845" t="n"/>
      <c r="B214" s="857" t="n"/>
      <c r="C214" s="857" t="n"/>
      <c r="D214" s="857" t="n"/>
      <c r="E214" s="857" t="n"/>
      <c r="F214" s="857" t="n"/>
      <c r="G214" s="858" t="n"/>
      <c r="H214" s="857" t="n"/>
      <c r="I214" s="857" t="n"/>
      <c r="J214" s="857" t="n"/>
      <c r="K214" s="857" t="n"/>
      <c r="L214" s="857" t="n"/>
      <c r="M214" s="857" t="n"/>
      <c r="N214" s="857" t="n"/>
      <c r="O214" s="845" t="n"/>
      <c r="P214" s="845" t="n"/>
      <c r="Q214" s="845" t="n"/>
      <c r="R214" s="845" t="n"/>
      <c r="S214" s="845" t="n"/>
      <c r="T214" s="845" t="n"/>
      <c r="U214" s="845" t="n"/>
      <c r="V214" s="845" t="n"/>
      <c r="W214" s="845" t="n"/>
      <c r="X214" s="845" t="n"/>
      <c r="Y214" s="845" t="n"/>
      <c r="Z214" s="845" t="n"/>
    </row>
    <row r="215">
      <c r="A215" s="845" t="n"/>
      <c r="B215" s="857" t="n"/>
      <c r="C215" s="857" t="n"/>
      <c r="D215" s="857" t="n"/>
      <c r="E215" s="857" t="n"/>
      <c r="F215" s="857" t="n"/>
      <c r="G215" s="858" t="n"/>
      <c r="H215" s="857" t="n"/>
      <c r="I215" s="857" t="n"/>
      <c r="J215" s="857" t="n"/>
      <c r="K215" s="857" t="n"/>
      <c r="L215" s="857" t="n"/>
      <c r="M215" s="857" t="n"/>
      <c r="N215" s="857" t="n"/>
      <c r="O215" s="845" t="n"/>
      <c r="P215" s="845" t="n"/>
      <c r="Q215" s="845" t="n"/>
      <c r="R215" s="845" t="n"/>
      <c r="S215" s="845" t="n"/>
      <c r="T215" s="845" t="n"/>
      <c r="U215" s="845" t="n"/>
      <c r="V215" s="845" t="n"/>
      <c r="W215" s="845" t="n"/>
      <c r="X215" s="845" t="n"/>
      <c r="Y215" s="845" t="n"/>
      <c r="Z215" s="845" t="n"/>
    </row>
    <row r="216">
      <c r="A216" s="845" t="n"/>
      <c r="B216" s="857" t="n"/>
      <c r="C216" s="857" t="n"/>
      <c r="D216" s="857" t="n"/>
      <c r="E216" s="857" t="n"/>
      <c r="F216" s="857" t="n"/>
      <c r="G216" s="858" t="n"/>
      <c r="H216" s="857" t="n"/>
      <c r="I216" s="857" t="n"/>
      <c r="J216" s="857" t="n"/>
      <c r="K216" s="857" t="n"/>
      <c r="L216" s="857" t="n"/>
      <c r="M216" s="857" t="n"/>
      <c r="N216" s="857" t="n"/>
      <c r="O216" s="845" t="n"/>
      <c r="P216" s="845" t="n"/>
      <c r="Q216" s="845" t="n"/>
      <c r="R216" s="845" t="n"/>
      <c r="S216" s="845" t="n"/>
      <c r="T216" s="845" t="n"/>
      <c r="U216" s="845" t="n"/>
      <c r="V216" s="845" t="n"/>
      <c r="W216" s="845" t="n"/>
      <c r="X216" s="845" t="n"/>
      <c r="Y216" s="845" t="n"/>
      <c r="Z216" s="845" t="n"/>
    </row>
    <row r="217">
      <c r="A217" s="845" t="n"/>
      <c r="B217" s="857" t="n"/>
      <c r="C217" s="857" t="n"/>
      <c r="D217" s="857" t="n"/>
      <c r="E217" s="857" t="n"/>
      <c r="F217" s="857" t="n"/>
      <c r="G217" s="858" t="n"/>
      <c r="H217" s="857" t="n"/>
      <c r="I217" s="857" t="n"/>
      <c r="J217" s="857" t="n"/>
      <c r="K217" s="857" t="n"/>
      <c r="L217" s="857" t="n"/>
      <c r="M217" s="857" t="n"/>
      <c r="N217" s="857" t="n"/>
      <c r="O217" s="845" t="n"/>
      <c r="P217" s="845" t="n"/>
      <c r="Q217" s="845" t="n"/>
      <c r="R217" s="845" t="n"/>
      <c r="S217" s="845" t="n"/>
      <c r="T217" s="845" t="n"/>
      <c r="U217" s="845" t="n"/>
      <c r="V217" s="845" t="n"/>
      <c r="W217" s="845" t="n"/>
      <c r="X217" s="845" t="n"/>
      <c r="Y217" s="845" t="n"/>
      <c r="Z217" s="845" t="n"/>
    </row>
    <row r="218">
      <c r="A218" s="845" t="n"/>
      <c r="B218" s="857" t="n"/>
      <c r="C218" s="857" t="n"/>
      <c r="D218" s="857" t="n"/>
      <c r="E218" s="857" t="n"/>
      <c r="F218" s="857" t="n"/>
      <c r="G218" s="858" t="n"/>
      <c r="H218" s="857" t="n"/>
      <c r="I218" s="857" t="n"/>
      <c r="J218" s="857" t="n"/>
      <c r="K218" s="857" t="n"/>
      <c r="L218" s="857" t="n"/>
      <c r="M218" s="857" t="n"/>
      <c r="N218" s="857" t="n"/>
      <c r="O218" s="845" t="n"/>
      <c r="P218" s="845" t="n"/>
      <c r="Q218" s="845" t="n"/>
      <c r="R218" s="845" t="n"/>
      <c r="S218" s="845" t="n"/>
      <c r="T218" s="845" t="n"/>
      <c r="U218" s="845" t="n"/>
      <c r="V218" s="845" t="n"/>
      <c r="W218" s="845" t="n"/>
      <c r="X218" s="845" t="n"/>
      <c r="Y218" s="845" t="n"/>
      <c r="Z218" s="845" t="n"/>
    </row>
    <row r="219">
      <c r="A219" s="845" t="n"/>
      <c r="B219" s="857" t="n"/>
      <c r="C219" s="857" t="n"/>
      <c r="D219" s="857" t="n"/>
      <c r="E219" s="857" t="n"/>
      <c r="F219" s="857" t="n"/>
      <c r="G219" s="858" t="n"/>
      <c r="H219" s="857" t="n"/>
      <c r="I219" s="857" t="n"/>
      <c r="J219" s="857" t="n"/>
      <c r="K219" s="857" t="n"/>
      <c r="L219" s="857" t="n"/>
      <c r="M219" s="857" t="n"/>
      <c r="N219" s="857" t="n"/>
      <c r="O219" s="845" t="n"/>
      <c r="P219" s="845" t="n"/>
      <c r="Q219" s="845" t="n"/>
      <c r="R219" s="845" t="n"/>
      <c r="S219" s="845" t="n"/>
      <c r="T219" s="845" t="n"/>
      <c r="U219" s="845" t="n"/>
      <c r="V219" s="845" t="n"/>
      <c r="W219" s="845" t="n"/>
      <c r="X219" s="845" t="n"/>
      <c r="Y219" s="845" t="n"/>
      <c r="Z219" s="845" t="n"/>
    </row>
    <row r="220">
      <c r="A220" s="845" t="n"/>
      <c r="B220" s="857" t="n"/>
      <c r="C220" s="857" t="n"/>
      <c r="D220" s="857" t="n"/>
      <c r="E220" s="857" t="n"/>
      <c r="F220" s="857" t="n"/>
      <c r="G220" s="858" t="n"/>
      <c r="H220" s="857" t="n"/>
      <c r="I220" s="857" t="n"/>
      <c r="J220" s="857" t="n"/>
      <c r="K220" s="857" t="n"/>
      <c r="L220" s="857" t="n"/>
      <c r="M220" s="857" t="n"/>
      <c r="N220" s="857" t="n"/>
      <c r="O220" s="845" t="n"/>
      <c r="P220" s="845" t="n"/>
      <c r="Q220" s="845" t="n"/>
      <c r="R220" s="845" t="n"/>
      <c r="S220" s="845" t="n"/>
      <c r="T220" s="845" t="n"/>
      <c r="U220" s="845" t="n"/>
      <c r="V220" s="845" t="n"/>
      <c r="W220" s="845" t="n"/>
      <c r="X220" s="845" t="n"/>
      <c r="Y220" s="845" t="n"/>
      <c r="Z220" s="845" t="n"/>
    </row>
    <row r="221">
      <c r="A221" s="845" t="n"/>
      <c r="B221" s="857" t="n"/>
      <c r="C221" s="857" t="n"/>
      <c r="D221" s="857" t="n"/>
      <c r="E221" s="857" t="n"/>
      <c r="F221" s="857" t="n"/>
      <c r="G221" s="858" t="n"/>
      <c r="H221" s="857" t="n"/>
      <c r="I221" s="857" t="n"/>
      <c r="J221" s="857" t="n"/>
      <c r="K221" s="857" t="n"/>
      <c r="L221" s="857" t="n"/>
      <c r="M221" s="857" t="n"/>
      <c r="N221" s="857" t="n"/>
      <c r="O221" s="845" t="n"/>
      <c r="P221" s="845" t="n"/>
      <c r="Q221" s="845" t="n"/>
      <c r="R221" s="845" t="n"/>
      <c r="S221" s="845" t="n"/>
      <c r="T221" s="845" t="n"/>
      <c r="U221" s="845" t="n"/>
      <c r="V221" s="845" t="n"/>
      <c r="W221" s="845" t="n"/>
      <c r="X221" s="845" t="n"/>
      <c r="Y221" s="845" t="n"/>
      <c r="Z221" s="845" t="n"/>
    </row>
    <row r="222">
      <c r="A222" s="845" t="n"/>
      <c r="B222" s="857" t="n"/>
      <c r="C222" s="857" t="n"/>
      <c r="D222" s="857" t="n"/>
      <c r="E222" s="857" t="n"/>
      <c r="F222" s="857" t="n"/>
      <c r="G222" s="858" t="n"/>
      <c r="H222" s="857" t="n"/>
      <c r="I222" s="857" t="n"/>
      <c r="J222" s="857" t="n"/>
      <c r="K222" s="857" t="n"/>
      <c r="L222" s="857" t="n"/>
      <c r="M222" s="857" t="n"/>
      <c r="N222" s="857" t="n"/>
      <c r="O222" s="845" t="n"/>
      <c r="P222" s="845" t="n"/>
      <c r="Q222" s="845" t="n"/>
      <c r="R222" s="845" t="n"/>
      <c r="S222" s="845" t="n"/>
      <c r="T222" s="845" t="n"/>
      <c r="U222" s="845" t="n"/>
      <c r="V222" s="845" t="n"/>
      <c r="W222" s="845" t="n"/>
      <c r="X222" s="845" t="n"/>
      <c r="Y222" s="845" t="n"/>
      <c r="Z222" s="845" t="n"/>
    </row>
    <row r="223">
      <c r="A223" s="845" t="n"/>
      <c r="B223" s="857" t="n"/>
      <c r="C223" s="857" t="n"/>
      <c r="D223" s="857" t="n"/>
      <c r="E223" s="857" t="n"/>
      <c r="F223" s="857" t="n"/>
      <c r="G223" s="858" t="n"/>
      <c r="H223" s="857" t="n"/>
      <c r="I223" s="857" t="n"/>
      <c r="J223" s="857" t="n"/>
      <c r="K223" s="857" t="n"/>
      <c r="L223" s="857" t="n"/>
      <c r="M223" s="857" t="n"/>
      <c r="N223" s="857" t="n"/>
      <c r="O223" s="845" t="n"/>
      <c r="P223" s="845" t="n"/>
      <c r="Q223" s="845" t="n"/>
      <c r="R223" s="845" t="n"/>
      <c r="S223" s="845" t="n"/>
      <c r="T223" s="845" t="n"/>
      <c r="U223" s="845" t="n"/>
      <c r="V223" s="845" t="n"/>
      <c r="W223" s="845" t="n"/>
      <c r="X223" s="845" t="n"/>
      <c r="Y223" s="845" t="n"/>
      <c r="Z223" s="845" t="n"/>
    </row>
    <row r="224">
      <c r="A224" s="845" t="n"/>
      <c r="B224" s="857" t="n"/>
      <c r="C224" s="857" t="n"/>
      <c r="D224" s="857" t="n"/>
      <c r="E224" s="857" t="n"/>
      <c r="F224" s="857" t="n"/>
      <c r="G224" s="858" t="n"/>
      <c r="H224" s="857" t="n"/>
      <c r="I224" s="857" t="n"/>
      <c r="J224" s="857" t="n"/>
      <c r="K224" s="857" t="n"/>
      <c r="L224" s="857" t="n"/>
      <c r="M224" s="857" t="n"/>
      <c r="N224" s="857" t="n"/>
      <c r="O224" s="845" t="n"/>
      <c r="P224" s="845" t="n"/>
      <c r="Q224" s="845" t="n"/>
      <c r="R224" s="845" t="n"/>
      <c r="S224" s="845" t="n"/>
      <c r="T224" s="845" t="n"/>
      <c r="U224" s="845" t="n"/>
      <c r="V224" s="845" t="n"/>
      <c r="W224" s="845" t="n"/>
      <c r="X224" s="845" t="n"/>
      <c r="Y224" s="845" t="n"/>
      <c r="Z224" s="845" t="n"/>
    </row>
    <row r="225">
      <c r="A225" s="845" t="n"/>
      <c r="B225" s="857" t="n"/>
      <c r="C225" s="857" t="n"/>
      <c r="D225" s="857" t="n"/>
      <c r="E225" s="857" t="n"/>
      <c r="F225" s="857" t="n"/>
      <c r="G225" s="858" t="n"/>
      <c r="H225" s="857" t="n"/>
      <c r="I225" s="857" t="n"/>
      <c r="J225" s="857" t="n"/>
      <c r="K225" s="857" t="n"/>
      <c r="L225" s="857" t="n"/>
      <c r="M225" s="857" t="n"/>
      <c r="N225" s="857" t="n"/>
      <c r="O225" s="845" t="n"/>
      <c r="P225" s="845" t="n"/>
      <c r="Q225" s="845" t="n"/>
      <c r="R225" s="845" t="n"/>
      <c r="S225" s="845" t="n"/>
      <c r="T225" s="845" t="n"/>
      <c r="U225" s="845" t="n"/>
      <c r="V225" s="845" t="n"/>
      <c r="W225" s="845" t="n"/>
      <c r="X225" s="845" t="n"/>
      <c r="Y225" s="845" t="n"/>
      <c r="Z225" s="845" t="n"/>
    </row>
    <row r="226">
      <c r="A226" s="845" t="n"/>
      <c r="B226" s="857" t="n"/>
      <c r="C226" s="857" t="n"/>
      <c r="D226" s="857" t="n"/>
      <c r="E226" s="857" t="n"/>
      <c r="F226" s="857" t="n"/>
      <c r="G226" s="858" t="n"/>
      <c r="H226" s="857" t="n"/>
      <c r="I226" s="857" t="n"/>
      <c r="J226" s="857" t="n"/>
      <c r="K226" s="857" t="n"/>
      <c r="L226" s="857" t="n"/>
      <c r="M226" s="857" t="n"/>
      <c r="N226" s="857" t="n"/>
      <c r="O226" s="845" t="n"/>
      <c r="P226" s="845" t="n"/>
      <c r="Q226" s="845" t="n"/>
      <c r="R226" s="845" t="n"/>
      <c r="S226" s="845" t="n"/>
      <c r="T226" s="845" t="n"/>
      <c r="U226" s="845" t="n"/>
      <c r="V226" s="845" t="n"/>
      <c r="W226" s="845" t="n"/>
      <c r="X226" s="845" t="n"/>
      <c r="Y226" s="845" t="n"/>
      <c r="Z226" s="845" t="n"/>
    </row>
    <row r="227">
      <c r="A227" s="845" t="n"/>
      <c r="B227" s="857" t="n"/>
      <c r="C227" s="857" t="n"/>
      <c r="D227" s="857" t="n"/>
      <c r="E227" s="857" t="n"/>
      <c r="F227" s="857" t="n"/>
      <c r="G227" s="858" t="n"/>
      <c r="H227" s="857" t="n"/>
      <c r="I227" s="857" t="n"/>
      <c r="J227" s="857" t="n"/>
      <c r="K227" s="857" t="n"/>
      <c r="L227" s="857" t="n"/>
      <c r="M227" s="857" t="n"/>
      <c r="N227" s="857" t="n"/>
      <c r="O227" s="845" t="n"/>
      <c r="P227" s="845" t="n"/>
      <c r="Q227" s="845" t="n"/>
      <c r="R227" s="845" t="n"/>
      <c r="S227" s="845" t="n"/>
      <c r="T227" s="845" t="n"/>
      <c r="U227" s="845" t="n"/>
      <c r="V227" s="845" t="n"/>
      <c r="W227" s="845" t="n"/>
      <c r="X227" s="845" t="n"/>
      <c r="Y227" s="845" t="n"/>
      <c r="Z227" s="845" t="n"/>
    </row>
    <row r="228">
      <c r="A228" s="845" t="n"/>
      <c r="B228" s="857" t="n"/>
      <c r="C228" s="857" t="n"/>
      <c r="D228" s="857" t="n"/>
      <c r="E228" s="857" t="n"/>
      <c r="F228" s="857" t="n"/>
      <c r="G228" s="858" t="n"/>
      <c r="H228" s="857" t="n"/>
      <c r="I228" s="857" t="n"/>
      <c r="J228" s="857" t="n"/>
      <c r="K228" s="857" t="n"/>
      <c r="L228" s="857" t="n"/>
      <c r="M228" s="857" t="n"/>
      <c r="N228" s="857" t="n"/>
      <c r="O228" s="845" t="n"/>
      <c r="P228" s="845" t="n"/>
      <c r="Q228" s="845" t="n"/>
      <c r="R228" s="845" t="n"/>
      <c r="S228" s="845" t="n"/>
      <c r="T228" s="845" t="n"/>
      <c r="U228" s="845" t="n"/>
      <c r="V228" s="845" t="n"/>
      <c r="W228" s="845" t="n"/>
      <c r="X228" s="845" t="n"/>
      <c r="Y228" s="845" t="n"/>
      <c r="Z228" s="845" t="n"/>
    </row>
    <row r="229">
      <c r="A229" s="845" t="n"/>
      <c r="B229" s="857" t="n"/>
      <c r="C229" s="857" t="n"/>
      <c r="D229" s="857" t="n"/>
      <c r="E229" s="857" t="n"/>
      <c r="F229" s="857" t="n"/>
      <c r="G229" s="858" t="n"/>
      <c r="H229" s="857" t="n"/>
      <c r="I229" s="857" t="n"/>
      <c r="J229" s="857" t="n"/>
      <c r="K229" s="857" t="n"/>
      <c r="L229" s="857" t="n"/>
      <c r="M229" s="857" t="n"/>
      <c r="N229" s="857" t="n"/>
      <c r="O229" s="845" t="n"/>
      <c r="P229" s="845" t="n"/>
      <c r="Q229" s="845" t="n"/>
      <c r="R229" s="845" t="n"/>
      <c r="S229" s="845" t="n"/>
      <c r="T229" s="845" t="n"/>
      <c r="U229" s="845" t="n"/>
      <c r="V229" s="845" t="n"/>
      <c r="W229" s="845" t="n"/>
      <c r="X229" s="845" t="n"/>
      <c r="Y229" s="845" t="n"/>
      <c r="Z229" s="845" t="n"/>
    </row>
    <row r="230">
      <c r="A230" s="845" t="n"/>
      <c r="B230" s="857" t="n"/>
      <c r="C230" s="857" t="n"/>
      <c r="D230" s="857" t="n"/>
      <c r="E230" s="857" t="n"/>
      <c r="F230" s="857" t="n"/>
      <c r="G230" s="858" t="n"/>
      <c r="H230" s="857" t="n"/>
      <c r="I230" s="857" t="n"/>
      <c r="J230" s="857" t="n"/>
      <c r="K230" s="857" t="n"/>
      <c r="L230" s="857" t="n"/>
      <c r="M230" s="857" t="n"/>
      <c r="N230" s="857" t="n"/>
      <c r="O230" s="845" t="n"/>
      <c r="P230" s="845" t="n"/>
      <c r="Q230" s="845" t="n"/>
      <c r="R230" s="845" t="n"/>
      <c r="S230" s="845" t="n"/>
      <c r="T230" s="845" t="n"/>
      <c r="U230" s="845" t="n"/>
      <c r="V230" s="845" t="n"/>
      <c r="W230" s="845" t="n"/>
      <c r="X230" s="845" t="n"/>
      <c r="Y230" s="845" t="n"/>
      <c r="Z230" s="845" t="n"/>
    </row>
    <row r="231">
      <c r="A231" s="845" t="n"/>
      <c r="B231" s="857" t="n"/>
      <c r="C231" s="857" t="n"/>
      <c r="D231" s="857" t="n"/>
      <c r="E231" s="857" t="n"/>
      <c r="F231" s="857" t="n"/>
      <c r="G231" s="858" t="n"/>
      <c r="H231" s="857" t="n"/>
      <c r="I231" s="857" t="n"/>
      <c r="J231" s="857" t="n"/>
      <c r="K231" s="857" t="n"/>
      <c r="L231" s="857" t="n"/>
      <c r="M231" s="857" t="n"/>
      <c r="N231" s="857" t="n"/>
      <c r="O231" s="845" t="n"/>
      <c r="P231" s="845" t="n"/>
      <c r="Q231" s="845" t="n"/>
      <c r="R231" s="845" t="n"/>
      <c r="S231" s="845" t="n"/>
      <c r="T231" s="845" t="n"/>
      <c r="U231" s="845" t="n"/>
      <c r="V231" s="845" t="n"/>
      <c r="W231" s="845" t="n"/>
      <c r="X231" s="845" t="n"/>
      <c r="Y231" s="845" t="n"/>
      <c r="Z231" s="845" t="n"/>
    </row>
    <row r="232">
      <c r="A232" s="845" t="n"/>
      <c r="B232" s="857" t="n"/>
      <c r="C232" s="857" t="n"/>
      <c r="D232" s="857" t="n"/>
      <c r="E232" s="857" t="n"/>
      <c r="F232" s="857" t="n"/>
      <c r="G232" s="858" t="n"/>
      <c r="H232" s="857" t="n"/>
      <c r="I232" s="857" t="n"/>
      <c r="J232" s="857" t="n"/>
      <c r="K232" s="857" t="n"/>
      <c r="L232" s="857" t="n"/>
      <c r="M232" s="857" t="n"/>
      <c r="N232" s="857" t="n"/>
      <c r="O232" s="845" t="n"/>
      <c r="P232" s="845" t="n"/>
      <c r="Q232" s="845" t="n"/>
      <c r="R232" s="845" t="n"/>
      <c r="S232" s="845" t="n"/>
      <c r="T232" s="845" t="n"/>
      <c r="U232" s="845" t="n"/>
      <c r="V232" s="845" t="n"/>
      <c r="W232" s="845" t="n"/>
      <c r="X232" s="845" t="n"/>
      <c r="Y232" s="845" t="n"/>
      <c r="Z232" s="845" t="n"/>
    </row>
    <row r="233">
      <c r="A233" s="845" t="n"/>
      <c r="B233" s="857" t="n"/>
      <c r="C233" s="857" t="n"/>
      <c r="D233" s="857" t="n"/>
      <c r="E233" s="857" t="n"/>
      <c r="F233" s="857" t="n"/>
      <c r="G233" s="858" t="n"/>
      <c r="H233" s="857" t="n"/>
      <c r="I233" s="857" t="n"/>
      <c r="J233" s="857" t="n"/>
      <c r="K233" s="857" t="n"/>
      <c r="L233" s="857" t="n"/>
      <c r="M233" s="857" t="n"/>
      <c r="N233" s="857" t="n"/>
      <c r="O233" s="845" t="n"/>
      <c r="P233" s="845" t="n"/>
      <c r="Q233" s="845" t="n"/>
      <c r="R233" s="845" t="n"/>
      <c r="S233" s="845" t="n"/>
      <c r="T233" s="845" t="n"/>
      <c r="U233" s="845" t="n"/>
      <c r="V233" s="845" t="n"/>
      <c r="W233" s="845" t="n"/>
      <c r="X233" s="845" t="n"/>
      <c r="Y233" s="845" t="n"/>
      <c r="Z233" s="845" t="n"/>
    </row>
    <row r="234">
      <c r="A234" s="845" t="n"/>
      <c r="B234" s="857" t="n"/>
      <c r="C234" s="857" t="n"/>
      <c r="D234" s="857" t="n"/>
      <c r="E234" s="857" t="n"/>
      <c r="F234" s="857" t="n"/>
      <c r="G234" s="858" t="n"/>
      <c r="H234" s="857" t="n"/>
      <c r="I234" s="857" t="n"/>
      <c r="J234" s="857" t="n"/>
      <c r="K234" s="857" t="n"/>
      <c r="L234" s="857" t="n"/>
      <c r="M234" s="857" t="n"/>
      <c r="N234" s="857" t="n"/>
      <c r="O234" s="845" t="n"/>
      <c r="P234" s="845" t="n"/>
      <c r="Q234" s="845" t="n"/>
      <c r="R234" s="845" t="n"/>
      <c r="S234" s="845" t="n"/>
      <c r="T234" s="845" t="n"/>
      <c r="U234" s="845" t="n"/>
      <c r="V234" s="845" t="n"/>
      <c r="W234" s="845" t="n"/>
      <c r="X234" s="845" t="n"/>
      <c r="Y234" s="845" t="n"/>
      <c r="Z234" s="845" t="n"/>
    </row>
    <row r="235">
      <c r="A235" s="845" t="n"/>
      <c r="B235" s="857" t="n"/>
      <c r="C235" s="857" t="n"/>
      <c r="D235" s="857" t="n"/>
      <c r="E235" s="857" t="n"/>
      <c r="F235" s="857" t="n"/>
      <c r="G235" s="858" t="n"/>
      <c r="H235" s="857" t="n"/>
      <c r="I235" s="857" t="n"/>
      <c r="J235" s="857" t="n"/>
      <c r="K235" s="857" t="n"/>
      <c r="L235" s="857" t="n"/>
      <c r="M235" s="857" t="n"/>
      <c r="N235" s="857" t="n"/>
      <c r="O235" s="845" t="n"/>
      <c r="P235" s="845" t="n"/>
      <c r="Q235" s="845" t="n"/>
      <c r="R235" s="845" t="n"/>
      <c r="S235" s="845" t="n"/>
      <c r="T235" s="845" t="n"/>
      <c r="U235" s="845" t="n"/>
      <c r="V235" s="845" t="n"/>
      <c r="W235" s="845" t="n"/>
      <c r="X235" s="845" t="n"/>
      <c r="Y235" s="845" t="n"/>
      <c r="Z235" s="845" t="n"/>
    </row>
    <row r="236">
      <c r="A236" s="845" t="n"/>
      <c r="B236" s="857" t="n"/>
      <c r="C236" s="857" t="n"/>
      <c r="D236" s="857" t="n"/>
      <c r="E236" s="857" t="n"/>
      <c r="F236" s="857" t="n"/>
      <c r="G236" s="858" t="n"/>
      <c r="H236" s="857" t="n"/>
      <c r="I236" s="857" t="n"/>
      <c r="J236" s="857" t="n"/>
      <c r="K236" s="857" t="n"/>
      <c r="L236" s="857" t="n"/>
      <c r="M236" s="857" t="n"/>
      <c r="N236" s="857" t="n"/>
      <c r="O236" s="845" t="n"/>
      <c r="P236" s="845" t="n"/>
      <c r="Q236" s="845" t="n"/>
      <c r="R236" s="845" t="n"/>
      <c r="S236" s="845" t="n"/>
      <c r="T236" s="845" t="n"/>
      <c r="U236" s="845" t="n"/>
      <c r="V236" s="845" t="n"/>
      <c r="W236" s="845" t="n"/>
      <c r="X236" s="845" t="n"/>
      <c r="Y236" s="845" t="n"/>
      <c r="Z236" s="845" t="n"/>
    </row>
    <row r="237">
      <c r="A237" s="845" t="n"/>
      <c r="B237" s="857" t="n"/>
      <c r="C237" s="857" t="n"/>
      <c r="D237" s="857" t="n"/>
      <c r="E237" s="857" t="n"/>
      <c r="F237" s="857" t="n"/>
      <c r="G237" s="858" t="n"/>
      <c r="H237" s="857" t="n"/>
      <c r="I237" s="857" t="n"/>
      <c r="J237" s="857" t="n"/>
      <c r="K237" s="857" t="n"/>
      <c r="L237" s="857" t="n"/>
      <c r="M237" s="857" t="n"/>
      <c r="N237" s="857" t="n"/>
      <c r="O237" s="845" t="n"/>
      <c r="P237" s="845" t="n"/>
      <c r="Q237" s="845" t="n"/>
      <c r="R237" s="845" t="n"/>
      <c r="S237" s="845" t="n"/>
      <c r="T237" s="845" t="n"/>
      <c r="U237" s="845" t="n"/>
      <c r="V237" s="845" t="n"/>
      <c r="W237" s="845" t="n"/>
      <c r="X237" s="845" t="n"/>
      <c r="Y237" s="845" t="n"/>
      <c r="Z237" s="845" t="n"/>
    </row>
    <row r="238">
      <c r="A238" s="845" t="n"/>
      <c r="B238" s="857" t="n"/>
      <c r="C238" s="857" t="n"/>
      <c r="D238" s="857" t="n"/>
      <c r="E238" s="857" t="n"/>
      <c r="F238" s="857" t="n"/>
      <c r="G238" s="858" t="n"/>
      <c r="H238" s="857" t="n"/>
      <c r="I238" s="857" t="n"/>
      <c r="J238" s="857" t="n"/>
      <c r="K238" s="857" t="n"/>
      <c r="L238" s="857" t="n"/>
      <c r="M238" s="857" t="n"/>
      <c r="N238" s="857" t="n"/>
      <c r="O238" s="845" t="n"/>
      <c r="P238" s="845" t="n"/>
      <c r="Q238" s="845" t="n"/>
      <c r="R238" s="845" t="n"/>
      <c r="S238" s="845" t="n"/>
      <c r="T238" s="845" t="n"/>
      <c r="U238" s="845" t="n"/>
      <c r="V238" s="845" t="n"/>
      <c r="W238" s="845" t="n"/>
      <c r="X238" s="845" t="n"/>
      <c r="Y238" s="845" t="n"/>
      <c r="Z238" s="845" t="n"/>
    </row>
    <row r="239">
      <c r="A239" s="845" t="n"/>
      <c r="B239" s="857" t="n"/>
      <c r="C239" s="857" t="n"/>
      <c r="D239" s="857" t="n"/>
      <c r="E239" s="857" t="n"/>
      <c r="F239" s="857" t="n"/>
      <c r="G239" s="858" t="n"/>
      <c r="H239" s="857" t="n"/>
      <c r="I239" s="857" t="n"/>
      <c r="J239" s="857" t="n"/>
      <c r="K239" s="857" t="n"/>
      <c r="L239" s="857" t="n"/>
      <c r="M239" s="857" t="n"/>
      <c r="N239" s="857" t="n"/>
      <c r="O239" s="845" t="n"/>
      <c r="P239" s="845" t="n"/>
      <c r="Q239" s="845" t="n"/>
      <c r="R239" s="845" t="n"/>
      <c r="S239" s="845" t="n"/>
      <c r="T239" s="845" t="n"/>
      <c r="U239" s="845" t="n"/>
      <c r="V239" s="845" t="n"/>
      <c r="W239" s="845" t="n"/>
      <c r="X239" s="845" t="n"/>
      <c r="Y239" s="845" t="n"/>
      <c r="Z239" s="845" t="n"/>
    </row>
    <row r="240">
      <c r="A240" s="845" t="n"/>
      <c r="B240" s="857" t="n"/>
      <c r="C240" s="857" t="n"/>
      <c r="D240" s="857" t="n"/>
      <c r="E240" s="857" t="n"/>
      <c r="F240" s="857" t="n"/>
      <c r="G240" s="858" t="n"/>
      <c r="H240" s="857" t="n"/>
      <c r="I240" s="857" t="n"/>
      <c r="J240" s="857" t="n"/>
      <c r="K240" s="857" t="n"/>
      <c r="L240" s="857" t="n"/>
      <c r="M240" s="857" t="n"/>
      <c r="N240" s="857" t="n"/>
      <c r="O240" s="845" t="n"/>
      <c r="P240" s="845" t="n"/>
      <c r="Q240" s="845" t="n"/>
      <c r="R240" s="845" t="n"/>
      <c r="S240" s="845" t="n"/>
      <c r="T240" s="845" t="n"/>
      <c r="U240" s="845" t="n"/>
      <c r="V240" s="845" t="n"/>
      <c r="W240" s="845" t="n"/>
      <c r="X240" s="845" t="n"/>
      <c r="Y240" s="845" t="n"/>
      <c r="Z240" s="845" t="n"/>
    </row>
    <row r="241">
      <c r="A241" s="845" t="n"/>
      <c r="B241" s="857" t="n"/>
      <c r="C241" s="857" t="n"/>
      <c r="D241" s="857" t="n"/>
      <c r="E241" s="857" t="n"/>
      <c r="F241" s="857" t="n"/>
      <c r="G241" s="858" t="n"/>
      <c r="H241" s="857" t="n"/>
      <c r="I241" s="857" t="n"/>
      <c r="J241" s="857" t="n"/>
      <c r="K241" s="857" t="n"/>
      <c r="L241" s="857" t="n"/>
      <c r="M241" s="857" t="n"/>
      <c r="N241" s="857" t="n"/>
      <c r="O241" s="845" t="n"/>
      <c r="P241" s="845" t="n"/>
      <c r="Q241" s="845" t="n"/>
      <c r="R241" s="845" t="n"/>
      <c r="S241" s="845" t="n"/>
      <c r="T241" s="845" t="n"/>
      <c r="U241" s="845" t="n"/>
      <c r="V241" s="845" t="n"/>
      <c r="W241" s="845" t="n"/>
      <c r="X241" s="845" t="n"/>
      <c r="Y241" s="845" t="n"/>
      <c r="Z241" s="845" t="n"/>
    </row>
    <row r="242">
      <c r="A242" s="845" t="n"/>
      <c r="B242" s="857" t="n"/>
      <c r="C242" s="857" t="n"/>
      <c r="D242" s="857" t="n"/>
      <c r="E242" s="857" t="n"/>
      <c r="F242" s="857" t="n"/>
      <c r="G242" s="858" t="n"/>
      <c r="H242" s="857" t="n"/>
      <c r="I242" s="857" t="n"/>
      <c r="J242" s="857" t="n"/>
      <c r="K242" s="857" t="n"/>
      <c r="L242" s="857" t="n"/>
      <c r="M242" s="857" t="n"/>
      <c r="N242" s="857" t="n"/>
      <c r="O242" s="845" t="n"/>
      <c r="P242" s="845" t="n"/>
      <c r="Q242" s="845" t="n"/>
      <c r="R242" s="845" t="n"/>
      <c r="S242" s="845" t="n"/>
      <c r="T242" s="845" t="n"/>
      <c r="U242" s="845" t="n"/>
      <c r="V242" s="845" t="n"/>
      <c r="W242" s="845" t="n"/>
      <c r="X242" s="845" t="n"/>
      <c r="Y242" s="845" t="n"/>
      <c r="Z242" s="845" t="n"/>
    </row>
    <row r="243">
      <c r="A243" s="845" t="n"/>
      <c r="B243" s="857" t="n"/>
      <c r="C243" s="857" t="n"/>
      <c r="D243" s="857" t="n"/>
      <c r="E243" s="857" t="n"/>
      <c r="F243" s="857" t="n"/>
      <c r="G243" s="858" t="n"/>
      <c r="H243" s="857" t="n"/>
      <c r="I243" s="857" t="n"/>
      <c r="J243" s="857" t="n"/>
      <c r="K243" s="857" t="n"/>
      <c r="L243" s="857" t="n"/>
      <c r="M243" s="857" t="n"/>
      <c r="N243" s="857" t="n"/>
      <c r="O243" s="845" t="n"/>
      <c r="P243" s="845" t="n"/>
      <c r="Q243" s="845" t="n"/>
      <c r="R243" s="845" t="n"/>
      <c r="S243" s="845" t="n"/>
      <c r="T243" s="845" t="n"/>
      <c r="U243" s="845" t="n"/>
      <c r="V243" s="845" t="n"/>
      <c r="W243" s="845" t="n"/>
      <c r="X243" s="845" t="n"/>
      <c r="Y243" s="845" t="n"/>
      <c r="Z243" s="845" t="n"/>
    </row>
    <row r="244">
      <c r="A244" s="845" t="n"/>
      <c r="B244" s="857" t="n"/>
      <c r="C244" s="857" t="n"/>
      <c r="D244" s="857" t="n"/>
      <c r="E244" s="857" t="n"/>
      <c r="F244" s="857" t="n"/>
      <c r="G244" s="858" t="n"/>
      <c r="H244" s="857" t="n"/>
      <c r="I244" s="857" t="n"/>
      <c r="J244" s="857" t="n"/>
      <c r="K244" s="857" t="n"/>
      <c r="L244" s="857" t="n"/>
      <c r="M244" s="857" t="n"/>
      <c r="N244" s="857" t="n"/>
      <c r="O244" s="845" t="n"/>
      <c r="P244" s="845" t="n"/>
      <c r="Q244" s="845" t="n"/>
      <c r="R244" s="845" t="n"/>
      <c r="S244" s="845" t="n"/>
      <c r="T244" s="845" t="n"/>
      <c r="U244" s="845" t="n"/>
      <c r="V244" s="845" t="n"/>
      <c r="W244" s="845" t="n"/>
      <c r="X244" s="845" t="n"/>
      <c r="Y244" s="845" t="n"/>
      <c r="Z244" s="845" t="n"/>
    </row>
    <row r="245">
      <c r="A245" s="845" t="n"/>
      <c r="B245" s="857" t="n"/>
      <c r="C245" s="857" t="n"/>
      <c r="D245" s="857" t="n"/>
      <c r="E245" s="857" t="n"/>
      <c r="F245" s="857" t="n"/>
      <c r="G245" s="858" t="n"/>
      <c r="H245" s="857" t="n"/>
      <c r="I245" s="857" t="n"/>
      <c r="J245" s="857" t="n"/>
      <c r="K245" s="857" t="n"/>
      <c r="L245" s="857" t="n"/>
      <c r="M245" s="857" t="n"/>
      <c r="N245" s="857" t="n"/>
      <c r="O245" s="845" t="n"/>
      <c r="P245" s="845" t="n"/>
      <c r="Q245" s="845" t="n"/>
      <c r="R245" s="845" t="n"/>
      <c r="S245" s="845" t="n"/>
      <c r="T245" s="845" t="n"/>
      <c r="U245" s="845" t="n"/>
      <c r="V245" s="845" t="n"/>
      <c r="W245" s="845" t="n"/>
      <c r="X245" s="845" t="n"/>
      <c r="Y245" s="845" t="n"/>
      <c r="Z245" s="845" t="n"/>
    </row>
    <row r="246">
      <c r="A246" s="845" t="n"/>
      <c r="B246" s="857" t="n"/>
      <c r="C246" s="857" t="n"/>
      <c r="D246" s="857" t="n"/>
      <c r="E246" s="857" t="n"/>
      <c r="F246" s="857" t="n"/>
      <c r="G246" s="858" t="n"/>
      <c r="H246" s="857" t="n"/>
      <c r="I246" s="857" t="n"/>
      <c r="J246" s="857" t="n"/>
      <c r="K246" s="857" t="n"/>
      <c r="L246" s="857" t="n"/>
      <c r="M246" s="857" t="n"/>
      <c r="N246" s="857" t="n"/>
      <c r="O246" s="845" t="n"/>
      <c r="P246" s="845" t="n"/>
      <c r="Q246" s="845" t="n"/>
      <c r="R246" s="845" t="n"/>
      <c r="S246" s="845" t="n"/>
      <c r="T246" s="845" t="n"/>
      <c r="U246" s="845" t="n"/>
      <c r="V246" s="845" t="n"/>
      <c r="W246" s="845" t="n"/>
      <c r="X246" s="845" t="n"/>
      <c r="Y246" s="845" t="n"/>
      <c r="Z246" s="845" t="n"/>
    </row>
    <row r="247">
      <c r="A247" s="845" t="n"/>
      <c r="B247" s="857" t="n"/>
      <c r="C247" s="857" t="n"/>
      <c r="D247" s="857" t="n"/>
      <c r="E247" s="857" t="n"/>
      <c r="F247" s="857" t="n"/>
      <c r="G247" s="858" t="n"/>
      <c r="H247" s="857" t="n"/>
      <c r="I247" s="857" t="n"/>
      <c r="J247" s="857" t="n"/>
      <c r="K247" s="857" t="n"/>
      <c r="L247" s="857" t="n"/>
      <c r="M247" s="857" t="n"/>
      <c r="N247" s="857" t="n"/>
      <c r="O247" s="845" t="n"/>
      <c r="P247" s="845" t="n"/>
      <c r="Q247" s="845" t="n"/>
      <c r="R247" s="845" t="n"/>
      <c r="S247" s="845" t="n"/>
      <c r="T247" s="845" t="n"/>
      <c r="U247" s="845" t="n"/>
      <c r="V247" s="845" t="n"/>
      <c r="W247" s="845" t="n"/>
      <c r="X247" s="845" t="n"/>
      <c r="Y247" s="845" t="n"/>
      <c r="Z247" s="845" t="n"/>
    </row>
    <row r="248">
      <c r="A248" s="845" t="n"/>
      <c r="B248" s="857" t="n"/>
      <c r="C248" s="857" t="n"/>
      <c r="D248" s="857" t="n"/>
      <c r="E248" s="857" t="n"/>
      <c r="F248" s="857" t="n"/>
      <c r="G248" s="858" t="n"/>
      <c r="H248" s="857" t="n"/>
      <c r="I248" s="857" t="n"/>
      <c r="J248" s="857" t="n"/>
      <c r="K248" s="857" t="n"/>
      <c r="L248" s="857" t="n"/>
      <c r="M248" s="857" t="n"/>
      <c r="N248" s="857" t="n"/>
      <c r="O248" s="845" t="n"/>
      <c r="P248" s="845" t="n"/>
      <c r="Q248" s="845" t="n"/>
      <c r="R248" s="845" t="n"/>
      <c r="S248" s="845" t="n"/>
      <c r="T248" s="845" t="n"/>
      <c r="U248" s="845" t="n"/>
      <c r="V248" s="845" t="n"/>
      <c r="W248" s="845" t="n"/>
      <c r="X248" s="845" t="n"/>
      <c r="Y248" s="845" t="n"/>
      <c r="Z248" s="845" t="n"/>
    </row>
    <row r="249">
      <c r="A249" s="845" t="n"/>
      <c r="B249" s="857" t="n"/>
      <c r="C249" s="857" t="n"/>
      <c r="D249" s="857" t="n"/>
      <c r="E249" s="857" t="n"/>
      <c r="F249" s="857" t="n"/>
      <c r="G249" s="858" t="n"/>
      <c r="H249" s="857" t="n"/>
      <c r="I249" s="857" t="n"/>
      <c r="J249" s="857" t="n"/>
      <c r="K249" s="857" t="n"/>
      <c r="L249" s="857" t="n"/>
      <c r="M249" s="857" t="n"/>
      <c r="N249" s="857" t="n"/>
      <c r="O249" s="845" t="n"/>
      <c r="P249" s="845" t="n"/>
      <c r="Q249" s="845" t="n"/>
      <c r="R249" s="845" t="n"/>
      <c r="S249" s="845" t="n"/>
      <c r="T249" s="845" t="n"/>
      <c r="U249" s="845" t="n"/>
      <c r="V249" s="845" t="n"/>
      <c r="W249" s="845" t="n"/>
      <c r="X249" s="845" t="n"/>
      <c r="Y249" s="845" t="n"/>
      <c r="Z249" s="845" t="n"/>
    </row>
    <row r="250">
      <c r="A250" s="845" t="n"/>
      <c r="B250" s="857" t="n"/>
      <c r="C250" s="857" t="n"/>
      <c r="D250" s="857" t="n"/>
      <c r="E250" s="857" t="n"/>
      <c r="F250" s="857" t="n"/>
      <c r="G250" s="858" t="n"/>
      <c r="H250" s="857" t="n"/>
      <c r="I250" s="857" t="n"/>
      <c r="J250" s="857" t="n"/>
      <c r="K250" s="857" t="n"/>
      <c r="L250" s="857" t="n"/>
      <c r="M250" s="857" t="n"/>
      <c r="N250" s="857" t="n"/>
      <c r="O250" s="845" t="n"/>
      <c r="P250" s="845" t="n"/>
      <c r="Q250" s="845" t="n"/>
      <c r="R250" s="845" t="n"/>
      <c r="S250" s="845" t="n"/>
      <c r="T250" s="845" t="n"/>
      <c r="U250" s="845" t="n"/>
      <c r="V250" s="845" t="n"/>
      <c r="W250" s="845" t="n"/>
      <c r="X250" s="845" t="n"/>
      <c r="Y250" s="845" t="n"/>
      <c r="Z250" s="845" t="n"/>
    </row>
    <row r="251">
      <c r="A251" s="845" t="n"/>
      <c r="B251" s="857" t="n"/>
      <c r="C251" s="857" t="n"/>
      <c r="D251" s="857" t="n"/>
      <c r="E251" s="857" t="n"/>
      <c r="F251" s="857" t="n"/>
      <c r="G251" s="858" t="n"/>
      <c r="H251" s="857" t="n"/>
      <c r="I251" s="857" t="n"/>
      <c r="J251" s="857" t="n"/>
      <c r="K251" s="857" t="n"/>
      <c r="L251" s="857" t="n"/>
      <c r="M251" s="857" t="n"/>
      <c r="N251" s="857" t="n"/>
      <c r="O251" s="845" t="n"/>
      <c r="P251" s="845" t="n"/>
      <c r="Q251" s="845" t="n"/>
      <c r="R251" s="845" t="n"/>
      <c r="S251" s="845" t="n"/>
      <c r="T251" s="845" t="n"/>
      <c r="U251" s="845" t="n"/>
      <c r="V251" s="845" t="n"/>
      <c r="W251" s="845" t="n"/>
      <c r="X251" s="845" t="n"/>
      <c r="Y251" s="845" t="n"/>
      <c r="Z251" s="845" t="n"/>
    </row>
    <row r="252">
      <c r="A252" s="845" t="n"/>
      <c r="B252" s="857" t="n"/>
      <c r="C252" s="857" t="n"/>
      <c r="D252" s="857" t="n"/>
      <c r="E252" s="857" t="n"/>
      <c r="F252" s="857" t="n"/>
      <c r="G252" s="858" t="n"/>
      <c r="H252" s="857" t="n"/>
      <c r="I252" s="857" t="n"/>
      <c r="J252" s="857" t="n"/>
      <c r="K252" s="857" t="n"/>
      <c r="L252" s="857" t="n"/>
      <c r="M252" s="857" t="n"/>
      <c r="N252" s="857" t="n"/>
      <c r="O252" s="845" t="n"/>
      <c r="P252" s="845" t="n"/>
      <c r="Q252" s="845" t="n"/>
      <c r="R252" s="845" t="n"/>
      <c r="S252" s="845" t="n"/>
      <c r="T252" s="845" t="n"/>
      <c r="U252" s="845" t="n"/>
      <c r="V252" s="845" t="n"/>
      <c r="W252" s="845" t="n"/>
      <c r="X252" s="845" t="n"/>
      <c r="Y252" s="845" t="n"/>
      <c r="Z252" s="845" t="n"/>
    </row>
    <row r="253">
      <c r="A253" s="845" t="n"/>
      <c r="B253" s="857" t="n"/>
      <c r="C253" s="857" t="n"/>
      <c r="D253" s="857" t="n"/>
      <c r="E253" s="857" t="n"/>
      <c r="F253" s="857" t="n"/>
      <c r="G253" s="858" t="n"/>
      <c r="H253" s="857" t="n"/>
      <c r="I253" s="857" t="n"/>
      <c r="J253" s="857" t="n"/>
      <c r="K253" s="857" t="n"/>
      <c r="L253" s="857" t="n"/>
      <c r="M253" s="857" t="n"/>
      <c r="N253" s="857" t="n"/>
      <c r="O253" s="845" t="n"/>
      <c r="P253" s="845" t="n"/>
      <c r="Q253" s="845" t="n"/>
      <c r="R253" s="845" t="n"/>
      <c r="S253" s="845" t="n"/>
      <c r="T253" s="845" t="n"/>
      <c r="U253" s="845" t="n"/>
      <c r="V253" s="845" t="n"/>
      <c r="W253" s="845" t="n"/>
      <c r="X253" s="845" t="n"/>
      <c r="Y253" s="845" t="n"/>
      <c r="Z253" s="845" t="n"/>
    </row>
    <row r="254">
      <c r="A254" s="845" t="n"/>
      <c r="B254" s="857" t="n"/>
      <c r="C254" s="857" t="n"/>
      <c r="D254" s="857" t="n"/>
      <c r="E254" s="857" t="n"/>
      <c r="F254" s="857" t="n"/>
      <c r="G254" s="858" t="n"/>
      <c r="H254" s="857" t="n"/>
      <c r="I254" s="857" t="n"/>
      <c r="J254" s="857" t="n"/>
      <c r="K254" s="857" t="n"/>
      <c r="L254" s="857" t="n"/>
      <c r="M254" s="857" t="n"/>
      <c r="N254" s="857" t="n"/>
      <c r="O254" s="845" t="n"/>
      <c r="P254" s="845" t="n"/>
      <c r="Q254" s="845" t="n"/>
      <c r="R254" s="845" t="n"/>
      <c r="S254" s="845" t="n"/>
      <c r="T254" s="845" t="n"/>
      <c r="U254" s="845" t="n"/>
      <c r="V254" s="845" t="n"/>
      <c r="W254" s="845" t="n"/>
      <c r="X254" s="845" t="n"/>
      <c r="Y254" s="845" t="n"/>
      <c r="Z254" s="845" t="n"/>
    </row>
    <row r="255">
      <c r="A255" s="845" t="n"/>
      <c r="B255" s="857" t="n"/>
      <c r="C255" s="857" t="n"/>
      <c r="D255" s="857" t="n"/>
      <c r="E255" s="857" t="n"/>
      <c r="F255" s="857" t="n"/>
      <c r="G255" s="858" t="n"/>
      <c r="H255" s="857" t="n"/>
      <c r="I255" s="857" t="n"/>
      <c r="J255" s="857" t="n"/>
      <c r="K255" s="857" t="n"/>
      <c r="L255" s="857" t="n"/>
      <c r="M255" s="857" t="n"/>
      <c r="N255" s="857" t="n"/>
      <c r="O255" s="845" t="n"/>
      <c r="P255" s="845" t="n"/>
      <c r="Q255" s="845" t="n"/>
      <c r="R255" s="845" t="n"/>
      <c r="S255" s="845" t="n"/>
      <c r="T255" s="845" t="n"/>
      <c r="U255" s="845" t="n"/>
      <c r="V255" s="845" t="n"/>
      <c r="W255" s="845" t="n"/>
      <c r="X255" s="845" t="n"/>
      <c r="Y255" s="845" t="n"/>
      <c r="Z255" s="845" t="n"/>
    </row>
    <row r="256">
      <c r="A256" s="845" t="n"/>
      <c r="B256" s="857" t="n"/>
      <c r="C256" s="857" t="n"/>
      <c r="D256" s="857" t="n"/>
      <c r="E256" s="857" t="n"/>
      <c r="F256" s="857" t="n"/>
      <c r="G256" s="858" t="n"/>
      <c r="H256" s="857" t="n"/>
      <c r="I256" s="857" t="n"/>
      <c r="J256" s="857" t="n"/>
      <c r="K256" s="857" t="n"/>
      <c r="L256" s="857" t="n"/>
      <c r="M256" s="857" t="n"/>
      <c r="N256" s="857" t="n"/>
      <c r="O256" s="845" t="n"/>
      <c r="P256" s="845" t="n"/>
      <c r="Q256" s="845" t="n"/>
      <c r="R256" s="845" t="n"/>
      <c r="S256" s="845" t="n"/>
      <c r="T256" s="845" t="n"/>
      <c r="U256" s="845" t="n"/>
      <c r="V256" s="845" t="n"/>
      <c r="W256" s="845" t="n"/>
      <c r="X256" s="845" t="n"/>
      <c r="Y256" s="845" t="n"/>
      <c r="Z256" s="845" t="n"/>
    </row>
    <row r="257">
      <c r="A257" s="845" t="n"/>
      <c r="B257" s="857" t="n"/>
      <c r="C257" s="857" t="n"/>
      <c r="D257" s="857" t="n"/>
      <c r="E257" s="857" t="n"/>
      <c r="F257" s="857" t="n"/>
      <c r="G257" s="858" t="n"/>
      <c r="H257" s="857" t="n"/>
      <c r="I257" s="857" t="n"/>
      <c r="J257" s="857" t="n"/>
      <c r="K257" s="857" t="n"/>
      <c r="L257" s="857" t="n"/>
      <c r="M257" s="857" t="n"/>
      <c r="N257" s="857" t="n"/>
      <c r="O257" s="845" t="n"/>
      <c r="P257" s="845" t="n"/>
      <c r="Q257" s="845" t="n"/>
      <c r="R257" s="845" t="n"/>
      <c r="S257" s="845" t="n"/>
      <c r="T257" s="845" t="n"/>
      <c r="U257" s="845" t="n"/>
      <c r="V257" s="845" t="n"/>
      <c r="W257" s="845" t="n"/>
      <c r="X257" s="845" t="n"/>
      <c r="Y257" s="845" t="n"/>
      <c r="Z257" s="845" t="n"/>
    </row>
    <row r="258">
      <c r="A258" s="845" t="n"/>
      <c r="B258" s="857" t="n"/>
      <c r="C258" s="857" t="n"/>
      <c r="D258" s="857" t="n"/>
      <c r="E258" s="857" t="n"/>
      <c r="F258" s="857" t="n"/>
      <c r="G258" s="858" t="n"/>
      <c r="H258" s="857" t="n"/>
      <c r="I258" s="857" t="n"/>
      <c r="J258" s="857" t="n"/>
      <c r="K258" s="857" t="n"/>
      <c r="L258" s="857" t="n"/>
      <c r="M258" s="857" t="n"/>
      <c r="N258" s="857" t="n"/>
      <c r="O258" s="845" t="n"/>
      <c r="P258" s="845" t="n"/>
      <c r="Q258" s="845" t="n"/>
      <c r="R258" s="845" t="n"/>
      <c r="S258" s="845" t="n"/>
      <c r="T258" s="845" t="n"/>
      <c r="U258" s="845" t="n"/>
      <c r="V258" s="845" t="n"/>
      <c r="W258" s="845" t="n"/>
      <c r="X258" s="845" t="n"/>
      <c r="Y258" s="845" t="n"/>
      <c r="Z258" s="845" t="n"/>
    </row>
    <row r="259">
      <c r="A259" s="845" t="n"/>
      <c r="B259" s="857" t="n"/>
      <c r="C259" s="857" t="n"/>
      <c r="D259" s="857" t="n"/>
      <c r="E259" s="857" t="n"/>
      <c r="F259" s="857" t="n"/>
      <c r="G259" s="858" t="n"/>
      <c r="H259" s="857" t="n"/>
      <c r="I259" s="857" t="n"/>
      <c r="J259" s="857" t="n"/>
      <c r="K259" s="857" t="n"/>
      <c r="L259" s="857" t="n"/>
      <c r="M259" s="857" t="n"/>
      <c r="N259" s="857" t="n"/>
      <c r="O259" s="845" t="n"/>
      <c r="P259" s="845" t="n"/>
      <c r="Q259" s="845" t="n"/>
      <c r="R259" s="845" t="n"/>
      <c r="S259" s="845" t="n"/>
      <c r="T259" s="845" t="n"/>
      <c r="U259" s="845" t="n"/>
      <c r="V259" s="845" t="n"/>
      <c r="W259" s="845" t="n"/>
      <c r="X259" s="845" t="n"/>
      <c r="Y259" s="845" t="n"/>
      <c r="Z259" s="845" t="n"/>
    </row>
    <row r="260">
      <c r="A260" s="845" t="n"/>
      <c r="B260" s="857" t="n"/>
      <c r="C260" s="857" t="n"/>
      <c r="D260" s="857" t="n"/>
      <c r="E260" s="857" t="n"/>
      <c r="F260" s="857" t="n"/>
      <c r="G260" s="858" t="n"/>
      <c r="H260" s="857" t="n"/>
      <c r="I260" s="857" t="n"/>
      <c r="J260" s="857" t="n"/>
      <c r="K260" s="857" t="n"/>
      <c r="L260" s="857" t="n"/>
      <c r="M260" s="857" t="n"/>
      <c r="N260" s="857" t="n"/>
      <c r="O260" s="845" t="n"/>
      <c r="P260" s="845" t="n"/>
      <c r="Q260" s="845" t="n"/>
      <c r="R260" s="845" t="n"/>
      <c r="S260" s="845" t="n"/>
      <c r="T260" s="845" t="n"/>
      <c r="U260" s="845" t="n"/>
      <c r="V260" s="845" t="n"/>
      <c r="W260" s="845" t="n"/>
      <c r="X260" s="845" t="n"/>
      <c r="Y260" s="845" t="n"/>
      <c r="Z260" s="845" t="n"/>
    </row>
    <row r="261">
      <c r="A261" s="845" t="n"/>
      <c r="B261" s="857" t="n"/>
      <c r="C261" s="857" t="n"/>
      <c r="D261" s="857" t="n"/>
      <c r="E261" s="857" t="n"/>
      <c r="F261" s="857" t="n"/>
      <c r="G261" s="858" t="n"/>
      <c r="H261" s="857" t="n"/>
      <c r="I261" s="857" t="n"/>
      <c r="J261" s="857" t="n"/>
      <c r="K261" s="857" t="n"/>
      <c r="L261" s="857" t="n"/>
      <c r="M261" s="857" t="n"/>
      <c r="N261" s="857" t="n"/>
      <c r="O261" s="845" t="n"/>
      <c r="P261" s="845" t="n"/>
      <c r="Q261" s="845" t="n"/>
      <c r="R261" s="845" t="n"/>
      <c r="S261" s="845" t="n"/>
      <c r="T261" s="845" t="n"/>
      <c r="U261" s="845" t="n"/>
      <c r="V261" s="845" t="n"/>
      <c r="W261" s="845" t="n"/>
      <c r="X261" s="845" t="n"/>
      <c r="Y261" s="845" t="n"/>
      <c r="Z261" s="845" t="n"/>
    </row>
    <row r="262">
      <c r="A262" s="845" t="n"/>
      <c r="B262" s="857" t="n"/>
      <c r="C262" s="857" t="n"/>
      <c r="D262" s="857" t="n"/>
      <c r="E262" s="857" t="n"/>
      <c r="F262" s="857" t="n"/>
      <c r="G262" s="858" t="n"/>
      <c r="H262" s="857" t="n"/>
      <c r="I262" s="857" t="n"/>
      <c r="J262" s="857" t="n"/>
      <c r="K262" s="857" t="n"/>
      <c r="L262" s="857" t="n"/>
      <c r="M262" s="857" t="n"/>
      <c r="N262" s="857" t="n"/>
      <c r="O262" s="845" t="n"/>
      <c r="P262" s="845" t="n"/>
      <c r="Q262" s="845" t="n"/>
      <c r="R262" s="845" t="n"/>
      <c r="S262" s="845" t="n"/>
      <c r="T262" s="845" t="n"/>
      <c r="U262" s="845" t="n"/>
      <c r="V262" s="845" t="n"/>
      <c r="W262" s="845" t="n"/>
      <c r="X262" s="845" t="n"/>
      <c r="Y262" s="845" t="n"/>
      <c r="Z262" s="845" t="n"/>
    </row>
    <row r="263">
      <c r="A263" s="845" t="n"/>
      <c r="B263" s="857" t="n"/>
      <c r="C263" s="857" t="n"/>
      <c r="D263" s="857" t="n"/>
      <c r="E263" s="857" t="n"/>
      <c r="F263" s="857" t="n"/>
      <c r="G263" s="858" t="n"/>
      <c r="H263" s="857" t="n"/>
      <c r="I263" s="857" t="n"/>
      <c r="J263" s="857" t="n"/>
      <c r="K263" s="857" t="n"/>
      <c r="L263" s="857" t="n"/>
      <c r="M263" s="857" t="n"/>
      <c r="N263" s="857" t="n"/>
      <c r="O263" s="845" t="n"/>
      <c r="P263" s="845" t="n"/>
      <c r="Q263" s="845" t="n"/>
      <c r="R263" s="845" t="n"/>
      <c r="S263" s="845" t="n"/>
      <c r="T263" s="845" t="n"/>
      <c r="U263" s="845" t="n"/>
      <c r="V263" s="845" t="n"/>
      <c r="W263" s="845" t="n"/>
      <c r="X263" s="845" t="n"/>
      <c r="Y263" s="845" t="n"/>
      <c r="Z263" s="845" t="n"/>
    </row>
    <row r="264">
      <c r="A264" s="845" t="n"/>
      <c r="B264" s="857" t="n"/>
      <c r="C264" s="857" t="n"/>
      <c r="D264" s="857" t="n"/>
      <c r="E264" s="857" t="n"/>
      <c r="F264" s="857" t="n"/>
      <c r="G264" s="858" t="n"/>
      <c r="H264" s="857" t="n"/>
      <c r="I264" s="857" t="n"/>
      <c r="J264" s="857" t="n"/>
      <c r="K264" s="857" t="n"/>
      <c r="L264" s="857" t="n"/>
      <c r="M264" s="857" t="n"/>
      <c r="N264" s="857" t="n"/>
      <c r="O264" s="845" t="n"/>
      <c r="P264" s="845" t="n"/>
      <c r="Q264" s="845" t="n"/>
      <c r="R264" s="845" t="n"/>
      <c r="S264" s="845" t="n"/>
      <c r="T264" s="845" t="n"/>
      <c r="U264" s="845" t="n"/>
      <c r="V264" s="845" t="n"/>
      <c r="W264" s="845" t="n"/>
      <c r="X264" s="845" t="n"/>
      <c r="Y264" s="845" t="n"/>
      <c r="Z264" s="845" t="n"/>
    </row>
    <row r="265">
      <c r="A265" s="845" t="n"/>
      <c r="B265" s="857" t="n"/>
      <c r="C265" s="857" t="n"/>
      <c r="D265" s="857" t="n"/>
      <c r="E265" s="857" t="n"/>
      <c r="F265" s="857" t="n"/>
      <c r="G265" s="858" t="n"/>
      <c r="H265" s="857" t="n"/>
      <c r="I265" s="857" t="n"/>
      <c r="J265" s="857" t="n"/>
      <c r="K265" s="857" t="n"/>
      <c r="L265" s="857" t="n"/>
      <c r="M265" s="857" t="n"/>
      <c r="N265" s="857" t="n"/>
      <c r="O265" s="845" t="n"/>
      <c r="P265" s="845" t="n"/>
      <c r="Q265" s="845" t="n"/>
      <c r="R265" s="845" t="n"/>
      <c r="S265" s="845" t="n"/>
      <c r="T265" s="845" t="n"/>
      <c r="U265" s="845" t="n"/>
      <c r="V265" s="845" t="n"/>
      <c r="W265" s="845" t="n"/>
      <c r="X265" s="845" t="n"/>
      <c r="Y265" s="845" t="n"/>
      <c r="Z265" s="845" t="n"/>
    </row>
    <row r="266">
      <c r="A266" s="845" t="n"/>
      <c r="B266" s="857" t="n"/>
      <c r="C266" s="857" t="n"/>
      <c r="D266" s="857" t="n"/>
      <c r="E266" s="857" t="n"/>
      <c r="F266" s="857" t="n"/>
      <c r="G266" s="858" t="n"/>
      <c r="H266" s="857" t="n"/>
      <c r="I266" s="857" t="n"/>
      <c r="J266" s="857" t="n"/>
      <c r="K266" s="857" t="n"/>
      <c r="L266" s="857" t="n"/>
      <c r="M266" s="857" t="n"/>
      <c r="N266" s="857" t="n"/>
      <c r="O266" s="845" t="n"/>
      <c r="P266" s="845" t="n"/>
      <c r="Q266" s="845" t="n"/>
      <c r="R266" s="845" t="n"/>
      <c r="S266" s="845" t="n"/>
      <c r="T266" s="845" t="n"/>
      <c r="U266" s="845" t="n"/>
      <c r="V266" s="845" t="n"/>
      <c r="W266" s="845" t="n"/>
      <c r="X266" s="845" t="n"/>
      <c r="Y266" s="845" t="n"/>
      <c r="Z266" s="845" t="n"/>
    </row>
    <row r="267">
      <c r="A267" s="845" t="n"/>
      <c r="B267" s="857" t="n"/>
      <c r="C267" s="857" t="n"/>
      <c r="D267" s="857" t="n"/>
      <c r="E267" s="857" t="n"/>
      <c r="F267" s="857" t="n"/>
      <c r="G267" s="858" t="n"/>
      <c r="H267" s="857" t="n"/>
      <c r="I267" s="857" t="n"/>
      <c r="J267" s="857" t="n"/>
      <c r="K267" s="857" t="n"/>
      <c r="L267" s="857" t="n"/>
      <c r="M267" s="857" t="n"/>
      <c r="N267" s="857" t="n"/>
      <c r="O267" s="845" t="n"/>
      <c r="P267" s="845" t="n"/>
      <c r="Q267" s="845" t="n"/>
      <c r="R267" s="845" t="n"/>
      <c r="S267" s="845" t="n"/>
      <c r="T267" s="845" t="n"/>
      <c r="U267" s="845" t="n"/>
      <c r="V267" s="845" t="n"/>
      <c r="W267" s="845" t="n"/>
      <c r="X267" s="845" t="n"/>
      <c r="Y267" s="845" t="n"/>
      <c r="Z267" s="845" t="n"/>
    </row>
    <row r="268">
      <c r="A268" s="845" t="n"/>
      <c r="B268" s="857" t="n"/>
      <c r="C268" s="857" t="n"/>
      <c r="D268" s="857" t="n"/>
      <c r="E268" s="857" t="n"/>
      <c r="F268" s="857" t="n"/>
      <c r="G268" s="858" t="n"/>
      <c r="H268" s="857" t="n"/>
      <c r="I268" s="857" t="n"/>
      <c r="J268" s="857" t="n"/>
      <c r="K268" s="857" t="n"/>
      <c r="L268" s="857" t="n"/>
      <c r="M268" s="857" t="n"/>
      <c r="N268" s="857" t="n"/>
      <c r="O268" s="845" t="n"/>
      <c r="P268" s="845" t="n"/>
      <c r="Q268" s="845" t="n"/>
      <c r="R268" s="845" t="n"/>
      <c r="S268" s="845" t="n"/>
      <c r="T268" s="845" t="n"/>
      <c r="U268" s="845" t="n"/>
      <c r="V268" s="845" t="n"/>
      <c r="W268" s="845" t="n"/>
      <c r="X268" s="845" t="n"/>
      <c r="Y268" s="845" t="n"/>
      <c r="Z268" s="845" t="n"/>
    </row>
    <row r="269">
      <c r="A269" s="845" t="n"/>
      <c r="B269" s="857" t="n"/>
      <c r="C269" s="857" t="n"/>
      <c r="D269" s="857" t="n"/>
      <c r="E269" s="857" t="n"/>
      <c r="F269" s="857" t="n"/>
      <c r="G269" s="858" t="n"/>
      <c r="H269" s="857" t="n"/>
      <c r="I269" s="857" t="n"/>
      <c r="J269" s="857" t="n"/>
      <c r="K269" s="857" t="n"/>
      <c r="L269" s="857" t="n"/>
      <c r="M269" s="857" t="n"/>
      <c r="N269" s="857" t="n"/>
      <c r="O269" s="845" t="n"/>
      <c r="P269" s="845" t="n"/>
      <c r="Q269" s="845" t="n"/>
      <c r="R269" s="845" t="n"/>
      <c r="S269" s="845" t="n"/>
      <c r="T269" s="845" t="n"/>
      <c r="U269" s="845" t="n"/>
      <c r="V269" s="845" t="n"/>
      <c r="W269" s="845" t="n"/>
      <c r="X269" s="845" t="n"/>
      <c r="Y269" s="845" t="n"/>
      <c r="Z269" s="845" t="n"/>
    </row>
    <row r="270">
      <c r="A270" s="845" t="n"/>
      <c r="B270" s="857" t="n"/>
      <c r="C270" s="857" t="n"/>
      <c r="D270" s="857" t="n"/>
      <c r="E270" s="857" t="n"/>
      <c r="F270" s="857" t="n"/>
      <c r="G270" s="858" t="n"/>
      <c r="H270" s="857" t="n"/>
      <c r="I270" s="857" t="n"/>
      <c r="J270" s="857" t="n"/>
      <c r="K270" s="857" t="n"/>
      <c r="L270" s="857" t="n"/>
      <c r="M270" s="857" t="n"/>
      <c r="N270" s="857" t="n"/>
      <c r="O270" s="845" t="n"/>
      <c r="P270" s="845" t="n"/>
      <c r="Q270" s="845" t="n"/>
      <c r="R270" s="845" t="n"/>
      <c r="S270" s="845" t="n"/>
      <c r="T270" s="845" t="n"/>
      <c r="U270" s="845" t="n"/>
      <c r="V270" s="845" t="n"/>
      <c r="W270" s="845" t="n"/>
      <c r="X270" s="845" t="n"/>
      <c r="Y270" s="845" t="n"/>
      <c r="Z270" s="845" t="n"/>
    </row>
    <row r="271">
      <c r="A271" s="845" t="n"/>
      <c r="B271" s="857" t="n"/>
      <c r="C271" s="857" t="n"/>
      <c r="D271" s="857" t="n"/>
      <c r="E271" s="857" t="n"/>
      <c r="F271" s="857" t="n"/>
      <c r="G271" s="858" t="n"/>
      <c r="H271" s="857" t="n"/>
      <c r="I271" s="857" t="n"/>
      <c r="J271" s="857" t="n"/>
      <c r="K271" s="857" t="n"/>
      <c r="L271" s="857" t="n"/>
      <c r="M271" s="857" t="n"/>
      <c r="N271" s="857" t="n"/>
      <c r="O271" s="845" t="n"/>
      <c r="P271" s="845" t="n"/>
      <c r="Q271" s="845" t="n"/>
      <c r="R271" s="845" t="n"/>
      <c r="S271" s="845" t="n"/>
      <c r="T271" s="845" t="n"/>
      <c r="U271" s="845" t="n"/>
      <c r="V271" s="845" t="n"/>
      <c r="W271" s="845" t="n"/>
      <c r="X271" s="845" t="n"/>
      <c r="Y271" s="845" t="n"/>
      <c r="Z271" s="845" t="n"/>
    </row>
    <row r="272">
      <c r="A272" s="845" t="n"/>
      <c r="B272" s="857" t="n"/>
      <c r="C272" s="857" t="n"/>
      <c r="D272" s="857" t="n"/>
      <c r="E272" s="857" t="n"/>
      <c r="F272" s="857" t="n"/>
      <c r="G272" s="858" t="n"/>
      <c r="H272" s="857" t="n"/>
      <c r="I272" s="857" t="n"/>
      <c r="J272" s="857" t="n"/>
      <c r="K272" s="857" t="n"/>
      <c r="L272" s="857" t="n"/>
      <c r="M272" s="857" t="n"/>
      <c r="N272" s="857" t="n"/>
      <c r="O272" s="845" t="n"/>
      <c r="P272" s="845" t="n"/>
      <c r="Q272" s="845" t="n"/>
      <c r="R272" s="845" t="n"/>
      <c r="S272" s="845" t="n"/>
      <c r="T272" s="845" t="n"/>
      <c r="U272" s="845" t="n"/>
      <c r="V272" s="845" t="n"/>
      <c r="W272" s="845" t="n"/>
      <c r="X272" s="845" t="n"/>
      <c r="Y272" s="845" t="n"/>
      <c r="Z272" s="845" t="n"/>
    </row>
    <row r="273">
      <c r="A273" s="845" t="n"/>
      <c r="B273" s="857" t="n"/>
      <c r="C273" s="857" t="n"/>
      <c r="D273" s="857" t="n"/>
      <c r="E273" s="857" t="n"/>
      <c r="F273" s="857" t="n"/>
      <c r="G273" s="858" t="n"/>
      <c r="H273" s="857" t="n"/>
      <c r="I273" s="857" t="n"/>
      <c r="J273" s="857" t="n"/>
      <c r="K273" s="857" t="n"/>
      <c r="L273" s="857" t="n"/>
      <c r="M273" s="857" t="n"/>
      <c r="N273" s="857" t="n"/>
      <c r="O273" s="845" t="n"/>
      <c r="P273" s="845" t="n"/>
      <c r="Q273" s="845" t="n"/>
      <c r="R273" s="845" t="n"/>
      <c r="S273" s="845" t="n"/>
      <c r="T273" s="845" t="n"/>
      <c r="U273" s="845" t="n"/>
      <c r="V273" s="845" t="n"/>
      <c r="W273" s="845" t="n"/>
      <c r="X273" s="845" t="n"/>
      <c r="Y273" s="845" t="n"/>
      <c r="Z273" s="845" t="n"/>
    </row>
    <row r="274">
      <c r="A274" s="845" t="n"/>
      <c r="B274" s="857" t="n"/>
      <c r="C274" s="857" t="n"/>
      <c r="D274" s="857" t="n"/>
      <c r="E274" s="857" t="n"/>
      <c r="F274" s="857" t="n"/>
      <c r="G274" s="858" t="n"/>
      <c r="H274" s="857" t="n"/>
      <c r="I274" s="857" t="n"/>
      <c r="J274" s="857" t="n"/>
      <c r="K274" s="857" t="n"/>
      <c r="L274" s="857" t="n"/>
      <c r="M274" s="857" t="n"/>
      <c r="N274" s="857" t="n"/>
      <c r="O274" s="845" t="n"/>
      <c r="P274" s="845" t="n"/>
      <c r="Q274" s="845" t="n"/>
      <c r="R274" s="845" t="n"/>
      <c r="S274" s="845" t="n"/>
      <c r="T274" s="845" t="n"/>
      <c r="U274" s="845" t="n"/>
      <c r="V274" s="845" t="n"/>
      <c r="W274" s="845" t="n"/>
      <c r="X274" s="845" t="n"/>
      <c r="Y274" s="845" t="n"/>
      <c r="Z274" s="845" t="n"/>
    </row>
    <row r="275">
      <c r="A275" s="845" t="n"/>
      <c r="B275" s="857" t="n"/>
      <c r="C275" s="857" t="n"/>
      <c r="D275" s="857" t="n"/>
      <c r="E275" s="857" t="n"/>
      <c r="F275" s="857" t="n"/>
      <c r="G275" s="858" t="n"/>
      <c r="H275" s="857" t="n"/>
      <c r="I275" s="857" t="n"/>
      <c r="J275" s="857" t="n"/>
      <c r="K275" s="857" t="n"/>
      <c r="L275" s="857" t="n"/>
      <c r="M275" s="857" t="n"/>
      <c r="N275" s="857" t="n"/>
      <c r="O275" s="845" t="n"/>
      <c r="P275" s="845" t="n"/>
      <c r="Q275" s="845" t="n"/>
      <c r="R275" s="845" t="n"/>
      <c r="S275" s="845" t="n"/>
      <c r="T275" s="845" t="n"/>
      <c r="U275" s="845" t="n"/>
      <c r="V275" s="845" t="n"/>
      <c r="W275" s="845" t="n"/>
      <c r="X275" s="845" t="n"/>
      <c r="Y275" s="845" t="n"/>
      <c r="Z275" s="845" t="n"/>
    </row>
    <row r="276">
      <c r="A276" s="845" t="n"/>
      <c r="B276" s="857" t="n"/>
      <c r="C276" s="857" t="n"/>
      <c r="D276" s="857" t="n"/>
      <c r="E276" s="857" t="n"/>
      <c r="F276" s="857" t="n"/>
      <c r="G276" s="858" t="n"/>
      <c r="H276" s="857" t="n"/>
      <c r="I276" s="857" t="n"/>
      <c r="J276" s="857" t="n"/>
      <c r="K276" s="857" t="n"/>
      <c r="L276" s="857" t="n"/>
      <c r="M276" s="857" t="n"/>
      <c r="N276" s="857" t="n"/>
      <c r="O276" s="845" t="n"/>
      <c r="P276" s="845" t="n"/>
      <c r="Q276" s="845" t="n"/>
      <c r="R276" s="845" t="n"/>
      <c r="S276" s="845" t="n"/>
      <c r="T276" s="845" t="n"/>
      <c r="U276" s="845" t="n"/>
      <c r="V276" s="845" t="n"/>
      <c r="W276" s="845" t="n"/>
      <c r="X276" s="845" t="n"/>
      <c r="Y276" s="845" t="n"/>
      <c r="Z276" s="845" t="n"/>
    </row>
    <row r="277">
      <c r="A277" s="845" t="n"/>
      <c r="B277" s="857" t="n"/>
      <c r="C277" s="857" t="n"/>
      <c r="D277" s="857" t="n"/>
      <c r="E277" s="857" t="n"/>
      <c r="F277" s="857" t="n"/>
      <c r="G277" s="858" t="n"/>
      <c r="H277" s="857" t="n"/>
      <c r="I277" s="857" t="n"/>
      <c r="J277" s="857" t="n"/>
      <c r="K277" s="857" t="n"/>
      <c r="L277" s="857" t="n"/>
      <c r="M277" s="857" t="n"/>
      <c r="N277" s="857" t="n"/>
      <c r="O277" s="845" t="n"/>
      <c r="P277" s="845" t="n"/>
      <c r="Q277" s="845" t="n"/>
      <c r="R277" s="845" t="n"/>
      <c r="S277" s="845" t="n"/>
      <c r="T277" s="845" t="n"/>
      <c r="U277" s="845" t="n"/>
      <c r="V277" s="845" t="n"/>
      <c r="W277" s="845" t="n"/>
      <c r="X277" s="845" t="n"/>
      <c r="Y277" s="845" t="n"/>
      <c r="Z277" s="845" t="n"/>
    </row>
    <row r="278">
      <c r="A278" s="845" t="n"/>
      <c r="B278" s="857" t="n"/>
      <c r="C278" s="857" t="n"/>
      <c r="D278" s="857" t="n"/>
      <c r="E278" s="857" t="n"/>
      <c r="F278" s="857" t="n"/>
      <c r="G278" s="858" t="n"/>
      <c r="H278" s="857" t="n"/>
      <c r="I278" s="857" t="n"/>
      <c r="J278" s="857" t="n"/>
      <c r="K278" s="857" t="n"/>
      <c r="L278" s="857" t="n"/>
      <c r="M278" s="857" t="n"/>
      <c r="N278" s="857" t="n"/>
      <c r="O278" s="845" t="n"/>
      <c r="P278" s="845" t="n"/>
      <c r="Q278" s="845" t="n"/>
      <c r="R278" s="845" t="n"/>
      <c r="S278" s="845" t="n"/>
      <c r="T278" s="845" t="n"/>
      <c r="U278" s="845" t="n"/>
      <c r="V278" s="845" t="n"/>
      <c r="W278" s="845" t="n"/>
      <c r="X278" s="845" t="n"/>
      <c r="Y278" s="845" t="n"/>
      <c r="Z278" s="845" t="n"/>
    </row>
    <row r="279">
      <c r="A279" s="845" t="n"/>
      <c r="B279" s="857" t="n"/>
      <c r="C279" s="857" t="n"/>
      <c r="D279" s="857" t="n"/>
      <c r="E279" s="857" t="n"/>
      <c r="F279" s="857" t="n"/>
      <c r="G279" s="858" t="n"/>
      <c r="H279" s="857" t="n"/>
      <c r="I279" s="857" t="n"/>
      <c r="J279" s="857" t="n"/>
      <c r="K279" s="857" t="n"/>
      <c r="L279" s="857" t="n"/>
      <c r="M279" s="857" t="n"/>
      <c r="N279" s="857" t="n"/>
      <c r="O279" s="845" t="n"/>
      <c r="P279" s="845" t="n"/>
      <c r="Q279" s="845" t="n"/>
      <c r="R279" s="845" t="n"/>
      <c r="S279" s="845" t="n"/>
      <c r="T279" s="845" t="n"/>
      <c r="U279" s="845" t="n"/>
      <c r="V279" s="845" t="n"/>
      <c r="W279" s="845" t="n"/>
      <c r="X279" s="845" t="n"/>
      <c r="Y279" s="845" t="n"/>
      <c r="Z279" s="845" t="n"/>
    </row>
    <row r="280">
      <c r="A280" s="845" t="n"/>
      <c r="B280" s="857" t="n"/>
      <c r="C280" s="857" t="n"/>
      <c r="D280" s="857" t="n"/>
      <c r="E280" s="857" t="n"/>
      <c r="F280" s="857" t="n"/>
      <c r="G280" s="858" t="n"/>
      <c r="H280" s="857" t="n"/>
      <c r="I280" s="857" t="n"/>
      <c r="J280" s="857" t="n"/>
      <c r="K280" s="857" t="n"/>
      <c r="L280" s="857" t="n"/>
      <c r="M280" s="857" t="n"/>
      <c r="N280" s="857" t="n"/>
      <c r="O280" s="845" t="n"/>
      <c r="P280" s="845" t="n"/>
      <c r="Q280" s="845" t="n"/>
      <c r="R280" s="845" t="n"/>
      <c r="S280" s="845" t="n"/>
      <c r="T280" s="845" t="n"/>
      <c r="U280" s="845" t="n"/>
      <c r="V280" s="845" t="n"/>
      <c r="W280" s="845" t="n"/>
      <c r="X280" s="845" t="n"/>
      <c r="Y280" s="845" t="n"/>
      <c r="Z280" s="845" t="n"/>
    </row>
    <row r="281">
      <c r="A281" s="845" t="n"/>
      <c r="B281" s="857" t="n"/>
      <c r="C281" s="857" t="n"/>
      <c r="D281" s="857" t="n"/>
      <c r="E281" s="857" t="n"/>
      <c r="F281" s="857" t="n"/>
      <c r="G281" s="858" t="n"/>
      <c r="H281" s="857" t="n"/>
      <c r="I281" s="857" t="n"/>
      <c r="J281" s="857" t="n"/>
      <c r="K281" s="857" t="n"/>
      <c r="L281" s="857" t="n"/>
      <c r="M281" s="857" t="n"/>
      <c r="N281" s="857" t="n"/>
      <c r="O281" s="845" t="n"/>
      <c r="P281" s="845" t="n"/>
      <c r="Q281" s="845" t="n"/>
      <c r="R281" s="845" t="n"/>
      <c r="S281" s="845" t="n"/>
      <c r="T281" s="845" t="n"/>
      <c r="U281" s="845" t="n"/>
      <c r="V281" s="845" t="n"/>
      <c r="W281" s="845" t="n"/>
      <c r="X281" s="845" t="n"/>
      <c r="Y281" s="845" t="n"/>
      <c r="Z281" s="845" t="n"/>
    </row>
    <row r="282">
      <c r="A282" s="845" t="n"/>
      <c r="B282" s="857" t="n"/>
      <c r="C282" s="857" t="n"/>
      <c r="D282" s="857" t="n"/>
      <c r="E282" s="857" t="n"/>
      <c r="F282" s="857" t="n"/>
      <c r="G282" s="858" t="n"/>
      <c r="H282" s="857" t="n"/>
      <c r="I282" s="857" t="n"/>
      <c r="J282" s="857" t="n"/>
      <c r="K282" s="857" t="n"/>
      <c r="L282" s="857" t="n"/>
      <c r="M282" s="857" t="n"/>
      <c r="N282" s="857" t="n"/>
      <c r="O282" s="845" t="n"/>
      <c r="P282" s="845" t="n"/>
      <c r="Q282" s="845" t="n"/>
      <c r="R282" s="845" t="n"/>
      <c r="S282" s="845" t="n"/>
      <c r="T282" s="845" t="n"/>
      <c r="U282" s="845" t="n"/>
      <c r="V282" s="845" t="n"/>
      <c r="W282" s="845" t="n"/>
      <c r="X282" s="845" t="n"/>
      <c r="Y282" s="845" t="n"/>
      <c r="Z282" s="845" t="n"/>
    </row>
    <row r="283">
      <c r="A283" s="845" t="n"/>
      <c r="B283" s="857" t="n"/>
      <c r="C283" s="857" t="n"/>
      <c r="D283" s="857" t="n"/>
      <c r="E283" s="857" t="n"/>
      <c r="F283" s="857" t="n"/>
      <c r="G283" s="858" t="n"/>
      <c r="H283" s="857" t="n"/>
      <c r="I283" s="857" t="n"/>
      <c r="J283" s="857" t="n"/>
      <c r="K283" s="857" t="n"/>
      <c r="L283" s="857" t="n"/>
      <c r="M283" s="857" t="n"/>
      <c r="N283" s="857" t="n"/>
      <c r="O283" s="845" t="n"/>
      <c r="P283" s="845" t="n"/>
      <c r="Q283" s="845" t="n"/>
      <c r="R283" s="845" t="n"/>
      <c r="S283" s="845" t="n"/>
      <c r="T283" s="845" t="n"/>
      <c r="U283" s="845" t="n"/>
      <c r="V283" s="845" t="n"/>
      <c r="W283" s="845" t="n"/>
      <c r="X283" s="845" t="n"/>
      <c r="Y283" s="845" t="n"/>
      <c r="Z283" s="845" t="n"/>
    </row>
    <row r="284">
      <c r="A284" s="845" t="n"/>
      <c r="B284" s="857" t="n"/>
      <c r="C284" s="857" t="n"/>
      <c r="D284" s="857" t="n"/>
      <c r="E284" s="857" t="n"/>
      <c r="F284" s="857" t="n"/>
      <c r="G284" s="858" t="n"/>
      <c r="H284" s="857" t="n"/>
      <c r="I284" s="857" t="n"/>
      <c r="J284" s="857" t="n"/>
      <c r="K284" s="857" t="n"/>
      <c r="L284" s="857" t="n"/>
      <c r="M284" s="857" t="n"/>
      <c r="N284" s="857" t="n"/>
      <c r="O284" s="845" t="n"/>
      <c r="P284" s="845" t="n"/>
      <c r="Q284" s="845" t="n"/>
      <c r="R284" s="845" t="n"/>
      <c r="S284" s="845" t="n"/>
      <c r="T284" s="845" t="n"/>
      <c r="U284" s="845" t="n"/>
      <c r="V284" s="845" t="n"/>
      <c r="W284" s="845" t="n"/>
      <c r="X284" s="845" t="n"/>
      <c r="Y284" s="845" t="n"/>
      <c r="Z284" s="845" t="n"/>
    </row>
    <row r="285">
      <c r="A285" s="845" t="n"/>
      <c r="B285" s="857" t="n"/>
      <c r="C285" s="857" t="n"/>
      <c r="D285" s="857" t="n"/>
      <c r="E285" s="857" t="n"/>
      <c r="F285" s="857" t="n"/>
      <c r="G285" s="858" t="n"/>
      <c r="H285" s="857" t="n"/>
      <c r="I285" s="857" t="n"/>
      <c r="J285" s="857" t="n"/>
      <c r="K285" s="857" t="n"/>
      <c r="L285" s="857" t="n"/>
      <c r="M285" s="857" t="n"/>
      <c r="N285" s="857" t="n"/>
      <c r="O285" s="845" t="n"/>
      <c r="P285" s="845" t="n"/>
      <c r="Q285" s="845" t="n"/>
      <c r="R285" s="845" t="n"/>
      <c r="S285" s="845" t="n"/>
      <c r="T285" s="845" t="n"/>
      <c r="U285" s="845" t="n"/>
      <c r="V285" s="845" t="n"/>
      <c r="W285" s="845" t="n"/>
      <c r="X285" s="845" t="n"/>
      <c r="Y285" s="845" t="n"/>
      <c r="Z285" s="845" t="n"/>
    </row>
    <row r="286">
      <c r="A286" s="845" t="n"/>
      <c r="B286" s="857" t="n"/>
      <c r="C286" s="857" t="n"/>
      <c r="D286" s="857" t="n"/>
      <c r="E286" s="857" t="n"/>
      <c r="F286" s="857" t="n"/>
      <c r="G286" s="858" t="n"/>
      <c r="H286" s="857" t="n"/>
      <c r="I286" s="857" t="n"/>
      <c r="J286" s="857" t="n"/>
      <c r="K286" s="857" t="n"/>
      <c r="L286" s="857" t="n"/>
      <c r="M286" s="857" t="n"/>
      <c r="N286" s="857" t="n"/>
      <c r="O286" s="845" t="n"/>
      <c r="P286" s="845" t="n"/>
      <c r="Q286" s="845" t="n"/>
      <c r="R286" s="845" t="n"/>
      <c r="S286" s="845" t="n"/>
      <c r="T286" s="845" t="n"/>
      <c r="U286" s="845" t="n"/>
      <c r="V286" s="845" t="n"/>
      <c r="W286" s="845" t="n"/>
      <c r="X286" s="845" t="n"/>
      <c r="Y286" s="845" t="n"/>
      <c r="Z286" s="845" t="n"/>
    </row>
    <row r="287">
      <c r="A287" s="845" t="n"/>
      <c r="B287" s="857" t="n"/>
      <c r="C287" s="857" t="n"/>
      <c r="D287" s="857" t="n"/>
      <c r="E287" s="857" t="n"/>
      <c r="F287" s="857" t="n"/>
      <c r="G287" s="858" t="n"/>
      <c r="H287" s="857" t="n"/>
      <c r="I287" s="857" t="n"/>
      <c r="J287" s="857" t="n"/>
      <c r="K287" s="857" t="n"/>
      <c r="L287" s="857" t="n"/>
      <c r="M287" s="857" t="n"/>
      <c r="N287" s="857" t="n"/>
      <c r="O287" s="845" t="n"/>
      <c r="P287" s="845" t="n"/>
      <c r="Q287" s="845" t="n"/>
      <c r="R287" s="845" t="n"/>
      <c r="S287" s="845" t="n"/>
      <c r="T287" s="845" t="n"/>
      <c r="U287" s="845" t="n"/>
      <c r="V287" s="845" t="n"/>
      <c r="W287" s="845" t="n"/>
      <c r="X287" s="845" t="n"/>
      <c r="Y287" s="845" t="n"/>
      <c r="Z287" s="845" t="n"/>
    </row>
    <row r="288">
      <c r="A288" s="845" t="n"/>
      <c r="B288" s="857" t="n"/>
      <c r="C288" s="857" t="n"/>
      <c r="D288" s="857" t="n"/>
      <c r="E288" s="857" t="n"/>
      <c r="F288" s="857" t="n"/>
      <c r="G288" s="858" t="n"/>
      <c r="H288" s="857" t="n"/>
      <c r="I288" s="857" t="n"/>
      <c r="J288" s="857" t="n"/>
      <c r="K288" s="857" t="n"/>
      <c r="L288" s="857" t="n"/>
      <c r="M288" s="857" t="n"/>
      <c r="N288" s="857" t="n"/>
      <c r="O288" s="845" t="n"/>
      <c r="P288" s="845" t="n"/>
      <c r="Q288" s="845" t="n"/>
      <c r="R288" s="845" t="n"/>
      <c r="S288" s="845" t="n"/>
      <c r="T288" s="845" t="n"/>
      <c r="U288" s="845" t="n"/>
      <c r="V288" s="845" t="n"/>
      <c r="W288" s="845" t="n"/>
      <c r="X288" s="845" t="n"/>
      <c r="Y288" s="845" t="n"/>
      <c r="Z288" s="845" t="n"/>
    </row>
    <row r="289">
      <c r="A289" s="845" t="n"/>
      <c r="B289" s="857" t="n"/>
      <c r="C289" s="857" t="n"/>
      <c r="D289" s="857" t="n"/>
      <c r="E289" s="857" t="n"/>
      <c r="F289" s="857" t="n"/>
      <c r="G289" s="858" t="n"/>
      <c r="H289" s="857" t="n"/>
      <c r="I289" s="857" t="n"/>
      <c r="J289" s="857" t="n"/>
      <c r="K289" s="857" t="n"/>
      <c r="L289" s="857" t="n"/>
      <c r="M289" s="857" t="n"/>
      <c r="N289" s="857" t="n"/>
      <c r="O289" s="845" t="n"/>
      <c r="P289" s="845" t="n"/>
      <c r="Q289" s="845" t="n"/>
      <c r="R289" s="845" t="n"/>
      <c r="S289" s="845" t="n"/>
      <c r="T289" s="845" t="n"/>
      <c r="U289" s="845" t="n"/>
      <c r="V289" s="845" t="n"/>
      <c r="W289" s="845" t="n"/>
      <c r="X289" s="845" t="n"/>
      <c r="Y289" s="845" t="n"/>
      <c r="Z289" s="845" t="n"/>
    </row>
    <row r="290">
      <c r="A290" s="845" t="n"/>
      <c r="B290" s="857" t="n"/>
      <c r="C290" s="857" t="n"/>
      <c r="D290" s="857" t="n"/>
      <c r="E290" s="857" t="n"/>
      <c r="F290" s="857" t="n"/>
      <c r="G290" s="858" t="n"/>
      <c r="H290" s="857" t="n"/>
      <c r="I290" s="857" t="n"/>
      <c r="J290" s="857" t="n"/>
      <c r="K290" s="857" t="n"/>
      <c r="L290" s="857" t="n"/>
      <c r="M290" s="857" t="n"/>
      <c r="N290" s="857" t="n"/>
      <c r="O290" s="845" t="n"/>
      <c r="P290" s="845" t="n"/>
      <c r="Q290" s="845" t="n"/>
      <c r="R290" s="845" t="n"/>
      <c r="S290" s="845" t="n"/>
      <c r="T290" s="845" t="n"/>
      <c r="U290" s="845" t="n"/>
      <c r="V290" s="845" t="n"/>
      <c r="W290" s="845" t="n"/>
      <c r="X290" s="845" t="n"/>
      <c r="Y290" s="845" t="n"/>
      <c r="Z290" s="845" t="n"/>
    </row>
    <row r="291">
      <c r="A291" s="845" t="n"/>
      <c r="B291" s="857" t="n"/>
      <c r="C291" s="857" t="n"/>
      <c r="D291" s="857" t="n"/>
      <c r="E291" s="857" t="n"/>
      <c r="F291" s="857" t="n"/>
      <c r="G291" s="858" t="n"/>
      <c r="H291" s="857" t="n"/>
      <c r="I291" s="857" t="n"/>
      <c r="J291" s="857" t="n"/>
      <c r="K291" s="857" t="n"/>
      <c r="L291" s="857" t="n"/>
      <c r="M291" s="857" t="n"/>
      <c r="N291" s="857" t="n"/>
      <c r="O291" s="845" t="n"/>
      <c r="P291" s="845" t="n"/>
      <c r="Q291" s="845" t="n"/>
      <c r="R291" s="845" t="n"/>
      <c r="S291" s="845" t="n"/>
      <c r="T291" s="845" t="n"/>
      <c r="U291" s="845" t="n"/>
      <c r="V291" s="845" t="n"/>
      <c r="W291" s="845" t="n"/>
      <c r="X291" s="845" t="n"/>
      <c r="Y291" s="845" t="n"/>
      <c r="Z291" s="845" t="n"/>
    </row>
    <row r="292">
      <c r="A292" s="845" t="n"/>
      <c r="B292" s="857" t="n"/>
      <c r="C292" s="857" t="n"/>
      <c r="D292" s="857" t="n"/>
      <c r="E292" s="857" t="n"/>
      <c r="F292" s="857" t="n"/>
      <c r="G292" s="858" t="n"/>
      <c r="H292" s="857" t="n"/>
      <c r="I292" s="857" t="n"/>
      <c r="J292" s="857" t="n"/>
      <c r="K292" s="857" t="n"/>
      <c r="L292" s="857" t="n"/>
      <c r="M292" s="857" t="n"/>
      <c r="N292" s="857" t="n"/>
      <c r="O292" s="845" t="n"/>
      <c r="P292" s="845" t="n"/>
      <c r="Q292" s="845" t="n"/>
      <c r="R292" s="845" t="n"/>
      <c r="S292" s="845" t="n"/>
      <c r="T292" s="845" t="n"/>
      <c r="U292" s="845" t="n"/>
      <c r="V292" s="845" t="n"/>
      <c r="W292" s="845" t="n"/>
      <c r="X292" s="845" t="n"/>
      <c r="Y292" s="845" t="n"/>
      <c r="Z292" s="845" t="n"/>
    </row>
    <row r="293">
      <c r="A293" s="845" t="n"/>
      <c r="B293" s="857" t="n"/>
      <c r="C293" s="857" t="n"/>
      <c r="D293" s="857" t="n"/>
      <c r="E293" s="857" t="n"/>
      <c r="F293" s="857" t="n"/>
      <c r="G293" s="858" t="n"/>
      <c r="H293" s="857" t="n"/>
      <c r="I293" s="857" t="n"/>
      <c r="J293" s="857" t="n"/>
      <c r="K293" s="857" t="n"/>
      <c r="L293" s="857" t="n"/>
      <c r="M293" s="857" t="n"/>
      <c r="N293" s="857" t="n"/>
      <c r="O293" s="845" t="n"/>
      <c r="P293" s="845" t="n"/>
      <c r="Q293" s="845" t="n"/>
      <c r="R293" s="845" t="n"/>
      <c r="S293" s="845" t="n"/>
      <c r="T293" s="845" t="n"/>
      <c r="U293" s="845" t="n"/>
      <c r="V293" s="845" t="n"/>
      <c r="W293" s="845" t="n"/>
      <c r="X293" s="845" t="n"/>
      <c r="Y293" s="845" t="n"/>
      <c r="Z293" s="845" t="n"/>
    </row>
    <row r="294">
      <c r="A294" s="845" t="n"/>
      <c r="B294" s="857" t="n"/>
      <c r="C294" s="857" t="n"/>
      <c r="D294" s="857" t="n"/>
      <c r="E294" s="857" t="n"/>
      <c r="F294" s="857" t="n"/>
      <c r="G294" s="858" t="n"/>
      <c r="H294" s="857" t="n"/>
      <c r="I294" s="857" t="n"/>
      <c r="J294" s="857" t="n"/>
      <c r="K294" s="857" t="n"/>
      <c r="L294" s="857" t="n"/>
      <c r="M294" s="857" t="n"/>
      <c r="N294" s="857" t="n"/>
      <c r="O294" s="845" t="n"/>
      <c r="P294" s="845" t="n"/>
      <c r="Q294" s="845" t="n"/>
      <c r="R294" s="845" t="n"/>
      <c r="S294" s="845" t="n"/>
      <c r="T294" s="845" t="n"/>
      <c r="U294" s="845" t="n"/>
      <c r="V294" s="845" t="n"/>
      <c r="W294" s="845" t="n"/>
      <c r="X294" s="845" t="n"/>
      <c r="Y294" s="845" t="n"/>
      <c r="Z294" s="845" t="n"/>
    </row>
    <row r="295">
      <c r="A295" s="845" t="n"/>
      <c r="B295" s="857" t="n"/>
      <c r="C295" s="857" t="n"/>
      <c r="D295" s="857" t="n"/>
      <c r="E295" s="857" t="n"/>
      <c r="F295" s="857" t="n"/>
      <c r="G295" s="858" t="n"/>
      <c r="H295" s="857" t="n"/>
      <c r="I295" s="857" t="n"/>
      <c r="J295" s="857" t="n"/>
      <c r="K295" s="857" t="n"/>
      <c r="L295" s="857" t="n"/>
      <c r="M295" s="857" t="n"/>
      <c r="N295" s="857" t="n"/>
      <c r="O295" s="845" t="n"/>
      <c r="P295" s="845" t="n"/>
      <c r="Q295" s="845" t="n"/>
      <c r="R295" s="845" t="n"/>
      <c r="S295" s="845" t="n"/>
      <c r="T295" s="845" t="n"/>
      <c r="U295" s="845" t="n"/>
      <c r="V295" s="845" t="n"/>
      <c r="W295" s="845" t="n"/>
      <c r="X295" s="845" t="n"/>
      <c r="Y295" s="845" t="n"/>
      <c r="Z295" s="845" t="n"/>
    </row>
    <row r="296">
      <c r="A296" s="845" t="n"/>
      <c r="B296" s="857" t="n"/>
      <c r="C296" s="857" t="n"/>
      <c r="D296" s="857" t="n"/>
      <c r="E296" s="857" t="n"/>
      <c r="F296" s="857" t="n"/>
      <c r="G296" s="858" t="n"/>
      <c r="H296" s="857" t="n"/>
      <c r="I296" s="857" t="n"/>
      <c r="J296" s="857" t="n"/>
      <c r="K296" s="857" t="n"/>
      <c r="L296" s="857" t="n"/>
      <c r="M296" s="857" t="n"/>
      <c r="N296" s="857" t="n"/>
      <c r="O296" s="845" t="n"/>
      <c r="P296" s="845" t="n"/>
      <c r="Q296" s="845" t="n"/>
      <c r="R296" s="845" t="n"/>
      <c r="S296" s="845" t="n"/>
      <c r="T296" s="845" t="n"/>
      <c r="U296" s="845" t="n"/>
      <c r="V296" s="845" t="n"/>
      <c r="W296" s="845" t="n"/>
      <c r="X296" s="845" t="n"/>
      <c r="Y296" s="845" t="n"/>
      <c r="Z296" s="845" t="n"/>
    </row>
    <row r="297">
      <c r="A297" s="845" t="n"/>
      <c r="B297" s="857" t="n"/>
      <c r="C297" s="857" t="n"/>
      <c r="D297" s="857" t="n"/>
      <c r="E297" s="857" t="n"/>
      <c r="F297" s="857" t="n"/>
      <c r="G297" s="858" t="n"/>
      <c r="H297" s="857" t="n"/>
      <c r="I297" s="857" t="n"/>
      <c r="J297" s="857" t="n"/>
      <c r="K297" s="857" t="n"/>
      <c r="L297" s="857" t="n"/>
      <c r="M297" s="857" t="n"/>
      <c r="N297" s="857" t="n"/>
      <c r="O297" s="845" t="n"/>
      <c r="P297" s="845" t="n"/>
      <c r="Q297" s="845" t="n"/>
      <c r="R297" s="845" t="n"/>
      <c r="S297" s="845" t="n"/>
      <c r="T297" s="845" t="n"/>
      <c r="U297" s="845" t="n"/>
      <c r="V297" s="845" t="n"/>
      <c r="W297" s="845" t="n"/>
      <c r="X297" s="845" t="n"/>
      <c r="Y297" s="845" t="n"/>
      <c r="Z297" s="845" t="n"/>
    </row>
    <row r="298">
      <c r="A298" s="845" t="n"/>
      <c r="B298" s="857" t="n"/>
      <c r="C298" s="857" t="n"/>
      <c r="D298" s="857" t="n"/>
      <c r="E298" s="857" t="n"/>
      <c r="F298" s="857" t="n"/>
      <c r="G298" s="858" t="n"/>
      <c r="H298" s="857" t="n"/>
      <c r="I298" s="857" t="n"/>
      <c r="J298" s="857" t="n"/>
      <c r="K298" s="857" t="n"/>
      <c r="L298" s="857" t="n"/>
      <c r="M298" s="857" t="n"/>
      <c r="N298" s="857" t="n"/>
      <c r="O298" s="845" t="n"/>
      <c r="P298" s="845" t="n"/>
      <c r="Q298" s="845" t="n"/>
      <c r="R298" s="845" t="n"/>
      <c r="S298" s="845" t="n"/>
      <c r="T298" s="845" t="n"/>
      <c r="U298" s="845" t="n"/>
      <c r="V298" s="845" t="n"/>
      <c r="W298" s="845" t="n"/>
      <c r="X298" s="845" t="n"/>
      <c r="Y298" s="845" t="n"/>
      <c r="Z298" s="845" t="n"/>
    </row>
    <row r="299">
      <c r="A299" s="845" t="n"/>
      <c r="B299" s="857" t="n"/>
      <c r="C299" s="857" t="n"/>
      <c r="D299" s="857" t="n"/>
      <c r="E299" s="857" t="n"/>
      <c r="F299" s="857" t="n"/>
      <c r="G299" s="858" t="n"/>
      <c r="H299" s="857" t="n"/>
      <c r="I299" s="857" t="n"/>
      <c r="J299" s="857" t="n"/>
      <c r="K299" s="857" t="n"/>
      <c r="L299" s="857" t="n"/>
      <c r="M299" s="857" t="n"/>
      <c r="N299" s="857" t="n"/>
      <c r="O299" s="845" t="n"/>
      <c r="P299" s="845" t="n"/>
      <c r="Q299" s="845" t="n"/>
      <c r="R299" s="845" t="n"/>
      <c r="S299" s="845" t="n"/>
      <c r="T299" s="845" t="n"/>
      <c r="U299" s="845" t="n"/>
      <c r="V299" s="845" t="n"/>
      <c r="W299" s="845" t="n"/>
      <c r="X299" s="845" t="n"/>
      <c r="Y299" s="845" t="n"/>
      <c r="Z299" s="845" t="n"/>
    </row>
    <row r="300">
      <c r="A300" s="845" t="n"/>
      <c r="B300" s="857" t="n"/>
      <c r="C300" s="857" t="n"/>
      <c r="D300" s="857" t="n"/>
      <c r="E300" s="857" t="n"/>
      <c r="F300" s="857" t="n"/>
      <c r="G300" s="858" t="n"/>
      <c r="H300" s="857" t="n"/>
      <c r="I300" s="857" t="n"/>
      <c r="J300" s="857" t="n"/>
      <c r="K300" s="857" t="n"/>
      <c r="L300" s="857" t="n"/>
      <c r="M300" s="857" t="n"/>
      <c r="N300" s="857" t="n"/>
      <c r="O300" s="845" t="n"/>
      <c r="P300" s="845" t="n"/>
      <c r="Q300" s="845" t="n"/>
      <c r="R300" s="845" t="n"/>
      <c r="S300" s="845" t="n"/>
      <c r="T300" s="845" t="n"/>
      <c r="U300" s="845" t="n"/>
      <c r="V300" s="845" t="n"/>
      <c r="W300" s="845" t="n"/>
      <c r="X300" s="845" t="n"/>
      <c r="Y300" s="845" t="n"/>
      <c r="Z300" s="845" t="n"/>
    </row>
    <row r="301">
      <c r="A301" s="845" t="n"/>
      <c r="B301" s="857" t="n"/>
      <c r="C301" s="857" t="n"/>
      <c r="D301" s="857" t="n"/>
      <c r="E301" s="857" t="n"/>
      <c r="F301" s="857" t="n"/>
      <c r="G301" s="858" t="n"/>
      <c r="H301" s="857" t="n"/>
      <c r="I301" s="857" t="n"/>
      <c r="J301" s="857" t="n"/>
      <c r="K301" s="857" t="n"/>
      <c r="L301" s="857" t="n"/>
      <c r="M301" s="857" t="n"/>
      <c r="N301" s="857" t="n"/>
      <c r="O301" s="845" t="n"/>
      <c r="P301" s="845" t="n"/>
      <c r="Q301" s="845" t="n"/>
      <c r="R301" s="845" t="n"/>
      <c r="S301" s="845" t="n"/>
      <c r="T301" s="845" t="n"/>
      <c r="U301" s="845" t="n"/>
      <c r="V301" s="845" t="n"/>
      <c r="W301" s="845" t="n"/>
      <c r="X301" s="845" t="n"/>
      <c r="Y301" s="845" t="n"/>
      <c r="Z301" s="845" t="n"/>
    </row>
    <row r="302">
      <c r="A302" s="845" t="n"/>
      <c r="B302" s="857" t="n"/>
      <c r="C302" s="857" t="n"/>
      <c r="D302" s="857" t="n"/>
      <c r="E302" s="857" t="n"/>
      <c r="F302" s="857" t="n"/>
      <c r="G302" s="858" t="n"/>
      <c r="H302" s="857" t="n"/>
      <c r="I302" s="857" t="n"/>
      <c r="J302" s="857" t="n"/>
      <c r="K302" s="857" t="n"/>
      <c r="L302" s="857" t="n"/>
      <c r="M302" s="857" t="n"/>
      <c r="N302" s="857" t="n"/>
      <c r="O302" s="845" t="n"/>
      <c r="P302" s="845" t="n"/>
      <c r="Q302" s="845" t="n"/>
      <c r="R302" s="845" t="n"/>
      <c r="S302" s="845" t="n"/>
      <c r="T302" s="845" t="n"/>
      <c r="U302" s="845" t="n"/>
      <c r="V302" s="845" t="n"/>
      <c r="W302" s="845" t="n"/>
      <c r="X302" s="845" t="n"/>
      <c r="Y302" s="845" t="n"/>
      <c r="Z302" s="845" t="n"/>
    </row>
    <row r="303">
      <c r="A303" s="845" t="n"/>
      <c r="B303" s="857" t="n"/>
      <c r="C303" s="857" t="n"/>
      <c r="D303" s="857" t="n"/>
      <c r="E303" s="857" t="n"/>
      <c r="F303" s="857" t="n"/>
      <c r="G303" s="858" t="n"/>
      <c r="H303" s="857" t="n"/>
      <c r="I303" s="857" t="n"/>
      <c r="J303" s="857" t="n"/>
      <c r="K303" s="857" t="n"/>
      <c r="L303" s="857" t="n"/>
      <c r="M303" s="857" t="n"/>
      <c r="N303" s="857" t="n"/>
      <c r="O303" s="845" t="n"/>
      <c r="P303" s="845" t="n"/>
      <c r="Q303" s="845" t="n"/>
      <c r="R303" s="845" t="n"/>
      <c r="S303" s="845" t="n"/>
      <c r="T303" s="845" t="n"/>
      <c r="U303" s="845" t="n"/>
      <c r="V303" s="845" t="n"/>
      <c r="W303" s="845" t="n"/>
      <c r="X303" s="845" t="n"/>
      <c r="Y303" s="845" t="n"/>
      <c r="Z303" s="845" t="n"/>
    </row>
    <row r="304">
      <c r="A304" s="845" t="n"/>
      <c r="B304" s="857" t="n"/>
      <c r="C304" s="857" t="n"/>
      <c r="D304" s="857" t="n"/>
      <c r="E304" s="857" t="n"/>
      <c r="F304" s="857" t="n"/>
      <c r="G304" s="858" t="n"/>
      <c r="H304" s="857" t="n"/>
      <c r="I304" s="857" t="n"/>
      <c r="J304" s="857" t="n"/>
      <c r="K304" s="857" t="n"/>
      <c r="L304" s="857" t="n"/>
      <c r="M304" s="857" t="n"/>
      <c r="N304" s="857" t="n"/>
      <c r="O304" s="845" t="n"/>
      <c r="P304" s="845" t="n"/>
      <c r="Q304" s="845" t="n"/>
      <c r="R304" s="845" t="n"/>
      <c r="S304" s="845" t="n"/>
      <c r="T304" s="845" t="n"/>
      <c r="U304" s="845" t="n"/>
      <c r="V304" s="845" t="n"/>
      <c r="W304" s="845" t="n"/>
      <c r="X304" s="845" t="n"/>
      <c r="Y304" s="845" t="n"/>
      <c r="Z304" s="845" t="n"/>
    </row>
    <row r="305">
      <c r="A305" s="845" t="n"/>
      <c r="B305" s="857" t="n"/>
      <c r="C305" s="857" t="n"/>
      <c r="D305" s="857" t="n"/>
      <c r="E305" s="857" t="n"/>
      <c r="F305" s="857" t="n"/>
      <c r="G305" s="858" t="n"/>
      <c r="H305" s="857" t="n"/>
      <c r="I305" s="857" t="n"/>
      <c r="J305" s="857" t="n"/>
      <c r="K305" s="857" t="n"/>
      <c r="L305" s="857" t="n"/>
      <c r="M305" s="857" t="n"/>
      <c r="N305" s="857" t="n"/>
      <c r="O305" s="845" t="n"/>
      <c r="P305" s="845" t="n"/>
      <c r="Q305" s="845" t="n"/>
      <c r="R305" s="845" t="n"/>
      <c r="S305" s="845" t="n"/>
      <c r="T305" s="845" t="n"/>
      <c r="U305" s="845" t="n"/>
      <c r="V305" s="845" t="n"/>
      <c r="W305" s="845" t="n"/>
      <c r="X305" s="845" t="n"/>
      <c r="Y305" s="845" t="n"/>
      <c r="Z305" s="845" t="n"/>
    </row>
    <row r="306">
      <c r="A306" s="845" t="n"/>
      <c r="B306" s="857" t="n"/>
      <c r="C306" s="857" t="n"/>
      <c r="D306" s="857" t="n"/>
      <c r="E306" s="857" t="n"/>
      <c r="F306" s="857" t="n"/>
      <c r="G306" s="858" t="n"/>
      <c r="H306" s="857" t="n"/>
      <c r="I306" s="857" t="n"/>
      <c r="J306" s="857" t="n"/>
      <c r="K306" s="857" t="n"/>
      <c r="L306" s="857" t="n"/>
      <c r="M306" s="857" t="n"/>
      <c r="N306" s="857" t="n"/>
      <c r="O306" s="845" t="n"/>
      <c r="P306" s="845" t="n"/>
      <c r="Q306" s="845" t="n"/>
      <c r="R306" s="845" t="n"/>
      <c r="S306" s="845" t="n"/>
      <c r="T306" s="845" t="n"/>
      <c r="U306" s="845" t="n"/>
      <c r="V306" s="845" t="n"/>
      <c r="W306" s="845" t="n"/>
      <c r="X306" s="845" t="n"/>
      <c r="Y306" s="845" t="n"/>
      <c r="Z306" s="845" t="n"/>
    </row>
    <row r="307">
      <c r="A307" s="845" t="n"/>
      <c r="B307" s="857" t="n"/>
      <c r="C307" s="857" t="n"/>
      <c r="D307" s="857" t="n"/>
      <c r="E307" s="857" t="n"/>
      <c r="F307" s="857" t="n"/>
      <c r="G307" s="858" t="n"/>
      <c r="H307" s="857" t="n"/>
      <c r="I307" s="857" t="n"/>
      <c r="J307" s="857" t="n"/>
      <c r="K307" s="857" t="n"/>
      <c r="L307" s="857" t="n"/>
      <c r="M307" s="857" t="n"/>
      <c r="N307" s="857" t="n"/>
      <c r="O307" s="845" t="n"/>
      <c r="P307" s="845" t="n"/>
      <c r="Q307" s="845" t="n"/>
      <c r="R307" s="845" t="n"/>
      <c r="S307" s="845" t="n"/>
      <c r="T307" s="845" t="n"/>
      <c r="U307" s="845" t="n"/>
      <c r="V307" s="845" t="n"/>
      <c r="W307" s="845" t="n"/>
      <c r="X307" s="845" t="n"/>
      <c r="Y307" s="845" t="n"/>
      <c r="Z307" s="845" t="n"/>
    </row>
    <row r="308">
      <c r="A308" s="845" t="n"/>
      <c r="B308" s="857" t="n"/>
      <c r="C308" s="857" t="n"/>
      <c r="D308" s="857" t="n"/>
      <c r="E308" s="857" t="n"/>
      <c r="F308" s="857" t="n"/>
      <c r="G308" s="858" t="n"/>
      <c r="H308" s="857" t="n"/>
      <c r="I308" s="857" t="n"/>
      <c r="J308" s="857" t="n"/>
      <c r="K308" s="857" t="n"/>
      <c r="L308" s="857" t="n"/>
      <c r="M308" s="857" t="n"/>
      <c r="N308" s="857" t="n"/>
      <c r="O308" s="845" t="n"/>
      <c r="P308" s="845" t="n"/>
      <c r="Q308" s="845" t="n"/>
      <c r="R308" s="845" t="n"/>
      <c r="S308" s="845" t="n"/>
      <c r="T308" s="845" t="n"/>
      <c r="U308" s="845" t="n"/>
      <c r="V308" s="845" t="n"/>
      <c r="W308" s="845" t="n"/>
      <c r="X308" s="845" t="n"/>
      <c r="Y308" s="845" t="n"/>
      <c r="Z308" s="845" t="n"/>
    </row>
    <row r="309">
      <c r="A309" s="845" t="n"/>
      <c r="B309" s="857" t="n"/>
      <c r="C309" s="857" t="n"/>
      <c r="D309" s="857" t="n"/>
      <c r="E309" s="857" t="n"/>
      <c r="F309" s="857" t="n"/>
      <c r="G309" s="858" t="n"/>
      <c r="H309" s="857" t="n"/>
      <c r="I309" s="857" t="n"/>
      <c r="J309" s="857" t="n"/>
      <c r="K309" s="857" t="n"/>
      <c r="L309" s="857" t="n"/>
      <c r="M309" s="857" t="n"/>
      <c r="N309" s="857" t="n"/>
      <c r="O309" s="845" t="n"/>
      <c r="P309" s="845" t="n"/>
      <c r="Q309" s="845" t="n"/>
      <c r="R309" s="845" t="n"/>
      <c r="S309" s="845" t="n"/>
      <c r="T309" s="845" t="n"/>
      <c r="U309" s="845" t="n"/>
      <c r="V309" s="845" t="n"/>
      <c r="W309" s="845" t="n"/>
      <c r="X309" s="845" t="n"/>
      <c r="Y309" s="845" t="n"/>
      <c r="Z309" s="845" t="n"/>
    </row>
    <row r="310">
      <c r="A310" s="845" t="n"/>
      <c r="B310" s="857" t="n"/>
      <c r="C310" s="857" t="n"/>
      <c r="D310" s="857" t="n"/>
      <c r="E310" s="857" t="n"/>
      <c r="F310" s="857" t="n"/>
      <c r="G310" s="858" t="n"/>
      <c r="H310" s="857" t="n"/>
      <c r="I310" s="857" t="n"/>
      <c r="J310" s="857" t="n"/>
      <c r="K310" s="857" t="n"/>
      <c r="L310" s="857" t="n"/>
      <c r="M310" s="857" t="n"/>
      <c r="N310" s="857" t="n"/>
      <c r="O310" s="845" t="n"/>
      <c r="P310" s="845" t="n"/>
      <c r="Q310" s="845" t="n"/>
      <c r="R310" s="845" t="n"/>
      <c r="S310" s="845" t="n"/>
      <c r="T310" s="845" t="n"/>
      <c r="U310" s="845" t="n"/>
      <c r="V310" s="845" t="n"/>
      <c r="W310" s="845" t="n"/>
      <c r="X310" s="845" t="n"/>
      <c r="Y310" s="845" t="n"/>
      <c r="Z310" s="845" t="n"/>
    </row>
    <row r="311">
      <c r="A311" s="845" t="n"/>
      <c r="B311" s="857" t="n"/>
      <c r="C311" s="857" t="n"/>
      <c r="D311" s="857" t="n"/>
      <c r="E311" s="857" t="n"/>
      <c r="F311" s="857" t="n"/>
      <c r="G311" s="858" t="n"/>
      <c r="H311" s="857" t="n"/>
      <c r="I311" s="857" t="n"/>
      <c r="J311" s="857" t="n"/>
      <c r="K311" s="857" t="n"/>
      <c r="L311" s="857" t="n"/>
      <c r="M311" s="857" t="n"/>
      <c r="N311" s="857" t="n"/>
      <c r="O311" s="845" t="n"/>
      <c r="P311" s="845" t="n"/>
      <c r="Q311" s="845" t="n"/>
      <c r="R311" s="845" t="n"/>
      <c r="S311" s="845" t="n"/>
      <c r="T311" s="845" t="n"/>
      <c r="U311" s="845" t="n"/>
      <c r="V311" s="845" t="n"/>
      <c r="W311" s="845" t="n"/>
      <c r="X311" s="845" t="n"/>
      <c r="Y311" s="845" t="n"/>
      <c r="Z311" s="845" t="n"/>
    </row>
    <row r="312">
      <c r="A312" s="845" t="n"/>
      <c r="B312" s="857" t="n"/>
      <c r="C312" s="857" t="n"/>
      <c r="D312" s="857" t="n"/>
      <c r="E312" s="857" t="n"/>
      <c r="F312" s="857" t="n"/>
      <c r="G312" s="858" t="n"/>
      <c r="H312" s="857" t="n"/>
      <c r="I312" s="857" t="n"/>
      <c r="J312" s="857" t="n"/>
      <c r="K312" s="857" t="n"/>
      <c r="L312" s="857" t="n"/>
      <c r="M312" s="857" t="n"/>
      <c r="N312" s="857" t="n"/>
      <c r="O312" s="845" t="n"/>
      <c r="P312" s="845" t="n"/>
      <c r="Q312" s="845" t="n"/>
      <c r="R312" s="845" t="n"/>
      <c r="S312" s="845" t="n"/>
      <c r="T312" s="845" t="n"/>
      <c r="U312" s="845" t="n"/>
      <c r="V312" s="845" t="n"/>
      <c r="W312" s="845" t="n"/>
      <c r="X312" s="845" t="n"/>
      <c r="Y312" s="845" t="n"/>
      <c r="Z312" s="845" t="n"/>
    </row>
    <row r="313">
      <c r="A313" s="845" t="n"/>
      <c r="B313" s="857" t="n"/>
      <c r="C313" s="857" t="n"/>
      <c r="D313" s="857" t="n"/>
      <c r="E313" s="857" t="n"/>
      <c r="F313" s="857" t="n"/>
      <c r="G313" s="858" t="n"/>
      <c r="H313" s="857" t="n"/>
      <c r="I313" s="857" t="n"/>
      <c r="J313" s="857" t="n"/>
      <c r="K313" s="857" t="n"/>
      <c r="L313" s="857" t="n"/>
      <c r="M313" s="857" t="n"/>
      <c r="N313" s="857" t="n"/>
      <c r="O313" s="845" t="n"/>
      <c r="P313" s="845" t="n"/>
      <c r="Q313" s="845" t="n"/>
      <c r="R313" s="845" t="n"/>
      <c r="S313" s="845" t="n"/>
      <c r="T313" s="845" t="n"/>
      <c r="U313" s="845" t="n"/>
      <c r="V313" s="845" t="n"/>
      <c r="W313" s="845" t="n"/>
      <c r="X313" s="845" t="n"/>
      <c r="Y313" s="845" t="n"/>
      <c r="Z313" s="845" t="n"/>
    </row>
    <row r="314">
      <c r="A314" s="845" t="n"/>
      <c r="B314" s="857" t="n"/>
      <c r="C314" s="857" t="n"/>
      <c r="D314" s="857" t="n"/>
      <c r="E314" s="857" t="n"/>
      <c r="F314" s="857" t="n"/>
      <c r="G314" s="858" t="n"/>
      <c r="H314" s="857" t="n"/>
      <c r="I314" s="857" t="n"/>
      <c r="J314" s="857" t="n"/>
      <c r="K314" s="857" t="n"/>
      <c r="L314" s="857" t="n"/>
      <c r="M314" s="857" t="n"/>
      <c r="N314" s="857" t="n"/>
      <c r="O314" s="845" t="n"/>
      <c r="P314" s="845" t="n"/>
      <c r="Q314" s="845" t="n"/>
      <c r="R314" s="845" t="n"/>
      <c r="S314" s="845" t="n"/>
      <c r="T314" s="845" t="n"/>
      <c r="U314" s="845" t="n"/>
      <c r="V314" s="845" t="n"/>
      <c r="W314" s="845" t="n"/>
      <c r="X314" s="845" t="n"/>
      <c r="Y314" s="845" t="n"/>
      <c r="Z314" s="845" t="n"/>
    </row>
    <row r="315">
      <c r="A315" s="845" t="n"/>
      <c r="B315" s="857" t="n"/>
      <c r="C315" s="857" t="n"/>
      <c r="D315" s="857" t="n"/>
      <c r="E315" s="857" t="n"/>
      <c r="F315" s="857" t="n"/>
      <c r="G315" s="858" t="n"/>
      <c r="H315" s="857" t="n"/>
      <c r="I315" s="857" t="n"/>
      <c r="J315" s="857" t="n"/>
      <c r="K315" s="857" t="n"/>
      <c r="L315" s="857" t="n"/>
      <c r="M315" s="857" t="n"/>
      <c r="N315" s="857" t="n"/>
      <c r="O315" s="845" t="n"/>
      <c r="P315" s="845" t="n"/>
      <c r="Q315" s="845" t="n"/>
      <c r="R315" s="845" t="n"/>
      <c r="S315" s="845" t="n"/>
      <c r="T315" s="845" t="n"/>
      <c r="U315" s="845" t="n"/>
      <c r="V315" s="845" t="n"/>
      <c r="W315" s="845" t="n"/>
      <c r="X315" s="845" t="n"/>
      <c r="Y315" s="845" t="n"/>
      <c r="Z315" s="845" t="n"/>
    </row>
    <row r="316">
      <c r="A316" s="845" t="n"/>
      <c r="B316" s="857" t="n"/>
      <c r="C316" s="857" t="n"/>
      <c r="D316" s="857" t="n"/>
      <c r="E316" s="857" t="n"/>
      <c r="F316" s="857" t="n"/>
      <c r="G316" s="858" t="n"/>
      <c r="H316" s="857" t="n"/>
      <c r="I316" s="857" t="n"/>
      <c r="J316" s="857" t="n"/>
      <c r="K316" s="857" t="n"/>
      <c r="L316" s="857" t="n"/>
      <c r="M316" s="857" t="n"/>
      <c r="N316" s="857" t="n"/>
      <c r="O316" s="845" t="n"/>
      <c r="P316" s="845" t="n"/>
      <c r="Q316" s="845" t="n"/>
      <c r="R316" s="845" t="n"/>
      <c r="S316" s="845" t="n"/>
      <c r="T316" s="845" t="n"/>
      <c r="U316" s="845" t="n"/>
      <c r="V316" s="845" t="n"/>
      <c r="W316" s="845" t="n"/>
      <c r="X316" s="845" t="n"/>
      <c r="Y316" s="845" t="n"/>
      <c r="Z316" s="845" t="n"/>
    </row>
    <row r="317">
      <c r="A317" s="845" t="n"/>
      <c r="B317" s="857" t="n"/>
      <c r="C317" s="857" t="n"/>
      <c r="D317" s="857" t="n"/>
      <c r="E317" s="857" t="n"/>
      <c r="F317" s="857" t="n"/>
      <c r="G317" s="858" t="n"/>
      <c r="H317" s="857" t="n"/>
      <c r="I317" s="857" t="n"/>
      <c r="J317" s="857" t="n"/>
      <c r="K317" s="857" t="n"/>
      <c r="L317" s="857" t="n"/>
      <c r="M317" s="857" t="n"/>
      <c r="N317" s="857" t="n"/>
      <c r="O317" s="845" t="n"/>
      <c r="P317" s="845" t="n"/>
      <c r="Q317" s="845" t="n"/>
      <c r="R317" s="845" t="n"/>
      <c r="S317" s="845" t="n"/>
      <c r="T317" s="845" t="n"/>
      <c r="U317" s="845" t="n"/>
      <c r="V317" s="845" t="n"/>
      <c r="W317" s="845" t="n"/>
      <c r="X317" s="845" t="n"/>
      <c r="Y317" s="845" t="n"/>
      <c r="Z317" s="845" t="n"/>
    </row>
    <row r="318">
      <c r="A318" s="845" t="n"/>
      <c r="B318" s="857" t="n"/>
      <c r="C318" s="857" t="n"/>
      <c r="D318" s="857" t="n"/>
      <c r="E318" s="857" t="n"/>
      <c r="F318" s="857" t="n"/>
      <c r="G318" s="858" t="n"/>
      <c r="H318" s="857" t="n"/>
      <c r="I318" s="857" t="n"/>
      <c r="J318" s="857" t="n"/>
      <c r="K318" s="857" t="n"/>
      <c r="L318" s="857" t="n"/>
      <c r="M318" s="857" t="n"/>
      <c r="N318" s="857" t="n"/>
      <c r="O318" s="845" t="n"/>
      <c r="P318" s="845" t="n"/>
      <c r="Q318" s="845" t="n"/>
      <c r="R318" s="845" t="n"/>
      <c r="S318" s="845" t="n"/>
      <c r="T318" s="845" t="n"/>
      <c r="U318" s="845" t="n"/>
      <c r="V318" s="845" t="n"/>
      <c r="W318" s="845" t="n"/>
      <c r="X318" s="845" t="n"/>
      <c r="Y318" s="845" t="n"/>
      <c r="Z318" s="845" t="n"/>
    </row>
    <row r="319">
      <c r="A319" s="845" t="n"/>
      <c r="B319" s="857" t="n"/>
      <c r="C319" s="857" t="n"/>
      <c r="D319" s="857" t="n"/>
      <c r="E319" s="857" t="n"/>
      <c r="F319" s="857" t="n"/>
      <c r="G319" s="858" t="n"/>
      <c r="H319" s="857" t="n"/>
      <c r="I319" s="857" t="n"/>
      <c r="J319" s="857" t="n"/>
      <c r="K319" s="857" t="n"/>
      <c r="L319" s="857" t="n"/>
      <c r="M319" s="857" t="n"/>
      <c r="N319" s="857" t="n"/>
      <c r="O319" s="845" t="n"/>
      <c r="P319" s="845" t="n"/>
      <c r="Q319" s="845" t="n"/>
      <c r="R319" s="845" t="n"/>
      <c r="S319" s="845" t="n"/>
      <c r="T319" s="845" t="n"/>
      <c r="U319" s="845" t="n"/>
      <c r="V319" s="845" t="n"/>
      <c r="W319" s="845" t="n"/>
      <c r="X319" s="845" t="n"/>
      <c r="Y319" s="845" t="n"/>
      <c r="Z319" s="845" t="n"/>
    </row>
    <row r="320">
      <c r="A320" s="845" t="n"/>
      <c r="B320" s="857" t="n"/>
      <c r="C320" s="857" t="n"/>
      <c r="D320" s="857" t="n"/>
      <c r="E320" s="857" t="n"/>
      <c r="F320" s="857" t="n"/>
      <c r="G320" s="858" t="n"/>
      <c r="H320" s="857" t="n"/>
      <c r="I320" s="857" t="n"/>
      <c r="J320" s="857" t="n"/>
      <c r="K320" s="857" t="n"/>
      <c r="L320" s="857" t="n"/>
      <c r="M320" s="857" t="n"/>
      <c r="N320" s="857" t="n"/>
      <c r="O320" s="845" t="n"/>
      <c r="P320" s="845" t="n"/>
      <c r="Q320" s="845" t="n"/>
      <c r="R320" s="845" t="n"/>
      <c r="S320" s="845" t="n"/>
      <c r="T320" s="845" t="n"/>
      <c r="U320" s="845" t="n"/>
      <c r="V320" s="845" t="n"/>
      <c r="W320" s="845" t="n"/>
      <c r="X320" s="845" t="n"/>
      <c r="Y320" s="845" t="n"/>
      <c r="Z320" s="845" t="n"/>
    </row>
    <row r="321">
      <c r="A321" s="845" t="n"/>
      <c r="B321" s="857" t="n"/>
      <c r="C321" s="857" t="n"/>
      <c r="D321" s="857" t="n"/>
      <c r="E321" s="857" t="n"/>
      <c r="F321" s="857" t="n"/>
      <c r="G321" s="858" t="n"/>
      <c r="H321" s="857" t="n"/>
      <c r="I321" s="857" t="n"/>
      <c r="J321" s="857" t="n"/>
      <c r="K321" s="857" t="n"/>
      <c r="L321" s="857" t="n"/>
      <c r="M321" s="857" t="n"/>
      <c r="N321" s="857" t="n"/>
      <c r="O321" s="845" t="n"/>
      <c r="P321" s="845" t="n"/>
      <c r="Q321" s="845" t="n"/>
      <c r="R321" s="845" t="n"/>
      <c r="S321" s="845" t="n"/>
      <c r="T321" s="845" t="n"/>
      <c r="U321" s="845" t="n"/>
      <c r="V321" s="845" t="n"/>
      <c r="W321" s="845" t="n"/>
      <c r="X321" s="845" t="n"/>
      <c r="Y321" s="845" t="n"/>
      <c r="Z321" s="845" t="n"/>
    </row>
    <row r="322">
      <c r="A322" s="845" t="n"/>
      <c r="B322" s="857" t="n"/>
      <c r="C322" s="857" t="n"/>
      <c r="D322" s="857" t="n"/>
      <c r="E322" s="857" t="n"/>
      <c r="F322" s="857" t="n"/>
      <c r="G322" s="858" t="n"/>
      <c r="H322" s="857" t="n"/>
      <c r="I322" s="857" t="n"/>
      <c r="J322" s="857" t="n"/>
      <c r="K322" s="857" t="n"/>
      <c r="L322" s="857" t="n"/>
      <c r="M322" s="857" t="n"/>
      <c r="N322" s="857" t="n"/>
      <c r="O322" s="845" t="n"/>
      <c r="P322" s="845" t="n"/>
      <c r="Q322" s="845" t="n"/>
      <c r="R322" s="845" t="n"/>
      <c r="S322" s="845" t="n"/>
      <c r="T322" s="845" t="n"/>
      <c r="U322" s="845" t="n"/>
      <c r="V322" s="845" t="n"/>
      <c r="W322" s="845" t="n"/>
      <c r="X322" s="845" t="n"/>
      <c r="Y322" s="845" t="n"/>
      <c r="Z322" s="845" t="n"/>
    </row>
    <row r="323">
      <c r="A323" s="845" t="n"/>
      <c r="B323" s="857" t="n"/>
      <c r="C323" s="857" t="n"/>
      <c r="D323" s="857" t="n"/>
      <c r="E323" s="857" t="n"/>
      <c r="F323" s="857" t="n"/>
      <c r="G323" s="858" t="n"/>
      <c r="H323" s="857" t="n"/>
      <c r="I323" s="857" t="n"/>
      <c r="J323" s="857" t="n"/>
      <c r="K323" s="857" t="n"/>
      <c r="L323" s="857" t="n"/>
      <c r="M323" s="857" t="n"/>
      <c r="N323" s="857" t="n"/>
      <c r="O323" s="845" t="n"/>
      <c r="P323" s="845" t="n"/>
      <c r="Q323" s="845" t="n"/>
      <c r="R323" s="845" t="n"/>
      <c r="S323" s="845" t="n"/>
      <c r="T323" s="845" t="n"/>
      <c r="U323" s="845" t="n"/>
      <c r="V323" s="845" t="n"/>
      <c r="W323" s="845" t="n"/>
      <c r="X323" s="845" t="n"/>
      <c r="Y323" s="845" t="n"/>
      <c r="Z323" s="845" t="n"/>
    </row>
    <row r="324">
      <c r="A324" s="845" t="n"/>
      <c r="B324" s="857" t="n"/>
      <c r="C324" s="857" t="n"/>
      <c r="D324" s="857" t="n"/>
      <c r="E324" s="857" t="n"/>
      <c r="F324" s="857" t="n"/>
      <c r="G324" s="858" t="n"/>
      <c r="H324" s="857" t="n"/>
      <c r="I324" s="857" t="n"/>
      <c r="J324" s="857" t="n"/>
      <c r="K324" s="857" t="n"/>
      <c r="L324" s="857" t="n"/>
      <c r="M324" s="857" t="n"/>
      <c r="N324" s="857" t="n"/>
      <c r="O324" s="845" t="n"/>
      <c r="P324" s="845" t="n"/>
      <c r="Q324" s="845" t="n"/>
      <c r="R324" s="845" t="n"/>
      <c r="S324" s="845" t="n"/>
      <c r="T324" s="845" t="n"/>
      <c r="U324" s="845" t="n"/>
      <c r="V324" s="845" t="n"/>
      <c r="W324" s="845" t="n"/>
      <c r="X324" s="845" t="n"/>
      <c r="Y324" s="845" t="n"/>
      <c r="Z324" s="845" t="n"/>
    </row>
    <row r="325">
      <c r="A325" s="845" t="n"/>
      <c r="B325" s="857" t="n"/>
      <c r="C325" s="857" t="n"/>
      <c r="D325" s="857" t="n"/>
      <c r="E325" s="857" t="n"/>
      <c r="F325" s="857" t="n"/>
      <c r="G325" s="858" t="n"/>
      <c r="H325" s="857" t="n"/>
      <c r="I325" s="857" t="n"/>
      <c r="J325" s="857" t="n"/>
      <c r="K325" s="857" t="n"/>
      <c r="L325" s="857" t="n"/>
      <c r="M325" s="857" t="n"/>
      <c r="N325" s="857" t="n"/>
      <c r="O325" s="845" t="n"/>
      <c r="P325" s="845" t="n"/>
      <c r="Q325" s="845" t="n"/>
      <c r="R325" s="845" t="n"/>
      <c r="S325" s="845" t="n"/>
      <c r="T325" s="845" t="n"/>
      <c r="U325" s="845" t="n"/>
      <c r="V325" s="845" t="n"/>
      <c r="W325" s="845" t="n"/>
      <c r="X325" s="845" t="n"/>
      <c r="Y325" s="845" t="n"/>
      <c r="Z325" s="845" t="n"/>
    </row>
    <row r="326">
      <c r="A326" s="845" t="n"/>
      <c r="B326" s="857" t="n"/>
      <c r="C326" s="857" t="n"/>
      <c r="D326" s="857" t="n"/>
      <c r="E326" s="857" t="n"/>
      <c r="F326" s="857" t="n"/>
      <c r="G326" s="858" t="n"/>
      <c r="H326" s="857" t="n"/>
      <c r="I326" s="857" t="n"/>
      <c r="J326" s="857" t="n"/>
      <c r="K326" s="857" t="n"/>
      <c r="L326" s="857" t="n"/>
      <c r="M326" s="857" t="n"/>
      <c r="N326" s="857" t="n"/>
      <c r="O326" s="845" t="n"/>
      <c r="P326" s="845" t="n"/>
      <c r="Q326" s="845" t="n"/>
      <c r="R326" s="845" t="n"/>
      <c r="S326" s="845" t="n"/>
      <c r="T326" s="845" t="n"/>
      <c r="U326" s="845" t="n"/>
      <c r="V326" s="845" t="n"/>
      <c r="W326" s="845" t="n"/>
      <c r="X326" s="845" t="n"/>
      <c r="Y326" s="845" t="n"/>
      <c r="Z326" s="845" t="n"/>
    </row>
    <row r="327">
      <c r="A327" s="845" t="n"/>
      <c r="B327" s="857" t="n"/>
      <c r="C327" s="857" t="n"/>
      <c r="D327" s="857" t="n"/>
      <c r="E327" s="857" t="n"/>
      <c r="F327" s="857" t="n"/>
      <c r="G327" s="858" t="n"/>
      <c r="H327" s="857" t="n"/>
      <c r="I327" s="857" t="n"/>
      <c r="J327" s="857" t="n"/>
      <c r="K327" s="857" t="n"/>
      <c r="L327" s="857" t="n"/>
      <c r="M327" s="857" t="n"/>
      <c r="N327" s="857" t="n"/>
      <c r="O327" s="845" t="n"/>
      <c r="P327" s="845" t="n"/>
      <c r="Q327" s="845" t="n"/>
      <c r="R327" s="845" t="n"/>
      <c r="S327" s="845" t="n"/>
      <c r="T327" s="845" t="n"/>
      <c r="U327" s="845" t="n"/>
      <c r="V327" s="845" t="n"/>
      <c r="W327" s="845" t="n"/>
      <c r="X327" s="845" t="n"/>
      <c r="Y327" s="845" t="n"/>
      <c r="Z327" s="845" t="n"/>
    </row>
    <row r="328">
      <c r="A328" s="845" t="n"/>
      <c r="B328" s="857" t="n"/>
      <c r="C328" s="857" t="n"/>
      <c r="D328" s="857" t="n"/>
      <c r="E328" s="857" t="n"/>
      <c r="F328" s="857" t="n"/>
      <c r="G328" s="858" t="n"/>
      <c r="H328" s="857" t="n"/>
      <c r="I328" s="857" t="n"/>
      <c r="J328" s="857" t="n"/>
      <c r="K328" s="857" t="n"/>
      <c r="L328" s="857" t="n"/>
      <c r="M328" s="857" t="n"/>
      <c r="N328" s="857" t="n"/>
      <c r="O328" s="845" t="n"/>
      <c r="P328" s="845" t="n"/>
      <c r="Q328" s="845" t="n"/>
      <c r="R328" s="845" t="n"/>
      <c r="S328" s="845" t="n"/>
      <c r="T328" s="845" t="n"/>
      <c r="U328" s="845" t="n"/>
      <c r="V328" s="845" t="n"/>
      <c r="W328" s="845" t="n"/>
      <c r="X328" s="845" t="n"/>
      <c r="Y328" s="845" t="n"/>
      <c r="Z328" s="845" t="n"/>
    </row>
    <row r="329">
      <c r="A329" s="845" t="n"/>
      <c r="B329" s="857" t="n"/>
      <c r="C329" s="857" t="n"/>
      <c r="D329" s="857" t="n"/>
      <c r="E329" s="857" t="n"/>
      <c r="F329" s="857" t="n"/>
      <c r="G329" s="858" t="n"/>
      <c r="H329" s="857" t="n"/>
      <c r="I329" s="857" t="n"/>
      <c r="J329" s="857" t="n"/>
      <c r="K329" s="857" t="n"/>
      <c r="L329" s="857" t="n"/>
      <c r="M329" s="857" t="n"/>
      <c r="N329" s="857" t="n"/>
      <c r="O329" s="845" t="n"/>
      <c r="P329" s="845" t="n"/>
      <c r="Q329" s="845" t="n"/>
      <c r="R329" s="845" t="n"/>
      <c r="S329" s="845" t="n"/>
      <c r="T329" s="845" t="n"/>
      <c r="U329" s="845" t="n"/>
      <c r="V329" s="845" t="n"/>
      <c r="W329" s="845" t="n"/>
      <c r="X329" s="845" t="n"/>
      <c r="Y329" s="845" t="n"/>
      <c r="Z329" s="845" t="n"/>
    </row>
    <row r="330">
      <c r="A330" s="845" t="n"/>
      <c r="B330" s="857" t="n"/>
      <c r="C330" s="857" t="n"/>
      <c r="D330" s="857" t="n"/>
      <c r="E330" s="857" t="n"/>
      <c r="F330" s="857" t="n"/>
      <c r="G330" s="858" t="n"/>
      <c r="H330" s="857" t="n"/>
      <c r="I330" s="857" t="n"/>
      <c r="J330" s="857" t="n"/>
      <c r="K330" s="857" t="n"/>
      <c r="L330" s="857" t="n"/>
      <c r="M330" s="857" t="n"/>
      <c r="N330" s="857" t="n"/>
      <c r="O330" s="845" t="n"/>
      <c r="P330" s="845" t="n"/>
      <c r="Q330" s="845" t="n"/>
      <c r="R330" s="845" t="n"/>
      <c r="S330" s="845" t="n"/>
      <c r="T330" s="845" t="n"/>
      <c r="U330" s="845" t="n"/>
      <c r="V330" s="845" t="n"/>
      <c r="W330" s="845" t="n"/>
      <c r="X330" s="845" t="n"/>
      <c r="Y330" s="845" t="n"/>
      <c r="Z330" s="845" t="n"/>
    </row>
    <row r="331">
      <c r="A331" s="845" t="n"/>
      <c r="B331" s="857" t="n"/>
      <c r="C331" s="857" t="n"/>
      <c r="D331" s="857" t="n"/>
      <c r="E331" s="857" t="n"/>
      <c r="F331" s="857" t="n"/>
      <c r="G331" s="858" t="n"/>
      <c r="H331" s="857" t="n"/>
      <c r="I331" s="857" t="n"/>
      <c r="J331" s="857" t="n"/>
      <c r="K331" s="857" t="n"/>
      <c r="L331" s="857" t="n"/>
      <c r="M331" s="857" t="n"/>
      <c r="N331" s="857" t="n"/>
      <c r="O331" s="845" t="n"/>
      <c r="P331" s="845" t="n"/>
      <c r="Q331" s="845" t="n"/>
      <c r="R331" s="845" t="n"/>
      <c r="S331" s="845" t="n"/>
      <c r="T331" s="845" t="n"/>
      <c r="U331" s="845" t="n"/>
      <c r="V331" s="845" t="n"/>
      <c r="W331" s="845" t="n"/>
      <c r="X331" s="845" t="n"/>
      <c r="Y331" s="845" t="n"/>
      <c r="Z331" s="845" t="n"/>
    </row>
    <row r="332">
      <c r="A332" s="845" t="n"/>
      <c r="B332" s="857" t="n"/>
      <c r="C332" s="857" t="n"/>
      <c r="D332" s="857" t="n"/>
      <c r="E332" s="857" t="n"/>
      <c r="F332" s="857" t="n"/>
      <c r="G332" s="858" t="n"/>
      <c r="H332" s="857" t="n"/>
      <c r="I332" s="857" t="n"/>
      <c r="J332" s="857" t="n"/>
      <c r="K332" s="857" t="n"/>
      <c r="L332" s="857" t="n"/>
      <c r="M332" s="857" t="n"/>
      <c r="N332" s="857" t="n"/>
      <c r="O332" s="845" t="n"/>
      <c r="P332" s="845" t="n"/>
      <c r="Q332" s="845" t="n"/>
      <c r="R332" s="845" t="n"/>
      <c r="S332" s="845" t="n"/>
      <c r="T332" s="845" t="n"/>
      <c r="U332" s="845" t="n"/>
      <c r="V332" s="845" t="n"/>
      <c r="W332" s="845" t="n"/>
      <c r="X332" s="845" t="n"/>
      <c r="Y332" s="845" t="n"/>
      <c r="Z332" s="845" t="n"/>
    </row>
    <row r="333">
      <c r="A333" s="845" t="n"/>
      <c r="B333" s="857" t="n"/>
      <c r="C333" s="857" t="n"/>
      <c r="D333" s="857" t="n"/>
      <c r="E333" s="857" t="n"/>
      <c r="F333" s="857" t="n"/>
      <c r="G333" s="858" t="n"/>
      <c r="H333" s="857" t="n"/>
      <c r="I333" s="857" t="n"/>
      <c r="J333" s="857" t="n"/>
      <c r="K333" s="857" t="n"/>
      <c r="L333" s="857" t="n"/>
      <c r="M333" s="857" t="n"/>
      <c r="N333" s="857" t="n"/>
      <c r="O333" s="845" t="n"/>
      <c r="P333" s="845" t="n"/>
      <c r="Q333" s="845" t="n"/>
      <c r="R333" s="845" t="n"/>
      <c r="S333" s="845" t="n"/>
      <c r="T333" s="845" t="n"/>
      <c r="U333" s="845" t="n"/>
      <c r="V333" s="845" t="n"/>
      <c r="W333" s="845" t="n"/>
      <c r="X333" s="845" t="n"/>
      <c r="Y333" s="845" t="n"/>
      <c r="Z333" s="845" t="n"/>
    </row>
    <row r="334">
      <c r="A334" s="845" t="n"/>
      <c r="B334" s="857" t="n"/>
      <c r="C334" s="857" t="n"/>
      <c r="D334" s="857" t="n"/>
      <c r="E334" s="857" t="n"/>
      <c r="F334" s="857" t="n"/>
      <c r="G334" s="858" t="n"/>
      <c r="H334" s="857" t="n"/>
      <c r="I334" s="857" t="n"/>
      <c r="J334" s="857" t="n"/>
      <c r="K334" s="857" t="n"/>
      <c r="L334" s="857" t="n"/>
      <c r="M334" s="857" t="n"/>
      <c r="N334" s="857" t="n"/>
      <c r="O334" s="845" t="n"/>
      <c r="P334" s="845" t="n"/>
      <c r="Q334" s="845" t="n"/>
      <c r="R334" s="845" t="n"/>
      <c r="S334" s="845" t="n"/>
      <c r="T334" s="845" t="n"/>
      <c r="U334" s="845" t="n"/>
      <c r="V334" s="845" t="n"/>
      <c r="W334" s="845" t="n"/>
      <c r="X334" s="845" t="n"/>
      <c r="Y334" s="845" t="n"/>
      <c r="Z334" s="845" t="n"/>
    </row>
    <row r="335">
      <c r="A335" s="845" t="n"/>
      <c r="B335" s="857" t="n"/>
      <c r="C335" s="857" t="n"/>
      <c r="D335" s="857" t="n"/>
      <c r="E335" s="857" t="n"/>
      <c r="F335" s="857" t="n"/>
      <c r="G335" s="858" t="n"/>
      <c r="H335" s="857" t="n"/>
      <c r="I335" s="857" t="n"/>
      <c r="J335" s="857" t="n"/>
      <c r="K335" s="857" t="n"/>
      <c r="L335" s="857" t="n"/>
      <c r="M335" s="857" t="n"/>
      <c r="N335" s="857" t="n"/>
      <c r="O335" s="845" t="n"/>
      <c r="P335" s="845" t="n"/>
      <c r="Q335" s="845" t="n"/>
      <c r="R335" s="845" t="n"/>
      <c r="S335" s="845" t="n"/>
      <c r="T335" s="845" t="n"/>
      <c r="U335" s="845" t="n"/>
      <c r="V335" s="845" t="n"/>
      <c r="W335" s="845" t="n"/>
      <c r="X335" s="845" t="n"/>
      <c r="Y335" s="845" t="n"/>
      <c r="Z335" s="845" t="n"/>
    </row>
    <row r="336">
      <c r="A336" s="845" t="n"/>
      <c r="B336" s="857" t="n"/>
      <c r="C336" s="857" t="n"/>
      <c r="D336" s="857" t="n"/>
      <c r="E336" s="857" t="n"/>
      <c r="F336" s="857" t="n"/>
      <c r="G336" s="858" t="n"/>
      <c r="H336" s="857" t="n"/>
      <c r="I336" s="857" t="n"/>
      <c r="J336" s="857" t="n"/>
      <c r="K336" s="857" t="n"/>
      <c r="L336" s="857" t="n"/>
      <c r="M336" s="857" t="n"/>
      <c r="N336" s="857" t="n"/>
      <c r="O336" s="845" t="n"/>
      <c r="P336" s="845" t="n"/>
      <c r="Q336" s="845" t="n"/>
      <c r="R336" s="845" t="n"/>
      <c r="S336" s="845" t="n"/>
      <c r="T336" s="845" t="n"/>
      <c r="U336" s="845" t="n"/>
      <c r="V336" s="845" t="n"/>
      <c r="W336" s="845" t="n"/>
      <c r="X336" s="845" t="n"/>
      <c r="Y336" s="845" t="n"/>
      <c r="Z336" s="845" t="n"/>
    </row>
    <row r="337">
      <c r="A337" s="845" t="n"/>
      <c r="B337" s="857" t="n"/>
      <c r="C337" s="857" t="n"/>
      <c r="D337" s="857" t="n"/>
      <c r="E337" s="857" t="n"/>
      <c r="F337" s="857" t="n"/>
      <c r="G337" s="858" t="n"/>
      <c r="H337" s="857" t="n"/>
      <c r="I337" s="857" t="n"/>
      <c r="J337" s="857" t="n"/>
      <c r="K337" s="857" t="n"/>
      <c r="L337" s="857" t="n"/>
      <c r="M337" s="857" t="n"/>
      <c r="N337" s="857" t="n"/>
      <c r="O337" s="845" t="n"/>
      <c r="P337" s="845" t="n"/>
      <c r="Q337" s="845" t="n"/>
      <c r="R337" s="845" t="n"/>
      <c r="S337" s="845" t="n"/>
      <c r="T337" s="845" t="n"/>
      <c r="U337" s="845" t="n"/>
      <c r="V337" s="845" t="n"/>
      <c r="W337" s="845" t="n"/>
      <c r="X337" s="845" t="n"/>
      <c r="Y337" s="845" t="n"/>
      <c r="Z337" s="845" t="n"/>
    </row>
    <row r="338">
      <c r="A338" s="845" t="n"/>
      <c r="B338" s="857" t="n"/>
      <c r="C338" s="857" t="n"/>
      <c r="D338" s="857" t="n"/>
      <c r="E338" s="857" t="n"/>
      <c r="F338" s="857" t="n"/>
      <c r="G338" s="858" t="n"/>
      <c r="H338" s="857" t="n"/>
      <c r="I338" s="857" t="n"/>
      <c r="J338" s="857" t="n"/>
      <c r="K338" s="857" t="n"/>
      <c r="L338" s="857" t="n"/>
      <c r="M338" s="857" t="n"/>
      <c r="N338" s="857" t="n"/>
      <c r="O338" s="845" t="n"/>
      <c r="P338" s="845" t="n"/>
      <c r="Q338" s="845" t="n"/>
      <c r="R338" s="845" t="n"/>
      <c r="S338" s="845" t="n"/>
      <c r="T338" s="845" t="n"/>
      <c r="U338" s="845" t="n"/>
      <c r="V338" s="845" t="n"/>
      <c r="W338" s="845" t="n"/>
      <c r="X338" s="845" t="n"/>
      <c r="Y338" s="845" t="n"/>
      <c r="Z338" s="845" t="n"/>
    </row>
    <row r="339">
      <c r="A339" s="845" t="n"/>
      <c r="B339" s="857" t="n"/>
      <c r="C339" s="857" t="n"/>
      <c r="D339" s="857" t="n"/>
      <c r="E339" s="857" t="n"/>
      <c r="F339" s="857" t="n"/>
      <c r="G339" s="858" t="n"/>
      <c r="H339" s="857" t="n"/>
      <c r="I339" s="857" t="n"/>
      <c r="J339" s="857" t="n"/>
      <c r="K339" s="857" t="n"/>
      <c r="L339" s="857" t="n"/>
      <c r="M339" s="857" t="n"/>
      <c r="N339" s="857" t="n"/>
      <c r="O339" s="845" t="n"/>
      <c r="P339" s="845" t="n"/>
      <c r="Q339" s="845" t="n"/>
      <c r="R339" s="845" t="n"/>
      <c r="S339" s="845" t="n"/>
      <c r="T339" s="845" t="n"/>
      <c r="U339" s="845" t="n"/>
      <c r="V339" s="845" t="n"/>
      <c r="W339" s="845" t="n"/>
      <c r="X339" s="845" t="n"/>
      <c r="Y339" s="845" t="n"/>
      <c r="Z339" s="845" t="n"/>
    </row>
    <row r="340">
      <c r="A340" s="845" t="n"/>
      <c r="B340" s="857" t="n"/>
      <c r="C340" s="857" t="n"/>
      <c r="D340" s="857" t="n"/>
      <c r="E340" s="857" t="n"/>
      <c r="F340" s="857" t="n"/>
      <c r="G340" s="858" t="n"/>
      <c r="H340" s="857" t="n"/>
      <c r="I340" s="857" t="n"/>
      <c r="J340" s="857" t="n"/>
      <c r="K340" s="857" t="n"/>
      <c r="L340" s="857" t="n"/>
      <c r="M340" s="857" t="n"/>
      <c r="N340" s="857" t="n"/>
      <c r="O340" s="845" t="n"/>
      <c r="P340" s="845" t="n"/>
      <c r="Q340" s="845" t="n"/>
      <c r="R340" s="845" t="n"/>
      <c r="S340" s="845" t="n"/>
      <c r="T340" s="845" t="n"/>
      <c r="U340" s="845" t="n"/>
      <c r="V340" s="845" t="n"/>
      <c r="W340" s="845" t="n"/>
      <c r="X340" s="845" t="n"/>
      <c r="Y340" s="845" t="n"/>
      <c r="Z340" s="845" t="n"/>
    </row>
    <row r="341">
      <c r="A341" s="845" t="n"/>
      <c r="B341" s="857" t="n"/>
      <c r="C341" s="857" t="n"/>
      <c r="D341" s="857" t="n"/>
      <c r="E341" s="857" t="n"/>
      <c r="F341" s="857" t="n"/>
      <c r="G341" s="858" t="n"/>
      <c r="H341" s="857" t="n"/>
      <c r="I341" s="857" t="n"/>
      <c r="J341" s="857" t="n"/>
      <c r="K341" s="857" t="n"/>
      <c r="L341" s="857" t="n"/>
      <c r="M341" s="857" t="n"/>
      <c r="N341" s="857" t="n"/>
      <c r="O341" s="845" t="n"/>
      <c r="P341" s="845" t="n"/>
      <c r="Q341" s="845" t="n"/>
      <c r="R341" s="845" t="n"/>
      <c r="S341" s="845" t="n"/>
      <c r="T341" s="845" t="n"/>
      <c r="U341" s="845" t="n"/>
      <c r="V341" s="845" t="n"/>
      <c r="W341" s="845" t="n"/>
      <c r="X341" s="845" t="n"/>
      <c r="Y341" s="845" t="n"/>
      <c r="Z341" s="845" t="n"/>
    </row>
    <row r="342">
      <c r="A342" s="845" t="n"/>
      <c r="B342" s="857" t="n"/>
      <c r="C342" s="857" t="n"/>
      <c r="D342" s="857" t="n"/>
      <c r="E342" s="857" t="n"/>
      <c r="F342" s="857" t="n"/>
      <c r="G342" s="858" t="n"/>
      <c r="H342" s="857" t="n"/>
      <c r="I342" s="857" t="n"/>
      <c r="J342" s="857" t="n"/>
      <c r="K342" s="857" t="n"/>
      <c r="L342" s="857" t="n"/>
      <c r="M342" s="857" t="n"/>
      <c r="N342" s="857" t="n"/>
      <c r="O342" s="845" t="n"/>
      <c r="P342" s="845" t="n"/>
      <c r="Q342" s="845" t="n"/>
      <c r="R342" s="845" t="n"/>
      <c r="S342" s="845" t="n"/>
      <c r="T342" s="845" t="n"/>
      <c r="U342" s="845" t="n"/>
      <c r="V342" s="845" t="n"/>
      <c r="W342" s="845" t="n"/>
      <c r="X342" s="845" t="n"/>
      <c r="Y342" s="845" t="n"/>
      <c r="Z342" s="845" t="n"/>
    </row>
    <row r="343">
      <c r="A343" s="845" t="n"/>
      <c r="B343" s="857" t="n"/>
      <c r="C343" s="857" t="n"/>
      <c r="D343" s="857" t="n"/>
      <c r="E343" s="857" t="n"/>
      <c r="F343" s="857" t="n"/>
      <c r="G343" s="858" t="n"/>
      <c r="H343" s="857" t="n"/>
      <c r="I343" s="857" t="n"/>
      <c r="J343" s="857" t="n"/>
      <c r="K343" s="857" t="n"/>
      <c r="L343" s="857" t="n"/>
      <c r="M343" s="857" t="n"/>
      <c r="N343" s="857" t="n"/>
      <c r="O343" s="845" t="n"/>
      <c r="P343" s="845" t="n"/>
      <c r="Q343" s="845" t="n"/>
      <c r="R343" s="845" t="n"/>
      <c r="S343" s="845" t="n"/>
      <c r="T343" s="845" t="n"/>
      <c r="U343" s="845" t="n"/>
      <c r="V343" s="845" t="n"/>
      <c r="W343" s="845" t="n"/>
      <c r="X343" s="845" t="n"/>
      <c r="Y343" s="845" t="n"/>
      <c r="Z343" s="845" t="n"/>
    </row>
    <row r="344">
      <c r="A344" s="845" t="n"/>
      <c r="B344" s="857" t="n"/>
      <c r="C344" s="857" t="n"/>
      <c r="D344" s="857" t="n"/>
      <c r="E344" s="857" t="n"/>
      <c r="F344" s="857" t="n"/>
      <c r="G344" s="858" t="n"/>
      <c r="H344" s="857" t="n"/>
      <c r="I344" s="857" t="n"/>
      <c r="J344" s="857" t="n"/>
      <c r="K344" s="857" t="n"/>
      <c r="L344" s="857" t="n"/>
      <c r="M344" s="857" t="n"/>
      <c r="N344" s="857" t="n"/>
      <c r="O344" s="845" t="n"/>
      <c r="P344" s="845" t="n"/>
      <c r="Q344" s="845" t="n"/>
      <c r="R344" s="845" t="n"/>
      <c r="S344" s="845" t="n"/>
      <c r="T344" s="845" t="n"/>
      <c r="U344" s="845" t="n"/>
      <c r="V344" s="845" t="n"/>
      <c r="W344" s="845" t="n"/>
      <c r="X344" s="845" t="n"/>
      <c r="Y344" s="845" t="n"/>
      <c r="Z344" s="845" t="n"/>
    </row>
    <row r="345">
      <c r="A345" s="845" t="n"/>
      <c r="B345" s="857" t="n"/>
      <c r="C345" s="857" t="n"/>
      <c r="D345" s="857" t="n"/>
      <c r="E345" s="857" t="n"/>
      <c r="F345" s="857" t="n"/>
      <c r="G345" s="858" t="n"/>
      <c r="H345" s="857" t="n"/>
      <c r="I345" s="857" t="n"/>
      <c r="J345" s="857" t="n"/>
      <c r="K345" s="857" t="n"/>
      <c r="L345" s="857" t="n"/>
      <c r="M345" s="857" t="n"/>
      <c r="N345" s="857" t="n"/>
      <c r="O345" s="845" t="n"/>
      <c r="P345" s="845" t="n"/>
      <c r="Q345" s="845" t="n"/>
      <c r="R345" s="845" t="n"/>
      <c r="S345" s="845" t="n"/>
      <c r="T345" s="845" t="n"/>
      <c r="U345" s="845" t="n"/>
      <c r="V345" s="845" t="n"/>
      <c r="W345" s="845" t="n"/>
      <c r="X345" s="845" t="n"/>
      <c r="Y345" s="845" t="n"/>
      <c r="Z345" s="845" t="n"/>
    </row>
    <row r="346">
      <c r="A346" s="845" t="n"/>
      <c r="B346" s="857" t="n"/>
      <c r="C346" s="857" t="n"/>
      <c r="D346" s="857" t="n"/>
      <c r="E346" s="857" t="n"/>
      <c r="F346" s="857" t="n"/>
      <c r="G346" s="858" t="n"/>
      <c r="H346" s="857" t="n"/>
      <c r="I346" s="857" t="n"/>
      <c r="J346" s="857" t="n"/>
      <c r="K346" s="857" t="n"/>
      <c r="L346" s="857" t="n"/>
      <c r="M346" s="857" t="n"/>
      <c r="N346" s="857" t="n"/>
      <c r="O346" s="845" t="n"/>
      <c r="P346" s="845" t="n"/>
      <c r="Q346" s="845" t="n"/>
      <c r="R346" s="845" t="n"/>
      <c r="S346" s="845" t="n"/>
      <c r="T346" s="845" t="n"/>
      <c r="U346" s="845" t="n"/>
      <c r="V346" s="845" t="n"/>
      <c r="W346" s="845" t="n"/>
      <c r="X346" s="845" t="n"/>
      <c r="Y346" s="845" t="n"/>
      <c r="Z346" s="845" t="n"/>
    </row>
    <row r="347">
      <c r="A347" s="845" t="n"/>
      <c r="B347" s="857" t="n"/>
      <c r="C347" s="857" t="n"/>
      <c r="D347" s="857" t="n"/>
      <c r="E347" s="857" t="n"/>
      <c r="F347" s="857" t="n"/>
      <c r="G347" s="858" t="n"/>
      <c r="H347" s="857" t="n"/>
      <c r="I347" s="857" t="n"/>
      <c r="J347" s="857" t="n"/>
      <c r="K347" s="857" t="n"/>
      <c r="L347" s="857" t="n"/>
      <c r="M347" s="857" t="n"/>
      <c r="N347" s="857" t="n"/>
      <c r="O347" s="845" t="n"/>
      <c r="P347" s="845" t="n"/>
      <c r="Q347" s="845" t="n"/>
      <c r="R347" s="845" t="n"/>
      <c r="S347" s="845" t="n"/>
      <c r="T347" s="845" t="n"/>
      <c r="U347" s="845" t="n"/>
      <c r="V347" s="845" t="n"/>
      <c r="W347" s="845" t="n"/>
      <c r="X347" s="845" t="n"/>
      <c r="Y347" s="845" t="n"/>
      <c r="Z347" s="845" t="n"/>
    </row>
    <row r="348">
      <c r="A348" s="845" t="n"/>
      <c r="B348" s="857" t="n"/>
      <c r="C348" s="857" t="n"/>
      <c r="D348" s="857" t="n"/>
      <c r="E348" s="857" t="n"/>
      <c r="F348" s="857" t="n"/>
      <c r="G348" s="858" t="n"/>
      <c r="H348" s="857" t="n"/>
      <c r="I348" s="857" t="n"/>
      <c r="J348" s="857" t="n"/>
      <c r="K348" s="857" t="n"/>
      <c r="L348" s="857" t="n"/>
      <c r="M348" s="857" t="n"/>
      <c r="N348" s="857" t="n"/>
      <c r="O348" s="845" t="n"/>
      <c r="P348" s="845" t="n"/>
      <c r="Q348" s="845" t="n"/>
      <c r="R348" s="845" t="n"/>
      <c r="S348" s="845" t="n"/>
      <c r="T348" s="845" t="n"/>
      <c r="U348" s="845" t="n"/>
      <c r="V348" s="845" t="n"/>
      <c r="W348" s="845" t="n"/>
      <c r="X348" s="845" t="n"/>
      <c r="Y348" s="845" t="n"/>
      <c r="Z348" s="845" t="n"/>
    </row>
    <row r="349">
      <c r="A349" s="845" t="n"/>
      <c r="B349" s="857" t="n"/>
      <c r="C349" s="857" t="n"/>
      <c r="D349" s="857" t="n"/>
      <c r="E349" s="857" t="n"/>
      <c r="F349" s="857" t="n"/>
      <c r="G349" s="858" t="n"/>
      <c r="H349" s="857" t="n"/>
      <c r="I349" s="857" t="n"/>
      <c r="J349" s="857" t="n"/>
      <c r="K349" s="857" t="n"/>
      <c r="L349" s="857" t="n"/>
      <c r="M349" s="857" t="n"/>
      <c r="N349" s="857" t="n"/>
      <c r="O349" s="845" t="n"/>
      <c r="P349" s="845" t="n"/>
      <c r="Q349" s="845" t="n"/>
      <c r="R349" s="845" t="n"/>
      <c r="S349" s="845" t="n"/>
      <c r="T349" s="845" t="n"/>
      <c r="U349" s="845" t="n"/>
      <c r="V349" s="845" t="n"/>
      <c r="W349" s="845" t="n"/>
      <c r="X349" s="845" t="n"/>
      <c r="Y349" s="845" t="n"/>
      <c r="Z349" s="845" t="n"/>
    </row>
    <row r="350">
      <c r="A350" s="845" t="n"/>
      <c r="B350" s="857" t="n"/>
      <c r="C350" s="857" t="n"/>
      <c r="D350" s="857" t="n"/>
      <c r="E350" s="857" t="n"/>
      <c r="F350" s="857" t="n"/>
      <c r="G350" s="858" t="n"/>
      <c r="H350" s="857" t="n"/>
      <c r="I350" s="857" t="n"/>
      <c r="J350" s="857" t="n"/>
      <c r="K350" s="857" t="n"/>
      <c r="L350" s="857" t="n"/>
      <c r="M350" s="857" t="n"/>
      <c r="N350" s="857" t="n"/>
      <c r="O350" s="845" t="n"/>
      <c r="P350" s="845" t="n"/>
      <c r="Q350" s="845" t="n"/>
      <c r="R350" s="845" t="n"/>
      <c r="S350" s="845" t="n"/>
      <c r="T350" s="845" t="n"/>
      <c r="U350" s="845" t="n"/>
      <c r="V350" s="845" t="n"/>
      <c r="W350" s="845" t="n"/>
      <c r="X350" s="845" t="n"/>
      <c r="Y350" s="845" t="n"/>
      <c r="Z350" s="845" t="n"/>
    </row>
    <row r="351">
      <c r="A351" s="845" t="n"/>
      <c r="B351" s="857" t="n"/>
      <c r="C351" s="857" t="n"/>
      <c r="D351" s="857" t="n"/>
      <c r="E351" s="857" t="n"/>
      <c r="F351" s="857" t="n"/>
      <c r="G351" s="858" t="n"/>
      <c r="H351" s="857" t="n"/>
      <c r="I351" s="857" t="n"/>
      <c r="J351" s="857" t="n"/>
      <c r="K351" s="857" t="n"/>
      <c r="L351" s="857" t="n"/>
      <c r="M351" s="857" t="n"/>
      <c r="N351" s="857" t="n"/>
      <c r="O351" s="845" t="n"/>
      <c r="P351" s="845" t="n"/>
      <c r="Q351" s="845" t="n"/>
      <c r="R351" s="845" t="n"/>
      <c r="S351" s="845" t="n"/>
      <c r="T351" s="845" t="n"/>
      <c r="U351" s="845" t="n"/>
      <c r="V351" s="845" t="n"/>
      <c r="W351" s="845" t="n"/>
      <c r="X351" s="845" t="n"/>
      <c r="Y351" s="845" t="n"/>
      <c r="Z351" s="845" t="n"/>
    </row>
    <row r="352">
      <c r="A352" s="845" t="n"/>
      <c r="B352" s="857" t="n"/>
      <c r="C352" s="857" t="n"/>
      <c r="D352" s="857" t="n"/>
      <c r="E352" s="857" t="n"/>
      <c r="F352" s="857" t="n"/>
      <c r="G352" s="858" t="n"/>
      <c r="H352" s="857" t="n"/>
      <c r="I352" s="857" t="n"/>
      <c r="J352" s="857" t="n"/>
      <c r="K352" s="857" t="n"/>
      <c r="L352" s="857" t="n"/>
      <c r="M352" s="857" t="n"/>
      <c r="N352" s="857" t="n"/>
      <c r="O352" s="845" t="n"/>
      <c r="P352" s="845" t="n"/>
      <c r="Q352" s="845" t="n"/>
      <c r="R352" s="845" t="n"/>
      <c r="S352" s="845" t="n"/>
      <c r="T352" s="845" t="n"/>
      <c r="U352" s="845" t="n"/>
      <c r="V352" s="845" t="n"/>
      <c r="W352" s="845" t="n"/>
      <c r="X352" s="845" t="n"/>
      <c r="Y352" s="845" t="n"/>
      <c r="Z352" s="845" t="n"/>
    </row>
    <row r="353">
      <c r="A353" s="845" t="n"/>
      <c r="B353" s="857" t="n"/>
      <c r="C353" s="857" t="n"/>
      <c r="D353" s="857" t="n"/>
      <c r="E353" s="857" t="n"/>
      <c r="F353" s="857" t="n"/>
      <c r="G353" s="858" t="n"/>
      <c r="H353" s="857" t="n"/>
      <c r="I353" s="857" t="n"/>
      <c r="J353" s="857" t="n"/>
      <c r="K353" s="857" t="n"/>
      <c r="L353" s="857" t="n"/>
      <c r="M353" s="857" t="n"/>
      <c r="N353" s="857" t="n"/>
      <c r="O353" s="845" t="n"/>
      <c r="P353" s="845" t="n"/>
      <c r="Q353" s="845" t="n"/>
      <c r="R353" s="845" t="n"/>
      <c r="S353" s="845" t="n"/>
      <c r="T353" s="845" t="n"/>
      <c r="U353" s="845" t="n"/>
      <c r="V353" s="845" t="n"/>
      <c r="W353" s="845" t="n"/>
      <c r="X353" s="845" t="n"/>
      <c r="Y353" s="845" t="n"/>
      <c r="Z353" s="845" t="n"/>
    </row>
    <row r="354">
      <c r="A354" s="845" t="n"/>
      <c r="B354" s="857" t="n"/>
      <c r="C354" s="857" t="n"/>
      <c r="D354" s="857" t="n"/>
      <c r="E354" s="857" t="n"/>
      <c r="F354" s="857" t="n"/>
      <c r="G354" s="858" t="n"/>
      <c r="H354" s="857" t="n"/>
      <c r="I354" s="857" t="n"/>
      <c r="J354" s="857" t="n"/>
      <c r="K354" s="857" t="n"/>
      <c r="L354" s="857" t="n"/>
      <c r="M354" s="857" t="n"/>
      <c r="N354" s="857" t="n"/>
      <c r="O354" s="845" t="n"/>
      <c r="P354" s="845" t="n"/>
      <c r="Q354" s="845" t="n"/>
      <c r="R354" s="845" t="n"/>
      <c r="S354" s="845" t="n"/>
      <c r="T354" s="845" t="n"/>
      <c r="U354" s="845" t="n"/>
      <c r="V354" s="845" t="n"/>
      <c r="W354" s="845" t="n"/>
      <c r="X354" s="845" t="n"/>
      <c r="Y354" s="845" t="n"/>
      <c r="Z354" s="845" t="n"/>
    </row>
    <row r="355">
      <c r="A355" s="845" t="n"/>
      <c r="B355" s="857" t="n"/>
      <c r="C355" s="857" t="n"/>
      <c r="D355" s="857" t="n"/>
      <c r="E355" s="857" t="n"/>
      <c r="F355" s="857" t="n"/>
      <c r="G355" s="858" t="n"/>
      <c r="H355" s="857" t="n"/>
      <c r="I355" s="857" t="n"/>
      <c r="J355" s="857" t="n"/>
      <c r="K355" s="857" t="n"/>
      <c r="L355" s="857" t="n"/>
      <c r="M355" s="857" t="n"/>
      <c r="N355" s="857" t="n"/>
      <c r="O355" s="845" t="n"/>
      <c r="P355" s="845" t="n"/>
      <c r="Q355" s="845" t="n"/>
      <c r="R355" s="845" t="n"/>
      <c r="S355" s="845" t="n"/>
      <c r="T355" s="845" t="n"/>
      <c r="U355" s="845" t="n"/>
      <c r="V355" s="845" t="n"/>
      <c r="W355" s="845" t="n"/>
      <c r="X355" s="845" t="n"/>
      <c r="Y355" s="845" t="n"/>
      <c r="Z355" s="845" t="n"/>
    </row>
    <row r="356">
      <c r="A356" s="845" t="n"/>
      <c r="B356" s="857" t="n"/>
      <c r="C356" s="857" t="n"/>
      <c r="D356" s="857" t="n"/>
      <c r="E356" s="857" t="n"/>
      <c r="F356" s="857" t="n"/>
      <c r="G356" s="858" t="n"/>
      <c r="H356" s="857" t="n"/>
      <c r="I356" s="857" t="n"/>
      <c r="J356" s="857" t="n"/>
      <c r="K356" s="857" t="n"/>
      <c r="L356" s="857" t="n"/>
      <c r="M356" s="857" t="n"/>
      <c r="N356" s="857" t="n"/>
      <c r="O356" s="845" t="n"/>
      <c r="P356" s="845" t="n"/>
      <c r="Q356" s="845" t="n"/>
      <c r="R356" s="845" t="n"/>
      <c r="S356" s="845" t="n"/>
      <c r="T356" s="845" t="n"/>
      <c r="U356" s="845" t="n"/>
      <c r="V356" s="845" t="n"/>
      <c r="W356" s="845" t="n"/>
      <c r="X356" s="845" t="n"/>
      <c r="Y356" s="845" t="n"/>
      <c r="Z356" s="845" t="n"/>
    </row>
    <row r="357">
      <c r="A357" s="845" t="n"/>
      <c r="B357" s="857" t="n"/>
      <c r="C357" s="857" t="n"/>
      <c r="D357" s="857" t="n"/>
      <c r="E357" s="857" t="n"/>
      <c r="F357" s="857" t="n"/>
      <c r="G357" s="858" t="n"/>
      <c r="H357" s="857" t="n"/>
      <c r="I357" s="857" t="n"/>
      <c r="J357" s="857" t="n"/>
      <c r="K357" s="857" t="n"/>
      <c r="L357" s="857" t="n"/>
      <c r="M357" s="857" t="n"/>
      <c r="N357" s="857" t="n"/>
      <c r="O357" s="845" t="n"/>
      <c r="P357" s="845" t="n"/>
      <c r="Q357" s="845" t="n"/>
      <c r="R357" s="845" t="n"/>
      <c r="S357" s="845" t="n"/>
      <c r="T357" s="845" t="n"/>
      <c r="U357" s="845" t="n"/>
      <c r="V357" s="845" t="n"/>
      <c r="W357" s="845" t="n"/>
      <c r="X357" s="845" t="n"/>
      <c r="Y357" s="845" t="n"/>
      <c r="Z357" s="845" t="n"/>
    </row>
    <row r="358">
      <c r="A358" s="845" t="n"/>
      <c r="B358" s="857" t="n"/>
      <c r="C358" s="857" t="n"/>
      <c r="D358" s="857" t="n"/>
      <c r="E358" s="857" t="n"/>
      <c r="F358" s="857" t="n"/>
      <c r="G358" s="858" t="n"/>
      <c r="H358" s="857" t="n"/>
      <c r="I358" s="857" t="n"/>
      <c r="J358" s="857" t="n"/>
      <c r="K358" s="857" t="n"/>
      <c r="L358" s="857" t="n"/>
      <c r="M358" s="857" t="n"/>
      <c r="N358" s="857" t="n"/>
      <c r="O358" s="845" t="n"/>
      <c r="P358" s="845" t="n"/>
      <c r="Q358" s="845" t="n"/>
      <c r="R358" s="845" t="n"/>
      <c r="S358" s="845" t="n"/>
      <c r="T358" s="845" t="n"/>
      <c r="U358" s="845" t="n"/>
      <c r="V358" s="845" t="n"/>
      <c r="W358" s="845" t="n"/>
      <c r="X358" s="845" t="n"/>
      <c r="Y358" s="845" t="n"/>
      <c r="Z358" s="845" t="n"/>
    </row>
    <row r="359">
      <c r="A359" s="845" t="n"/>
      <c r="B359" s="857" t="n"/>
      <c r="C359" s="857" t="n"/>
      <c r="D359" s="857" t="n"/>
      <c r="E359" s="857" t="n"/>
      <c r="F359" s="857" t="n"/>
      <c r="G359" s="858" t="n"/>
      <c r="H359" s="857" t="n"/>
      <c r="I359" s="857" t="n"/>
      <c r="J359" s="857" t="n"/>
      <c r="K359" s="857" t="n"/>
      <c r="L359" s="857" t="n"/>
      <c r="M359" s="857" t="n"/>
      <c r="N359" s="857" t="n"/>
      <c r="O359" s="845" t="n"/>
      <c r="P359" s="845" t="n"/>
      <c r="Q359" s="845" t="n"/>
      <c r="R359" s="845" t="n"/>
      <c r="S359" s="845" t="n"/>
      <c r="T359" s="845" t="n"/>
      <c r="U359" s="845" t="n"/>
      <c r="V359" s="845" t="n"/>
      <c r="W359" s="845" t="n"/>
      <c r="X359" s="845" t="n"/>
      <c r="Y359" s="845" t="n"/>
      <c r="Z359" s="845" t="n"/>
    </row>
    <row r="360">
      <c r="A360" s="845" t="n"/>
      <c r="B360" s="857" t="n"/>
      <c r="C360" s="857" t="n"/>
      <c r="D360" s="857" t="n"/>
      <c r="E360" s="857" t="n"/>
      <c r="F360" s="857" t="n"/>
      <c r="G360" s="858" t="n"/>
      <c r="H360" s="857" t="n"/>
      <c r="I360" s="857" t="n"/>
      <c r="J360" s="857" t="n"/>
      <c r="K360" s="857" t="n"/>
      <c r="L360" s="857" t="n"/>
      <c r="M360" s="857" t="n"/>
      <c r="N360" s="857" t="n"/>
      <c r="O360" s="845" t="n"/>
      <c r="P360" s="845" t="n"/>
      <c r="Q360" s="845" t="n"/>
      <c r="R360" s="845" t="n"/>
      <c r="S360" s="845" t="n"/>
      <c r="T360" s="845" t="n"/>
      <c r="U360" s="845" t="n"/>
      <c r="V360" s="845" t="n"/>
      <c r="W360" s="845" t="n"/>
      <c r="X360" s="845" t="n"/>
      <c r="Y360" s="845" t="n"/>
      <c r="Z360" s="845" t="n"/>
    </row>
    <row r="361">
      <c r="A361" s="845" t="n"/>
      <c r="B361" s="857" t="n"/>
      <c r="C361" s="857" t="n"/>
      <c r="D361" s="857" t="n"/>
      <c r="E361" s="857" t="n"/>
      <c r="F361" s="857" t="n"/>
      <c r="G361" s="858" t="n"/>
      <c r="H361" s="857" t="n"/>
      <c r="I361" s="857" t="n"/>
      <c r="J361" s="857" t="n"/>
      <c r="K361" s="857" t="n"/>
      <c r="L361" s="857" t="n"/>
      <c r="M361" s="857" t="n"/>
      <c r="N361" s="857" t="n"/>
      <c r="O361" s="845" t="n"/>
      <c r="P361" s="845" t="n"/>
      <c r="Q361" s="845" t="n"/>
      <c r="R361" s="845" t="n"/>
      <c r="S361" s="845" t="n"/>
      <c r="T361" s="845" t="n"/>
      <c r="U361" s="845" t="n"/>
      <c r="V361" s="845" t="n"/>
      <c r="W361" s="845" t="n"/>
      <c r="X361" s="845" t="n"/>
      <c r="Y361" s="845" t="n"/>
      <c r="Z361" s="845" t="n"/>
    </row>
    <row r="362">
      <c r="A362" s="845" t="n"/>
      <c r="B362" s="857" t="n"/>
      <c r="C362" s="857" t="n"/>
      <c r="D362" s="857" t="n"/>
      <c r="E362" s="857" t="n"/>
      <c r="F362" s="857" t="n"/>
      <c r="G362" s="858" t="n"/>
      <c r="H362" s="857" t="n"/>
      <c r="I362" s="857" t="n"/>
      <c r="J362" s="857" t="n"/>
      <c r="K362" s="857" t="n"/>
      <c r="L362" s="857" t="n"/>
      <c r="M362" s="857" t="n"/>
      <c r="N362" s="857" t="n"/>
      <c r="O362" s="845" t="n"/>
      <c r="P362" s="845" t="n"/>
      <c r="Q362" s="845" t="n"/>
      <c r="R362" s="845" t="n"/>
      <c r="S362" s="845" t="n"/>
      <c r="T362" s="845" t="n"/>
      <c r="U362" s="845" t="n"/>
      <c r="V362" s="845" t="n"/>
      <c r="W362" s="845" t="n"/>
      <c r="X362" s="845" t="n"/>
      <c r="Y362" s="845" t="n"/>
      <c r="Z362" s="845" t="n"/>
    </row>
    <row r="363">
      <c r="A363" s="845" t="n"/>
      <c r="B363" s="857" t="n"/>
      <c r="C363" s="857" t="n"/>
      <c r="D363" s="857" t="n"/>
      <c r="E363" s="857" t="n"/>
      <c r="F363" s="857" t="n"/>
      <c r="G363" s="858" t="n"/>
      <c r="H363" s="857" t="n"/>
      <c r="I363" s="857" t="n"/>
      <c r="J363" s="857" t="n"/>
      <c r="K363" s="857" t="n"/>
      <c r="L363" s="857" t="n"/>
      <c r="M363" s="857" t="n"/>
      <c r="N363" s="857" t="n"/>
      <c r="O363" s="845" t="n"/>
      <c r="P363" s="845" t="n"/>
      <c r="Q363" s="845" t="n"/>
      <c r="R363" s="845" t="n"/>
      <c r="S363" s="845" t="n"/>
      <c r="T363" s="845" t="n"/>
      <c r="U363" s="845" t="n"/>
      <c r="V363" s="845" t="n"/>
      <c r="W363" s="845" t="n"/>
      <c r="X363" s="845" t="n"/>
      <c r="Y363" s="845" t="n"/>
      <c r="Z363" s="845" t="n"/>
    </row>
    <row r="364">
      <c r="A364" s="845" t="n"/>
      <c r="B364" s="857" t="n"/>
      <c r="C364" s="857" t="n"/>
      <c r="D364" s="857" t="n"/>
      <c r="E364" s="857" t="n"/>
      <c r="F364" s="857" t="n"/>
      <c r="G364" s="858" t="n"/>
      <c r="H364" s="857" t="n"/>
      <c r="I364" s="857" t="n"/>
      <c r="J364" s="857" t="n"/>
      <c r="K364" s="857" t="n"/>
      <c r="L364" s="857" t="n"/>
      <c r="M364" s="857" t="n"/>
      <c r="N364" s="857" t="n"/>
      <c r="O364" s="845" t="n"/>
      <c r="P364" s="845" t="n"/>
      <c r="Q364" s="845" t="n"/>
      <c r="R364" s="845" t="n"/>
      <c r="S364" s="845" t="n"/>
      <c r="T364" s="845" t="n"/>
      <c r="U364" s="845" t="n"/>
      <c r="V364" s="845" t="n"/>
      <c r="W364" s="845" t="n"/>
      <c r="X364" s="845" t="n"/>
      <c r="Y364" s="845" t="n"/>
      <c r="Z364" s="845" t="n"/>
    </row>
    <row r="365">
      <c r="A365" s="845" t="n"/>
      <c r="B365" s="857" t="n"/>
      <c r="C365" s="857" t="n"/>
      <c r="D365" s="857" t="n"/>
      <c r="E365" s="857" t="n"/>
      <c r="F365" s="857" t="n"/>
      <c r="G365" s="858" t="n"/>
      <c r="H365" s="857" t="n"/>
      <c r="I365" s="857" t="n"/>
      <c r="J365" s="857" t="n"/>
      <c r="K365" s="857" t="n"/>
      <c r="L365" s="857" t="n"/>
      <c r="M365" s="857" t="n"/>
      <c r="N365" s="857" t="n"/>
      <c r="O365" s="845" t="n"/>
      <c r="P365" s="845" t="n"/>
      <c r="Q365" s="845" t="n"/>
      <c r="R365" s="845" t="n"/>
      <c r="S365" s="845" t="n"/>
      <c r="T365" s="845" t="n"/>
      <c r="U365" s="845" t="n"/>
      <c r="V365" s="845" t="n"/>
      <c r="W365" s="845" t="n"/>
      <c r="X365" s="845" t="n"/>
      <c r="Y365" s="845" t="n"/>
      <c r="Z365" s="845" t="n"/>
    </row>
    <row r="366">
      <c r="A366" s="845" t="n"/>
      <c r="B366" s="857" t="n"/>
      <c r="C366" s="857" t="n"/>
      <c r="D366" s="857" t="n"/>
      <c r="E366" s="857" t="n"/>
      <c r="F366" s="857" t="n"/>
      <c r="G366" s="858" t="n"/>
      <c r="H366" s="857" t="n"/>
      <c r="I366" s="857" t="n"/>
      <c r="J366" s="857" t="n"/>
      <c r="K366" s="857" t="n"/>
      <c r="L366" s="857" t="n"/>
      <c r="M366" s="857" t="n"/>
      <c r="N366" s="857" t="n"/>
      <c r="O366" s="845" t="n"/>
      <c r="P366" s="845" t="n"/>
      <c r="Q366" s="845" t="n"/>
      <c r="R366" s="845" t="n"/>
      <c r="S366" s="845" t="n"/>
      <c r="T366" s="845" t="n"/>
      <c r="U366" s="845" t="n"/>
      <c r="V366" s="845" t="n"/>
      <c r="W366" s="845" t="n"/>
      <c r="X366" s="845" t="n"/>
      <c r="Y366" s="845" t="n"/>
      <c r="Z366" s="845" t="n"/>
    </row>
    <row r="367">
      <c r="A367" s="845" t="n"/>
      <c r="B367" s="857" t="n"/>
      <c r="C367" s="857" t="n"/>
      <c r="D367" s="857" t="n"/>
      <c r="E367" s="857" t="n"/>
      <c r="F367" s="857" t="n"/>
      <c r="G367" s="858" t="n"/>
      <c r="H367" s="857" t="n"/>
      <c r="I367" s="857" t="n"/>
      <c r="J367" s="857" t="n"/>
      <c r="K367" s="857" t="n"/>
      <c r="L367" s="857" t="n"/>
      <c r="M367" s="857" t="n"/>
      <c r="N367" s="857" t="n"/>
      <c r="O367" s="845" t="n"/>
      <c r="P367" s="845" t="n"/>
      <c r="Q367" s="845" t="n"/>
      <c r="R367" s="845" t="n"/>
      <c r="S367" s="845" t="n"/>
      <c r="T367" s="845" t="n"/>
      <c r="U367" s="845" t="n"/>
      <c r="V367" s="845" t="n"/>
      <c r="W367" s="845" t="n"/>
      <c r="X367" s="845" t="n"/>
      <c r="Y367" s="845" t="n"/>
      <c r="Z367" s="845" t="n"/>
    </row>
    <row r="368">
      <c r="A368" s="845" t="n"/>
      <c r="B368" s="857" t="n"/>
      <c r="C368" s="857" t="n"/>
      <c r="D368" s="857" t="n"/>
      <c r="E368" s="857" t="n"/>
      <c r="F368" s="857" t="n"/>
      <c r="G368" s="858" t="n"/>
      <c r="H368" s="857" t="n"/>
      <c r="I368" s="857" t="n"/>
      <c r="J368" s="857" t="n"/>
      <c r="K368" s="857" t="n"/>
      <c r="L368" s="857" t="n"/>
      <c r="M368" s="857" t="n"/>
      <c r="N368" s="857" t="n"/>
      <c r="O368" s="845" t="n"/>
      <c r="P368" s="845" t="n"/>
      <c r="Q368" s="845" t="n"/>
      <c r="R368" s="845" t="n"/>
      <c r="S368" s="845" t="n"/>
      <c r="T368" s="845" t="n"/>
      <c r="U368" s="845" t="n"/>
      <c r="V368" s="845" t="n"/>
      <c r="W368" s="845" t="n"/>
      <c r="X368" s="845" t="n"/>
      <c r="Y368" s="845" t="n"/>
      <c r="Z368" s="845" t="n"/>
    </row>
    <row r="369">
      <c r="A369" s="845" t="n"/>
      <c r="B369" s="857" t="n"/>
      <c r="C369" s="857" t="n"/>
      <c r="D369" s="857" t="n"/>
      <c r="E369" s="857" t="n"/>
      <c r="F369" s="857" t="n"/>
      <c r="G369" s="858" t="n"/>
      <c r="H369" s="857" t="n"/>
      <c r="I369" s="857" t="n"/>
      <c r="J369" s="857" t="n"/>
      <c r="K369" s="857" t="n"/>
      <c r="L369" s="857" t="n"/>
      <c r="M369" s="857" t="n"/>
      <c r="N369" s="857" t="n"/>
      <c r="O369" s="845" t="n"/>
      <c r="P369" s="845" t="n"/>
      <c r="Q369" s="845" t="n"/>
      <c r="R369" s="845" t="n"/>
      <c r="S369" s="845" t="n"/>
      <c r="T369" s="845" t="n"/>
      <c r="U369" s="845" t="n"/>
      <c r="V369" s="845" t="n"/>
      <c r="W369" s="845" t="n"/>
      <c r="X369" s="845" t="n"/>
      <c r="Y369" s="845" t="n"/>
      <c r="Z369" s="845" t="n"/>
    </row>
    <row r="370">
      <c r="A370" s="845" t="n"/>
      <c r="B370" s="857" t="n"/>
      <c r="C370" s="857" t="n"/>
      <c r="D370" s="857" t="n"/>
      <c r="E370" s="857" t="n"/>
      <c r="F370" s="857" t="n"/>
      <c r="G370" s="858" t="n"/>
      <c r="H370" s="857" t="n"/>
      <c r="I370" s="857" t="n"/>
      <c r="J370" s="857" t="n"/>
      <c r="K370" s="857" t="n"/>
      <c r="L370" s="857" t="n"/>
      <c r="M370" s="857" t="n"/>
      <c r="N370" s="857" t="n"/>
      <c r="O370" s="845" t="n"/>
      <c r="P370" s="845" t="n"/>
      <c r="Q370" s="845" t="n"/>
      <c r="R370" s="845" t="n"/>
      <c r="S370" s="845" t="n"/>
      <c r="T370" s="845" t="n"/>
      <c r="U370" s="845" t="n"/>
      <c r="V370" s="845" t="n"/>
      <c r="W370" s="845" t="n"/>
      <c r="X370" s="845" t="n"/>
      <c r="Y370" s="845" t="n"/>
      <c r="Z370" s="845" t="n"/>
    </row>
    <row r="371">
      <c r="A371" s="845" t="n"/>
      <c r="B371" s="857" t="n"/>
      <c r="C371" s="857" t="n"/>
      <c r="D371" s="857" t="n"/>
      <c r="E371" s="857" t="n"/>
      <c r="F371" s="857" t="n"/>
      <c r="G371" s="858" t="n"/>
      <c r="H371" s="857" t="n"/>
      <c r="I371" s="857" t="n"/>
      <c r="J371" s="857" t="n"/>
      <c r="K371" s="857" t="n"/>
      <c r="L371" s="857" t="n"/>
      <c r="M371" s="857" t="n"/>
      <c r="N371" s="857" t="n"/>
      <c r="O371" s="845" t="n"/>
      <c r="P371" s="845" t="n"/>
      <c r="Q371" s="845" t="n"/>
      <c r="R371" s="845" t="n"/>
      <c r="S371" s="845" t="n"/>
      <c r="T371" s="845" t="n"/>
      <c r="U371" s="845" t="n"/>
      <c r="V371" s="845" t="n"/>
      <c r="W371" s="845" t="n"/>
      <c r="X371" s="845" t="n"/>
      <c r="Y371" s="845" t="n"/>
      <c r="Z371" s="845" t="n"/>
    </row>
    <row r="372">
      <c r="A372" s="845" t="n"/>
      <c r="B372" s="857" t="n"/>
      <c r="C372" s="857" t="n"/>
      <c r="D372" s="857" t="n"/>
      <c r="E372" s="857" t="n"/>
      <c r="F372" s="857" t="n"/>
      <c r="G372" s="858" t="n"/>
      <c r="H372" s="857" t="n"/>
      <c r="I372" s="857" t="n"/>
      <c r="J372" s="857" t="n"/>
      <c r="K372" s="857" t="n"/>
      <c r="L372" s="857" t="n"/>
      <c r="M372" s="857" t="n"/>
      <c r="N372" s="857" t="n"/>
      <c r="O372" s="845" t="n"/>
      <c r="P372" s="845" t="n"/>
      <c r="Q372" s="845" t="n"/>
      <c r="R372" s="845" t="n"/>
      <c r="S372" s="845" t="n"/>
      <c r="T372" s="845" t="n"/>
      <c r="U372" s="845" t="n"/>
      <c r="V372" s="845" t="n"/>
      <c r="W372" s="845" t="n"/>
      <c r="X372" s="845" t="n"/>
      <c r="Y372" s="845" t="n"/>
      <c r="Z372" s="845" t="n"/>
    </row>
    <row r="373">
      <c r="A373" s="845" t="n"/>
      <c r="B373" s="857" t="n"/>
      <c r="C373" s="857" t="n"/>
      <c r="D373" s="857" t="n"/>
      <c r="E373" s="857" t="n"/>
      <c r="F373" s="857" t="n"/>
      <c r="G373" s="858" t="n"/>
      <c r="H373" s="857" t="n"/>
      <c r="I373" s="857" t="n"/>
      <c r="J373" s="857" t="n"/>
      <c r="K373" s="857" t="n"/>
      <c r="L373" s="857" t="n"/>
      <c r="M373" s="857" t="n"/>
      <c r="N373" s="857" t="n"/>
      <c r="O373" s="845" t="n"/>
      <c r="P373" s="845" t="n"/>
      <c r="Q373" s="845" t="n"/>
      <c r="R373" s="845" t="n"/>
      <c r="S373" s="845" t="n"/>
      <c r="T373" s="845" t="n"/>
      <c r="U373" s="845" t="n"/>
      <c r="V373" s="845" t="n"/>
      <c r="W373" s="845" t="n"/>
      <c r="X373" s="845" t="n"/>
      <c r="Y373" s="845" t="n"/>
      <c r="Z373" s="845" t="n"/>
    </row>
    <row r="374">
      <c r="A374" s="845" t="n"/>
      <c r="B374" s="857" t="n"/>
      <c r="C374" s="857" t="n"/>
      <c r="D374" s="857" t="n"/>
      <c r="E374" s="857" t="n"/>
      <c r="F374" s="857" t="n"/>
      <c r="G374" s="858" t="n"/>
      <c r="H374" s="857" t="n"/>
      <c r="I374" s="857" t="n"/>
      <c r="J374" s="857" t="n"/>
      <c r="K374" s="857" t="n"/>
      <c r="L374" s="857" t="n"/>
      <c r="M374" s="857" t="n"/>
      <c r="N374" s="857" t="n"/>
      <c r="O374" s="845" t="n"/>
      <c r="P374" s="845" t="n"/>
      <c r="Q374" s="845" t="n"/>
      <c r="R374" s="845" t="n"/>
      <c r="S374" s="845" t="n"/>
      <c r="T374" s="845" t="n"/>
      <c r="U374" s="845" t="n"/>
      <c r="V374" s="845" t="n"/>
      <c r="W374" s="845" t="n"/>
      <c r="X374" s="845" t="n"/>
      <c r="Y374" s="845" t="n"/>
      <c r="Z374" s="845" t="n"/>
    </row>
    <row r="375">
      <c r="A375" s="845" t="n"/>
      <c r="B375" s="857" t="n"/>
      <c r="C375" s="857" t="n"/>
      <c r="D375" s="857" t="n"/>
      <c r="E375" s="857" t="n"/>
      <c r="F375" s="857" t="n"/>
      <c r="G375" s="858" t="n"/>
      <c r="H375" s="857" t="n"/>
      <c r="I375" s="857" t="n"/>
      <c r="J375" s="857" t="n"/>
      <c r="K375" s="857" t="n"/>
      <c r="L375" s="857" t="n"/>
      <c r="M375" s="857" t="n"/>
      <c r="N375" s="857" t="n"/>
      <c r="O375" s="845" t="n"/>
      <c r="P375" s="845" t="n"/>
      <c r="Q375" s="845" t="n"/>
      <c r="R375" s="845" t="n"/>
      <c r="S375" s="845" t="n"/>
      <c r="T375" s="845" t="n"/>
      <c r="U375" s="845" t="n"/>
      <c r="V375" s="845" t="n"/>
      <c r="W375" s="845" t="n"/>
      <c r="X375" s="845" t="n"/>
      <c r="Y375" s="845" t="n"/>
      <c r="Z375" s="845" t="n"/>
    </row>
    <row r="376">
      <c r="A376" s="845" t="n"/>
      <c r="B376" s="857" t="n"/>
      <c r="C376" s="857" t="n"/>
      <c r="D376" s="857" t="n"/>
      <c r="E376" s="857" t="n"/>
      <c r="F376" s="857" t="n"/>
      <c r="G376" s="858" t="n"/>
      <c r="H376" s="857" t="n"/>
      <c r="I376" s="857" t="n"/>
      <c r="J376" s="857" t="n"/>
      <c r="K376" s="857" t="n"/>
      <c r="L376" s="857" t="n"/>
      <c r="M376" s="857" t="n"/>
      <c r="N376" s="857" t="n"/>
      <c r="O376" s="845" t="n"/>
      <c r="P376" s="845" t="n"/>
      <c r="Q376" s="845" t="n"/>
      <c r="R376" s="845" t="n"/>
      <c r="S376" s="845" t="n"/>
      <c r="T376" s="845" t="n"/>
      <c r="U376" s="845" t="n"/>
      <c r="V376" s="845" t="n"/>
      <c r="W376" s="845" t="n"/>
      <c r="X376" s="845" t="n"/>
      <c r="Y376" s="845" t="n"/>
      <c r="Z376" s="845" t="n"/>
    </row>
    <row r="377">
      <c r="A377" s="845" t="n"/>
      <c r="B377" s="857" t="n"/>
      <c r="C377" s="857" t="n"/>
      <c r="D377" s="857" t="n"/>
      <c r="E377" s="857" t="n"/>
      <c r="F377" s="857" t="n"/>
      <c r="G377" s="858" t="n"/>
      <c r="H377" s="857" t="n"/>
      <c r="I377" s="857" t="n"/>
      <c r="J377" s="857" t="n"/>
      <c r="K377" s="857" t="n"/>
      <c r="L377" s="857" t="n"/>
      <c r="M377" s="857" t="n"/>
      <c r="N377" s="857" t="n"/>
      <c r="O377" s="845" t="n"/>
      <c r="P377" s="845" t="n"/>
      <c r="Q377" s="845" t="n"/>
      <c r="R377" s="845" t="n"/>
      <c r="S377" s="845" t="n"/>
      <c r="T377" s="845" t="n"/>
      <c r="U377" s="845" t="n"/>
      <c r="V377" s="845" t="n"/>
      <c r="W377" s="845" t="n"/>
      <c r="X377" s="845" t="n"/>
      <c r="Y377" s="845" t="n"/>
      <c r="Z377" s="845" t="n"/>
    </row>
    <row r="378">
      <c r="A378" s="845" t="n"/>
      <c r="B378" s="857" t="n"/>
      <c r="C378" s="857" t="n"/>
      <c r="D378" s="857" t="n"/>
      <c r="E378" s="857" t="n"/>
      <c r="F378" s="857" t="n"/>
      <c r="G378" s="858" t="n"/>
      <c r="H378" s="857" t="n"/>
      <c r="I378" s="857" t="n"/>
      <c r="J378" s="857" t="n"/>
      <c r="K378" s="857" t="n"/>
      <c r="L378" s="857" t="n"/>
      <c r="M378" s="857" t="n"/>
      <c r="N378" s="857" t="n"/>
      <c r="O378" s="845" t="n"/>
      <c r="P378" s="845" t="n"/>
      <c r="Q378" s="845" t="n"/>
      <c r="R378" s="845" t="n"/>
      <c r="S378" s="845" t="n"/>
      <c r="T378" s="845" t="n"/>
      <c r="U378" s="845" t="n"/>
      <c r="V378" s="845" t="n"/>
      <c r="W378" s="845" t="n"/>
      <c r="X378" s="845" t="n"/>
      <c r="Y378" s="845" t="n"/>
      <c r="Z378" s="845" t="n"/>
    </row>
    <row r="379">
      <c r="A379" s="845" t="n"/>
      <c r="B379" s="857" t="n"/>
      <c r="C379" s="857" t="n"/>
      <c r="D379" s="857" t="n"/>
      <c r="E379" s="857" t="n"/>
      <c r="F379" s="857" t="n"/>
      <c r="G379" s="858" t="n"/>
      <c r="H379" s="857" t="n"/>
      <c r="I379" s="857" t="n"/>
      <c r="J379" s="857" t="n"/>
      <c r="K379" s="857" t="n"/>
      <c r="L379" s="857" t="n"/>
      <c r="M379" s="857" t="n"/>
      <c r="N379" s="857" t="n"/>
      <c r="O379" s="845" t="n"/>
      <c r="P379" s="845" t="n"/>
      <c r="Q379" s="845" t="n"/>
      <c r="R379" s="845" t="n"/>
      <c r="S379" s="845" t="n"/>
      <c r="T379" s="845" t="n"/>
      <c r="U379" s="845" t="n"/>
      <c r="V379" s="845" t="n"/>
      <c r="W379" s="845" t="n"/>
      <c r="X379" s="845" t="n"/>
      <c r="Y379" s="845" t="n"/>
      <c r="Z379" s="845" t="n"/>
    </row>
    <row r="380">
      <c r="A380" s="845" t="n"/>
      <c r="B380" s="857" t="n"/>
      <c r="C380" s="857" t="n"/>
      <c r="D380" s="857" t="n"/>
      <c r="E380" s="857" t="n"/>
      <c r="F380" s="857" t="n"/>
      <c r="G380" s="858" t="n"/>
      <c r="H380" s="857" t="n"/>
      <c r="I380" s="857" t="n"/>
      <c r="J380" s="857" t="n"/>
      <c r="K380" s="857" t="n"/>
      <c r="L380" s="857" t="n"/>
      <c r="M380" s="857" t="n"/>
      <c r="N380" s="857" t="n"/>
      <c r="O380" s="845" t="n"/>
      <c r="P380" s="845" t="n"/>
      <c r="Q380" s="845" t="n"/>
      <c r="R380" s="845" t="n"/>
      <c r="S380" s="845" t="n"/>
      <c r="T380" s="845" t="n"/>
      <c r="U380" s="845" t="n"/>
      <c r="V380" s="845" t="n"/>
      <c r="W380" s="845" t="n"/>
      <c r="X380" s="845" t="n"/>
      <c r="Y380" s="845" t="n"/>
      <c r="Z380" s="845" t="n"/>
    </row>
    <row r="381">
      <c r="A381" s="845" t="n"/>
      <c r="B381" s="857" t="n"/>
      <c r="C381" s="857" t="n"/>
      <c r="D381" s="857" t="n"/>
      <c r="E381" s="857" t="n"/>
      <c r="F381" s="857" t="n"/>
      <c r="G381" s="858" t="n"/>
      <c r="H381" s="857" t="n"/>
      <c r="I381" s="857" t="n"/>
      <c r="J381" s="857" t="n"/>
      <c r="K381" s="857" t="n"/>
      <c r="L381" s="857" t="n"/>
      <c r="M381" s="857" t="n"/>
      <c r="N381" s="857" t="n"/>
      <c r="O381" s="845" t="n"/>
      <c r="P381" s="845" t="n"/>
      <c r="Q381" s="845" t="n"/>
      <c r="R381" s="845" t="n"/>
      <c r="S381" s="845" t="n"/>
      <c r="T381" s="845" t="n"/>
      <c r="U381" s="845" t="n"/>
      <c r="V381" s="845" t="n"/>
      <c r="W381" s="845" t="n"/>
      <c r="X381" s="845" t="n"/>
      <c r="Y381" s="845" t="n"/>
      <c r="Z381" s="845" t="n"/>
    </row>
    <row r="382">
      <c r="A382" s="845" t="n"/>
      <c r="B382" s="857" t="n"/>
      <c r="C382" s="857" t="n"/>
      <c r="D382" s="857" t="n"/>
      <c r="E382" s="857" t="n"/>
      <c r="F382" s="857" t="n"/>
      <c r="G382" s="858" t="n"/>
      <c r="H382" s="857" t="n"/>
      <c r="I382" s="857" t="n"/>
      <c r="J382" s="857" t="n"/>
      <c r="K382" s="857" t="n"/>
      <c r="L382" s="857" t="n"/>
      <c r="M382" s="857" t="n"/>
      <c r="N382" s="857" t="n"/>
      <c r="O382" s="845" t="n"/>
      <c r="P382" s="845" t="n"/>
      <c r="Q382" s="845" t="n"/>
      <c r="R382" s="845" t="n"/>
      <c r="S382" s="845" t="n"/>
      <c r="T382" s="845" t="n"/>
      <c r="U382" s="845" t="n"/>
      <c r="V382" s="845" t="n"/>
      <c r="W382" s="845" t="n"/>
      <c r="X382" s="845" t="n"/>
      <c r="Y382" s="845" t="n"/>
      <c r="Z382" s="845" t="n"/>
    </row>
    <row r="383">
      <c r="A383" s="845" t="n"/>
      <c r="B383" s="857" t="n"/>
      <c r="C383" s="857" t="n"/>
      <c r="D383" s="857" t="n"/>
      <c r="E383" s="857" t="n"/>
      <c r="F383" s="857" t="n"/>
      <c r="G383" s="858" t="n"/>
      <c r="H383" s="857" t="n"/>
      <c r="I383" s="857" t="n"/>
      <c r="J383" s="857" t="n"/>
      <c r="K383" s="857" t="n"/>
      <c r="L383" s="857" t="n"/>
      <c r="M383" s="857" t="n"/>
      <c r="N383" s="857" t="n"/>
      <c r="O383" s="845" t="n"/>
      <c r="P383" s="845" t="n"/>
      <c r="Q383" s="845" t="n"/>
      <c r="R383" s="845" t="n"/>
      <c r="S383" s="845" t="n"/>
      <c r="T383" s="845" t="n"/>
      <c r="U383" s="845" t="n"/>
      <c r="V383" s="845" t="n"/>
      <c r="W383" s="845" t="n"/>
      <c r="X383" s="845" t="n"/>
      <c r="Y383" s="845" t="n"/>
      <c r="Z383" s="845" t="n"/>
    </row>
    <row r="384">
      <c r="A384" s="845" t="n"/>
      <c r="B384" s="857" t="n"/>
      <c r="C384" s="857" t="n"/>
      <c r="D384" s="857" t="n"/>
      <c r="E384" s="857" t="n"/>
      <c r="F384" s="857" t="n"/>
      <c r="G384" s="858" t="n"/>
      <c r="H384" s="857" t="n"/>
      <c r="I384" s="857" t="n"/>
      <c r="J384" s="857" t="n"/>
      <c r="K384" s="857" t="n"/>
      <c r="L384" s="857" t="n"/>
      <c r="M384" s="857" t="n"/>
      <c r="N384" s="857" t="n"/>
      <c r="O384" s="845" t="n"/>
      <c r="P384" s="845" t="n"/>
      <c r="Q384" s="845" t="n"/>
      <c r="R384" s="845" t="n"/>
      <c r="S384" s="845" t="n"/>
      <c r="T384" s="845" t="n"/>
      <c r="U384" s="845" t="n"/>
      <c r="V384" s="845" t="n"/>
      <c r="W384" s="845" t="n"/>
      <c r="X384" s="845" t="n"/>
      <c r="Y384" s="845" t="n"/>
      <c r="Z384" s="845" t="n"/>
    </row>
    <row r="385">
      <c r="A385" s="845" t="n"/>
      <c r="B385" s="857" t="n"/>
      <c r="C385" s="857" t="n"/>
      <c r="D385" s="857" t="n"/>
      <c r="E385" s="857" t="n"/>
      <c r="F385" s="857" t="n"/>
      <c r="G385" s="858" t="n"/>
      <c r="H385" s="857" t="n"/>
      <c r="I385" s="857" t="n"/>
      <c r="J385" s="857" t="n"/>
      <c r="K385" s="857" t="n"/>
      <c r="L385" s="857" t="n"/>
      <c r="M385" s="857" t="n"/>
      <c r="N385" s="857" t="n"/>
      <c r="O385" s="845" t="n"/>
      <c r="P385" s="845" t="n"/>
      <c r="Q385" s="845" t="n"/>
      <c r="R385" s="845" t="n"/>
      <c r="S385" s="845" t="n"/>
      <c r="T385" s="845" t="n"/>
      <c r="U385" s="845" t="n"/>
      <c r="V385" s="845" t="n"/>
      <c r="W385" s="845" t="n"/>
      <c r="X385" s="845" t="n"/>
      <c r="Y385" s="845" t="n"/>
      <c r="Z385" s="845" t="n"/>
    </row>
    <row r="386">
      <c r="A386" s="845" t="n"/>
      <c r="B386" s="857" t="n"/>
      <c r="C386" s="857" t="n"/>
      <c r="D386" s="857" t="n"/>
      <c r="E386" s="857" t="n"/>
      <c r="F386" s="857" t="n"/>
      <c r="G386" s="858" t="n"/>
      <c r="H386" s="857" t="n"/>
      <c r="I386" s="857" t="n"/>
      <c r="J386" s="857" t="n"/>
      <c r="K386" s="857" t="n"/>
      <c r="L386" s="857" t="n"/>
      <c r="M386" s="857" t="n"/>
      <c r="N386" s="857" t="n"/>
      <c r="O386" s="845" t="n"/>
      <c r="P386" s="845" t="n"/>
      <c r="Q386" s="845" t="n"/>
      <c r="R386" s="845" t="n"/>
      <c r="S386" s="845" t="n"/>
      <c r="T386" s="845" t="n"/>
      <c r="U386" s="845" t="n"/>
      <c r="V386" s="845" t="n"/>
      <c r="W386" s="845" t="n"/>
      <c r="X386" s="845" t="n"/>
      <c r="Y386" s="845" t="n"/>
      <c r="Z386" s="845" t="n"/>
    </row>
    <row r="387">
      <c r="A387" s="845" t="n"/>
      <c r="B387" s="857" t="n"/>
      <c r="C387" s="857" t="n"/>
      <c r="D387" s="857" t="n"/>
      <c r="E387" s="857" t="n"/>
      <c r="F387" s="857" t="n"/>
      <c r="G387" s="858" t="n"/>
      <c r="H387" s="857" t="n"/>
      <c r="I387" s="857" t="n"/>
      <c r="J387" s="857" t="n"/>
      <c r="K387" s="857" t="n"/>
      <c r="L387" s="857" t="n"/>
      <c r="M387" s="857" t="n"/>
      <c r="N387" s="857" t="n"/>
      <c r="O387" s="845" t="n"/>
      <c r="P387" s="845" t="n"/>
      <c r="Q387" s="845" t="n"/>
      <c r="R387" s="845" t="n"/>
      <c r="S387" s="845" t="n"/>
      <c r="T387" s="845" t="n"/>
      <c r="U387" s="845" t="n"/>
      <c r="V387" s="845" t="n"/>
      <c r="W387" s="845" t="n"/>
      <c r="X387" s="845" t="n"/>
      <c r="Y387" s="845" t="n"/>
      <c r="Z387" s="845" t="n"/>
    </row>
    <row r="388">
      <c r="A388" s="845" t="n"/>
      <c r="B388" s="857" t="n"/>
      <c r="C388" s="857" t="n"/>
      <c r="D388" s="857" t="n"/>
      <c r="E388" s="857" t="n"/>
      <c r="F388" s="857" t="n"/>
      <c r="G388" s="858" t="n"/>
      <c r="H388" s="857" t="n"/>
      <c r="I388" s="857" t="n"/>
      <c r="J388" s="857" t="n"/>
      <c r="K388" s="857" t="n"/>
      <c r="L388" s="857" t="n"/>
      <c r="M388" s="857" t="n"/>
      <c r="N388" s="857" t="n"/>
      <c r="O388" s="845" t="n"/>
      <c r="P388" s="845" t="n"/>
      <c r="Q388" s="845" t="n"/>
      <c r="R388" s="845" t="n"/>
      <c r="S388" s="845" t="n"/>
      <c r="T388" s="845" t="n"/>
      <c r="U388" s="845" t="n"/>
      <c r="V388" s="845" t="n"/>
      <c r="W388" s="845" t="n"/>
      <c r="X388" s="845" t="n"/>
      <c r="Y388" s="845" t="n"/>
      <c r="Z388" s="845" t="n"/>
    </row>
    <row r="389">
      <c r="A389" s="845" t="n"/>
      <c r="B389" s="857" t="n"/>
      <c r="C389" s="857" t="n"/>
      <c r="D389" s="857" t="n"/>
      <c r="E389" s="857" t="n"/>
      <c r="F389" s="857" t="n"/>
      <c r="G389" s="858" t="n"/>
      <c r="H389" s="857" t="n"/>
      <c r="I389" s="857" t="n"/>
      <c r="J389" s="857" t="n"/>
      <c r="K389" s="857" t="n"/>
      <c r="L389" s="857" t="n"/>
      <c r="M389" s="857" t="n"/>
      <c r="N389" s="857" t="n"/>
      <c r="O389" s="845" t="n"/>
      <c r="P389" s="845" t="n"/>
      <c r="Q389" s="845" t="n"/>
      <c r="R389" s="845" t="n"/>
      <c r="S389" s="845" t="n"/>
      <c r="T389" s="845" t="n"/>
      <c r="U389" s="845" t="n"/>
      <c r="V389" s="845" t="n"/>
      <c r="W389" s="845" t="n"/>
      <c r="X389" s="845" t="n"/>
      <c r="Y389" s="845" t="n"/>
      <c r="Z389" s="845" t="n"/>
    </row>
    <row r="390">
      <c r="A390" s="845" t="n"/>
      <c r="B390" s="857" t="n"/>
      <c r="C390" s="857" t="n"/>
      <c r="D390" s="857" t="n"/>
      <c r="E390" s="857" t="n"/>
      <c r="F390" s="857" t="n"/>
      <c r="G390" s="858" t="n"/>
      <c r="H390" s="857" t="n"/>
      <c r="I390" s="857" t="n"/>
      <c r="J390" s="857" t="n"/>
      <c r="K390" s="857" t="n"/>
      <c r="L390" s="857" t="n"/>
      <c r="M390" s="857" t="n"/>
      <c r="N390" s="857" t="n"/>
      <c r="O390" s="845" t="n"/>
      <c r="P390" s="845" t="n"/>
      <c r="Q390" s="845" t="n"/>
      <c r="R390" s="845" t="n"/>
      <c r="S390" s="845" t="n"/>
      <c r="T390" s="845" t="n"/>
      <c r="U390" s="845" t="n"/>
      <c r="V390" s="845" t="n"/>
      <c r="W390" s="845" t="n"/>
      <c r="X390" s="845" t="n"/>
      <c r="Y390" s="845" t="n"/>
      <c r="Z390" s="845" t="n"/>
    </row>
    <row r="391">
      <c r="A391" s="845" t="n"/>
      <c r="B391" s="857" t="n"/>
      <c r="C391" s="857" t="n"/>
      <c r="D391" s="857" t="n"/>
      <c r="E391" s="857" t="n"/>
      <c r="F391" s="857" t="n"/>
      <c r="G391" s="858" t="n"/>
      <c r="H391" s="857" t="n"/>
      <c r="I391" s="857" t="n"/>
      <c r="J391" s="857" t="n"/>
      <c r="K391" s="857" t="n"/>
      <c r="L391" s="857" t="n"/>
      <c r="M391" s="857" t="n"/>
      <c r="N391" s="857" t="n"/>
      <c r="O391" s="845" t="n"/>
      <c r="P391" s="845" t="n"/>
      <c r="Q391" s="845" t="n"/>
      <c r="R391" s="845" t="n"/>
      <c r="S391" s="845" t="n"/>
      <c r="T391" s="845" t="n"/>
      <c r="U391" s="845" t="n"/>
      <c r="V391" s="845" t="n"/>
      <c r="W391" s="845" t="n"/>
      <c r="X391" s="845" t="n"/>
      <c r="Y391" s="845" t="n"/>
      <c r="Z391" s="845" t="n"/>
    </row>
    <row r="392">
      <c r="A392" s="845" t="n"/>
      <c r="B392" s="857" t="n"/>
      <c r="C392" s="857" t="n"/>
      <c r="D392" s="857" t="n"/>
      <c r="E392" s="857" t="n"/>
      <c r="F392" s="857" t="n"/>
      <c r="G392" s="858" t="n"/>
      <c r="H392" s="857" t="n"/>
      <c r="I392" s="857" t="n"/>
      <c r="J392" s="857" t="n"/>
      <c r="K392" s="857" t="n"/>
      <c r="L392" s="857" t="n"/>
      <c r="M392" s="857" t="n"/>
      <c r="N392" s="857" t="n"/>
      <c r="O392" s="845" t="n"/>
      <c r="P392" s="845" t="n"/>
      <c r="Q392" s="845" t="n"/>
      <c r="R392" s="845" t="n"/>
      <c r="S392" s="845" t="n"/>
      <c r="T392" s="845" t="n"/>
      <c r="U392" s="845" t="n"/>
      <c r="V392" s="845" t="n"/>
      <c r="W392" s="845" t="n"/>
      <c r="X392" s="845" t="n"/>
      <c r="Y392" s="845" t="n"/>
      <c r="Z392" s="845" t="n"/>
    </row>
    <row r="393">
      <c r="A393" s="845" t="n"/>
      <c r="B393" s="857" t="n"/>
      <c r="C393" s="857" t="n"/>
      <c r="D393" s="857" t="n"/>
      <c r="E393" s="857" t="n"/>
      <c r="F393" s="857" t="n"/>
      <c r="G393" s="858" t="n"/>
      <c r="H393" s="857" t="n"/>
      <c r="I393" s="857" t="n"/>
      <c r="J393" s="857" t="n"/>
      <c r="K393" s="857" t="n"/>
      <c r="L393" s="857" t="n"/>
      <c r="M393" s="857" t="n"/>
      <c r="N393" s="857" t="n"/>
      <c r="O393" s="845" t="n"/>
      <c r="P393" s="845" t="n"/>
      <c r="Q393" s="845" t="n"/>
      <c r="R393" s="845" t="n"/>
      <c r="S393" s="845" t="n"/>
      <c r="T393" s="845" t="n"/>
      <c r="U393" s="845" t="n"/>
      <c r="V393" s="845" t="n"/>
      <c r="W393" s="845" t="n"/>
      <c r="X393" s="845" t="n"/>
      <c r="Y393" s="845" t="n"/>
      <c r="Z393" s="845" t="n"/>
    </row>
    <row r="394">
      <c r="A394" s="845" t="n"/>
      <c r="B394" s="857" t="n"/>
      <c r="C394" s="857" t="n"/>
      <c r="D394" s="857" t="n"/>
      <c r="E394" s="857" t="n"/>
      <c r="F394" s="857" t="n"/>
      <c r="G394" s="858" t="n"/>
      <c r="H394" s="857" t="n"/>
      <c r="I394" s="857" t="n"/>
      <c r="J394" s="857" t="n"/>
      <c r="K394" s="857" t="n"/>
      <c r="L394" s="857" t="n"/>
      <c r="M394" s="857" t="n"/>
      <c r="N394" s="857" t="n"/>
      <c r="O394" s="845" t="n"/>
      <c r="P394" s="845" t="n"/>
      <c r="Q394" s="845" t="n"/>
      <c r="R394" s="845" t="n"/>
      <c r="S394" s="845" t="n"/>
      <c r="T394" s="845" t="n"/>
      <c r="U394" s="845" t="n"/>
      <c r="V394" s="845" t="n"/>
      <c r="W394" s="845" t="n"/>
      <c r="X394" s="845" t="n"/>
      <c r="Y394" s="845" t="n"/>
      <c r="Z394" s="845" t="n"/>
    </row>
    <row r="395">
      <c r="A395" s="845" t="n"/>
      <c r="B395" s="857" t="n"/>
      <c r="C395" s="857" t="n"/>
      <c r="D395" s="857" t="n"/>
      <c r="E395" s="857" t="n"/>
      <c r="F395" s="857" t="n"/>
      <c r="G395" s="858" t="n"/>
      <c r="H395" s="857" t="n"/>
      <c r="I395" s="857" t="n"/>
      <c r="J395" s="857" t="n"/>
      <c r="K395" s="857" t="n"/>
      <c r="L395" s="857" t="n"/>
      <c r="M395" s="857" t="n"/>
      <c r="N395" s="857" t="n"/>
      <c r="O395" s="845" t="n"/>
      <c r="P395" s="845" t="n"/>
      <c r="Q395" s="845" t="n"/>
      <c r="R395" s="845" t="n"/>
      <c r="S395" s="845" t="n"/>
      <c r="T395" s="845" t="n"/>
      <c r="U395" s="845" t="n"/>
      <c r="V395" s="845" t="n"/>
      <c r="W395" s="845" t="n"/>
      <c r="X395" s="845" t="n"/>
      <c r="Y395" s="845" t="n"/>
      <c r="Z395" s="845" t="n"/>
    </row>
    <row r="396">
      <c r="A396" s="845" t="n"/>
      <c r="B396" s="857" t="n"/>
      <c r="C396" s="857" t="n"/>
      <c r="D396" s="857" t="n"/>
      <c r="E396" s="857" t="n"/>
      <c r="F396" s="857" t="n"/>
      <c r="G396" s="858" t="n"/>
      <c r="H396" s="857" t="n"/>
      <c r="I396" s="857" t="n"/>
      <c r="J396" s="857" t="n"/>
      <c r="K396" s="857" t="n"/>
      <c r="L396" s="857" t="n"/>
      <c r="M396" s="857" t="n"/>
      <c r="N396" s="857" t="n"/>
      <c r="O396" s="845" t="n"/>
      <c r="P396" s="845" t="n"/>
      <c r="Q396" s="845" t="n"/>
      <c r="R396" s="845" t="n"/>
      <c r="S396" s="845" t="n"/>
      <c r="T396" s="845" t="n"/>
      <c r="U396" s="845" t="n"/>
      <c r="V396" s="845" t="n"/>
      <c r="W396" s="845" t="n"/>
      <c r="X396" s="845" t="n"/>
      <c r="Y396" s="845" t="n"/>
      <c r="Z396" s="845" t="n"/>
    </row>
    <row r="397">
      <c r="A397" s="845" t="n"/>
      <c r="B397" s="857" t="n"/>
      <c r="C397" s="857" t="n"/>
      <c r="D397" s="857" t="n"/>
      <c r="E397" s="857" t="n"/>
      <c r="F397" s="857" t="n"/>
      <c r="G397" s="858" t="n"/>
      <c r="H397" s="857" t="n"/>
      <c r="I397" s="857" t="n"/>
      <c r="J397" s="857" t="n"/>
      <c r="K397" s="857" t="n"/>
      <c r="L397" s="857" t="n"/>
      <c r="M397" s="857" t="n"/>
      <c r="N397" s="857" t="n"/>
      <c r="O397" s="845" t="n"/>
      <c r="P397" s="845" t="n"/>
      <c r="Q397" s="845" t="n"/>
      <c r="R397" s="845" t="n"/>
      <c r="S397" s="845" t="n"/>
      <c r="T397" s="845" t="n"/>
      <c r="U397" s="845" t="n"/>
      <c r="V397" s="845" t="n"/>
      <c r="W397" s="845" t="n"/>
      <c r="X397" s="845" t="n"/>
      <c r="Y397" s="845" t="n"/>
      <c r="Z397" s="845" t="n"/>
    </row>
    <row r="398">
      <c r="A398" s="845" t="n"/>
      <c r="B398" s="857" t="n"/>
      <c r="C398" s="857" t="n"/>
      <c r="D398" s="857" t="n"/>
      <c r="E398" s="857" t="n"/>
      <c r="F398" s="857" t="n"/>
      <c r="G398" s="858" t="n"/>
      <c r="H398" s="857" t="n"/>
      <c r="I398" s="857" t="n"/>
      <c r="J398" s="857" t="n"/>
      <c r="K398" s="857" t="n"/>
      <c r="L398" s="857" t="n"/>
      <c r="M398" s="857" t="n"/>
      <c r="N398" s="857" t="n"/>
      <c r="O398" s="845" t="n"/>
      <c r="P398" s="845" t="n"/>
      <c r="Q398" s="845" t="n"/>
      <c r="R398" s="845" t="n"/>
      <c r="S398" s="845" t="n"/>
      <c r="T398" s="845" t="n"/>
      <c r="U398" s="845" t="n"/>
      <c r="V398" s="845" t="n"/>
      <c r="W398" s="845" t="n"/>
      <c r="X398" s="845" t="n"/>
      <c r="Y398" s="845" t="n"/>
      <c r="Z398" s="845" t="n"/>
    </row>
    <row r="399">
      <c r="A399" s="845" t="n"/>
      <c r="B399" s="857" t="n"/>
      <c r="C399" s="857" t="n"/>
      <c r="D399" s="857" t="n"/>
      <c r="E399" s="857" t="n"/>
      <c r="F399" s="857" t="n"/>
      <c r="G399" s="858" t="n"/>
      <c r="H399" s="857" t="n"/>
      <c r="I399" s="857" t="n"/>
      <c r="J399" s="857" t="n"/>
      <c r="K399" s="857" t="n"/>
      <c r="L399" s="857" t="n"/>
      <c r="M399" s="857" t="n"/>
      <c r="N399" s="857" t="n"/>
      <c r="O399" s="845" t="n"/>
      <c r="P399" s="845" t="n"/>
      <c r="Q399" s="845" t="n"/>
      <c r="R399" s="845" t="n"/>
      <c r="S399" s="845" t="n"/>
      <c r="T399" s="845" t="n"/>
      <c r="U399" s="845" t="n"/>
      <c r="V399" s="845" t="n"/>
      <c r="W399" s="845" t="n"/>
      <c r="X399" s="845" t="n"/>
      <c r="Y399" s="845" t="n"/>
      <c r="Z399" s="845" t="n"/>
    </row>
    <row r="400">
      <c r="A400" s="845" t="n"/>
      <c r="B400" s="857" t="n"/>
      <c r="C400" s="857" t="n"/>
      <c r="D400" s="857" t="n"/>
      <c r="E400" s="857" t="n"/>
      <c r="F400" s="857" t="n"/>
      <c r="G400" s="858" t="n"/>
      <c r="H400" s="857" t="n"/>
      <c r="I400" s="857" t="n"/>
      <c r="J400" s="857" t="n"/>
      <c r="K400" s="857" t="n"/>
      <c r="L400" s="857" t="n"/>
      <c r="M400" s="857" t="n"/>
      <c r="N400" s="857" t="n"/>
      <c r="O400" s="845" t="n"/>
      <c r="P400" s="845" t="n"/>
      <c r="Q400" s="845" t="n"/>
      <c r="R400" s="845" t="n"/>
      <c r="S400" s="845" t="n"/>
      <c r="T400" s="845" t="n"/>
      <c r="U400" s="845" t="n"/>
      <c r="V400" s="845" t="n"/>
      <c r="W400" s="845" t="n"/>
      <c r="X400" s="845" t="n"/>
      <c r="Y400" s="845" t="n"/>
      <c r="Z400" s="845" t="n"/>
    </row>
    <row r="401">
      <c r="A401" s="845" t="n"/>
      <c r="B401" s="857" t="n"/>
      <c r="C401" s="857" t="n"/>
      <c r="D401" s="857" t="n"/>
      <c r="E401" s="857" t="n"/>
      <c r="F401" s="857" t="n"/>
      <c r="G401" s="858" t="n"/>
      <c r="H401" s="857" t="n"/>
      <c r="I401" s="857" t="n"/>
      <c r="J401" s="857" t="n"/>
      <c r="K401" s="857" t="n"/>
      <c r="L401" s="857" t="n"/>
      <c r="M401" s="857" t="n"/>
      <c r="N401" s="857" t="n"/>
      <c r="O401" s="845" t="n"/>
      <c r="P401" s="845" t="n"/>
      <c r="Q401" s="845" t="n"/>
      <c r="R401" s="845" t="n"/>
      <c r="S401" s="845" t="n"/>
      <c r="T401" s="845" t="n"/>
      <c r="U401" s="845" t="n"/>
      <c r="V401" s="845" t="n"/>
      <c r="W401" s="845" t="n"/>
      <c r="X401" s="845" t="n"/>
      <c r="Y401" s="845" t="n"/>
      <c r="Z401" s="845" t="n"/>
    </row>
    <row r="402">
      <c r="A402" s="845" t="n"/>
      <c r="B402" s="857" t="n"/>
      <c r="C402" s="857" t="n"/>
      <c r="D402" s="857" t="n"/>
      <c r="E402" s="857" t="n"/>
      <c r="F402" s="857" t="n"/>
      <c r="G402" s="858" t="n"/>
      <c r="H402" s="857" t="n"/>
      <c r="I402" s="857" t="n"/>
      <c r="J402" s="857" t="n"/>
      <c r="K402" s="857" t="n"/>
      <c r="L402" s="857" t="n"/>
      <c r="M402" s="857" t="n"/>
      <c r="N402" s="857" t="n"/>
      <c r="O402" s="845" t="n"/>
      <c r="P402" s="845" t="n"/>
      <c r="Q402" s="845" t="n"/>
      <c r="R402" s="845" t="n"/>
      <c r="S402" s="845" t="n"/>
      <c r="T402" s="845" t="n"/>
      <c r="U402" s="845" t="n"/>
      <c r="V402" s="845" t="n"/>
      <c r="W402" s="845" t="n"/>
      <c r="X402" s="845" t="n"/>
      <c r="Y402" s="845" t="n"/>
      <c r="Z402" s="845" t="n"/>
    </row>
    <row r="403">
      <c r="A403" s="845" t="n"/>
      <c r="B403" s="857" t="n"/>
      <c r="C403" s="857" t="n"/>
      <c r="D403" s="857" t="n"/>
      <c r="E403" s="857" t="n"/>
      <c r="F403" s="857" t="n"/>
      <c r="G403" s="858" t="n"/>
      <c r="H403" s="857" t="n"/>
      <c r="I403" s="857" t="n"/>
      <c r="J403" s="857" t="n"/>
      <c r="K403" s="857" t="n"/>
      <c r="L403" s="857" t="n"/>
      <c r="M403" s="857" t="n"/>
      <c r="N403" s="857" t="n"/>
      <c r="O403" s="845" t="n"/>
      <c r="P403" s="845" t="n"/>
      <c r="Q403" s="845" t="n"/>
      <c r="R403" s="845" t="n"/>
      <c r="S403" s="845" t="n"/>
      <c r="T403" s="845" t="n"/>
      <c r="U403" s="845" t="n"/>
      <c r="V403" s="845" t="n"/>
      <c r="W403" s="845" t="n"/>
      <c r="X403" s="845" t="n"/>
      <c r="Y403" s="845" t="n"/>
      <c r="Z403" s="845" t="n"/>
    </row>
    <row r="404">
      <c r="A404" s="845" t="n"/>
      <c r="B404" s="857" t="n"/>
      <c r="C404" s="857" t="n"/>
      <c r="D404" s="857" t="n"/>
      <c r="E404" s="857" t="n"/>
      <c r="F404" s="857" t="n"/>
      <c r="G404" s="858" t="n"/>
      <c r="H404" s="857" t="n"/>
      <c r="I404" s="857" t="n"/>
      <c r="J404" s="857" t="n"/>
      <c r="K404" s="857" t="n"/>
      <c r="L404" s="857" t="n"/>
      <c r="M404" s="857" t="n"/>
      <c r="N404" s="857" t="n"/>
      <c r="O404" s="845" t="n"/>
      <c r="P404" s="845" t="n"/>
      <c r="Q404" s="845" t="n"/>
      <c r="R404" s="845" t="n"/>
      <c r="S404" s="845" t="n"/>
      <c r="T404" s="845" t="n"/>
      <c r="U404" s="845" t="n"/>
      <c r="V404" s="845" t="n"/>
      <c r="W404" s="845" t="n"/>
      <c r="X404" s="845" t="n"/>
      <c r="Y404" s="845" t="n"/>
      <c r="Z404" s="845" t="n"/>
    </row>
    <row r="405">
      <c r="A405" s="845" t="n"/>
      <c r="B405" s="857" t="n"/>
      <c r="C405" s="857" t="n"/>
      <c r="D405" s="857" t="n"/>
      <c r="E405" s="857" t="n"/>
      <c r="F405" s="857" t="n"/>
      <c r="G405" s="858" t="n"/>
      <c r="H405" s="857" t="n"/>
      <c r="I405" s="857" t="n"/>
      <c r="J405" s="857" t="n"/>
      <c r="K405" s="857" t="n"/>
      <c r="L405" s="857" t="n"/>
      <c r="M405" s="857" t="n"/>
      <c r="N405" s="857" t="n"/>
      <c r="O405" s="845" t="n"/>
      <c r="P405" s="845" t="n"/>
      <c r="Q405" s="845" t="n"/>
      <c r="R405" s="845" t="n"/>
      <c r="S405" s="845" t="n"/>
      <c r="T405" s="845" t="n"/>
      <c r="U405" s="845" t="n"/>
      <c r="V405" s="845" t="n"/>
      <c r="W405" s="845" t="n"/>
      <c r="X405" s="845" t="n"/>
      <c r="Y405" s="845" t="n"/>
      <c r="Z405" s="845" t="n"/>
    </row>
    <row r="406">
      <c r="A406" s="845" t="n"/>
      <c r="B406" s="857" t="n"/>
      <c r="C406" s="857" t="n"/>
      <c r="D406" s="857" t="n"/>
      <c r="E406" s="857" t="n"/>
      <c r="F406" s="857" t="n"/>
      <c r="G406" s="858" t="n"/>
      <c r="H406" s="857" t="n"/>
      <c r="I406" s="857" t="n"/>
      <c r="J406" s="857" t="n"/>
      <c r="K406" s="857" t="n"/>
      <c r="L406" s="857" t="n"/>
      <c r="M406" s="857" t="n"/>
      <c r="N406" s="857" t="n"/>
      <c r="O406" s="845" t="n"/>
      <c r="P406" s="845" t="n"/>
      <c r="Q406" s="845" t="n"/>
      <c r="R406" s="845" t="n"/>
      <c r="S406" s="845" t="n"/>
      <c r="T406" s="845" t="n"/>
      <c r="U406" s="845" t="n"/>
      <c r="V406" s="845" t="n"/>
      <c r="W406" s="845" t="n"/>
      <c r="X406" s="845" t="n"/>
      <c r="Y406" s="845" t="n"/>
      <c r="Z406" s="845" t="n"/>
    </row>
    <row r="407">
      <c r="A407" s="845" t="n"/>
      <c r="B407" s="857" t="n"/>
      <c r="C407" s="857" t="n"/>
      <c r="D407" s="857" t="n"/>
      <c r="E407" s="857" t="n"/>
      <c r="F407" s="857" t="n"/>
      <c r="G407" s="858" t="n"/>
      <c r="H407" s="857" t="n"/>
      <c r="I407" s="857" t="n"/>
      <c r="J407" s="857" t="n"/>
      <c r="K407" s="857" t="n"/>
      <c r="L407" s="857" t="n"/>
      <c r="M407" s="857" t="n"/>
      <c r="N407" s="857" t="n"/>
      <c r="O407" s="845" t="n"/>
      <c r="P407" s="845" t="n"/>
      <c r="Q407" s="845" t="n"/>
      <c r="R407" s="845" t="n"/>
      <c r="S407" s="845" t="n"/>
      <c r="T407" s="845" t="n"/>
      <c r="U407" s="845" t="n"/>
      <c r="V407" s="845" t="n"/>
      <c r="W407" s="845" t="n"/>
      <c r="X407" s="845" t="n"/>
      <c r="Y407" s="845" t="n"/>
      <c r="Z407" s="845" t="n"/>
    </row>
    <row r="408">
      <c r="A408" s="845" t="n"/>
      <c r="B408" s="857" t="n"/>
      <c r="C408" s="857" t="n"/>
      <c r="D408" s="857" t="n"/>
      <c r="E408" s="857" t="n"/>
      <c r="F408" s="857" t="n"/>
      <c r="G408" s="858" t="n"/>
      <c r="H408" s="857" t="n"/>
      <c r="I408" s="857" t="n"/>
      <c r="J408" s="857" t="n"/>
      <c r="K408" s="857" t="n"/>
      <c r="L408" s="857" t="n"/>
      <c r="M408" s="857" t="n"/>
      <c r="N408" s="857" t="n"/>
      <c r="O408" s="845" t="n"/>
      <c r="P408" s="845" t="n"/>
      <c r="Q408" s="845" t="n"/>
      <c r="R408" s="845" t="n"/>
      <c r="S408" s="845" t="n"/>
      <c r="T408" s="845" t="n"/>
      <c r="U408" s="845" t="n"/>
      <c r="V408" s="845" t="n"/>
      <c r="W408" s="845" t="n"/>
      <c r="X408" s="845" t="n"/>
      <c r="Y408" s="845" t="n"/>
      <c r="Z408" s="845" t="n"/>
    </row>
    <row r="409">
      <c r="A409" s="845" t="n"/>
      <c r="B409" s="857" t="n"/>
      <c r="C409" s="857" t="n"/>
      <c r="D409" s="857" t="n"/>
      <c r="E409" s="857" t="n"/>
      <c r="F409" s="857" t="n"/>
      <c r="G409" s="858" t="n"/>
      <c r="H409" s="857" t="n"/>
      <c r="I409" s="857" t="n"/>
      <c r="J409" s="857" t="n"/>
      <c r="K409" s="857" t="n"/>
      <c r="L409" s="857" t="n"/>
      <c r="M409" s="857" t="n"/>
      <c r="N409" s="857" t="n"/>
      <c r="O409" s="845" t="n"/>
      <c r="P409" s="845" t="n"/>
      <c r="Q409" s="845" t="n"/>
      <c r="R409" s="845" t="n"/>
      <c r="S409" s="845" t="n"/>
      <c r="T409" s="845" t="n"/>
      <c r="U409" s="845" t="n"/>
      <c r="V409" s="845" t="n"/>
      <c r="W409" s="845" t="n"/>
      <c r="X409" s="845" t="n"/>
      <c r="Y409" s="845" t="n"/>
      <c r="Z409" s="845" t="n"/>
    </row>
    <row r="410">
      <c r="A410" s="845" t="n"/>
      <c r="B410" s="857" t="n"/>
      <c r="C410" s="857" t="n"/>
      <c r="D410" s="857" t="n"/>
      <c r="E410" s="857" t="n"/>
      <c r="F410" s="857" t="n"/>
      <c r="G410" s="858" t="n"/>
      <c r="H410" s="857" t="n"/>
      <c r="I410" s="857" t="n"/>
      <c r="J410" s="857" t="n"/>
      <c r="K410" s="857" t="n"/>
      <c r="L410" s="857" t="n"/>
      <c r="M410" s="857" t="n"/>
      <c r="N410" s="857" t="n"/>
      <c r="O410" s="845" t="n"/>
      <c r="P410" s="845" t="n"/>
      <c r="Q410" s="845" t="n"/>
      <c r="R410" s="845" t="n"/>
      <c r="S410" s="845" t="n"/>
      <c r="T410" s="845" t="n"/>
      <c r="U410" s="845" t="n"/>
      <c r="V410" s="845" t="n"/>
      <c r="W410" s="845" t="n"/>
      <c r="X410" s="845" t="n"/>
      <c r="Y410" s="845" t="n"/>
      <c r="Z410" s="845" t="n"/>
    </row>
    <row r="411">
      <c r="A411" s="845" t="n"/>
      <c r="B411" s="857" t="n"/>
      <c r="C411" s="857" t="n"/>
      <c r="D411" s="857" t="n"/>
      <c r="E411" s="857" t="n"/>
      <c r="F411" s="857" t="n"/>
      <c r="G411" s="858" t="n"/>
      <c r="H411" s="857" t="n"/>
      <c r="I411" s="857" t="n"/>
      <c r="J411" s="857" t="n"/>
      <c r="K411" s="857" t="n"/>
      <c r="L411" s="857" t="n"/>
      <c r="M411" s="857" t="n"/>
      <c r="N411" s="857" t="n"/>
      <c r="O411" s="845" t="n"/>
      <c r="P411" s="845" t="n"/>
      <c r="Q411" s="845" t="n"/>
      <c r="R411" s="845" t="n"/>
      <c r="S411" s="845" t="n"/>
      <c r="T411" s="845" t="n"/>
      <c r="U411" s="845" t="n"/>
      <c r="V411" s="845" t="n"/>
      <c r="W411" s="845" t="n"/>
      <c r="X411" s="845" t="n"/>
      <c r="Y411" s="845" t="n"/>
      <c r="Z411" s="845" t="n"/>
    </row>
    <row r="412">
      <c r="A412" s="845" t="n"/>
      <c r="B412" s="857" t="n"/>
      <c r="C412" s="857" t="n"/>
      <c r="D412" s="857" t="n"/>
      <c r="E412" s="857" t="n"/>
      <c r="F412" s="857" t="n"/>
      <c r="G412" s="858" t="n"/>
      <c r="H412" s="857" t="n"/>
      <c r="I412" s="857" t="n"/>
      <c r="J412" s="857" t="n"/>
      <c r="K412" s="857" t="n"/>
      <c r="L412" s="857" t="n"/>
      <c r="M412" s="857" t="n"/>
      <c r="N412" s="857" t="n"/>
      <c r="O412" s="845" t="n"/>
      <c r="P412" s="845" t="n"/>
      <c r="Q412" s="845" t="n"/>
      <c r="R412" s="845" t="n"/>
      <c r="S412" s="845" t="n"/>
      <c r="T412" s="845" t="n"/>
      <c r="U412" s="845" t="n"/>
      <c r="V412" s="845" t="n"/>
      <c r="W412" s="845" t="n"/>
      <c r="X412" s="845" t="n"/>
      <c r="Y412" s="845" t="n"/>
      <c r="Z412" s="845" t="n"/>
    </row>
    <row r="413">
      <c r="A413" s="845" t="n"/>
      <c r="B413" s="857" t="n"/>
      <c r="C413" s="857" t="n"/>
      <c r="D413" s="857" t="n"/>
      <c r="E413" s="857" t="n"/>
      <c r="F413" s="857" t="n"/>
      <c r="G413" s="858" t="n"/>
      <c r="H413" s="857" t="n"/>
      <c r="I413" s="857" t="n"/>
      <c r="J413" s="857" t="n"/>
      <c r="K413" s="857" t="n"/>
      <c r="L413" s="857" t="n"/>
      <c r="M413" s="857" t="n"/>
      <c r="N413" s="857" t="n"/>
      <c r="O413" s="845" t="n"/>
      <c r="P413" s="845" t="n"/>
      <c r="Q413" s="845" t="n"/>
      <c r="R413" s="845" t="n"/>
      <c r="S413" s="845" t="n"/>
      <c r="T413" s="845" t="n"/>
      <c r="U413" s="845" t="n"/>
      <c r="V413" s="845" t="n"/>
      <c r="W413" s="845" t="n"/>
      <c r="X413" s="845" t="n"/>
      <c r="Y413" s="845" t="n"/>
      <c r="Z413" s="845" t="n"/>
    </row>
    <row r="414">
      <c r="A414" s="845" t="n"/>
      <c r="B414" s="857" t="n"/>
      <c r="C414" s="857" t="n"/>
      <c r="D414" s="857" t="n"/>
      <c r="E414" s="857" t="n"/>
      <c r="F414" s="857" t="n"/>
      <c r="G414" s="858" t="n"/>
      <c r="H414" s="857" t="n"/>
      <c r="I414" s="857" t="n"/>
      <c r="J414" s="857" t="n"/>
      <c r="K414" s="857" t="n"/>
      <c r="L414" s="857" t="n"/>
      <c r="M414" s="857" t="n"/>
      <c r="N414" s="857" t="n"/>
      <c r="O414" s="845" t="n"/>
      <c r="P414" s="845" t="n"/>
      <c r="Q414" s="845" t="n"/>
      <c r="R414" s="845" t="n"/>
      <c r="S414" s="845" t="n"/>
      <c r="T414" s="845" t="n"/>
      <c r="U414" s="845" t="n"/>
      <c r="V414" s="845" t="n"/>
      <c r="W414" s="845" t="n"/>
      <c r="X414" s="845" t="n"/>
      <c r="Y414" s="845" t="n"/>
      <c r="Z414" s="845" t="n"/>
    </row>
    <row r="415">
      <c r="A415" s="845" t="n"/>
      <c r="B415" s="857" t="n"/>
      <c r="C415" s="857" t="n"/>
      <c r="D415" s="857" t="n"/>
      <c r="E415" s="857" t="n"/>
      <c r="F415" s="857" t="n"/>
      <c r="G415" s="858" t="n"/>
      <c r="H415" s="857" t="n"/>
      <c r="I415" s="857" t="n"/>
      <c r="J415" s="857" t="n"/>
      <c r="K415" s="857" t="n"/>
      <c r="L415" s="857" t="n"/>
      <c r="M415" s="857" t="n"/>
      <c r="N415" s="857" t="n"/>
      <c r="O415" s="845" t="n"/>
      <c r="P415" s="845" t="n"/>
      <c r="Q415" s="845" t="n"/>
      <c r="R415" s="845" t="n"/>
      <c r="S415" s="845" t="n"/>
      <c r="T415" s="845" t="n"/>
      <c r="U415" s="845" t="n"/>
      <c r="V415" s="845" t="n"/>
      <c r="W415" s="845" t="n"/>
      <c r="X415" s="845" t="n"/>
      <c r="Y415" s="845" t="n"/>
      <c r="Z415" s="845" t="n"/>
    </row>
    <row r="416">
      <c r="A416" s="845" t="n"/>
      <c r="B416" s="857" t="n"/>
      <c r="C416" s="857" t="n"/>
      <c r="D416" s="857" t="n"/>
      <c r="E416" s="857" t="n"/>
      <c r="F416" s="857" t="n"/>
      <c r="G416" s="858" t="n"/>
      <c r="H416" s="857" t="n"/>
      <c r="I416" s="857" t="n"/>
      <c r="J416" s="857" t="n"/>
      <c r="K416" s="857" t="n"/>
      <c r="L416" s="857" t="n"/>
      <c r="M416" s="857" t="n"/>
      <c r="N416" s="857" t="n"/>
      <c r="O416" s="845" t="n"/>
      <c r="P416" s="845" t="n"/>
      <c r="Q416" s="845" t="n"/>
      <c r="R416" s="845" t="n"/>
      <c r="S416" s="845" t="n"/>
      <c r="T416" s="845" t="n"/>
      <c r="U416" s="845" t="n"/>
      <c r="V416" s="845" t="n"/>
      <c r="W416" s="845" t="n"/>
      <c r="X416" s="845" t="n"/>
      <c r="Y416" s="845" t="n"/>
      <c r="Z416" s="845" t="n"/>
    </row>
    <row r="417">
      <c r="A417" s="845" t="n"/>
      <c r="B417" s="857" t="n"/>
      <c r="C417" s="857" t="n"/>
      <c r="D417" s="857" t="n"/>
      <c r="E417" s="857" t="n"/>
      <c r="F417" s="857" t="n"/>
      <c r="G417" s="858" t="n"/>
      <c r="H417" s="857" t="n"/>
      <c r="I417" s="857" t="n"/>
      <c r="J417" s="857" t="n"/>
      <c r="K417" s="857" t="n"/>
      <c r="L417" s="857" t="n"/>
      <c r="M417" s="857" t="n"/>
      <c r="N417" s="857" t="n"/>
      <c r="O417" s="845" t="n"/>
      <c r="P417" s="845" t="n"/>
      <c r="Q417" s="845" t="n"/>
      <c r="R417" s="845" t="n"/>
      <c r="S417" s="845" t="n"/>
      <c r="T417" s="845" t="n"/>
      <c r="U417" s="845" t="n"/>
      <c r="V417" s="845" t="n"/>
      <c r="W417" s="845" t="n"/>
      <c r="X417" s="845" t="n"/>
      <c r="Y417" s="845" t="n"/>
      <c r="Z417" s="845" t="n"/>
    </row>
    <row r="418">
      <c r="A418" s="845" t="n"/>
      <c r="B418" s="857" t="n"/>
      <c r="C418" s="857" t="n"/>
      <c r="D418" s="857" t="n"/>
      <c r="E418" s="857" t="n"/>
      <c r="F418" s="857" t="n"/>
      <c r="G418" s="858" t="n"/>
      <c r="H418" s="857" t="n"/>
      <c r="I418" s="857" t="n"/>
      <c r="J418" s="857" t="n"/>
      <c r="K418" s="857" t="n"/>
      <c r="L418" s="857" t="n"/>
      <c r="M418" s="857" t="n"/>
      <c r="N418" s="857" t="n"/>
      <c r="O418" s="845" t="n"/>
      <c r="P418" s="845" t="n"/>
      <c r="Q418" s="845" t="n"/>
      <c r="R418" s="845" t="n"/>
      <c r="S418" s="845" t="n"/>
      <c r="T418" s="845" t="n"/>
      <c r="U418" s="845" t="n"/>
      <c r="V418" s="845" t="n"/>
      <c r="W418" s="845" t="n"/>
      <c r="X418" s="845" t="n"/>
      <c r="Y418" s="845" t="n"/>
      <c r="Z418" s="845" t="n"/>
    </row>
    <row r="419">
      <c r="A419" s="845" t="n"/>
      <c r="B419" s="857" t="n"/>
      <c r="C419" s="857" t="n"/>
      <c r="D419" s="857" t="n"/>
      <c r="E419" s="857" t="n"/>
      <c r="F419" s="857" t="n"/>
      <c r="G419" s="858" t="n"/>
      <c r="H419" s="857" t="n"/>
      <c r="I419" s="857" t="n"/>
      <c r="J419" s="857" t="n"/>
      <c r="K419" s="857" t="n"/>
      <c r="L419" s="857" t="n"/>
      <c r="M419" s="857" t="n"/>
      <c r="N419" s="857" t="n"/>
      <c r="O419" s="845" t="n"/>
      <c r="P419" s="845" t="n"/>
      <c r="Q419" s="845" t="n"/>
      <c r="R419" s="845" t="n"/>
      <c r="S419" s="845" t="n"/>
      <c r="T419" s="845" t="n"/>
      <c r="U419" s="845" t="n"/>
      <c r="V419" s="845" t="n"/>
      <c r="W419" s="845" t="n"/>
      <c r="X419" s="845" t="n"/>
      <c r="Y419" s="845" t="n"/>
      <c r="Z419" s="845" t="n"/>
    </row>
    <row r="420">
      <c r="A420" s="845" t="n"/>
      <c r="B420" s="857" t="n"/>
      <c r="C420" s="857" t="n"/>
      <c r="D420" s="857" t="n"/>
      <c r="E420" s="857" t="n"/>
      <c r="F420" s="857" t="n"/>
      <c r="G420" s="858" t="n"/>
      <c r="H420" s="857" t="n"/>
      <c r="I420" s="857" t="n"/>
      <c r="J420" s="857" t="n"/>
      <c r="K420" s="857" t="n"/>
      <c r="L420" s="857" t="n"/>
      <c r="M420" s="857" t="n"/>
      <c r="N420" s="857" t="n"/>
      <c r="O420" s="845" t="n"/>
      <c r="P420" s="845" t="n"/>
      <c r="Q420" s="845" t="n"/>
      <c r="R420" s="845" t="n"/>
      <c r="S420" s="845" t="n"/>
      <c r="T420" s="845" t="n"/>
      <c r="U420" s="845" t="n"/>
      <c r="V420" s="845" t="n"/>
      <c r="W420" s="845" t="n"/>
      <c r="X420" s="845" t="n"/>
      <c r="Y420" s="845" t="n"/>
      <c r="Z420" s="845" t="n"/>
    </row>
    <row r="421">
      <c r="A421" s="845" t="n"/>
      <c r="B421" s="857" t="n"/>
      <c r="C421" s="857" t="n"/>
      <c r="D421" s="857" t="n"/>
      <c r="E421" s="857" t="n"/>
      <c r="F421" s="857" t="n"/>
      <c r="G421" s="858" t="n"/>
      <c r="H421" s="857" t="n"/>
      <c r="I421" s="857" t="n"/>
      <c r="J421" s="857" t="n"/>
      <c r="K421" s="857" t="n"/>
      <c r="L421" s="857" t="n"/>
      <c r="M421" s="857" t="n"/>
      <c r="N421" s="857" t="n"/>
      <c r="O421" s="845" t="n"/>
      <c r="P421" s="845" t="n"/>
      <c r="Q421" s="845" t="n"/>
      <c r="R421" s="845" t="n"/>
      <c r="S421" s="845" t="n"/>
      <c r="T421" s="845" t="n"/>
      <c r="U421" s="845" t="n"/>
      <c r="V421" s="845" t="n"/>
      <c r="W421" s="845" t="n"/>
      <c r="X421" s="845" t="n"/>
      <c r="Y421" s="845" t="n"/>
      <c r="Z421" s="845" t="n"/>
    </row>
    <row r="422">
      <c r="A422" s="845" t="n"/>
      <c r="B422" s="857" t="n"/>
      <c r="C422" s="857" t="n"/>
      <c r="D422" s="857" t="n"/>
      <c r="E422" s="857" t="n"/>
      <c r="F422" s="857" t="n"/>
      <c r="G422" s="858" t="n"/>
      <c r="H422" s="857" t="n"/>
      <c r="I422" s="857" t="n"/>
      <c r="J422" s="857" t="n"/>
      <c r="K422" s="857" t="n"/>
      <c r="L422" s="857" t="n"/>
      <c r="M422" s="857" t="n"/>
      <c r="N422" s="857" t="n"/>
      <c r="O422" s="845" t="n"/>
      <c r="P422" s="845" t="n"/>
      <c r="Q422" s="845" t="n"/>
      <c r="R422" s="845" t="n"/>
      <c r="S422" s="845" t="n"/>
      <c r="T422" s="845" t="n"/>
      <c r="U422" s="845" t="n"/>
      <c r="V422" s="845" t="n"/>
      <c r="W422" s="845" t="n"/>
      <c r="X422" s="845" t="n"/>
      <c r="Y422" s="845" t="n"/>
      <c r="Z422" s="845" t="n"/>
    </row>
    <row r="423">
      <c r="A423" s="845" t="n"/>
      <c r="B423" s="857" t="n"/>
      <c r="C423" s="857" t="n"/>
      <c r="D423" s="857" t="n"/>
      <c r="E423" s="857" t="n"/>
      <c r="F423" s="857" t="n"/>
      <c r="G423" s="858" t="n"/>
      <c r="H423" s="857" t="n"/>
      <c r="I423" s="857" t="n"/>
      <c r="J423" s="857" t="n"/>
      <c r="K423" s="857" t="n"/>
      <c r="L423" s="857" t="n"/>
      <c r="M423" s="857" t="n"/>
      <c r="N423" s="857" t="n"/>
      <c r="O423" s="845" t="n"/>
      <c r="P423" s="845" t="n"/>
      <c r="Q423" s="845" t="n"/>
      <c r="R423" s="845" t="n"/>
      <c r="S423" s="845" t="n"/>
      <c r="T423" s="845" t="n"/>
      <c r="U423" s="845" t="n"/>
      <c r="V423" s="845" t="n"/>
      <c r="W423" s="845" t="n"/>
      <c r="X423" s="845" t="n"/>
      <c r="Y423" s="845" t="n"/>
      <c r="Z423" s="845" t="n"/>
    </row>
    <row r="424">
      <c r="A424" s="845" t="n"/>
      <c r="B424" s="857" t="n"/>
      <c r="C424" s="857" t="n"/>
      <c r="D424" s="857" t="n"/>
      <c r="E424" s="857" t="n"/>
      <c r="F424" s="857" t="n"/>
      <c r="G424" s="858" t="n"/>
      <c r="H424" s="857" t="n"/>
      <c r="I424" s="857" t="n"/>
      <c r="J424" s="857" t="n"/>
      <c r="K424" s="857" t="n"/>
      <c r="L424" s="857" t="n"/>
      <c r="M424" s="857" t="n"/>
      <c r="N424" s="857" t="n"/>
      <c r="O424" s="845" t="n"/>
      <c r="P424" s="845" t="n"/>
      <c r="Q424" s="845" t="n"/>
      <c r="R424" s="845" t="n"/>
      <c r="S424" s="845" t="n"/>
      <c r="T424" s="845" t="n"/>
      <c r="U424" s="845" t="n"/>
      <c r="V424" s="845" t="n"/>
      <c r="W424" s="845" t="n"/>
      <c r="X424" s="845" t="n"/>
      <c r="Y424" s="845" t="n"/>
      <c r="Z424" s="845" t="n"/>
    </row>
    <row r="425">
      <c r="A425" s="845" t="n"/>
      <c r="B425" s="857" t="n"/>
      <c r="C425" s="857" t="n"/>
      <c r="D425" s="857" t="n"/>
      <c r="E425" s="857" t="n"/>
      <c r="F425" s="857" t="n"/>
      <c r="G425" s="858" t="n"/>
      <c r="H425" s="857" t="n"/>
      <c r="I425" s="857" t="n"/>
      <c r="J425" s="857" t="n"/>
      <c r="K425" s="857" t="n"/>
      <c r="L425" s="857" t="n"/>
      <c r="M425" s="857" t="n"/>
      <c r="N425" s="857" t="n"/>
      <c r="O425" s="845" t="n"/>
      <c r="P425" s="845" t="n"/>
      <c r="Q425" s="845" t="n"/>
      <c r="R425" s="845" t="n"/>
      <c r="S425" s="845" t="n"/>
      <c r="T425" s="845" t="n"/>
      <c r="U425" s="845" t="n"/>
      <c r="V425" s="845" t="n"/>
      <c r="W425" s="845" t="n"/>
      <c r="X425" s="845" t="n"/>
      <c r="Y425" s="845" t="n"/>
      <c r="Z425" s="845" t="n"/>
    </row>
    <row r="426">
      <c r="A426" s="845" t="n"/>
      <c r="B426" s="857" t="n"/>
      <c r="C426" s="857" t="n"/>
      <c r="D426" s="857" t="n"/>
      <c r="E426" s="857" t="n"/>
      <c r="F426" s="857" t="n"/>
      <c r="G426" s="858" t="n"/>
      <c r="H426" s="857" t="n"/>
      <c r="I426" s="857" t="n"/>
      <c r="J426" s="857" t="n"/>
      <c r="K426" s="857" t="n"/>
      <c r="L426" s="857" t="n"/>
      <c r="M426" s="857" t="n"/>
      <c r="N426" s="857" t="n"/>
      <c r="O426" s="845" t="n"/>
      <c r="P426" s="845" t="n"/>
      <c r="Q426" s="845" t="n"/>
      <c r="R426" s="845" t="n"/>
      <c r="S426" s="845" t="n"/>
      <c r="T426" s="845" t="n"/>
      <c r="U426" s="845" t="n"/>
      <c r="V426" s="845" t="n"/>
      <c r="W426" s="845" t="n"/>
      <c r="X426" s="845" t="n"/>
      <c r="Y426" s="845" t="n"/>
      <c r="Z426" s="845" t="n"/>
    </row>
    <row r="427">
      <c r="A427" s="845" t="n"/>
      <c r="B427" s="857" t="n"/>
      <c r="C427" s="857" t="n"/>
      <c r="D427" s="857" t="n"/>
      <c r="E427" s="857" t="n"/>
      <c r="F427" s="857" t="n"/>
      <c r="G427" s="858" t="n"/>
      <c r="H427" s="857" t="n"/>
      <c r="I427" s="857" t="n"/>
      <c r="J427" s="857" t="n"/>
      <c r="K427" s="857" t="n"/>
      <c r="L427" s="857" t="n"/>
      <c r="M427" s="857" t="n"/>
      <c r="N427" s="857" t="n"/>
      <c r="O427" s="845" t="n"/>
      <c r="P427" s="845" t="n"/>
      <c r="Q427" s="845" t="n"/>
      <c r="R427" s="845" t="n"/>
      <c r="S427" s="845" t="n"/>
      <c r="T427" s="845" t="n"/>
      <c r="U427" s="845" t="n"/>
      <c r="V427" s="845" t="n"/>
      <c r="W427" s="845" t="n"/>
      <c r="X427" s="845" t="n"/>
      <c r="Y427" s="845" t="n"/>
      <c r="Z427" s="845" t="n"/>
    </row>
    <row r="428">
      <c r="A428" s="845" t="n"/>
      <c r="B428" s="857" t="n"/>
      <c r="C428" s="857" t="n"/>
      <c r="D428" s="857" t="n"/>
      <c r="E428" s="857" t="n"/>
      <c r="F428" s="857" t="n"/>
      <c r="G428" s="858" t="n"/>
      <c r="H428" s="857" t="n"/>
      <c r="I428" s="857" t="n"/>
      <c r="J428" s="857" t="n"/>
      <c r="K428" s="857" t="n"/>
      <c r="L428" s="857" t="n"/>
      <c r="M428" s="857" t="n"/>
      <c r="N428" s="857" t="n"/>
      <c r="O428" s="845" t="n"/>
      <c r="P428" s="845" t="n"/>
      <c r="Q428" s="845" t="n"/>
      <c r="R428" s="845" t="n"/>
      <c r="S428" s="845" t="n"/>
      <c r="T428" s="845" t="n"/>
      <c r="U428" s="845" t="n"/>
      <c r="V428" s="845" t="n"/>
      <c r="W428" s="845" t="n"/>
      <c r="X428" s="845" t="n"/>
      <c r="Y428" s="845" t="n"/>
      <c r="Z428" s="845" t="n"/>
    </row>
    <row r="429">
      <c r="A429" s="845" t="n"/>
      <c r="B429" s="857" t="n"/>
      <c r="C429" s="857" t="n"/>
      <c r="D429" s="857" t="n"/>
      <c r="E429" s="857" t="n"/>
      <c r="F429" s="857" t="n"/>
      <c r="G429" s="858" t="n"/>
      <c r="H429" s="857" t="n"/>
      <c r="I429" s="857" t="n"/>
      <c r="J429" s="857" t="n"/>
      <c r="K429" s="857" t="n"/>
      <c r="L429" s="857" t="n"/>
      <c r="M429" s="857" t="n"/>
      <c r="N429" s="857" t="n"/>
      <c r="O429" s="845" t="n"/>
      <c r="P429" s="845" t="n"/>
      <c r="Q429" s="845" t="n"/>
      <c r="R429" s="845" t="n"/>
      <c r="S429" s="845" t="n"/>
      <c r="T429" s="845" t="n"/>
      <c r="U429" s="845" t="n"/>
      <c r="V429" s="845" t="n"/>
      <c r="W429" s="845" t="n"/>
      <c r="X429" s="845" t="n"/>
      <c r="Y429" s="845" t="n"/>
      <c r="Z429" s="845" t="n"/>
    </row>
    <row r="430">
      <c r="A430" s="845" t="n"/>
      <c r="B430" s="857" t="n"/>
      <c r="C430" s="857" t="n"/>
      <c r="D430" s="857" t="n"/>
      <c r="E430" s="857" t="n"/>
      <c r="F430" s="857" t="n"/>
      <c r="G430" s="858" t="n"/>
      <c r="H430" s="857" t="n"/>
      <c r="I430" s="857" t="n"/>
      <c r="J430" s="857" t="n"/>
      <c r="K430" s="857" t="n"/>
      <c r="L430" s="857" t="n"/>
      <c r="M430" s="857" t="n"/>
      <c r="N430" s="857" t="n"/>
      <c r="O430" s="845" t="n"/>
      <c r="P430" s="845" t="n"/>
      <c r="Q430" s="845" t="n"/>
      <c r="R430" s="845" t="n"/>
      <c r="S430" s="845" t="n"/>
      <c r="T430" s="845" t="n"/>
      <c r="U430" s="845" t="n"/>
      <c r="V430" s="845" t="n"/>
      <c r="W430" s="845" t="n"/>
      <c r="X430" s="845" t="n"/>
      <c r="Y430" s="845" t="n"/>
      <c r="Z430" s="845" t="n"/>
    </row>
    <row r="431">
      <c r="A431" s="845" t="n"/>
      <c r="B431" s="857" t="n"/>
      <c r="C431" s="857" t="n"/>
      <c r="D431" s="857" t="n"/>
      <c r="E431" s="857" t="n"/>
      <c r="F431" s="857" t="n"/>
      <c r="G431" s="858" t="n"/>
      <c r="H431" s="857" t="n"/>
      <c r="I431" s="857" t="n"/>
      <c r="J431" s="857" t="n"/>
      <c r="K431" s="857" t="n"/>
      <c r="L431" s="857" t="n"/>
      <c r="M431" s="857" t="n"/>
      <c r="N431" s="857" t="n"/>
      <c r="O431" s="845" t="n"/>
      <c r="P431" s="845" t="n"/>
      <c r="Q431" s="845" t="n"/>
      <c r="R431" s="845" t="n"/>
      <c r="S431" s="845" t="n"/>
      <c r="T431" s="845" t="n"/>
      <c r="U431" s="845" t="n"/>
      <c r="V431" s="845" t="n"/>
      <c r="W431" s="845" t="n"/>
      <c r="X431" s="845" t="n"/>
      <c r="Y431" s="845" t="n"/>
      <c r="Z431" s="845" t="n"/>
    </row>
    <row r="432">
      <c r="A432" s="845" t="n"/>
      <c r="B432" s="857" t="n"/>
      <c r="C432" s="857" t="n"/>
      <c r="D432" s="857" t="n"/>
      <c r="E432" s="857" t="n"/>
      <c r="F432" s="857" t="n"/>
      <c r="G432" s="858" t="n"/>
      <c r="H432" s="857" t="n"/>
      <c r="I432" s="857" t="n"/>
      <c r="J432" s="857" t="n"/>
      <c r="K432" s="857" t="n"/>
      <c r="L432" s="857" t="n"/>
      <c r="M432" s="857" t="n"/>
      <c r="N432" s="857" t="n"/>
      <c r="O432" s="845" t="n"/>
      <c r="P432" s="845" t="n"/>
      <c r="Q432" s="845" t="n"/>
      <c r="R432" s="845" t="n"/>
      <c r="S432" s="845" t="n"/>
      <c r="T432" s="845" t="n"/>
      <c r="U432" s="845" t="n"/>
      <c r="V432" s="845" t="n"/>
      <c r="W432" s="845" t="n"/>
      <c r="X432" s="845" t="n"/>
      <c r="Y432" s="845" t="n"/>
      <c r="Z432" s="845" t="n"/>
    </row>
    <row r="433">
      <c r="A433" s="845" t="n"/>
      <c r="B433" s="857" t="n"/>
      <c r="C433" s="857" t="n"/>
      <c r="D433" s="857" t="n"/>
      <c r="E433" s="857" t="n"/>
      <c r="F433" s="857" t="n"/>
      <c r="G433" s="858" t="n"/>
      <c r="H433" s="857" t="n"/>
      <c r="I433" s="857" t="n"/>
      <c r="J433" s="857" t="n"/>
      <c r="K433" s="857" t="n"/>
      <c r="L433" s="857" t="n"/>
      <c r="M433" s="857" t="n"/>
      <c r="N433" s="857" t="n"/>
      <c r="O433" s="845" t="n"/>
      <c r="P433" s="845" t="n"/>
      <c r="Q433" s="845" t="n"/>
      <c r="R433" s="845" t="n"/>
      <c r="S433" s="845" t="n"/>
      <c r="T433" s="845" t="n"/>
      <c r="U433" s="845" t="n"/>
      <c r="V433" s="845" t="n"/>
      <c r="W433" s="845" t="n"/>
      <c r="X433" s="845" t="n"/>
      <c r="Y433" s="845" t="n"/>
      <c r="Z433" s="845" t="n"/>
    </row>
    <row r="434">
      <c r="A434" s="845" t="n"/>
      <c r="B434" s="857" t="n"/>
      <c r="C434" s="857" t="n"/>
      <c r="D434" s="857" t="n"/>
      <c r="E434" s="857" t="n"/>
      <c r="F434" s="857" t="n"/>
      <c r="G434" s="858" t="n"/>
      <c r="H434" s="857" t="n"/>
      <c r="I434" s="857" t="n"/>
      <c r="J434" s="857" t="n"/>
      <c r="K434" s="857" t="n"/>
      <c r="L434" s="857" t="n"/>
      <c r="M434" s="857" t="n"/>
      <c r="N434" s="857" t="n"/>
      <c r="O434" s="845" t="n"/>
      <c r="P434" s="845" t="n"/>
      <c r="Q434" s="845" t="n"/>
      <c r="R434" s="845" t="n"/>
      <c r="S434" s="845" t="n"/>
      <c r="T434" s="845" t="n"/>
      <c r="U434" s="845" t="n"/>
      <c r="V434" s="845" t="n"/>
      <c r="W434" s="845" t="n"/>
      <c r="X434" s="845" t="n"/>
      <c r="Y434" s="845" t="n"/>
      <c r="Z434" s="845" t="n"/>
    </row>
    <row r="435">
      <c r="A435" s="845" t="n"/>
      <c r="B435" s="857" t="n"/>
      <c r="C435" s="857" t="n"/>
      <c r="D435" s="857" t="n"/>
      <c r="E435" s="857" t="n"/>
      <c r="F435" s="857" t="n"/>
      <c r="G435" s="858" t="n"/>
      <c r="H435" s="857" t="n"/>
      <c r="I435" s="857" t="n"/>
      <c r="J435" s="857" t="n"/>
      <c r="K435" s="857" t="n"/>
      <c r="L435" s="857" t="n"/>
      <c r="M435" s="857" t="n"/>
      <c r="N435" s="857" t="n"/>
      <c r="O435" s="845" t="n"/>
      <c r="P435" s="845" t="n"/>
      <c r="Q435" s="845" t="n"/>
      <c r="R435" s="845" t="n"/>
      <c r="S435" s="845" t="n"/>
      <c r="T435" s="845" t="n"/>
      <c r="U435" s="845" t="n"/>
      <c r="V435" s="845" t="n"/>
      <c r="W435" s="845" t="n"/>
      <c r="X435" s="845" t="n"/>
      <c r="Y435" s="845" t="n"/>
      <c r="Z435" s="845" t="n"/>
    </row>
    <row r="436">
      <c r="A436" s="845" t="n"/>
      <c r="B436" s="857" t="n"/>
      <c r="C436" s="857" t="n"/>
      <c r="D436" s="857" t="n"/>
      <c r="E436" s="857" t="n"/>
      <c r="F436" s="857" t="n"/>
      <c r="G436" s="858" t="n"/>
      <c r="H436" s="857" t="n"/>
      <c r="I436" s="857" t="n"/>
      <c r="J436" s="857" t="n"/>
      <c r="K436" s="857" t="n"/>
      <c r="L436" s="857" t="n"/>
      <c r="M436" s="857" t="n"/>
      <c r="N436" s="857" t="n"/>
      <c r="O436" s="845" t="n"/>
      <c r="P436" s="845" t="n"/>
      <c r="Q436" s="845" t="n"/>
      <c r="R436" s="845" t="n"/>
      <c r="S436" s="845" t="n"/>
      <c r="T436" s="845" t="n"/>
      <c r="U436" s="845" t="n"/>
      <c r="V436" s="845" t="n"/>
      <c r="W436" s="845" t="n"/>
      <c r="X436" s="845" t="n"/>
      <c r="Y436" s="845" t="n"/>
      <c r="Z436" s="845" t="n"/>
    </row>
    <row r="437">
      <c r="A437" s="845" t="n"/>
      <c r="B437" s="857" t="n"/>
      <c r="C437" s="857" t="n"/>
      <c r="D437" s="857" t="n"/>
      <c r="E437" s="857" t="n"/>
      <c r="F437" s="857" t="n"/>
      <c r="G437" s="858" t="n"/>
      <c r="H437" s="857" t="n"/>
      <c r="I437" s="857" t="n"/>
      <c r="J437" s="857" t="n"/>
      <c r="K437" s="857" t="n"/>
      <c r="L437" s="857" t="n"/>
      <c r="M437" s="857" t="n"/>
      <c r="N437" s="857" t="n"/>
      <c r="O437" s="845" t="n"/>
      <c r="P437" s="845" t="n"/>
      <c r="Q437" s="845" t="n"/>
      <c r="R437" s="845" t="n"/>
      <c r="S437" s="845" t="n"/>
      <c r="T437" s="845" t="n"/>
      <c r="U437" s="845" t="n"/>
      <c r="V437" s="845" t="n"/>
      <c r="W437" s="845" t="n"/>
      <c r="X437" s="845" t="n"/>
      <c r="Y437" s="845" t="n"/>
      <c r="Z437" s="845" t="n"/>
    </row>
    <row r="438">
      <c r="A438" s="845" t="n"/>
      <c r="B438" s="857" t="n"/>
      <c r="C438" s="857" t="n"/>
      <c r="D438" s="857" t="n"/>
      <c r="E438" s="857" t="n"/>
      <c r="F438" s="857" t="n"/>
      <c r="G438" s="858" t="n"/>
      <c r="H438" s="857" t="n"/>
      <c r="I438" s="857" t="n"/>
      <c r="J438" s="857" t="n"/>
      <c r="K438" s="857" t="n"/>
      <c r="L438" s="857" t="n"/>
      <c r="M438" s="857" t="n"/>
      <c r="N438" s="857" t="n"/>
      <c r="O438" s="845" t="n"/>
      <c r="P438" s="845" t="n"/>
      <c r="Q438" s="845" t="n"/>
      <c r="R438" s="845" t="n"/>
      <c r="S438" s="845" t="n"/>
      <c r="T438" s="845" t="n"/>
      <c r="U438" s="845" t="n"/>
      <c r="V438" s="845" t="n"/>
      <c r="W438" s="845" t="n"/>
      <c r="X438" s="845" t="n"/>
      <c r="Y438" s="845" t="n"/>
      <c r="Z438" s="845" t="n"/>
    </row>
    <row r="439">
      <c r="A439" s="845" t="n"/>
      <c r="B439" s="857" t="n"/>
      <c r="C439" s="857" t="n"/>
      <c r="D439" s="857" t="n"/>
      <c r="E439" s="857" t="n"/>
      <c r="F439" s="857" t="n"/>
      <c r="G439" s="858" t="n"/>
      <c r="H439" s="857" t="n"/>
      <c r="I439" s="857" t="n"/>
      <c r="J439" s="857" t="n"/>
      <c r="K439" s="857" t="n"/>
      <c r="L439" s="857" t="n"/>
      <c r="M439" s="857" t="n"/>
      <c r="N439" s="857" t="n"/>
      <c r="O439" s="845" t="n"/>
      <c r="P439" s="845" t="n"/>
      <c r="Q439" s="845" t="n"/>
      <c r="R439" s="845" t="n"/>
      <c r="S439" s="845" t="n"/>
      <c r="T439" s="845" t="n"/>
      <c r="U439" s="845" t="n"/>
      <c r="V439" s="845" t="n"/>
      <c r="W439" s="845" t="n"/>
      <c r="X439" s="845" t="n"/>
      <c r="Y439" s="845" t="n"/>
      <c r="Z439" s="845" t="n"/>
    </row>
    <row r="440">
      <c r="A440" s="845" t="n"/>
      <c r="B440" s="857" t="n"/>
      <c r="C440" s="857" t="n"/>
      <c r="D440" s="857" t="n"/>
      <c r="E440" s="857" t="n"/>
      <c r="F440" s="857" t="n"/>
      <c r="G440" s="858" t="n"/>
      <c r="H440" s="857" t="n"/>
      <c r="I440" s="857" t="n"/>
      <c r="J440" s="857" t="n"/>
      <c r="K440" s="857" t="n"/>
      <c r="L440" s="857" t="n"/>
      <c r="M440" s="857" t="n"/>
      <c r="N440" s="857" t="n"/>
      <c r="O440" s="845" t="n"/>
      <c r="P440" s="845" t="n"/>
      <c r="Q440" s="845" t="n"/>
      <c r="R440" s="845" t="n"/>
      <c r="S440" s="845" t="n"/>
      <c r="T440" s="845" t="n"/>
      <c r="U440" s="845" t="n"/>
      <c r="V440" s="845" t="n"/>
      <c r="W440" s="845" t="n"/>
      <c r="X440" s="845" t="n"/>
      <c r="Y440" s="845" t="n"/>
      <c r="Z440" s="845" t="n"/>
    </row>
    <row r="441">
      <c r="A441" s="845" t="n"/>
      <c r="B441" s="857" t="n"/>
      <c r="C441" s="857" t="n"/>
      <c r="D441" s="857" t="n"/>
      <c r="E441" s="857" t="n"/>
      <c r="F441" s="857" t="n"/>
      <c r="G441" s="858" t="n"/>
      <c r="H441" s="857" t="n"/>
      <c r="I441" s="857" t="n"/>
      <c r="J441" s="857" t="n"/>
      <c r="K441" s="857" t="n"/>
      <c r="L441" s="857" t="n"/>
      <c r="M441" s="857" t="n"/>
      <c r="N441" s="857" t="n"/>
      <c r="O441" s="845" t="n"/>
      <c r="P441" s="845" t="n"/>
      <c r="Q441" s="845" t="n"/>
      <c r="R441" s="845" t="n"/>
      <c r="S441" s="845" t="n"/>
      <c r="T441" s="845" t="n"/>
      <c r="U441" s="845" t="n"/>
      <c r="V441" s="845" t="n"/>
      <c r="W441" s="845" t="n"/>
      <c r="X441" s="845" t="n"/>
      <c r="Y441" s="845" t="n"/>
      <c r="Z441" s="845" t="n"/>
    </row>
    <row r="442">
      <c r="A442" s="845" t="n"/>
      <c r="B442" s="857" t="n"/>
      <c r="C442" s="857" t="n"/>
      <c r="D442" s="857" t="n"/>
      <c r="E442" s="857" t="n"/>
      <c r="F442" s="857" t="n"/>
      <c r="G442" s="858" t="n"/>
      <c r="H442" s="857" t="n"/>
      <c r="I442" s="857" t="n"/>
      <c r="J442" s="857" t="n"/>
      <c r="K442" s="857" t="n"/>
      <c r="L442" s="857" t="n"/>
      <c r="M442" s="857" t="n"/>
      <c r="N442" s="857" t="n"/>
      <c r="O442" s="845" t="n"/>
      <c r="P442" s="845" t="n"/>
      <c r="Q442" s="845" t="n"/>
      <c r="R442" s="845" t="n"/>
      <c r="S442" s="845" t="n"/>
      <c r="T442" s="845" t="n"/>
      <c r="U442" s="845" t="n"/>
      <c r="V442" s="845" t="n"/>
      <c r="W442" s="845" t="n"/>
      <c r="X442" s="845" t="n"/>
      <c r="Y442" s="845" t="n"/>
      <c r="Z442" s="845" t="n"/>
    </row>
    <row r="443">
      <c r="A443" s="845" t="n"/>
      <c r="B443" s="857" t="n"/>
      <c r="C443" s="857" t="n"/>
      <c r="D443" s="857" t="n"/>
      <c r="E443" s="857" t="n"/>
      <c r="F443" s="857" t="n"/>
      <c r="G443" s="858" t="n"/>
      <c r="H443" s="857" t="n"/>
      <c r="I443" s="857" t="n"/>
      <c r="J443" s="857" t="n"/>
      <c r="K443" s="857" t="n"/>
      <c r="L443" s="857" t="n"/>
      <c r="M443" s="857" t="n"/>
      <c r="N443" s="857" t="n"/>
      <c r="O443" s="845" t="n"/>
      <c r="P443" s="845" t="n"/>
      <c r="Q443" s="845" t="n"/>
      <c r="R443" s="845" t="n"/>
      <c r="S443" s="845" t="n"/>
      <c r="T443" s="845" t="n"/>
      <c r="U443" s="845" t="n"/>
      <c r="V443" s="845" t="n"/>
      <c r="W443" s="845" t="n"/>
      <c r="X443" s="845" t="n"/>
      <c r="Y443" s="845" t="n"/>
      <c r="Z443" s="845" t="n"/>
    </row>
    <row r="444">
      <c r="A444" s="845" t="n"/>
      <c r="B444" s="857" t="n"/>
      <c r="C444" s="857" t="n"/>
      <c r="D444" s="857" t="n"/>
      <c r="E444" s="857" t="n"/>
      <c r="F444" s="857" t="n"/>
      <c r="G444" s="858" t="n"/>
      <c r="H444" s="857" t="n"/>
      <c r="I444" s="857" t="n"/>
      <c r="J444" s="857" t="n"/>
      <c r="K444" s="857" t="n"/>
      <c r="L444" s="857" t="n"/>
      <c r="M444" s="857" t="n"/>
      <c r="N444" s="857" t="n"/>
      <c r="O444" s="845" t="n"/>
      <c r="P444" s="845" t="n"/>
      <c r="Q444" s="845" t="n"/>
      <c r="R444" s="845" t="n"/>
      <c r="S444" s="845" t="n"/>
      <c r="T444" s="845" t="n"/>
      <c r="U444" s="845" t="n"/>
      <c r="V444" s="845" t="n"/>
      <c r="W444" s="845" t="n"/>
      <c r="X444" s="845" t="n"/>
      <c r="Y444" s="845" t="n"/>
      <c r="Z444" s="845" t="n"/>
    </row>
    <row r="445">
      <c r="A445" s="845" t="n"/>
      <c r="B445" s="857" t="n"/>
      <c r="C445" s="857" t="n"/>
      <c r="D445" s="857" t="n"/>
      <c r="E445" s="857" t="n"/>
      <c r="F445" s="857" t="n"/>
      <c r="G445" s="858" t="n"/>
      <c r="H445" s="857" t="n"/>
      <c r="I445" s="857" t="n"/>
      <c r="J445" s="857" t="n"/>
      <c r="K445" s="857" t="n"/>
      <c r="L445" s="857" t="n"/>
      <c r="M445" s="857" t="n"/>
      <c r="N445" s="857" t="n"/>
      <c r="O445" s="845" t="n"/>
      <c r="P445" s="845" t="n"/>
      <c r="Q445" s="845" t="n"/>
      <c r="R445" s="845" t="n"/>
      <c r="S445" s="845" t="n"/>
      <c r="T445" s="845" t="n"/>
      <c r="U445" s="845" t="n"/>
      <c r="V445" s="845" t="n"/>
      <c r="W445" s="845" t="n"/>
      <c r="X445" s="845" t="n"/>
      <c r="Y445" s="845" t="n"/>
      <c r="Z445" s="845" t="n"/>
    </row>
    <row r="446">
      <c r="A446" s="845" t="n"/>
      <c r="B446" s="857" t="n"/>
      <c r="C446" s="857" t="n"/>
      <c r="D446" s="857" t="n"/>
      <c r="E446" s="857" t="n"/>
      <c r="F446" s="857" t="n"/>
      <c r="G446" s="858" t="n"/>
      <c r="H446" s="857" t="n"/>
      <c r="I446" s="857" t="n"/>
      <c r="J446" s="857" t="n"/>
      <c r="K446" s="857" t="n"/>
      <c r="L446" s="857" t="n"/>
      <c r="M446" s="857" t="n"/>
      <c r="N446" s="857" t="n"/>
      <c r="O446" s="845" t="n"/>
      <c r="P446" s="845" t="n"/>
      <c r="Q446" s="845" t="n"/>
      <c r="R446" s="845" t="n"/>
      <c r="S446" s="845" t="n"/>
      <c r="T446" s="845" t="n"/>
      <c r="U446" s="845" t="n"/>
      <c r="V446" s="845" t="n"/>
      <c r="W446" s="845" t="n"/>
      <c r="X446" s="845" t="n"/>
      <c r="Y446" s="845" t="n"/>
      <c r="Z446" s="845" t="n"/>
    </row>
    <row r="447">
      <c r="A447" s="845" t="n"/>
      <c r="B447" s="857" t="n"/>
      <c r="C447" s="857" t="n"/>
      <c r="D447" s="857" t="n"/>
      <c r="E447" s="857" t="n"/>
      <c r="F447" s="857" t="n"/>
      <c r="G447" s="858" t="n"/>
      <c r="H447" s="857" t="n"/>
      <c r="I447" s="857" t="n"/>
      <c r="J447" s="857" t="n"/>
      <c r="K447" s="857" t="n"/>
      <c r="L447" s="857" t="n"/>
      <c r="M447" s="857" t="n"/>
      <c r="N447" s="857" t="n"/>
      <c r="O447" s="845" t="n"/>
      <c r="P447" s="845" t="n"/>
      <c r="Q447" s="845" t="n"/>
      <c r="R447" s="845" t="n"/>
      <c r="S447" s="845" t="n"/>
      <c r="T447" s="845" t="n"/>
      <c r="U447" s="845" t="n"/>
      <c r="V447" s="845" t="n"/>
      <c r="W447" s="845" t="n"/>
      <c r="X447" s="845" t="n"/>
      <c r="Y447" s="845" t="n"/>
      <c r="Z447" s="845" t="n"/>
    </row>
    <row r="448">
      <c r="A448" s="845" t="n"/>
      <c r="B448" s="857" t="n"/>
      <c r="C448" s="857" t="n"/>
      <c r="D448" s="857" t="n"/>
      <c r="E448" s="857" t="n"/>
      <c r="F448" s="857" t="n"/>
      <c r="G448" s="858" t="n"/>
      <c r="H448" s="857" t="n"/>
      <c r="I448" s="857" t="n"/>
      <c r="J448" s="857" t="n"/>
      <c r="K448" s="857" t="n"/>
      <c r="L448" s="857" t="n"/>
      <c r="M448" s="857" t="n"/>
      <c r="N448" s="857" t="n"/>
      <c r="O448" s="845" t="n"/>
      <c r="P448" s="845" t="n"/>
      <c r="Q448" s="845" t="n"/>
      <c r="R448" s="845" t="n"/>
      <c r="S448" s="845" t="n"/>
      <c r="T448" s="845" t="n"/>
      <c r="U448" s="845" t="n"/>
      <c r="V448" s="845" t="n"/>
      <c r="W448" s="845" t="n"/>
      <c r="X448" s="845" t="n"/>
      <c r="Y448" s="845" t="n"/>
      <c r="Z448" s="845" t="n"/>
    </row>
    <row r="449">
      <c r="A449" s="845" t="n"/>
      <c r="B449" s="857" t="n"/>
      <c r="C449" s="857" t="n"/>
      <c r="D449" s="857" t="n"/>
      <c r="E449" s="857" t="n"/>
      <c r="F449" s="857" t="n"/>
      <c r="G449" s="858" t="n"/>
      <c r="H449" s="857" t="n"/>
      <c r="I449" s="857" t="n"/>
      <c r="J449" s="857" t="n"/>
      <c r="K449" s="857" t="n"/>
      <c r="L449" s="857" t="n"/>
      <c r="M449" s="857" t="n"/>
      <c r="N449" s="857" t="n"/>
      <c r="O449" s="845" t="n"/>
      <c r="P449" s="845" t="n"/>
      <c r="Q449" s="845" t="n"/>
      <c r="R449" s="845" t="n"/>
      <c r="S449" s="845" t="n"/>
      <c r="T449" s="845" t="n"/>
      <c r="U449" s="845" t="n"/>
      <c r="V449" s="845" t="n"/>
      <c r="W449" s="845" t="n"/>
      <c r="X449" s="845" t="n"/>
      <c r="Y449" s="845" t="n"/>
      <c r="Z449" s="845" t="n"/>
    </row>
    <row r="450">
      <c r="A450" s="845" t="n"/>
      <c r="B450" s="857" t="n"/>
      <c r="C450" s="857" t="n"/>
      <c r="D450" s="857" t="n"/>
      <c r="E450" s="857" t="n"/>
      <c r="F450" s="857" t="n"/>
      <c r="G450" s="858" t="n"/>
      <c r="H450" s="857" t="n"/>
      <c r="I450" s="857" t="n"/>
      <c r="J450" s="857" t="n"/>
      <c r="K450" s="857" t="n"/>
      <c r="L450" s="857" t="n"/>
      <c r="M450" s="857" t="n"/>
      <c r="N450" s="857" t="n"/>
      <c r="O450" s="845" t="n"/>
      <c r="P450" s="845" t="n"/>
      <c r="Q450" s="845" t="n"/>
      <c r="R450" s="845" t="n"/>
      <c r="S450" s="845" t="n"/>
      <c r="T450" s="845" t="n"/>
      <c r="U450" s="845" t="n"/>
      <c r="V450" s="845" t="n"/>
      <c r="W450" s="845" t="n"/>
      <c r="X450" s="845" t="n"/>
      <c r="Y450" s="845" t="n"/>
      <c r="Z450" s="845" t="n"/>
    </row>
    <row r="451">
      <c r="A451" s="845" t="n"/>
      <c r="B451" s="857" t="n"/>
      <c r="C451" s="857" t="n"/>
      <c r="D451" s="857" t="n"/>
      <c r="E451" s="857" t="n"/>
      <c r="F451" s="857" t="n"/>
      <c r="G451" s="858" t="n"/>
      <c r="H451" s="857" t="n"/>
      <c r="I451" s="857" t="n"/>
      <c r="J451" s="857" t="n"/>
      <c r="K451" s="857" t="n"/>
      <c r="L451" s="857" t="n"/>
      <c r="M451" s="857" t="n"/>
      <c r="N451" s="857" t="n"/>
      <c r="O451" s="845" t="n"/>
      <c r="P451" s="845" t="n"/>
      <c r="Q451" s="845" t="n"/>
      <c r="R451" s="845" t="n"/>
      <c r="S451" s="845" t="n"/>
      <c r="T451" s="845" t="n"/>
      <c r="U451" s="845" t="n"/>
      <c r="V451" s="845" t="n"/>
      <c r="W451" s="845" t="n"/>
      <c r="X451" s="845" t="n"/>
      <c r="Y451" s="845" t="n"/>
      <c r="Z451" s="845" t="n"/>
    </row>
    <row r="452">
      <c r="A452" s="845" t="n"/>
      <c r="B452" s="857" t="n"/>
      <c r="C452" s="857" t="n"/>
      <c r="D452" s="857" t="n"/>
      <c r="E452" s="857" t="n"/>
      <c r="F452" s="857" t="n"/>
      <c r="G452" s="858" t="n"/>
      <c r="H452" s="857" t="n"/>
      <c r="I452" s="857" t="n"/>
      <c r="J452" s="857" t="n"/>
      <c r="K452" s="857" t="n"/>
      <c r="L452" s="857" t="n"/>
      <c r="M452" s="857" t="n"/>
      <c r="N452" s="857" t="n"/>
      <c r="O452" s="845" t="n"/>
      <c r="P452" s="845" t="n"/>
      <c r="Q452" s="845" t="n"/>
      <c r="R452" s="845" t="n"/>
      <c r="S452" s="845" t="n"/>
      <c r="T452" s="845" t="n"/>
      <c r="U452" s="845" t="n"/>
      <c r="V452" s="845" t="n"/>
      <c r="W452" s="845" t="n"/>
      <c r="X452" s="845" t="n"/>
      <c r="Y452" s="845" t="n"/>
      <c r="Z452" s="845" t="n"/>
    </row>
    <row r="453">
      <c r="A453" s="845" t="n"/>
      <c r="B453" s="857" t="n"/>
      <c r="C453" s="857" t="n"/>
      <c r="D453" s="857" t="n"/>
      <c r="E453" s="857" t="n"/>
      <c r="F453" s="857" t="n"/>
      <c r="G453" s="858" t="n"/>
      <c r="H453" s="857" t="n"/>
      <c r="I453" s="857" t="n"/>
      <c r="J453" s="857" t="n"/>
      <c r="K453" s="857" t="n"/>
      <c r="L453" s="857" t="n"/>
      <c r="M453" s="857" t="n"/>
      <c r="N453" s="857" t="n"/>
      <c r="O453" s="845" t="n"/>
      <c r="P453" s="845" t="n"/>
      <c r="Q453" s="845" t="n"/>
      <c r="R453" s="845" t="n"/>
      <c r="S453" s="845" t="n"/>
      <c r="T453" s="845" t="n"/>
      <c r="U453" s="845" t="n"/>
      <c r="V453" s="845" t="n"/>
      <c r="W453" s="845" t="n"/>
      <c r="X453" s="845" t="n"/>
      <c r="Y453" s="845" t="n"/>
      <c r="Z453" s="845" t="n"/>
    </row>
    <row r="454">
      <c r="A454" s="845" t="n"/>
      <c r="B454" s="857" t="n"/>
      <c r="C454" s="857" t="n"/>
      <c r="D454" s="857" t="n"/>
      <c r="E454" s="857" t="n"/>
      <c r="F454" s="857" t="n"/>
      <c r="G454" s="858" t="n"/>
      <c r="H454" s="857" t="n"/>
      <c r="I454" s="857" t="n"/>
      <c r="J454" s="857" t="n"/>
      <c r="K454" s="857" t="n"/>
      <c r="L454" s="857" t="n"/>
      <c r="M454" s="857" t="n"/>
      <c r="N454" s="857" t="n"/>
      <c r="O454" s="845" t="n"/>
      <c r="P454" s="845" t="n"/>
      <c r="Q454" s="845" t="n"/>
      <c r="R454" s="845" t="n"/>
      <c r="S454" s="845" t="n"/>
      <c r="T454" s="845" t="n"/>
      <c r="U454" s="845" t="n"/>
      <c r="V454" s="845" t="n"/>
      <c r="W454" s="845" t="n"/>
      <c r="X454" s="845" t="n"/>
      <c r="Y454" s="845" t="n"/>
      <c r="Z454" s="845" t="n"/>
    </row>
    <row r="455">
      <c r="A455" s="845" t="n"/>
      <c r="B455" s="857" t="n"/>
      <c r="C455" s="857" t="n"/>
      <c r="D455" s="857" t="n"/>
      <c r="E455" s="857" t="n"/>
      <c r="F455" s="857" t="n"/>
      <c r="G455" s="858" t="n"/>
      <c r="H455" s="857" t="n"/>
      <c r="I455" s="857" t="n"/>
      <c r="J455" s="857" t="n"/>
      <c r="K455" s="857" t="n"/>
      <c r="L455" s="857" t="n"/>
      <c r="M455" s="857" t="n"/>
      <c r="N455" s="857" t="n"/>
      <c r="O455" s="845" t="n"/>
      <c r="P455" s="845" t="n"/>
      <c r="Q455" s="845" t="n"/>
      <c r="R455" s="845" t="n"/>
      <c r="S455" s="845" t="n"/>
      <c r="T455" s="845" t="n"/>
      <c r="U455" s="845" t="n"/>
      <c r="V455" s="845" t="n"/>
      <c r="W455" s="845" t="n"/>
      <c r="X455" s="845" t="n"/>
      <c r="Y455" s="845" t="n"/>
      <c r="Z455" s="845" t="n"/>
    </row>
    <row r="456">
      <c r="A456" s="845" t="n"/>
      <c r="B456" s="857" t="n"/>
      <c r="C456" s="857" t="n"/>
      <c r="D456" s="857" t="n"/>
      <c r="E456" s="857" t="n"/>
      <c r="F456" s="857" t="n"/>
      <c r="G456" s="858" t="n"/>
      <c r="H456" s="857" t="n"/>
      <c r="I456" s="857" t="n"/>
      <c r="J456" s="857" t="n"/>
      <c r="K456" s="857" t="n"/>
      <c r="L456" s="857" t="n"/>
      <c r="M456" s="857" t="n"/>
      <c r="N456" s="857" t="n"/>
      <c r="O456" s="845" t="n"/>
      <c r="P456" s="845" t="n"/>
      <c r="Q456" s="845" t="n"/>
      <c r="R456" s="845" t="n"/>
      <c r="S456" s="845" t="n"/>
      <c r="T456" s="845" t="n"/>
      <c r="U456" s="845" t="n"/>
      <c r="V456" s="845" t="n"/>
      <c r="W456" s="845" t="n"/>
      <c r="X456" s="845" t="n"/>
      <c r="Y456" s="845" t="n"/>
      <c r="Z456" s="845" t="n"/>
    </row>
    <row r="457">
      <c r="A457" s="845" t="n"/>
      <c r="B457" s="857" t="n"/>
      <c r="C457" s="857" t="n"/>
      <c r="D457" s="857" t="n"/>
      <c r="E457" s="857" t="n"/>
      <c r="F457" s="857" t="n"/>
      <c r="G457" s="858" t="n"/>
      <c r="H457" s="857" t="n"/>
      <c r="I457" s="857" t="n"/>
      <c r="J457" s="857" t="n"/>
      <c r="K457" s="857" t="n"/>
      <c r="L457" s="857" t="n"/>
      <c r="M457" s="857" t="n"/>
      <c r="N457" s="857" t="n"/>
      <c r="O457" s="845" t="n"/>
      <c r="P457" s="845" t="n"/>
      <c r="Q457" s="845" t="n"/>
      <c r="R457" s="845" t="n"/>
      <c r="S457" s="845" t="n"/>
      <c r="T457" s="845" t="n"/>
      <c r="U457" s="845" t="n"/>
      <c r="V457" s="845" t="n"/>
      <c r="W457" s="845" t="n"/>
      <c r="X457" s="845" t="n"/>
      <c r="Y457" s="845" t="n"/>
      <c r="Z457" s="845" t="n"/>
    </row>
    <row r="458">
      <c r="A458" s="845" t="n"/>
      <c r="B458" s="857" t="n"/>
      <c r="C458" s="857" t="n"/>
      <c r="D458" s="857" t="n"/>
      <c r="E458" s="857" t="n"/>
      <c r="F458" s="857" t="n"/>
      <c r="G458" s="858" t="n"/>
      <c r="H458" s="857" t="n"/>
      <c r="I458" s="857" t="n"/>
      <c r="J458" s="857" t="n"/>
      <c r="K458" s="857" t="n"/>
      <c r="L458" s="857" t="n"/>
      <c r="M458" s="857" t="n"/>
      <c r="N458" s="857" t="n"/>
      <c r="O458" s="845" t="n"/>
      <c r="P458" s="845" t="n"/>
      <c r="Q458" s="845" t="n"/>
      <c r="R458" s="845" t="n"/>
      <c r="S458" s="845" t="n"/>
      <c r="T458" s="845" t="n"/>
      <c r="U458" s="845" t="n"/>
      <c r="V458" s="845" t="n"/>
      <c r="W458" s="845" t="n"/>
      <c r="X458" s="845" t="n"/>
      <c r="Y458" s="845" t="n"/>
      <c r="Z458" s="845" t="n"/>
    </row>
    <row r="459">
      <c r="A459" s="845" t="n"/>
      <c r="B459" s="857" t="n"/>
      <c r="C459" s="857" t="n"/>
      <c r="D459" s="857" t="n"/>
      <c r="E459" s="857" t="n"/>
      <c r="F459" s="857" t="n"/>
      <c r="G459" s="858" t="n"/>
      <c r="H459" s="857" t="n"/>
      <c r="I459" s="857" t="n"/>
      <c r="J459" s="857" t="n"/>
      <c r="K459" s="857" t="n"/>
      <c r="L459" s="857" t="n"/>
      <c r="M459" s="857" t="n"/>
      <c r="N459" s="857" t="n"/>
      <c r="O459" s="845" t="n"/>
      <c r="P459" s="845" t="n"/>
      <c r="Q459" s="845" t="n"/>
      <c r="R459" s="845" t="n"/>
      <c r="S459" s="845" t="n"/>
      <c r="T459" s="845" t="n"/>
      <c r="U459" s="845" t="n"/>
      <c r="V459" s="845" t="n"/>
      <c r="W459" s="845" t="n"/>
      <c r="X459" s="845" t="n"/>
      <c r="Y459" s="845" t="n"/>
      <c r="Z459" s="845" t="n"/>
    </row>
    <row r="460">
      <c r="A460" s="845" t="n"/>
      <c r="B460" s="857" t="n"/>
      <c r="C460" s="857" t="n"/>
      <c r="D460" s="857" t="n"/>
      <c r="E460" s="857" t="n"/>
      <c r="F460" s="857" t="n"/>
      <c r="G460" s="858" t="n"/>
      <c r="H460" s="857" t="n"/>
      <c r="I460" s="857" t="n"/>
      <c r="J460" s="857" t="n"/>
      <c r="K460" s="857" t="n"/>
      <c r="L460" s="857" t="n"/>
      <c r="M460" s="857" t="n"/>
      <c r="N460" s="857" t="n"/>
      <c r="O460" s="845" t="n"/>
      <c r="P460" s="845" t="n"/>
      <c r="Q460" s="845" t="n"/>
      <c r="R460" s="845" t="n"/>
      <c r="S460" s="845" t="n"/>
      <c r="T460" s="845" t="n"/>
      <c r="U460" s="845" t="n"/>
      <c r="V460" s="845" t="n"/>
      <c r="W460" s="845" t="n"/>
      <c r="X460" s="845" t="n"/>
      <c r="Y460" s="845" t="n"/>
      <c r="Z460" s="845" t="n"/>
    </row>
    <row r="461">
      <c r="A461" s="845" t="n"/>
      <c r="B461" s="857" t="n"/>
      <c r="C461" s="857" t="n"/>
      <c r="D461" s="857" t="n"/>
      <c r="E461" s="857" t="n"/>
      <c r="F461" s="857" t="n"/>
      <c r="G461" s="858" t="n"/>
      <c r="H461" s="857" t="n"/>
      <c r="I461" s="857" t="n"/>
      <c r="J461" s="857" t="n"/>
      <c r="K461" s="857" t="n"/>
      <c r="L461" s="857" t="n"/>
      <c r="M461" s="857" t="n"/>
      <c r="N461" s="857" t="n"/>
      <c r="O461" s="845" t="n"/>
      <c r="P461" s="845" t="n"/>
      <c r="Q461" s="845" t="n"/>
      <c r="R461" s="845" t="n"/>
      <c r="S461" s="845" t="n"/>
      <c r="T461" s="845" t="n"/>
      <c r="U461" s="845" t="n"/>
      <c r="V461" s="845" t="n"/>
      <c r="W461" s="845" t="n"/>
      <c r="X461" s="845" t="n"/>
      <c r="Y461" s="845" t="n"/>
      <c r="Z461" s="845" t="n"/>
    </row>
    <row r="462">
      <c r="A462" s="845" t="n"/>
      <c r="B462" s="857" t="n"/>
      <c r="C462" s="857" t="n"/>
      <c r="D462" s="857" t="n"/>
      <c r="E462" s="857" t="n"/>
      <c r="F462" s="857" t="n"/>
      <c r="G462" s="858" t="n"/>
      <c r="H462" s="857" t="n"/>
      <c r="I462" s="857" t="n"/>
      <c r="J462" s="857" t="n"/>
      <c r="K462" s="857" t="n"/>
      <c r="L462" s="857" t="n"/>
      <c r="M462" s="857" t="n"/>
      <c r="N462" s="857" t="n"/>
      <c r="O462" s="845" t="n"/>
      <c r="P462" s="845" t="n"/>
      <c r="Q462" s="845" t="n"/>
      <c r="R462" s="845" t="n"/>
      <c r="S462" s="845" t="n"/>
      <c r="T462" s="845" t="n"/>
      <c r="U462" s="845" t="n"/>
      <c r="V462" s="845" t="n"/>
      <c r="W462" s="845" t="n"/>
      <c r="X462" s="845" t="n"/>
      <c r="Y462" s="845" t="n"/>
      <c r="Z462" s="845" t="n"/>
    </row>
    <row r="463">
      <c r="A463" s="845" t="n"/>
      <c r="B463" s="857" t="n"/>
      <c r="C463" s="857" t="n"/>
      <c r="D463" s="857" t="n"/>
      <c r="E463" s="857" t="n"/>
      <c r="F463" s="857" t="n"/>
      <c r="G463" s="858" t="n"/>
      <c r="H463" s="857" t="n"/>
      <c r="I463" s="857" t="n"/>
      <c r="J463" s="857" t="n"/>
      <c r="K463" s="857" t="n"/>
      <c r="L463" s="857" t="n"/>
      <c r="M463" s="857" t="n"/>
      <c r="N463" s="857" t="n"/>
      <c r="O463" s="845" t="n"/>
      <c r="P463" s="845" t="n"/>
      <c r="Q463" s="845" t="n"/>
      <c r="R463" s="845" t="n"/>
      <c r="S463" s="845" t="n"/>
      <c r="T463" s="845" t="n"/>
      <c r="U463" s="845" t="n"/>
      <c r="V463" s="845" t="n"/>
      <c r="W463" s="845" t="n"/>
      <c r="X463" s="845" t="n"/>
      <c r="Y463" s="845" t="n"/>
      <c r="Z463" s="845" t="n"/>
    </row>
    <row r="464">
      <c r="A464" s="845" t="n"/>
      <c r="B464" s="857" t="n"/>
      <c r="C464" s="857" t="n"/>
      <c r="D464" s="857" t="n"/>
      <c r="E464" s="857" t="n"/>
      <c r="F464" s="857" t="n"/>
      <c r="G464" s="858" t="n"/>
      <c r="H464" s="857" t="n"/>
      <c r="I464" s="857" t="n"/>
      <c r="J464" s="857" t="n"/>
      <c r="K464" s="857" t="n"/>
      <c r="L464" s="857" t="n"/>
      <c r="M464" s="857" t="n"/>
      <c r="N464" s="857" t="n"/>
      <c r="O464" s="845" t="n"/>
      <c r="P464" s="845" t="n"/>
      <c r="Q464" s="845" t="n"/>
      <c r="R464" s="845" t="n"/>
      <c r="S464" s="845" t="n"/>
      <c r="T464" s="845" t="n"/>
      <c r="U464" s="845" t="n"/>
      <c r="V464" s="845" t="n"/>
      <c r="W464" s="845" t="n"/>
      <c r="X464" s="845" t="n"/>
      <c r="Y464" s="845" t="n"/>
      <c r="Z464" s="845" t="n"/>
    </row>
    <row r="465">
      <c r="A465" s="845" t="n"/>
      <c r="B465" s="857" t="n"/>
      <c r="C465" s="857" t="n"/>
      <c r="D465" s="857" t="n"/>
      <c r="E465" s="857" t="n"/>
      <c r="F465" s="857" t="n"/>
      <c r="G465" s="858" t="n"/>
      <c r="H465" s="857" t="n"/>
      <c r="I465" s="857" t="n"/>
      <c r="J465" s="857" t="n"/>
      <c r="K465" s="857" t="n"/>
      <c r="L465" s="857" t="n"/>
      <c r="M465" s="857" t="n"/>
      <c r="N465" s="857" t="n"/>
      <c r="O465" s="845" t="n"/>
      <c r="P465" s="845" t="n"/>
      <c r="Q465" s="845" t="n"/>
      <c r="R465" s="845" t="n"/>
      <c r="S465" s="845" t="n"/>
      <c r="T465" s="845" t="n"/>
      <c r="U465" s="845" t="n"/>
      <c r="V465" s="845" t="n"/>
      <c r="W465" s="845" t="n"/>
      <c r="X465" s="845" t="n"/>
      <c r="Y465" s="845" t="n"/>
      <c r="Z465" s="845" t="n"/>
    </row>
    <row r="466">
      <c r="A466" s="845" t="n"/>
      <c r="B466" s="857" t="n"/>
      <c r="C466" s="857" t="n"/>
      <c r="D466" s="857" t="n"/>
      <c r="E466" s="857" t="n"/>
      <c r="F466" s="857" t="n"/>
      <c r="G466" s="858" t="n"/>
      <c r="H466" s="857" t="n"/>
      <c r="I466" s="857" t="n"/>
      <c r="J466" s="857" t="n"/>
      <c r="K466" s="857" t="n"/>
      <c r="L466" s="857" t="n"/>
      <c r="M466" s="857" t="n"/>
      <c r="N466" s="857" t="n"/>
      <c r="O466" s="845" t="n"/>
      <c r="P466" s="845" t="n"/>
      <c r="Q466" s="845" t="n"/>
      <c r="R466" s="845" t="n"/>
      <c r="S466" s="845" t="n"/>
      <c r="T466" s="845" t="n"/>
      <c r="U466" s="845" t="n"/>
      <c r="V466" s="845" t="n"/>
      <c r="W466" s="845" t="n"/>
      <c r="X466" s="845" t="n"/>
      <c r="Y466" s="845" t="n"/>
      <c r="Z466" s="845" t="n"/>
    </row>
    <row r="467">
      <c r="A467" s="845" t="n"/>
      <c r="B467" s="857" t="n"/>
      <c r="C467" s="857" t="n"/>
      <c r="D467" s="857" t="n"/>
      <c r="E467" s="857" t="n"/>
      <c r="F467" s="857" t="n"/>
      <c r="G467" s="858" t="n"/>
      <c r="H467" s="857" t="n"/>
      <c r="I467" s="857" t="n"/>
      <c r="J467" s="857" t="n"/>
      <c r="K467" s="857" t="n"/>
      <c r="L467" s="857" t="n"/>
      <c r="M467" s="857" t="n"/>
      <c r="N467" s="857" t="n"/>
      <c r="O467" s="845" t="n"/>
      <c r="P467" s="845" t="n"/>
      <c r="Q467" s="845" t="n"/>
      <c r="R467" s="845" t="n"/>
      <c r="S467" s="845" t="n"/>
      <c r="T467" s="845" t="n"/>
      <c r="U467" s="845" t="n"/>
      <c r="V467" s="845" t="n"/>
      <c r="W467" s="845" t="n"/>
      <c r="X467" s="845" t="n"/>
      <c r="Y467" s="845" t="n"/>
      <c r="Z467" s="845" t="n"/>
    </row>
    <row r="468">
      <c r="A468" s="845" t="n"/>
      <c r="B468" s="857" t="n"/>
      <c r="C468" s="857" t="n"/>
      <c r="D468" s="857" t="n"/>
      <c r="E468" s="857" t="n"/>
      <c r="F468" s="857" t="n"/>
      <c r="G468" s="858" t="n"/>
      <c r="H468" s="857" t="n"/>
      <c r="I468" s="857" t="n"/>
      <c r="J468" s="857" t="n"/>
      <c r="K468" s="857" t="n"/>
      <c r="L468" s="857" t="n"/>
      <c r="M468" s="857" t="n"/>
      <c r="N468" s="857" t="n"/>
      <c r="O468" s="845" t="n"/>
      <c r="P468" s="845" t="n"/>
      <c r="Q468" s="845" t="n"/>
      <c r="R468" s="845" t="n"/>
      <c r="S468" s="845" t="n"/>
      <c r="T468" s="845" t="n"/>
      <c r="U468" s="845" t="n"/>
      <c r="V468" s="845" t="n"/>
      <c r="W468" s="845" t="n"/>
      <c r="X468" s="845" t="n"/>
      <c r="Y468" s="845" t="n"/>
      <c r="Z468" s="845" t="n"/>
    </row>
    <row r="469">
      <c r="A469" s="845" t="n"/>
      <c r="B469" s="857" t="n"/>
      <c r="C469" s="857" t="n"/>
      <c r="D469" s="857" t="n"/>
      <c r="E469" s="857" t="n"/>
      <c r="F469" s="857" t="n"/>
      <c r="G469" s="858" t="n"/>
      <c r="H469" s="857" t="n"/>
      <c r="I469" s="857" t="n"/>
      <c r="J469" s="857" t="n"/>
      <c r="K469" s="857" t="n"/>
      <c r="L469" s="857" t="n"/>
      <c r="M469" s="857" t="n"/>
      <c r="N469" s="857" t="n"/>
      <c r="O469" s="845" t="n"/>
      <c r="P469" s="845" t="n"/>
      <c r="Q469" s="845" t="n"/>
      <c r="R469" s="845" t="n"/>
      <c r="S469" s="845" t="n"/>
      <c r="T469" s="845" t="n"/>
      <c r="U469" s="845" t="n"/>
      <c r="V469" s="845" t="n"/>
      <c r="W469" s="845" t="n"/>
      <c r="X469" s="845" t="n"/>
      <c r="Y469" s="845" t="n"/>
      <c r="Z469" s="845" t="n"/>
    </row>
    <row r="470">
      <c r="A470" s="845" t="n"/>
      <c r="B470" s="857" t="n"/>
      <c r="C470" s="857" t="n"/>
      <c r="D470" s="857" t="n"/>
      <c r="E470" s="857" t="n"/>
      <c r="F470" s="857" t="n"/>
      <c r="G470" s="858" t="n"/>
      <c r="H470" s="857" t="n"/>
      <c r="I470" s="857" t="n"/>
      <c r="J470" s="857" t="n"/>
      <c r="K470" s="857" t="n"/>
      <c r="L470" s="857" t="n"/>
      <c r="M470" s="857" t="n"/>
      <c r="N470" s="857" t="n"/>
      <c r="O470" s="845" t="n"/>
      <c r="P470" s="845" t="n"/>
      <c r="Q470" s="845" t="n"/>
      <c r="R470" s="845" t="n"/>
      <c r="S470" s="845" t="n"/>
      <c r="T470" s="845" t="n"/>
      <c r="U470" s="845" t="n"/>
      <c r="V470" s="845" t="n"/>
      <c r="W470" s="845" t="n"/>
      <c r="X470" s="845" t="n"/>
      <c r="Y470" s="845" t="n"/>
      <c r="Z470" s="845" t="n"/>
    </row>
    <row r="471">
      <c r="A471" s="845" t="n"/>
      <c r="B471" s="857" t="n"/>
      <c r="C471" s="857" t="n"/>
      <c r="D471" s="857" t="n"/>
      <c r="E471" s="857" t="n"/>
      <c r="F471" s="857" t="n"/>
      <c r="G471" s="858" t="n"/>
      <c r="H471" s="857" t="n"/>
      <c r="I471" s="857" t="n"/>
      <c r="J471" s="857" t="n"/>
      <c r="K471" s="857" t="n"/>
      <c r="L471" s="857" t="n"/>
      <c r="M471" s="857" t="n"/>
      <c r="N471" s="857" t="n"/>
      <c r="O471" s="845" t="n"/>
      <c r="P471" s="845" t="n"/>
      <c r="Q471" s="845" t="n"/>
      <c r="R471" s="845" t="n"/>
      <c r="S471" s="845" t="n"/>
      <c r="T471" s="845" t="n"/>
      <c r="U471" s="845" t="n"/>
      <c r="V471" s="845" t="n"/>
      <c r="W471" s="845" t="n"/>
      <c r="X471" s="845" t="n"/>
      <c r="Y471" s="845" t="n"/>
      <c r="Z471" s="845" t="n"/>
    </row>
    <row r="472">
      <c r="A472" s="845" t="n"/>
      <c r="B472" s="857" t="n"/>
      <c r="C472" s="857" t="n"/>
      <c r="D472" s="857" t="n"/>
      <c r="E472" s="857" t="n"/>
      <c r="F472" s="857" t="n"/>
      <c r="G472" s="858" t="n"/>
      <c r="H472" s="857" t="n"/>
      <c r="I472" s="857" t="n"/>
      <c r="J472" s="857" t="n"/>
      <c r="K472" s="857" t="n"/>
      <c r="L472" s="857" t="n"/>
      <c r="M472" s="857" t="n"/>
      <c r="N472" s="857" t="n"/>
      <c r="O472" s="845" t="n"/>
      <c r="P472" s="845" t="n"/>
      <c r="Q472" s="845" t="n"/>
      <c r="R472" s="845" t="n"/>
      <c r="S472" s="845" t="n"/>
      <c r="T472" s="845" t="n"/>
      <c r="U472" s="845" t="n"/>
      <c r="V472" s="845" t="n"/>
      <c r="W472" s="845" t="n"/>
      <c r="X472" s="845" t="n"/>
      <c r="Y472" s="845" t="n"/>
      <c r="Z472" s="845" t="n"/>
    </row>
    <row r="473">
      <c r="A473" s="845" t="n"/>
      <c r="B473" s="857" t="n"/>
      <c r="C473" s="857" t="n"/>
      <c r="D473" s="857" t="n"/>
      <c r="E473" s="857" t="n"/>
      <c r="F473" s="857" t="n"/>
      <c r="G473" s="858" t="n"/>
      <c r="H473" s="857" t="n"/>
      <c r="I473" s="857" t="n"/>
      <c r="J473" s="857" t="n"/>
      <c r="K473" s="857" t="n"/>
      <c r="L473" s="857" t="n"/>
      <c r="M473" s="857" t="n"/>
      <c r="N473" s="857" t="n"/>
      <c r="O473" s="845" t="n"/>
      <c r="P473" s="845" t="n"/>
      <c r="Q473" s="845" t="n"/>
      <c r="R473" s="845" t="n"/>
      <c r="S473" s="845" t="n"/>
      <c r="T473" s="845" t="n"/>
      <c r="U473" s="845" t="n"/>
      <c r="V473" s="845" t="n"/>
      <c r="W473" s="845" t="n"/>
      <c r="X473" s="845" t="n"/>
      <c r="Y473" s="845" t="n"/>
      <c r="Z473" s="845" t="n"/>
    </row>
    <row r="474">
      <c r="A474" s="845" t="n"/>
      <c r="B474" s="857" t="n"/>
      <c r="C474" s="857" t="n"/>
      <c r="D474" s="857" t="n"/>
      <c r="E474" s="857" t="n"/>
      <c r="F474" s="857" t="n"/>
      <c r="G474" s="858" t="n"/>
      <c r="H474" s="857" t="n"/>
      <c r="I474" s="857" t="n"/>
      <c r="J474" s="857" t="n"/>
      <c r="K474" s="857" t="n"/>
      <c r="L474" s="857" t="n"/>
      <c r="M474" s="857" t="n"/>
      <c r="N474" s="857" t="n"/>
      <c r="O474" s="845" t="n"/>
      <c r="P474" s="845" t="n"/>
      <c r="Q474" s="845" t="n"/>
      <c r="R474" s="845" t="n"/>
      <c r="S474" s="845" t="n"/>
      <c r="T474" s="845" t="n"/>
      <c r="U474" s="845" t="n"/>
      <c r="V474" s="845" t="n"/>
      <c r="W474" s="845" t="n"/>
      <c r="X474" s="845" t="n"/>
      <c r="Y474" s="845" t="n"/>
      <c r="Z474" s="845" t="n"/>
    </row>
    <row r="475">
      <c r="A475" s="845" t="n"/>
      <c r="B475" s="857" t="n"/>
      <c r="C475" s="857" t="n"/>
      <c r="D475" s="857" t="n"/>
      <c r="E475" s="857" t="n"/>
      <c r="F475" s="857" t="n"/>
      <c r="G475" s="858" t="n"/>
      <c r="H475" s="857" t="n"/>
      <c r="I475" s="857" t="n"/>
      <c r="J475" s="857" t="n"/>
      <c r="K475" s="857" t="n"/>
      <c r="L475" s="857" t="n"/>
      <c r="M475" s="857" t="n"/>
      <c r="N475" s="857" t="n"/>
      <c r="O475" s="845" t="n"/>
      <c r="P475" s="845" t="n"/>
      <c r="Q475" s="845" t="n"/>
      <c r="R475" s="845" t="n"/>
      <c r="S475" s="845" t="n"/>
      <c r="T475" s="845" t="n"/>
      <c r="U475" s="845" t="n"/>
      <c r="V475" s="845" t="n"/>
      <c r="W475" s="845" t="n"/>
      <c r="X475" s="845" t="n"/>
      <c r="Y475" s="845" t="n"/>
      <c r="Z475" s="845" t="n"/>
    </row>
    <row r="476">
      <c r="A476" s="845" t="n"/>
      <c r="B476" s="857" t="n"/>
      <c r="C476" s="857" t="n"/>
      <c r="D476" s="857" t="n"/>
      <c r="E476" s="857" t="n"/>
      <c r="F476" s="857" t="n"/>
      <c r="G476" s="858" t="n"/>
      <c r="H476" s="857" t="n"/>
      <c r="I476" s="857" t="n"/>
      <c r="J476" s="857" t="n"/>
      <c r="K476" s="857" t="n"/>
      <c r="L476" s="857" t="n"/>
      <c r="M476" s="857" t="n"/>
      <c r="N476" s="857" t="n"/>
      <c r="O476" s="845" t="n"/>
      <c r="P476" s="845" t="n"/>
      <c r="Q476" s="845" t="n"/>
      <c r="R476" s="845" t="n"/>
      <c r="S476" s="845" t="n"/>
      <c r="T476" s="845" t="n"/>
      <c r="U476" s="845" t="n"/>
      <c r="V476" s="845" t="n"/>
      <c r="W476" s="845" t="n"/>
      <c r="X476" s="845" t="n"/>
      <c r="Y476" s="845" t="n"/>
      <c r="Z476" s="845" t="n"/>
    </row>
    <row r="477">
      <c r="A477" s="845" t="n"/>
      <c r="B477" s="857" t="n"/>
      <c r="C477" s="857" t="n"/>
      <c r="D477" s="857" t="n"/>
      <c r="E477" s="857" t="n"/>
      <c r="F477" s="857" t="n"/>
      <c r="G477" s="858" t="n"/>
      <c r="H477" s="857" t="n"/>
      <c r="I477" s="857" t="n"/>
      <c r="J477" s="857" t="n"/>
      <c r="K477" s="857" t="n"/>
      <c r="L477" s="857" t="n"/>
      <c r="M477" s="857" t="n"/>
      <c r="N477" s="857" t="n"/>
      <c r="O477" s="845" t="n"/>
      <c r="P477" s="845" t="n"/>
      <c r="Q477" s="845" t="n"/>
      <c r="R477" s="845" t="n"/>
      <c r="S477" s="845" t="n"/>
      <c r="T477" s="845" t="n"/>
      <c r="U477" s="845" t="n"/>
      <c r="V477" s="845" t="n"/>
      <c r="W477" s="845" t="n"/>
      <c r="X477" s="845" t="n"/>
      <c r="Y477" s="845" t="n"/>
      <c r="Z477" s="845" t="n"/>
    </row>
    <row r="478">
      <c r="A478" s="845" t="n"/>
      <c r="B478" s="857" t="n"/>
      <c r="C478" s="857" t="n"/>
      <c r="D478" s="857" t="n"/>
      <c r="E478" s="857" t="n"/>
      <c r="F478" s="857" t="n"/>
      <c r="G478" s="858" t="n"/>
      <c r="H478" s="857" t="n"/>
      <c r="I478" s="857" t="n"/>
      <c r="J478" s="857" t="n"/>
      <c r="K478" s="857" t="n"/>
      <c r="L478" s="857" t="n"/>
      <c r="M478" s="857" t="n"/>
      <c r="N478" s="857" t="n"/>
      <c r="O478" s="845" t="n"/>
      <c r="P478" s="845" t="n"/>
      <c r="Q478" s="845" t="n"/>
      <c r="R478" s="845" t="n"/>
      <c r="S478" s="845" t="n"/>
      <c r="T478" s="845" t="n"/>
      <c r="U478" s="845" t="n"/>
      <c r="V478" s="845" t="n"/>
      <c r="W478" s="845" t="n"/>
      <c r="X478" s="845" t="n"/>
      <c r="Y478" s="845" t="n"/>
      <c r="Z478" s="845" t="n"/>
    </row>
    <row r="479">
      <c r="A479" s="845" t="n"/>
      <c r="B479" s="857" t="n"/>
      <c r="C479" s="857" t="n"/>
      <c r="D479" s="857" t="n"/>
      <c r="E479" s="857" t="n"/>
      <c r="F479" s="857" t="n"/>
      <c r="G479" s="858" t="n"/>
      <c r="H479" s="857" t="n"/>
      <c r="I479" s="857" t="n"/>
      <c r="J479" s="857" t="n"/>
      <c r="K479" s="857" t="n"/>
      <c r="L479" s="857" t="n"/>
      <c r="M479" s="857" t="n"/>
      <c r="N479" s="857" t="n"/>
      <c r="O479" s="845" t="n"/>
      <c r="P479" s="845" t="n"/>
      <c r="Q479" s="845" t="n"/>
      <c r="R479" s="845" t="n"/>
      <c r="S479" s="845" t="n"/>
      <c r="T479" s="845" t="n"/>
      <c r="U479" s="845" t="n"/>
      <c r="V479" s="845" t="n"/>
      <c r="W479" s="845" t="n"/>
      <c r="X479" s="845" t="n"/>
      <c r="Y479" s="845" t="n"/>
      <c r="Z479" s="845" t="n"/>
    </row>
    <row r="480">
      <c r="A480" s="845" t="n"/>
      <c r="B480" s="857" t="n"/>
      <c r="C480" s="857" t="n"/>
      <c r="D480" s="857" t="n"/>
      <c r="E480" s="857" t="n"/>
      <c r="F480" s="857" t="n"/>
      <c r="G480" s="858" t="n"/>
      <c r="H480" s="857" t="n"/>
      <c r="I480" s="857" t="n"/>
      <c r="J480" s="857" t="n"/>
      <c r="K480" s="857" t="n"/>
      <c r="L480" s="857" t="n"/>
      <c r="M480" s="857" t="n"/>
      <c r="N480" s="857" t="n"/>
      <c r="O480" s="845" t="n"/>
      <c r="P480" s="845" t="n"/>
      <c r="Q480" s="845" t="n"/>
      <c r="R480" s="845" t="n"/>
      <c r="S480" s="845" t="n"/>
      <c r="T480" s="845" t="n"/>
      <c r="U480" s="845" t="n"/>
      <c r="V480" s="845" t="n"/>
      <c r="W480" s="845" t="n"/>
      <c r="X480" s="845" t="n"/>
      <c r="Y480" s="845" t="n"/>
      <c r="Z480" s="845" t="n"/>
    </row>
    <row r="481">
      <c r="A481" s="845" t="n"/>
      <c r="B481" s="857" t="n"/>
      <c r="C481" s="857" t="n"/>
      <c r="D481" s="857" t="n"/>
      <c r="E481" s="857" t="n"/>
      <c r="F481" s="857" t="n"/>
      <c r="G481" s="858" t="n"/>
      <c r="H481" s="857" t="n"/>
      <c r="I481" s="857" t="n"/>
      <c r="J481" s="857" t="n"/>
      <c r="K481" s="857" t="n"/>
      <c r="L481" s="857" t="n"/>
      <c r="M481" s="857" t="n"/>
      <c r="N481" s="857" t="n"/>
      <c r="O481" s="845" t="n"/>
      <c r="P481" s="845" t="n"/>
      <c r="Q481" s="845" t="n"/>
      <c r="R481" s="845" t="n"/>
      <c r="S481" s="845" t="n"/>
      <c r="T481" s="845" t="n"/>
      <c r="U481" s="845" t="n"/>
      <c r="V481" s="845" t="n"/>
      <c r="W481" s="845" t="n"/>
      <c r="X481" s="845" t="n"/>
      <c r="Y481" s="845" t="n"/>
      <c r="Z481" s="845" t="n"/>
    </row>
    <row r="482">
      <c r="A482" s="845" t="n"/>
      <c r="B482" s="857" t="n"/>
      <c r="C482" s="857" t="n"/>
      <c r="D482" s="857" t="n"/>
      <c r="E482" s="857" t="n"/>
      <c r="F482" s="857" t="n"/>
      <c r="G482" s="858" t="n"/>
      <c r="H482" s="857" t="n"/>
      <c r="I482" s="857" t="n"/>
      <c r="J482" s="857" t="n"/>
      <c r="K482" s="857" t="n"/>
      <c r="L482" s="857" t="n"/>
      <c r="M482" s="857" t="n"/>
      <c r="N482" s="857" t="n"/>
      <c r="O482" s="845" t="n"/>
      <c r="P482" s="845" t="n"/>
      <c r="Q482" s="845" t="n"/>
      <c r="R482" s="845" t="n"/>
      <c r="S482" s="845" t="n"/>
      <c r="T482" s="845" t="n"/>
      <c r="U482" s="845" t="n"/>
      <c r="V482" s="845" t="n"/>
      <c r="W482" s="845" t="n"/>
      <c r="X482" s="845" t="n"/>
      <c r="Y482" s="845" t="n"/>
      <c r="Z482" s="845" t="n"/>
    </row>
    <row r="483">
      <c r="A483" s="845" t="n"/>
      <c r="B483" s="857" t="n"/>
      <c r="C483" s="857" t="n"/>
      <c r="D483" s="857" t="n"/>
      <c r="E483" s="857" t="n"/>
      <c r="F483" s="857" t="n"/>
      <c r="G483" s="858" t="n"/>
      <c r="H483" s="857" t="n"/>
      <c r="I483" s="857" t="n"/>
      <c r="J483" s="857" t="n"/>
      <c r="K483" s="857" t="n"/>
      <c r="L483" s="857" t="n"/>
      <c r="M483" s="857" t="n"/>
      <c r="N483" s="857" t="n"/>
      <c r="O483" s="845" t="n"/>
      <c r="P483" s="845" t="n"/>
      <c r="Q483" s="845" t="n"/>
      <c r="R483" s="845" t="n"/>
      <c r="S483" s="845" t="n"/>
      <c r="T483" s="845" t="n"/>
      <c r="U483" s="845" t="n"/>
      <c r="V483" s="845" t="n"/>
      <c r="W483" s="845" t="n"/>
      <c r="X483" s="845" t="n"/>
      <c r="Y483" s="845" t="n"/>
      <c r="Z483" s="845" t="n"/>
    </row>
    <row r="484">
      <c r="A484" s="845" t="n"/>
      <c r="B484" s="857" t="n"/>
      <c r="C484" s="857" t="n"/>
      <c r="D484" s="857" t="n"/>
      <c r="E484" s="857" t="n"/>
      <c r="F484" s="857" t="n"/>
      <c r="G484" s="858" t="n"/>
      <c r="H484" s="857" t="n"/>
      <c r="I484" s="857" t="n"/>
      <c r="J484" s="857" t="n"/>
      <c r="K484" s="857" t="n"/>
      <c r="L484" s="857" t="n"/>
      <c r="M484" s="857" t="n"/>
      <c r="N484" s="857" t="n"/>
      <c r="O484" s="845" t="n"/>
      <c r="P484" s="845" t="n"/>
      <c r="Q484" s="845" t="n"/>
      <c r="R484" s="845" t="n"/>
      <c r="S484" s="845" t="n"/>
      <c r="T484" s="845" t="n"/>
      <c r="U484" s="845" t="n"/>
      <c r="V484" s="845" t="n"/>
      <c r="W484" s="845" t="n"/>
      <c r="X484" s="845" t="n"/>
      <c r="Y484" s="845" t="n"/>
      <c r="Z484" s="845" t="n"/>
    </row>
    <row r="485">
      <c r="A485" s="845" t="n"/>
      <c r="B485" s="857" t="n"/>
      <c r="C485" s="857" t="n"/>
      <c r="D485" s="857" t="n"/>
      <c r="E485" s="857" t="n"/>
      <c r="F485" s="857" t="n"/>
      <c r="G485" s="858" t="n"/>
      <c r="H485" s="857" t="n"/>
      <c r="I485" s="857" t="n"/>
      <c r="J485" s="857" t="n"/>
      <c r="K485" s="857" t="n"/>
      <c r="L485" s="857" t="n"/>
      <c r="M485" s="857" t="n"/>
      <c r="N485" s="857" t="n"/>
      <c r="O485" s="845" t="n"/>
      <c r="P485" s="845" t="n"/>
      <c r="Q485" s="845" t="n"/>
      <c r="R485" s="845" t="n"/>
      <c r="S485" s="845" t="n"/>
      <c r="T485" s="845" t="n"/>
      <c r="U485" s="845" t="n"/>
      <c r="V485" s="845" t="n"/>
      <c r="W485" s="845" t="n"/>
      <c r="X485" s="845" t="n"/>
      <c r="Y485" s="845" t="n"/>
      <c r="Z485" s="845" t="n"/>
    </row>
    <row r="486">
      <c r="A486" s="845" t="n"/>
      <c r="B486" s="857" t="n"/>
      <c r="C486" s="857" t="n"/>
      <c r="D486" s="857" t="n"/>
      <c r="E486" s="857" t="n"/>
      <c r="F486" s="857" t="n"/>
      <c r="G486" s="858" t="n"/>
      <c r="H486" s="857" t="n"/>
      <c r="I486" s="857" t="n"/>
      <c r="J486" s="857" t="n"/>
      <c r="K486" s="857" t="n"/>
      <c r="L486" s="857" t="n"/>
      <c r="M486" s="857" t="n"/>
      <c r="N486" s="857" t="n"/>
      <c r="O486" s="845" t="n"/>
      <c r="P486" s="845" t="n"/>
      <c r="Q486" s="845" t="n"/>
      <c r="R486" s="845" t="n"/>
      <c r="S486" s="845" t="n"/>
      <c r="T486" s="845" t="n"/>
      <c r="U486" s="845" t="n"/>
      <c r="V486" s="845" t="n"/>
      <c r="W486" s="845" t="n"/>
      <c r="X486" s="845" t="n"/>
      <c r="Y486" s="845" t="n"/>
      <c r="Z486" s="845" t="n"/>
    </row>
    <row r="487">
      <c r="A487" s="845" t="n"/>
      <c r="B487" s="857" t="n"/>
      <c r="C487" s="857" t="n"/>
      <c r="D487" s="857" t="n"/>
      <c r="E487" s="857" t="n"/>
      <c r="F487" s="857" t="n"/>
      <c r="G487" s="858" t="n"/>
      <c r="H487" s="857" t="n"/>
      <c r="I487" s="857" t="n"/>
      <c r="J487" s="857" t="n"/>
      <c r="K487" s="857" t="n"/>
      <c r="L487" s="857" t="n"/>
      <c r="M487" s="857" t="n"/>
      <c r="N487" s="857" t="n"/>
      <c r="O487" s="845" t="n"/>
      <c r="P487" s="845" t="n"/>
      <c r="Q487" s="845" t="n"/>
      <c r="R487" s="845" t="n"/>
      <c r="S487" s="845" t="n"/>
      <c r="T487" s="845" t="n"/>
      <c r="U487" s="845" t="n"/>
      <c r="V487" s="845" t="n"/>
      <c r="W487" s="845" t="n"/>
      <c r="X487" s="845" t="n"/>
      <c r="Y487" s="845" t="n"/>
      <c r="Z487" s="845" t="n"/>
    </row>
    <row r="488">
      <c r="A488" s="845" t="n"/>
      <c r="B488" s="857" t="n"/>
      <c r="C488" s="857" t="n"/>
      <c r="D488" s="857" t="n"/>
      <c r="E488" s="857" t="n"/>
      <c r="F488" s="857" t="n"/>
      <c r="G488" s="858" t="n"/>
      <c r="H488" s="857" t="n"/>
      <c r="I488" s="857" t="n"/>
      <c r="J488" s="857" t="n"/>
      <c r="K488" s="857" t="n"/>
      <c r="L488" s="857" t="n"/>
      <c r="M488" s="857" t="n"/>
      <c r="N488" s="857" t="n"/>
      <c r="O488" s="845" t="n"/>
      <c r="P488" s="845" t="n"/>
      <c r="Q488" s="845" t="n"/>
      <c r="R488" s="845" t="n"/>
      <c r="S488" s="845" t="n"/>
      <c r="T488" s="845" t="n"/>
      <c r="U488" s="845" t="n"/>
      <c r="V488" s="845" t="n"/>
      <c r="W488" s="845" t="n"/>
      <c r="X488" s="845" t="n"/>
      <c r="Y488" s="845" t="n"/>
      <c r="Z488" s="845" t="n"/>
    </row>
    <row r="489">
      <c r="A489" s="845" t="n"/>
      <c r="B489" s="857" t="n"/>
      <c r="C489" s="857" t="n"/>
      <c r="D489" s="857" t="n"/>
      <c r="E489" s="857" t="n"/>
      <c r="F489" s="857" t="n"/>
      <c r="G489" s="858" t="n"/>
      <c r="H489" s="857" t="n"/>
      <c r="I489" s="857" t="n"/>
      <c r="J489" s="857" t="n"/>
      <c r="K489" s="857" t="n"/>
      <c r="L489" s="857" t="n"/>
      <c r="M489" s="857" t="n"/>
      <c r="N489" s="857" t="n"/>
      <c r="O489" s="845" t="n"/>
      <c r="P489" s="845" t="n"/>
      <c r="Q489" s="845" t="n"/>
      <c r="R489" s="845" t="n"/>
      <c r="S489" s="845" t="n"/>
      <c r="T489" s="845" t="n"/>
      <c r="U489" s="845" t="n"/>
      <c r="V489" s="845" t="n"/>
      <c r="W489" s="845" t="n"/>
      <c r="X489" s="845" t="n"/>
      <c r="Y489" s="845" t="n"/>
      <c r="Z489" s="845" t="n"/>
    </row>
    <row r="490">
      <c r="A490" s="845" t="n"/>
      <c r="B490" s="857" t="n"/>
      <c r="C490" s="857" t="n"/>
      <c r="D490" s="857" t="n"/>
      <c r="E490" s="857" t="n"/>
      <c r="F490" s="857" t="n"/>
      <c r="G490" s="858" t="n"/>
      <c r="H490" s="857" t="n"/>
      <c r="I490" s="857" t="n"/>
      <c r="J490" s="857" t="n"/>
      <c r="K490" s="857" t="n"/>
      <c r="L490" s="857" t="n"/>
      <c r="M490" s="857" t="n"/>
      <c r="N490" s="857" t="n"/>
      <c r="O490" s="845" t="n"/>
      <c r="P490" s="845" t="n"/>
      <c r="Q490" s="845" t="n"/>
      <c r="R490" s="845" t="n"/>
      <c r="S490" s="845" t="n"/>
      <c r="T490" s="845" t="n"/>
      <c r="U490" s="845" t="n"/>
      <c r="V490" s="845" t="n"/>
      <c r="W490" s="845" t="n"/>
      <c r="X490" s="845" t="n"/>
      <c r="Y490" s="845" t="n"/>
      <c r="Z490" s="845" t="n"/>
    </row>
    <row r="491">
      <c r="A491" s="845" t="n"/>
      <c r="B491" s="857" t="n"/>
      <c r="C491" s="857" t="n"/>
      <c r="D491" s="857" t="n"/>
      <c r="E491" s="857" t="n"/>
      <c r="F491" s="857" t="n"/>
      <c r="G491" s="858" t="n"/>
      <c r="H491" s="857" t="n"/>
      <c r="I491" s="857" t="n"/>
      <c r="J491" s="857" t="n"/>
      <c r="K491" s="857" t="n"/>
      <c r="L491" s="857" t="n"/>
      <c r="M491" s="857" t="n"/>
      <c r="N491" s="857" t="n"/>
      <c r="O491" s="845" t="n"/>
      <c r="P491" s="845" t="n"/>
      <c r="Q491" s="845" t="n"/>
      <c r="R491" s="845" t="n"/>
      <c r="S491" s="845" t="n"/>
      <c r="T491" s="845" t="n"/>
      <c r="U491" s="845" t="n"/>
      <c r="V491" s="845" t="n"/>
      <c r="W491" s="845" t="n"/>
      <c r="X491" s="845" t="n"/>
      <c r="Y491" s="845" t="n"/>
      <c r="Z491" s="845" t="n"/>
    </row>
    <row r="492">
      <c r="A492" s="845" t="n"/>
      <c r="B492" s="857" t="n"/>
      <c r="C492" s="857" t="n"/>
      <c r="D492" s="857" t="n"/>
      <c r="E492" s="857" t="n"/>
      <c r="F492" s="857" t="n"/>
      <c r="G492" s="858" t="n"/>
      <c r="H492" s="857" t="n"/>
      <c r="I492" s="857" t="n"/>
      <c r="J492" s="857" t="n"/>
      <c r="K492" s="857" t="n"/>
      <c r="L492" s="857" t="n"/>
      <c r="M492" s="857" t="n"/>
      <c r="N492" s="857" t="n"/>
      <c r="O492" s="845" t="n"/>
      <c r="P492" s="845" t="n"/>
      <c r="Q492" s="845" t="n"/>
      <c r="R492" s="845" t="n"/>
      <c r="S492" s="845" t="n"/>
      <c r="T492" s="845" t="n"/>
      <c r="U492" s="845" t="n"/>
      <c r="V492" s="845" t="n"/>
      <c r="W492" s="845" t="n"/>
      <c r="X492" s="845" t="n"/>
      <c r="Y492" s="845" t="n"/>
      <c r="Z492" s="845" t="n"/>
    </row>
    <row r="493">
      <c r="A493" s="845" t="n"/>
      <c r="B493" s="857" t="n"/>
      <c r="C493" s="857" t="n"/>
      <c r="D493" s="857" t="n"/>
      <c r="E493" s="857" t="n"/>
      <c r="F493" s="857" t="n"/>
      <c r="G493" s="858" t="n"/>
      <c r="H493" s="857" t="n"/>
      <c r="I493" s="857" t="n"/>
      <c r="J493" s="857" t="n"/>
      <c r="K493" s="857" t="n"/>
      <c r="L493" s="857" t="n"/>
      <c r="M493" s="857" t="n"/>
      <c r="N493" s="857" t="n"/>
      <c r="O493" s="845" t="n"/>
      <c r="P493" s="845" t="n"/>
      <c r="Q493" s="845" t="n"/>
      <c r="R493" s="845" t="n"/>
      <c r="S493" s="845" t="n"/>
      <c r="T493" s="845" t="n"/>
      <c r="U493" s="845" t="n"/>
      <c r="V493" s="845" t="n"/>
      <c r="W493" s="845" t="n"/>
      <c r="X493" s="845" t="n"/>
      <c r="Y493" s="845" t="n"/>
      <c r="Z493" s="845" t="n"/>
    </row>
    <row r="494">
      <c r="A494" s="845" t="n"/>
      <c r="B494" s="857" t="n"/>
      <c r="C494" s="857" t="n"/>
      <c r="D494" s="857" t="n"/>
      <c r="E494" s="857" t="n"/>
      <c r="F494" s="857" t="n"/>
      <c r="G494" s="858" t="n"/>
      <c r="H494" s="857" t="n"/>
      <c r="I494" s="857" t="n"/>
      <c r="J494" s="857" t="n"/>
      <c r="K494" s="857" t="n"/>
      <c r="L494" s="857" t="n"/>
      <c r="M494" s="857" t="n"/>
      <c r="N494" s="857" t="n"/>
      <c r="O494" s="845" t="n"/>
      <c r="P494" s="845" t="n"/>
      <c r="Q494" s="845" t="n"/>
      <c r="R494" s="845" t="n"/>
      <c r="S494" s="845" t="n"/>
      <c r="T494" s="845" t="n"/>
      <c r="U494" s="845" t="n"/>
      <c r="V494" s="845" t="n"/>
      <c r="W494" s="845" t="n"/>
      <c r="X494" s="845" t="n"/>
      <c r="Y494" s="845" t="n"/>
      <c r="Z494" s="845" t="n"/>
    </row>
    <row r="495">
      <c r="A495" s="845" t="n"/>
      <c r="B495" s="857" t="n"/>
      <c r="C495" s="857" t="n"/>
      <c r="D495" s="857" t="n"/>
      <c r="E495" s="857" t="n"/>
      <c r="F495" s="857" t="n"/>
      <c r="G495" s="858" t="n"/>
      <c r="H495" s="857" t="n"/>
      <c r="I495" s="857" t="n"/>
      <c r="J495" s="857" t="n"/>
      <c r="K495" s="857" t="n"/>
      <c r="L495" s="857" t="n"/>
      <c r="M495" s="857" t="n"/>
      <c r="N495" s="857" t="n"/>
      <c r="O495" s="845" t="n"/>
      <c r="P495" s="845" t="n"/>
      <c r="Q495" s="845" t="n"/>
      <c r="R495" s="845" t="n"/>
      <c r="S495" s="845" t="n"/>
      <c r="T495" s="845" t="n"/>
      <c r="U495" s="845" t="n"/>
      <c r="V495" s="845" t="n"/>
      <c r="W495" s="845" t="n"/>
      <c r="X495" s="845" t="n"/>
      <c r="Y495" s="845" t="n"/>
      <c r="Z495" s="845" t="n"/>
    </row>
    <row r="496">
      <c r="A496" s="845" t="n"/>
      <c r="B496" s="857" t="n"/>
      <c r="C496" s="857" t="n"/>
      <c r="D496" s="857" t="n"/>
      <c r="E496" s="857" t="n"/>
      <c r="F496" s="857" t="n"/>
      <c r="G496" s="858" t="n"/>
      <c r="H496" s="857" t="n"/>
      <c r="I496" s="857" t="n"/>
      <c r="J496" s="857" t="n"/>
      <c r="K496" s="857" t="n"/>
      <c r="L496" s="857" t="n"/>
      <c r="M496" s="857" t="n"/>
      <c r="N496" s="857" t="n"/>
      <c r="O496" s="845" t="n"/>
      <c r="P496" s="845" t="n"/>
      <c r="Q496" s="845" t="n"/>
      <c r="R496" s="845" t="n"/>
      <c r="S496" s="845" t="n"/>
      <c r="T496" s="845" t="n"/>
      <c r="U496" s="845" t="n"/>
      <c r="V496" s="845" t="n"/>
      <c r="W496" s="845" t="n"/>
      <c r="X496" s="845" t="n"/>
      <c r="Y496" s="845" t="n"/>
      <c r="Z496" s="845" t="n"/>
    </row>
    <row r="497">
      <c r="A497" s="845" t="n"/>
      <c r="B497" s="857" t="n"/>
      <c r="C497" s="857" t="n"/>
      <c r="D497" s="857" t="n"/>
      <c r="E497" s="857" t="n"/>
      <c r="F497" s="857" t="n"/>
      <c r="G497" s="858" t="n"/>
      <c r="H497" s="857" t="n"/>
      <c r="I497" s="857" t="n"/>
      <c r="J497" s="857" t="n"/>
      <c r="K497" s="857" t="n"/>
      <c r="L497" s="857" t="n"/>
      <c r="M497" s="857" t="n"/>
      <c r="N497" s="857" t="n"/>
      <c r="O497" s="845" t="n"/>
      <c r="P497" s="845" t="n"/>
      <c r="Q497" s="845" t="n"/>
      <c r="R497" s="845" t="n"/>
      <c r="S497" s="845" t="n"/>
      <c r="T497" s="845" t="n"/>
      <c r="U497" s="845" t="n"/>
      <c r="V497" s="845" t="n"/>
      <c r="W497" s="845" t="n"/>
      <c r="X497" s="845" t="n"/>
      <c r="Y497" s="845" t="n"/>
      <c r="Z497" s="845" t="n"/>
    </row>
    <row r="498">
      <c r="A498" s="845" t="n"/>
      <c r="B498" s="857" t="n"/>
      <c r="C498" s="857" t="n"/>
      <c r="D498" s="857" t="n"/>
      <c r="E498" s="857" t="n"/>
      <c r="F498" s="857" t="n"/>
      <c r="G498" s="858" t="n"/>
      <c r="H498" s="857" t="n"/>
      <c r="I498" s="857" t="n"/>
      <c r="J498" s="857" t="n"/>
      <c r="K498" s="857" t="n"/>
      <c r="L498" s="857" t="n"/>
      <c r="M498" s="857" t="n"/>
      <c r="N498" s="857" t="n"/>
      <c r="O498" s="845" t="n"/>
      <c r="P498" s="845" t="n"/>
      <c r="Q498" s="845" t="n"/>
      <c r="R498" s="845" t="n"/>
      <c r="S498" s="845" t="n"/>
      <c r="T498" s="845" t="n"/>
      <c r="U498" s="845" t="n"/>
      <c r="V498" s="845" t="n"/>
      <c r="W498" s="845" t="n"/>
      <c r="X498" s="845" t="n"/>
      <c r="Y498" s="845" t="n"/>
      <c r="Z498" s="845" t="n"/>
    </row>
    <row r="499">
      <c r="A499" s="845" t="n"/>
      <c r="B499" s="857" t="n"/>
      <c r="C499" s="857" t="n"/>
      <c r="D499" s="857" t="n"/>
      <c r="E499" s="857" t="n"/>
      <c r="F499" s="857" t="n"/>
      <c r="G499" s="858" t="n"/>
      <c r="H499" s="857" t="n"/>
      <c r="I499" s="857" t="n"/>
      <c r="J499" s="857" t="n"/>
      <c r="K499" s="857" t="n"/>
      <c r="L499" s="857" t="n"/>
      <c r="M499" s="857" t="n"/>
      <c r="N499" s="857" t="n"/>
      <c r="O499" s="845" t="n"/>
      <c r="P499" s="845" t="n"/>
      <c r="Q499" s="845" t="n"/>
      <c r="R499" s="845" t="n"/>
      <c r="S499" s="845" t="n"/>
      <c r="T499" s="845" t="n"/>
      <c r="U499" s="845" t="n"/>
      <c r="V499" s="845" t="n"/>
      <c r="W499" s="845" t="n"/>
      <c r="X499" s="845" t="n"/>
      <c r="Y499" s="845" t="n"/>
      <c r="Z499" s="845" t="n"/>
    </row>
    <row r="500">
      <c r="A500" s="845" t="n"/>
      <c r="B500" s="857" t="n"/>
      <c r="C500" s="857" t="n"/>
      <c r="D500" s="857" t="n"/>
      <c r="E500" s="857" t="n"/>
      <c r="F500" s="857" t="n"/>
      <c r="G500" s="858" t="n"/>
      <c r="H500" s="857" t="n"/>
      <c r="I500" s="857" t="n"/>
      <c r="J500" s="857" t="n"/>
      <c r="K500" s="857" t="n"/>
      <c r="L500" s="857" t="n"/>
      <c r="M500" s="857" t="n"/>
      <c r="N500" s="857" t="n"/>
      <c r="O500" s="845" t="n"/>
      <c r="P500" s="845" t="n"/>
      <c r="Q500" s="845" t="n"/>
      <c r="R500" s="845" t="n"/>
      <c r="S500" s="845" t="n"/>
      <c r="T500" s="845" t="n"/>
      <c r="U500" s="845" t="n"/>
      <c r="V500" s="845" t="n"/>
      <c r="W500" s="845" t="n"/>
      <c r="X500" s="845" t="n"/>
      <c r="Y500" s="845" t="n"/>
      <c r="Z500" s="845" t="n"/>
    </row>
    <row r="501">
      <c r="A501" s="845" t="n"/>
      <c r="B501" s="857" t="n"/>
      <c r="C501" s="857" t="n"/>
      <c r="D501" s="857" t="n"/>
      <c r="E501" s="857" t="n"/>
      <c r="F501" s="857" t="n"/>
      <c r="G501" s="858" t="n"/>
      <c r="H501" s="857" t="n"/>
      <c r="I501" s="857" t="n"/>
      <c r="J501" s="857" t="n"/>
      <c r="K501" s="857" t="n"/>
      <c r="L501" s="857" t="n"/>
      <c r="M501" s="857" t="n"/>
      <c r="N501" s="857" t="n"/>
      <c r="O501" s="845" t="n"/>
      <c r="P501" s="845" t="n"/>
      <c r="Q501" s="845" t="n"/>
      <c r="R501" s="845" t="n"/>
      <c r="S501" s="845" t="n"/>
      <c r="T501" s="845" t="n"/>
      <c r="U501" s="845" t="n"/>
      <c r="V501" s="845" t="n"/>
      <c r="W501" s="845" t="n"/>
      <c r="X501" s="845" t="n"/>
      <c r="Y501" s="845" t="n"/>
      <c r="Z501" s="845" t="n"/>
    </row>
    <row r="502">
      <c r="A502" s="845" t="n"/>
      <c r="B502" s="857" t="n"/>
      <c r="C502" s="857" t="n"/>
      <c r="D502" s="857" t="n"/>
      <c r="E502" s="857" t="n"/>
      <c r="F502" s="857" t="n"/>
      <c r="G502" s="858" t="n"/>
      <c r="H502" s="857" t="n"/>
      <c r="I502" s="857" t="n"/>
      <c r="J502" s="857" t="n"/>
      <c r="K502" s="857" t="n"/>
      <c r="L502" s="857" t="n"/>
      <c r="M502" s="857" t="n"/>
      <c r="N502" s="857" t="n"/>
      <c r="O502" s="845" t="n"/>
      <c r="P502" s="845" t="n"/>
      <c r="Q502" s="845" t="n"/>
      <c r="R502" s="845" t="n"/>
      <c r="S502" s="845" t="n"/>
      <c r="T502" s="845" t="n"/>
      <c r="U502" s="845" t="n"/>
      <c r="V502" s="845" t="n"/>
      <c r="W502" s="845" t="n"/>
      <c r="X502" s="845" t="n"/>
      <c r="Y502" s="845" t="n"/>
      <c r="Z502" s="845" t="n"/>
    </row>
    <row r="503">
      <c r="A503" s="845" t="n"/>
      <c r="B503" s="857" t="n"/>
      <c r="C503" s="857" t="n"/>
      <c r="D503" s="857" t="n"/>
      <c r="E503" s="857" t="n"/>
      <c r="F503" s="857" t="n"/>
      <c r="G503" s="858" t="n"/>
      <c r="H503" s="857" t="n"/>
      <c r="I503" s="857" t="n"/>
      <c r="J503" s="857" t="n"/>
      <c r="K503" s="857" t="n"/>
      <c r="L503" s="857" t="n"/>
      <c r="M503" s="857" t="n"/>
      <c r="N503" s="857" t="n"/>
      <c r="O503" s="845" t="n"/>
      <c r="P503" s="845" t="n"/>
      <c r="Q503" s="845" t="n"/>
      <c r="R503" s="845" t="n"/>
      <c r="S503" s="845" t="n"/>
      <c r="T503" s="845" t="n"/>
      <c r="U503" s="845" t="n"/>
      <c r="V503" s="845" t="n"/>
      <c r="W503" s="845" t="n"/>
      <c r="X503" s="845" t="n"/>
      <c r="Y503" s="845" t="n"/>
      <c r="Z503" s="845" t="n"/>
    </row>
    <row r="504">
      <c r="A504" s="845" t="n"/>
      <c r="B504" s="857" t="n"/>
      <c r="C504" s="857" t="n"/>
      <c r="D504" s="857" t="n"/>
      <c r="E504" s="857" t="n"/>
      <c r="F504" s="857" t="n"/>
      <c r="G504" s="858" t="n"/>
      <c r="H504" s="857" t="n"/>
      <c r="I504" s="857" t="n"/>
      <c r="J504" s="857" t="n"/>
      <c r="K504" s="857" t="n"/>
      <c r="L504" s="857" t="n"/>
      <c r="M504" s="857" t="n"/>
      <c r="N504" s="857" t="n"/>
      <c r="O504" s="845" t="n"/>
      <c r="P504" s="845" t="n"/>
      <c r="Q504" s="845" t="n"/>
      <c r="R504" s="845" t="n"/>
      <c r="S504" s="845" t="n"/>
      <c r="T504" s="845" t="n"/>
      <c r="U504" s="845" t="n"/>
      <c r="V504" s="845" t="n"/>
      <c r="W504" s="845" t="n"/>
      <c r="X504" s="845" t="n"/>
      <c r="Y504" s="845" t="n"/>
      <c r="Z504" s="845" t="n"/>
    </row>
    <row r="505">
      <c r="A505" s="845" t="n"/>
      <c r="B505" s="857" t="n"/>
      <c r="C505" s="857" t="n"/>
      <c r="D505" s="857" t="n"/>
      <c r="E505" s="857" t="n"/>
      <c r="F505" s="857" t="n"/>
      <c r="G505" s="858" t="n"/>
      <c r="H505" s="857" t="n"/>
      <c r="I505" s="857" t="n"/>
      <c r="J505" s="857" t="n"/>
      <c r="K505" s="857" t="n"/>
      <c r="L505" s="857" t="n"/>
      <c r="M505" s="857" t="n"/>
      <c r="N505" s="857" t="n"/>
      <c r="O505" s="845" t="n"/>
      <c r="P505" s="845" t="n"/>
      <c r="Q505" s="845" t="n"/>
      <c r="R505" s="845" t="n"/>
      <c r="S505" s="845" t="n"/>
      <c r="T505" s="845" t="n"/>
      <c r="U505" s="845" t="n"/>
      <c r="V505" s="845" t="n"/>
      <c r="W505" s="845" t="n"/>
      <c r="X505" s="845" t="n"/>
      <c r="Y505" s="845" t="n"/>
      <c r="Z505" s="845" t="n"/>
    </row>
    <row r="506">
      <c r="A506" s="845" t="n"/>
      <c r="B506" s="857" t="n"/>
      <c r="C506" s="857" t="n"/>
      <c r="D506" s="857" t="n"/>
      <c r="E506" s="857" t="n"/>
      <c r="F506" s="857" t="n"/>
      <c r="G506" s="858" t="n"/>
      <c r="H506" s="857" t="n"/>
      <c r="I506" s="857" t="n"/>
      <c r="J506" s="857" t="n"/>
      <c r="K506" s="857" t="n"/>
      <c r="L506" s="857" t="n"/>
      <c r="M506" s="857" t="n"/>
      <c r="N506" s="857" t="n"/>
      <c r="O506" s="845" t="n"/>
      <c r="P506" s="845" t="n"/>
      <c r="Q506" s="845" t="n"/>
      <c r="R506" s="845" t="n"/>
      <c r="S506" s="845" t="n"/>
      <c r="T506" s="845" t="n"/>
      <c r="U506" s="845" t="n"/>
      <c r="V506" s="845" t="n"/>
      <c r="W506" s="845" t="n"/>
      <c r="X506" s="845" t="n"/>
      <c r="Y506" s="845" t="n"/>
      <c r="Z506" s="845" t="n"/>
    </row>
    <row r="507">
      <c r="A507" s="845" t="n"/>
      <c r="B507" s="857" t="n"/>
      <c r="C507" s="857" t="n"/>
      <c r="D507" s="857" t="n"/>
      <c r="E507" s="857" t="n"/>
      <c r="F507" s="857" t="n"/>
      <c r="G507" s="858" t="n"/>
      <c r="H507" s="857" t="n"/>
      <c r="I507" s="857" t="n"/>
      <c r="J507" s="857" t="n"/>
      <c r="K507" s="857" t="n"/>
      <c r="L507" s="857" t="n"/>
      <c r="M507" s="857" t="n"/>
      <c r="N507" s="857" t="n"/>
      <c r="O507" s="845" t="n"/>
      <c r="P507" s="845" t="n"/>
      <c r="Q507" s="845" t="n"/>
      <c r="R507" s="845" t="n"/>
      <c r="S507" s="845" t="n"/>
      <c r="T507" s="845" t="n"/>
      <c r="U507" s="845" t="n"/>
      <c r="V507" s="845" t="n"/>
      <c r="W507" s="845" t="n"/>
      <c r="X507" s="845" t="n"/>
      <c r="Y507" s="845" t="n"/>
      <c r="Z507" s="845" t="n"/>
    </row>
    <row r="508">
      <c r="A508" s="845" t="n"/>
      <c r="B508" s="857" t="n"/>
      <c r="C508" s="857" t="n"/>
      <c r="D508" s="857" t="n"/>
      <c r="E508" s="857" t="n"/>
      <c r="F508" s="857" t="n"/>
      <c r="G508" s="858" t="n"/>
      <c r="H508" s="857" t="n"/>
      <c r="I508" s="857" t="n"/>
      <c r="J508" s="857" t="n"/>
      <c r="K508" s="857" t="n"/>
      <c r="L508" s="857" t="n"/>
      <c r="M508" s="857" t="n"/>
      <c r="N508" s="857" t="n"/>
      <c r="O508" s="845" t="n"/>
      <c r="P508" s="845" t="n"/>
      <c r="Q508" s="845" t="n"/>
      <c r="R508" s="845" t="n"/>
      <c r="S508" s="845" t="n"/>
      <c r="T508" s="845" t="n"/>
      <c r="U508" s="845" t="n"/>
      <c r="V508" s="845" t="n"/>
      <c r="W508" s="845" t="n"/>
      <c r="X508" s="845" t="n"/>
      <c r="Y508" s="845" t="n"/>
      <c r="Z508" s="845" t="n"/>
    </row>
    <row r="509">
      <c r="A509" s="845" t="n"/>
      <c r="B509" s="857" t="n"/>
      <c r="C509" s="857" t="n"/>
      <c r="D509" s="857" t="n"/>
      <c r="E509" s="857" t="n"/>
      <c r="F509" s="857" t="n"/>
      <c r="G509" s="858" t="n"/>
      <c r="H509" s="857" t="n"/>
      <c r="I509" s="857" t="n"/>
      <c r="J509" s="857" t="n"/>
      <c r="K509" s="857" t="n"/>
      <c r="L509" s="857" t="n"/>
      <c r="M509" s="857" t="n"/>
      <c r="N509" s="857" t="n"/>
      <c r="O509" s="845" t="n"/>
      <c r="P509" s="845" t="n"/>
      <c r="Q509" s="845" t="n"/>
      <c r="R509" s="845" t="n"/>
      <c r="S509" s="845" t="n"/>
      <c r="T509" s="845" t="n"/>
      <c r="U509" s="845" t="n"/>
      <c r="V509" s="845" t="n"/>
      <c r="W509" s="845" t="n"/>
      <c r="X509" s="845" t="n"/>
      <c r="Y509" s="845" t="n"/>
      <c r="Z509" s="845" t="n"/>
    </row>
    <row r="510">
      <c r="A510" s="845" t="n"/>
      <c r="B510" s="857" t="n"/>
      <c r="C510" s="857" t="n"/>
      <c r="D510" s="857" t="n"/>
      <c r="E510" s="857" t="n"/>
      <c r="F510" s="857" t="n"/>
      <c r="G510" s="858" t="n"/>
      <c r="H510" s="857" t="n"/>
      <c r="I510" s="857" t="n"/>
      <c r="J510" s="857" t="n"/>
      <c r="K510" s="857" t="n"/>
      <c r="L510" s="857" t="n"/>
      <c r="M510" s="857" t="n"/>
      <c r="N510" s="857" t="n"/>
      <c r="O510" s="845" t="n"/>
      <c r="P510" s="845" t="n"/>
      <c r="Q510" s="845" t="n"/>
      <c r="R510" s="845" t="n"/>
      <c r="S510" s="845" t="n"/>
      <c r="T510" s="845" t="n"/>
      <c r="U510" s="845" t="n"/>
      <c r="V510" s="845" t="n"/>
      <c r="W510" s="845" t="n"/>
      <c r="X510" s="845" t="n"/>
      <c r="Y510" s="845" t="n"/>
      <c r="Z510" s="845" t="n"/>
    </row>
    <row r="511">
      <c r="A511" s="845" t="n"/>
      <c r="B511" s="857" t="n"/>
      <c r="C511" s="857" t="n"/>
      <c r="D511" s="857" t="n"/>
      <c r="E511" s="857" t="n"/>
      <c r="F511" s="857" t="n"/>
      <c r="G511" s="858" t="n"/>
      <c r="H511" s="857" t="n"/>
      <c r="I511" s="857" t="n"/>
      <c r="J511" s="857" t="n"/>
      <c r="K511" s="857" t="n"/>
      <c r="L511" s="857" t="n"/>
      <c r="M511" s="857" t="n"/>
      <c r="N511" s="857" t="n"/>
      <c r="O511" s="845" t="n"/>
      <c r="P511" s="845" t="n"/>
      <c r="Q511" s="845" t="n"/>
      <c r="R511" s="845" t="n"/>
      <c r="S511" s="845" t="n"/>
      <c r="T511" s="845" t="n"/>
      <c r="U511" s="845" t="n"/>
      <c r="V511" s="845" t="n"/>
      <c r="W511" s="845" t="n"/>
      <c r="X511" s="845" t="n"/>
      <c r="Y511" s="845" t="n"/>
      <c r="Z511" s="845" t="n"/>
    </row>
    <row r="512">
      <c r="A512" s="845" t="n"/>
      <c r="B512" s="857" t="n"/>
      <c r="C512" s="857" t="n"/>
      <c r="D512" s="857" t="n"/>
      <c r="E512" s="857" t="n"/>
      <c r="F512" s="857" t="n"/>
      <c r="G512" s="858" t="n"/>
      <c r="H512" s="857" t="n"/>
      <c r="I512" s="857" t="n"/>
      <c r="J512" s="857" t="n"/>
      <c r="K512" s="857" t="n"/>
      <c r="L512" s="857" t="n"/>
      <c r="M512" s="857" t="n"/>
      <c r="N512" s="857" t="n"/>
      <c r="O512" s="845" t="n"/>
      <c r="P512" s="845" t="n"/>
      <c r="Q512" s="845" t="n"/>
      <c r="R512" s="845" t="n"/>
      <c r="S512" s="845" t="n"/>
      <c r="T512" s="845" t="n"/>
      <c r="U512" s="845" t="n"/>
      <c r="V512" s="845" t="n"/>
      <c r="W512" s="845" t="n"/>
      <c r="X512" s="845" t="n"/>
      <c r="Y512" s="845" t="n"/>
      <c r="Z512" s="845" t="n"/>
    </row>
    <row r="513">
      <c r="A513" s="845" t="n"/>
      <c r="B513" s="857" t="n"/>
      <c r="C513" s="857" t="n"/>
      <c r="D513" s="857" t="n"/>
      <c r="E513" s="857" t="n"/>
      <c r="F513" s="857" t="n"/>
      <c r="G513" s="858" t="n"/>
      <c r="H513" s="857" t="n"/>
      <c r="I513" s="857" t="n"/>
      <c r="J513" s="857" t="n"/>
      <c r="K513" s="857" t="n"/>
      <c r="L513" s="857" t="n"/>
      <c r="M513" s="857" t="n"/>
      <c r="N513" s="857" t="n"/>
      <c r="O513" s="845" t="n"/>
      <c r="P513" s="845" t="n"/>
      <c r="Q513" s="845" t="n"/>
      <c r="R513" s="845" t="n"/>
      <c r="S513" s="845" t="n"/>
      <c r="T513" s="845" t="n"/>
      <c r="U513" s="845" t="n"/>
      <c r="V513" s="845" t="n"/>
      <c r="W513" s="845" t="n"/>
      <c r="X513" s="845" t="n"/>
      <c r="Y513" s="845" t="n"/>
      <c r="Z513" s="845" t="n"/>
    </row>
    <row r="514">
      <c r="A514" s="845" t="n"/>
      <c r="B514" s="857" t="n"/>
      <c r="C514" s="857" t="n"/>
      <c r="D514" s="857" t="n"/>
      <c r="E514" s="857" t="n"/>
      <c r="F514" s="857" t="n"/>
      <c r="G514" s="858" t="n"/>
      <c r="H514" s="857" t="n"/>
      <c r="I514" s="857" t="n"/>
      <c r="J514" s="857" t="n"/>
      <c r="K514" s="857" t="n"/>
      <c r="L514" s="857" t="n"/>
      <c r="M514" s="857" t="n"/>
      <c r="N514" s="857" t="n"/>
      <c r="O514" s="845" t="n"/>
      <c r="P514" s="845" t="n"/>
      <c r="Q514" s="845" t="n"/>
      <c r="R514" s="845" t="n"/>
      <c r="S514" s="845" t="n"/>
      <c r="T514" s="845" t="n"/>
      <c r="U514" s="845" t="n"/>
      <c r="V514" s="845" t="n"/>
      <c r="W514" s="845" t="n"/>
      <c r="X514" s="845" t="n"/>
      <c r="Y514" s="845" t="n"/>
      <c r="Z514" s="845" t="n"/>
    </row>
    <row r="515">
      <c r="A515" s="845" t="n"/>
      <c r="B515" s="857" t="n"/>
      <c r="C515" s="857" t="n"/>
      <c r="D515" s="857" t="n"/>
      <c r="E515" s="857" t="n"/>
      <c r="F515" s="857" t="n"/>
      <c r="G515" s="858" t="n"/>
      <c r="H515" s="857" t="n"/>
      <c r="I515" s="857" t="n"/>
      <c r="J515" s="857" t="n"/>
      <c r="K515" s="857" t="n"/>
      <c r="L515" s="857" t="n"/>
      <c r="M515" s="857" t="n"/>
      <c r="N515" s="857" t="n"/>
      <c r="O515" s="845" t="n"/>
      <c r="P515" s="845" t="n"/>
      <c r="Q515" s="845" t="n"/>
      <c r="R515" s="845" t="n"/>
      <c r="S515" s="845" t="n"/>
      <c r="T515" s="845" t="n"/>
      <c r="U515" s="845" t="n"/>
      <c r="V515" s="845" t="n"/>
      <c r="W515" s="845" t="n"/>
      <c r="X515" s="845" t="n"/>
      <c r="Y515" s="845" t="n"/>
      <c r="Z515" s="845" t="n"/>
    </row>
    <row r="516">
      <c r="A516" s="845" t="n"/>
      <c r="B516" s="857" t="n"/>
      <c r="C516" s="857" t="n"/>
      <c r="D516" s="857" t="n"/>
      <c r="E516" s="857" t="n"/>
      <c r="F516" s="857" t="n"/>
      <c r="G516" s="858" t="n"/>
      <c r="H516" s="857" t="n"/>
      <c r="I516" s="857" t="n"/>
      <c r="J516" s="857" t="n"/>
      <c r="K516" s="857" t="n"/>
      <c r="L516" s="857" t="n"/>
      <c r="M516" s="857" t="n"/>
      <c r="N516" s="857" t="n"/>
      <c r="O516" s="845" t="n"/>
      <c r="P516" s="845" t="n"/>
      <c r="Q516" s="845" t="n"/>
      <c r="R516" s="845" t="n"/>
      <c r="S516" s="845" t="n"/>
      <c r="T516" s="845" t="n"/>
      <c r="U516" s="845" t="n"/>
      <c r="V516" s="845" t="n"/>
      <c r="W516" s="845" t="n"/>
      <c r="X516" s="845" t="n"/>
      <c r="Y516" s="845" t="n"/>
      <c r="Z516" s="845" t="n"/>
    </row>
    <row r="517">
      <c r="A517" s="845" t="n"/>
      <c r="B517" s="857" t="n"/>
      <c r="C517" s="857" t="n"/>
      <c r="D517" s="857" t="n"/>
      <c r="E517" s="857" t="n"/>
      <c r="F517" s="857" t="n"/>
      <c r="G517" s="858" t="n"/>
      <c r="H517" s="857" t="n"/>
      <c r="I517" s="857" t="n"/>
      <c r="J517" s="857" t="n"/>
      <c r="K517" s="857" t="n"/>
      <c r="L517" s="857" t="n"/>
      <c r="M517" s="857" t="n"/>
      <c r="N517" s="857" t="n"/>
      <c r="O517" s="845" t="n"/>
      <c r="P517" s="845" t="n"/>
      <c r="Q517" s="845" t="n"/>
      <c r="R517" s="845" t="n"/>
      <c r="S517" s="845" t="n"/>
      <c r="T517" s="845" t="n"/>
      <c r="U517" s="845" t="n"/>
      <c r="V517" s="845" t="n"/>
      <c r="W517" s="845" t="n"/>
      <c r="X517" s="845" t="n"/>
      <c r="Y517" s="845" t="n"/>
      <c r="Z517" s="845" t="n"/>
    </row>
    <row r="518">
      <c r="A518" s="845" t="n"/>
      <c r="B518" s="857" t="n"/>
      <c r="C518" s="857" t="n"/>
      <c r="D518" s="857" t="n"/>
      <c r="E518" s="857" t="n"/>
      <c r="F518" s="857" t="n"/>
      <c r="G518" s="858" t="n"/>
      <c r="H518" s="857" t="n"/>
      <c r="I518" s="857" t="n"/>
      <c r="J518" s="857" t="n"/>
      <c r="K518" s="857" t="n"/>
      <c r="L518" s="857" t="n"/>
      <c r="M518" s="857" t="n"/>
      <c r="N518" s="857" t="n"/>
      <c r="O518" s="845" t="n"/>
      <c r="P518" s="845" t="n"/>
      <c r="Q518" s="845" t="n"/>
      <c r="R518" s="845" t="n"/>
      <c r="S518" s="845" t="n"/>
      <c r="T518" s="845" t="n"/>
      <c r="U518" s="845" t="n"/>
      <c r="V518" s="845" t="n"/>
      <c r="W518" s="845" t="n"/>
      <c r="X518" s="845" t="n"/>
      <c r="Y518" s="845" t="n"/>
      <c r="Z518" s="845" t="n"/>
    </row>
    <row r="519">
      <c r="A519" s="845" t="n"/>
      <c r="B519" s="857" t="n"/>
      <c r="C519" s="857" t="n"/>
      <c r="D519" s="857" t="n"/>
      <c r="E519" s="857" t="n"/>
      <c r="F519" s="857" t="n"/>
      <c r="G519" s="858" t="n"/>
      <c r="H519" s="857" t="n"/>
      <c r="I519" s="857" t="n"/>
      <c r="J519" s="857" t="n"/>
      <c r="K519" s="857" t="n"/>
      <c r="L519" s="857" t="n"/>
      <c r="M519" s="857" t="n"/>
      <c r="N519" s="857" t="n"/>
      <c r="O519" s="845" t="n"/>
      <c r="P519" s="845" t="n"/>
      <c r="Q519" s="845" t="n"/>
      <c r="R519" s="845" t="n"/>
      <c r="S519" s="845" t="n"/>
      <c r="T519" s="845" t="n"/>
      <c r="U519" s="845" t="n"/>
      <c r="V519" s="845" t="n"/>
      <c r="W519" s="845" t="n"/>
      <c r="X519" s="845" t="n"/>
      <c r="Y519" s="845" t="n"/>
      <c r="Z519" s="845" t="n"/>
    </row>
    <row r="520">
      <c r="A520" s="845" t="n"/>
      <c r="B520" s="857" t="n"/>
      <c r="C520" s="857" t="n"/>
      <c r="D520" s="857" t="n"/>
      <c r="E520" s="857" t="n"/>
      <c r="F520" s="857" t="n"/>
      <c r="G520" s="858" t="n"/>
      <c r="H520" s="857" t="n"/>
      <c r="I520" s="857" t="n"/>
      <c r="J520" s="857" t="n"/>
      <c r="K520" s="857" t="n"/>
      <c r="L520" s="857" t="n"/>
      <c r="M520" s="857" t="n"/>
      <c r="N520" s="857" t="n"/>
      <c r="O520" s="845" t="n"/>
      <c r="P520" s="845" t="n"/>
      <c r="Q520" s="845" t="n"/>
      <c r="R520" s="845" t="n"/>
      <c r="S520" s="845" t="n"/>
      <c r="T520" s="845" t="n"/>
      <c r="U520" s="845" t="n"/>
      <c r="V520" s="845" t="n"/>
      <c r="W520" s="845" t="n"/>
      <c r="X520" s="845" t="n"/>
      <c r="Y520" s="845" t="n"/>
      <c r="Z520" s="845" t="n"/>
    </row>
    <row r="521">
      <c r="A521" s="845" t="n"/>
      <c r="B521" s="857" t="n"/>
      <c r="C521" s="857" t="n"/>
      <c r="D521" s="857" t="n"/>
      <c r="E521" s="857" t="n"/>
      <c r="F521" s="857" t="n"/>
      <c r="G521" s="858" t="n"/>
      <c r="H521" s="857" t="n"/>
      <c r="I521" s="857" t="n"/>
      <c r="J521" s="857" t="n"/>
      <c r="K521" s="857" t="n"/>
      <c r="L521" s="857" t="n"/>
      <c r="M521" s="857" t="n"/>
      <c r="N521" s="857" t="n"/>
      <c r="O521" s="845" t="n"/>
      <c r="P521" s="845" t="n"/>
      <c r="Q521" s="845" t="n"/>
      <c r="R521" s="845" t="n"/>
      <c r="S521" s="845" t="n"/>
      <c r="T521" s="845" t="n"/>
      <c r="U521" s="845" t="n"/>
      <c r="V521" s="845" t="n"/>
      <c r="W521" s="845" t="n"/>
      <c r="X521" s="845" t="n"/>
      <c r="Y521" s="845" t="n"/>
      <c r="Z521" s="845" t="n"/>
    </row>
    <row r="522">
      <c r="A522" s="845" t="n"/>
      <c r="B522" s="857" t="n"/>
      <c r="C522" s="857" t="n"/>
      <c r="D522" s="857" t="n"/>
      <c r="E522" s="857" t="n"/>
      <c r="F522" s="857" t="n"/>
      <c r="G522" s="858" t="n"/>
      <c r="H522" s="857" t="n"/>
      <c r="I522" s="857" t="n"/>
      <c r="J522" s="857" t="n"/>
      <c r="K522" s="857" t="n"/>
      <c r="L522" s="857" t="n"/>
      <c r="M522" s="857" t="n"/>
      <c r="N522" s="857" t="n"/>
      <c r="O522" s="845" t="n"/>
      <c r="P522" s="845" t="n"/>
      <c r="Q522" s="845" t="n"/>
      <c r="R522" s="845" t="n"/>
      <c r="S522" s="845" t="n"/>
      <c r="T522" s="845" t="n"/>
      <c r="U522" s="845" t="n"/>
      <c r="V522" s="845" t="n"/>
      <c r="W522" s="845" t="n"/>
      <c r="X522" s="845" t="n"/>
      <c r="Y522" s="845" t="n"/>
      <c r="Z522" s="845" t="n"/>
    </row>
    <row r="523">
      <c r="A523" s="845" t="n"/>
      <c r="B523" s="857" t="n"/>
      <c r="C523" s="857" t="n"/>
      <c r="D523" s="857" t="n"/>
      <c r="E523" s="857" t="n"/>
      <c r="F523" s="857" t="n"/>
      <c r="G523" s="858" t="n"/>
      <c r="H523" s="857" t="n"/>
      <c r="I523" s="857" t="n"/>
      <c r="J523" s="857" t="n"/>
      <c r="K523" s="857" t="n"/>
      <c r="L523" s="857" t="n"/>
      <c r="M523" s="857" t="n"/>
      <c r="N523" s="857" t="n"/>
      <c r="O523" s="845" t="n"/>
      <c r="P523" s="845" t="n"/>
      <c r="Q523" s="845" t="n"/>
      <c r="R523" s="845" t="n"/>
      <c r="S523" s="845" t="n"/>
      <c r="T523" s="845" t="n"/>
      <c r="U523" s="845" t="n"/>
      <c r="V523" s="845" t="n"/>
      <c r="W523" s="845" t="n"/>
      <c r="X523" s="845" t="n"/>
      <c r="Y523" s="845" t="n"/>
      <c r="Z523" s="845" t="n"/>
    </row>
    <row r="524">
      <c r="A524" s="845" t="n"/>
      <c r="B524" s="857" t="n"/>
      <c r="C524" s="857" t="n"/>
      <c r="D524" s="857" t="n"/>
      <c r="E524" s="857" t="n"/>
      <c r="F524" s="857" t="n"/>
      <c r="G524" s="858" t="n"/>
      <c r="H524" s="857" t="n"/>
      <c r="I524" s="857" t="n"/>
      <c r="J524" s="857" t="n"/>
      <c r="K524" s="857" t="n"/>
      <c r="L524" s="857" t="n"/>
      <c r="M524" s="857" t="n"/>
      <c r="N524" s="857" t="n"/>
      <c r="O524" s="845" t="n"/>
      <c r="P524" s="845" t="n"/>
      <c r="Q524" s="845" t="n"/>
      <c r="R524" s="845" t="n"/>
      <c r="S524" s="845" t="n"/>
      <c r="T524" s="845" t="n"/>
      <c r="U524" s="845" t="n"/>
      <c r="V524" s="845" t="n"/>
      <c r="W524" s="845" t="n"/>
      <c r="X524" s="845" t="n"/>
      <c r="Y524" s="845" t="n"/>
      <c r="Z524" s="845" t="n"/>
    </row>
    <row r="525">
      <c r="A525" s="845" t="n"/>
      <c r="B525" s="857" t="n"/>
      <c r="C525" s="857" t="n"/>
      <c r="D525" s="857" t="n"/>
      <c r="E525" s="857" t="n"/>
      <c r="F525" s="857" t="n"/>
      <c r="G525" s="858" t="n"/>
      <c r="H525" s="857" t="n"/>
      <c r="I525" s="857" t="n"/>
      <c r="J525" s="857" t="n"/>
      <c r="K525" s="857" t="n"/>
      <c r="L525" s="857" t="n"/>
      <c r="M525" s="857" t="n"/>
      <c r="N525" s="857" t="n"/>
      <c r="O525" s="845" t="n"/>
      <c r="P525" s="845" t="n"/>
      <c r="Q525" s="845" t="n"/>
      <c r="R525" s="845" t="n"/>
      <c r="S525" s="845" t="n"/>
      <c r="T525" s="845" t="n"/>
      <c r="U525" s="845" t="n"/>
      <c r="V525" s="845" t="n"/>
      <c r="W525" s="845" t="n"/>
      <c r="X525" s="845" t="n"/>
      <c r="Y525" s="845" t="n"/>
      <c r="Z525" s="845" t="n"/>
    </row>
    <row r="526">
      <c r="A526" s="845" t="n"/>
      <c r="B526" s="857" t="n"/>
      <c r="C526" s="857" t="n"/>
      <c r="D526" s="857" t="n"/>
      <c r="E526" s="857" t="n"/>
      <c r="F526" s="857" t="n"/>
      <c r="G526" s="858" t="n"/>
      <c r="H526" s="857" t="n"/>
      <c r="I526" s="857" t="n"/>
      <c r="J526" s="857" t="n"/>
      <c r="K526" s="857" t="n"/>
      <c r="L526" s="857" t="n"/>
      <c r="M526" s="857" t="n"/>
      <c r="N526" s="857" t="n"/>
      <c r="O526" s="845" t="n"/>
      <c r="P526" s="845" t="n"/>
      <c r="Q526" s="845" t="n"/>
      <c r="R526" s="845" t="n"/>
      <c r="S526" s="845" t="n"/>
      <c r="T526" s="845" t="n"/>
      <c r="U526" s="845" t="n"/>
      <c r="V526" s="845" t="n"/>
      <c r="W526" s="845" t="n"/>
      <c r="X526" s="845" t="n"/>
      <c r="Y526" s="845" t="n"/>
      <c r="Z526" s="845" t="n"/>
    </row>
    <row r="527">
      <c r="A527" s="845" t="n"/>
      <c r="B527" s="857" t="n"/>
      <c r="C527" s="857" t="n"/>
      <c r="D527" s="857" t="n"/>
      <c r="E527" s="857" t="n"/>
      <c r="F527" s="857" t="n"/>
      <c r="G527" s="858" t="n"/>
      <c r="H527" s="857" t="n"/>
      <c r="I527" s="857" t="n"/>
      <c r="J527" s="857" t="n"/>
      <c r="K527" s="857" t="n"/>
      <c r="L527" s="857" t="n"/>
      <c r="M527" s="857" t="n"/>
      <c r="N527" s="857" t="n"/>
      <c r="O527" s="845" t="n"/>
      <c r="P527" s="845" t="n"/>
      <c r="Q527" s="845" t="n"/>
      <c r="R527" s="845" t="n"/>
      <c r="S527" s="845" t="n"/>
      <c r="T527" s="845" t="n"/>
      <c r="U527" s="845" t="n"/>
      <c r="V527" s="845" t="n"/>
      <c r="W527" s="845" t="n"/>
      <c r="X527" s="845" t="n"/>
      <c r="Y527" s="845" t="n"/>
      <c r="Z527" s="845" t="n"/>
    </row>
    <row r="528">
      <c r="A528" s="845" t="n"/>
      <c r="B528" s="857" t="n"/>
      <c r="C528" s="857" t="n"/>
      <c r="D528" s="857" t="n"/>
      <c r="E528" s="857" t="n"/>
      <c r="F528" s="857" t="n"/>
      <c r="G528" s="858" t="n"/>
      <c r="H528" s="857" t="n"/>
      <c r="I528" s="857" t="n"/>
      <c r="J528" s="857" t="n"/>
      <c r="K528" s="857" t="n"/>
      <c r="L528" s="857" t="n"/>
      <c r="M528" s="857" t="n"/>
      <c r="N528" s="857" t="n"/>
      <c r="O528" s="845" t="n"/>
      <c r="P528" s="845" t="n"/>
      <c r="Q528" s="845" t="n"/>
      <c r="R528" s="845" t="n"/>
      <c r="S528" s="845" t="n"/>
      <c r="T528" s="845" t="n"/>
      <c r="U528" s="845" t="n"/>
      <c r="V528" s="845" t="n"/>
      <c r="W528" s="845" t="n"/>
      <c r="X528" s="845" t="n"/>
      <c r="Y528" s="845" t="n"/>
      <c r="Z528" s="845" t="n"/>
    </row>
    <row r="529">
      <c r="A529" s="845" t="n"/>
      <c r="B529" s="857" t="n"/>
      <c r="C529" s="857" t="n"/>
      <c r="D529" s="857" t="n"/>
      <c r="E529" s="857" t="n"/>
      <c r="F529" s="857" t="n"/>
      <c r="G529" s="858" t="n"/>
      <c r="H529" s="857" t="n"/>
      <c r="I529" s="857" t="n"/>
      <c r="J529" s="857" t="n"/>
      <c r="K529" s="857" t="n"/>
      <c r="L529" s="857" t="n"/>
      <c r="M529" s="857" t="n"/>
      <c r="N529" s="857" t="n"/>
      <c r="O529" s="845" t="n"/>
      <c r="P529" s="845" t="n"/>
      <c r="Q529" s="845" t="n"/>
      <c r="R529" s="845" t="n"/>
      <c r="S529" s="845" t="n"/>
      <c r="T529" s="845" t="n"/>
      <c r="U529" s="845" t="n"/>
      <c r="V529" s="845" t="n"/>
      <c r="W529" s="845" t="n"/>
      <c r="X529" s="845" t="n"/>
      <c r="Y529" s="845" t="n"/>
      <c r="Z529" s="845" t="n"/>
    </row>
    <row r="530">
      <c r="A530" s="845" t="n"/>
      <c r="B530" s="857" t="n"/>
      <c r="C530" s="857" t="n"/>
      <c r="D530" s="857" t="n"/>
      <c r="E530" s="857" t="n"/>
      <c r="F530" s="857" t="n"/>
      <c r="G530" s="858" t="n"/>
      <c r="H530" s="857" t="n"/>
      <c r="I530" s="857" t="n"/>
      <c r="J530" s="857" t="n"/>
      <c r="K530" s="857" t="n"/>
      <c r="L530" s="857" t="n"/>
      <c r="M530" s="857" t="n"/>
      <c r="N530" s="857" t="n"/>
      <c r="O530" s="845" t="n"/>
      <c r="P530" s="845" t="n"/>
      <c r="Q530" s="845" t="n"/>
      <c r="R530" s="845" t="n"/>
      <c r="S530" s="845" t="n"/>
      <c r="T530" s="845" t="n"/>
      <c r="U530" s="845" t="n"/>
      <c r="V530" s="845" t="n"/>
      <c r="W530" s="845" t="n"/>
      <c r="X530" s="845" t="n"/>
      <c r="Y530" s="845" t="n"/>
      <c r="Z530" s="845" t="n"/>
    </row>
    <row r="531">
      <c r="A531" s="845" t="n"/>
      <c r="B531" s="857" t="n"/>
      <c r="C531" s="857" t="n"/>
      <c r="D531" s="857" t="n"/>
      <c r="E531" s="857" t="n"/>
      <c r="F531" s="857" t="n"/>
      <c r="G531" s="858" t="n"/>
      <c r="H531" s="857" t="n"/>
      <c r="I531" s="857" t="n"/>
      <c r="J531" s="857" t="n"/>
      <c r="K531" s="857" t="n"/>
      <c r="L531" s="857" t="n"/>
      <c r="M531" s="857" t="n"/>
      <c r="N531" s="857" t="n"/>
      <c r="O531" s="845" t="n"/>
      <c r="P531" s="845" t="n"/>
      <c r="Q531" s="845" t="n"/>
      <c r="R531" s="845" t="n"/>
      <c r="S531" s="845" t="n"/>
      <c r="T531" s="845" t="n"/>
      <c r="U531" s="845" t="n"/>
      <c r="V531" s="845" t="n"/>
      <c r="W531" s="845" t="n"/>
      <c r="X531" s="845" t="n"/>
      <c r="Y531" s="845" t="n"/>
      <c r="Z531" s="845" t="n"/>
    </row>
    <row r="532">
      <c r="A532" s="845" t="n"/>
      <c r="B532" s="857" t="n"/>
      <c r="C532" s="857" t="n"/>
      <c r="D532" s="857" t="n"/>
      <c r="E532" s="857" t="n"/>
      <c r="F532" s="857" t="n"/>
      <c r="G532" s="858" t="n"/>
      <c r="H532" s="857" t="n"/>
      <c r="I532" s="857" t="n"/>
      <c r="J532" s="857" t="n"/>
      <c r="K532" s="857" t="n"/>
      <c r="L532" s="857" t="n"/>
      <c r="M532" s="857" t="n"/>
      <c r="N532" s="857" t="n"/>
      <c r="O532" s="845" t="n"/>
      <c r="P532" s="845" t="n"/>
      <c r="Q532" s="845" t="n"/>
      <c r="R532" s="845" t="n"/>
      <c r="S532" s="845" t="n"/>
      <c r="T532" s="845" t="n"/>
      <c r="U532" s="845" t="n"/>
      <c r="V532" s="845" t="n"/>
      <c r="W532" s="845" t="n"/>
      <c r="X532" s="845" t="n"/>
      <c r="Y532" s="845" t="n"/>
      <c r="Z532" s="845" t="n"/>
    </row>
    <row r="533">
      <c r="A533" s="845" t="n"/>
      <c r="B533" s="857" t="n"/>
      <c r="C533" s="857" t="n"/>
      <c r="D533" s="857" t="n"/>
      <c r="E533" s="857" t="n"/>
      <c r="F533" s="857" t="n"/>
      <c r="G533" s="858" t="n"/>
      <c r="H533" s="857" t="n"/>
      <c r="I533" s="857" t="n"/>
      <c r="J533" s="857" t="n"/>
      <c r="K533" s="857" t="n"/>
      <c r="L533" s="857" t="n"/>
      <c r="M533" s="857" t="n"/>
      <c r="N533" s="857" t="n"/>
      <c r="O533" s="845" t="n"/>
      <c r="P533" s="845" t="n"/>
      <c r="Q533" s="845" t="n"/>
      <c r="R533" s="845" t="n"/>
      <c r="S533" s="845" t="n"/>
      <c r="T533" s="845" t="n"/>
      <c r="U533" s="845" t="n"/>
      <c r="V533" s="845" t="n"/>
      <c r="W533" s="845" t="n"/>
      <c r="X533" s="845" t="n"/>
      <c r="Y533" s="845" t="n"/>
      <c r="Z533" s="845" t="n"/>
    </row>
    <row r="534">
      <c r="A534" s="845" t="n"/>
      <c r="B534" s="857" t="n"/>
      <c r="C534" s="857" t="n"/>
      <c r="D534" s="857" t="n"/>
      <c r="E534" s="857" t="n"/>
      <c r="F534" s="857" t="n"/>
      <c r="G534" s="858" t="n"/>
      <c r="H534" s="857" t="n"/>
      <c r="I534" s="857" t="n"/>
      <c r="J534" s="857" t="n"/>
      <c r="K534" s="857" t="n"/>
      <c r="L534" s="857" t="n"/>
      <c r="M534" s="857" t="n"/>
      <c r="N534" s="857" t="n"/>
      <c r="O534" s="845" t="n"/>
      <c r="P534" s="845" t="n"/>
      <c r="Q534" s="845" t="n"/>
      <c r="R534" s="845" t="n"/>
      <c r="S534" s="845" t="n"/>
      <c r="T534" s="845" t="n"/>
      <c r="U534" s="845" t="n"/>
      <c r="V534" s="845" t="n"/>
      <c r="W534" s="845" t="n"/>
      <c r="X534" s="845" t="n"/>
      <c r="Y534" s="845" t="n"/>
      <c r="Z534" s="845" t="n"/>
    </row>
    <row r="535">
      <c r="A535" s="845" t="n"/>
      <c r="B535" s="857" t="n"/>
      <c r="C535" s="857" t="n"/>
      <c r="D535" s="857" t="n"/>
      <c r="E535" s="857" t="n"/>
      <c r="F535" s="857" t="n"/>
      <c r="G535" s="858" t="n"/>
      <c r="H535" s="857" t="n"/>
      <c r="I535" s="857" t="n"/>
      <c r="J535" s="857" t="n"/>
      <c r="K535" s="857" t="n"/>
      <c r="L535" s="857" t="n"/>
      <c r="M535" s="857" t="n"/>
      <c r="N535" s="857" t="n"/>
      <c r="O535" s="845" t="n"/>
      <c r="P535" s="845" t="n"/>
      <c r="Q535" s="845" t="n"/>
      <c r="R535" s="845" t="n"/>
      <c r="S535" s="845" t="n"/>
      <c r="T535" s="845" t="n"/>
      <c r="U535" s="845" t="n"/>
      <c r="V535" s="845" t="n"/>
      <c r="W535" s="845" t="n"/>
      <c r="X535" s="845" t="n"/>
      <c r="Y535" s="845" t="n"/>
      <c r="Z535" s="845" t="n"/>
    </row>
    <row r="536">
      <c r="A536" s="845" t="n"/>
      <c r="B536" s="857" t="n"/>
      <c r="C536" s="857" t="n"/>
      <c r="D536" s="857" t="n"/>
      <c r="E536" s="857" t="n"/>
      <c r="F536" s="857" t="n"/>
      <c r="G536" s="858" t="n"/>
      <c r="H536" s="857" t="n"/>
      <c r="I536" s="857" t="n"/>
      <c r="J536" s="857" t="n"/>
      <c r="K536" s="857" t="n"/>
      <c r="L536" s="857" t="n"/>
      <c r="M536" s="857" t="n"/>
      <c r="N536" s="857" t="n"/>
      <c r="O536" s="845" t="n"/>
      <c r="P536" s="845" t="n"/>
      <c r="Q536" s="845" t="n"/>
      <c r="R536" s="845" t="n"/>
      <c r="S536" s="845" t="n"/>
      <c r="T536" s="845" t="n"/>
      <c r="U536" s="845" t="n"/>
      <c r="V536" s="845" t="n"/>
      <c r="W536" s="845" t="n"/>
      <c r="X536" s="845" t="n"/>
      <c r="Y536" s="845" t="n"/>
      <c r="Z536" s="845" t="n"/>
    </row>
    <row r="537">
      <c r="A537" s="845" t="n"/>
      <c r="B537" s="857" t="n"/>
      <c r="C537" s="857" t="n"/>
      <c r="D537" s="857" t="n"/>
      <c r="E537" s="857" t="n"/>
      <c r="F537" s="857" t="n"/>
      <c r="G537" s="858" t="n"/>
      <c r="H537" s="857" t="n"/>
      <c r="I537" s="857" t="n"/>
      <c r="J537" s="857" t="n"/>
      <c r="K537" s="857" t="n"/>
      <c r="L537" s="857" t="n"/>
      <c r="M537" s="857" t="n"/>
      <c r="N537" s="857" t="n"/>
      <c r="O537" s="845" t="n"/>
      <c r="P537" s="845" t="n"/>
      <c r="Q537" s="845" t="n"/>
      <c r="R537" s="845" t="n"/>
      <c r="S537" s="845" t="n"/>
      <c r="T537" s="845" t="n"/>
      <c r="U537" s="845" t="n"/>
      <c r="V537" s="845" t="n"/>
      <c r="W537" s="845" t="n"/>
      <c r="X537" s="845" t="n"/>
      <c r="Y537" s="845" t="n"/>
      <c r="Z537" s="845" t="n"/>
    </row>
    <row r="538">
      <c r="A538" s="845" t="n"/>
      <c r="B538" s="857" t="n"/>
      <c r="C538" s="857" t="n"/>
      <c r="D538" s="857" t="n"/>
      <c r="E538" s="857" t="n"/>
      <c r="F538" s="857" t="n"/>
      <c r="G538" s="858" t="n"/>
      <c r="H538" s="857" t="n"/>
      <c r="I538" s="857" t="n"/>
      <c r="J538" s="857" t="n"/>
      <c r="K538" s="857" t="n"/>
      <c r="L538" s="857" t="n"/>
      <c r="M538" s="857" t="n"/>
      <c r="N538" s="857" t="n"/>
      <c r="O538" s="845" t="n"/>
      <c r="P538" s="845" t="n"/>
      <c r="Q538" s="845" t="n"/>
      <c r="R538" s="845" t="n"/>
      <c r="S538" s="845" t="n"/>
      <c r="T538" s="845" t="n"/>
      <c r="U538" s="845" t="n"/>
      <c r="V538" s="845" t="n"/>
      <c r="W538" s="845" t="n"/>
      <c r="X538" s="845" t="n"/>
      <c r="Y538" s="845" t="n"/>
      <c r="Z538" s="845" t="n"/>
    </row>
    <row r="539">
      <c r="A539" s="845" t="n"/>
      <c r="B539" s="857" t="n"/>
      <c r="C539" s="857" t="n"/>
      <c r="D539" s="857" t="n"/>
      <c r="E539" s="857" t="n"/>
      <c r="F539" s="857" t="n"/>
      <c r="G539" s="858" t="n"/>
      <c r="H539" s="857" t="n"/>
      <c r="I539" s="857" t="n"/>
      <c r="J539" s="857" t="n"/>
      <c r="K539" s="857" t="n"/>
      <c r="L539" s="857" t="n"/>
      <c r="M539" s="857" t="n"/>
      <c r="N539" s="857" t="n"/>
      <c r="O539" s="845" t="n"/>
      <c r="P539" s="845" t="n"/>
      <c r="Q539" s="845" t="n"/>
      <c r="R539" s="845" t="n"/>
      <c r="S539" s="845" t="n"/>
      <c r="T539" s="845" t="n"/>
      <c r="U539" s="845" t="n"/>
      <c r="V539" s="845" t="n"/>
      <c r="W539" s="845" t="n"/>
      <c r="X539" s="845" t="n"/>
      <c r="Y539" s="845" t="n"/>
      <c r="Z539" s="845" t="n"/>
    </row>
    <row r="540">
      <c r="A540" s="845" t="n"/>
      <c r="B540" s="857" t="n"/>
      <c r="C540" s="857" t="n"/>
      <c r="D540" s="857" t="n"/>
      <c r="E540" s="857" t="n"/>
      <c r="F540" s="857" t="n"/>
      <c r="G540" s="858" t="n"/>
      <c r="H540" s="857" t="n"/>
      <c r="I540" s="857" t="n"/>
      <c r="J540" s="857" t="n"/>
      <c r="K540" s="857" t="n"/>
      <c r="L540" s="857" t="n"/>
      <c r="M540" s="857" t="n"/>
      <c r="N540" s="857" t="n"/>
      <c r="O540" s="845" t="n"/>
      <c r="P540" s="845" t="n"/>
      <c r="Q540" s="845" t="n"/>
      <c r="R540" s="845" t="n"/>
      <c r="S540" s="845" t="n"/>
      <c r="T540" s="845" t="n"/>
      <c r="U540" s="845" t="n"/>
      <c r="V540" s="845" t="n"/>
      <c r="W540" s="845" t="n"/>
      <c r="X540" s="845" t="n"/>
      <c r="Y540" s="845" t="n"/>
      <c r="Z540" s="845" t="n"/>
    </row>
    <row r="541">
      <c r="A541" s="845" t="n"/>
      <c r="B541" s="857" t="n"/>
      <c r="C541" s="857" t="n"/>
      <c r="D541" s="857" t="n"/>
      <c r="E541" s="857" t="n"/>
      <c r="F541" s="857" t="n"/>
      <c r="G541" s="858" t="n"/>
      <c r="H541" s="857" t="n"/>
      <c r="I541" s="857" t="n"/>
      <c r="J541" s="857" t="n"/>
      <c r="K541" s="857" t="n"/>
      <c r="L541" s="857" t="n"/>
      <c r="M541" s="857" t="n"/>
      <c r="N541" s="857" t="n"/>
      <c r="O541" s="845" t="n"/>
      <c r="P541" s="845" t="n"/>
      <c r="Q541" s="845" t="n"/>
      <c r="R541" s="845" t="n"/>
      <c r="S541" s="845" t="n"/>
      <c r="T541" s="845" t="n"/>
      <c r="U541" s="845" t="n"/>
      <c r="V541" s="845" t="n"/>
      <c r="W541" s="845" t="n"/>
      <c r="X541" s="845" t="n"/>
      <c r="Y541" s="845" t="n"/>
      <c r="Z541" s="845" t="n"/>
    </row>
    <row r="542">
      <c r="A542" s="845" t="n"/>
      <c r="B542" s="857" t="n"/>
      <c r="C542" s="857" t="n"/>
      <c r="D542" s="857" t="n"/>
      <c r="E542" s="857" t="n"/>
      <c r="F542" s="857" t="n"/>
      <c r="G542" s="858" t="n"/>
      <c r="H542" s="857" t="n"/>
      <c r="I542" s="857" t="n"/>
      <c r="J542" s="857" t="n"/>
      <c r="K542" s="857" t="n"/>
      <c r="L542" s="857" t="n"/>
      <c r="M542" s="857" t="n"/>
      <c r="N542" s="857" t="n"/>
      <c r="O542" s="845" t="n"/>
      <c r="P542" s="845" t="n"/>
      <c r="Q542" s="845" t="n"/>
      <c r="R542" s="845" t="n"/>
      <c r="S542" s="845" t="n"/>
      <c r="T542" s="845" t="n"/>
      <c r="U542" s="845" t="n"/>
      <c r="V542" s="845" t="n"/>
      <c r="W542" s="845" t="n"/>
      <c r="X542" s="845" t="n"/>
      <c r="Y542" s="845" t="n"/>
      <c r="Z542" s="845" t="n"/>
    </row>
    <row r="543">
      <c r="A543" s="845" t="n"/>
      <c r="B543" s="857" t="n"/>
      <c r="C543" s="857" t="n"/>
      <c r="D543" s="857" t="n"/>
      <c r="E543" s="857" t="n"/>
      <c r="F543" s="857" t="n"/>
      <c r="G543" s="858" t="n"/>
      <c r="H543" s="857" t="n"/>
      <c r="I543" s="857" t="n"/>
      <c r="J543" s="857" t="n"/>
      <c r="K543" s="857" t="n"/>
      <c r="L543" s="857" t="n"/>
      <c r="M543" s="857" t="n"/>
      <c r="N543" s="857" t="n"/>
      <c r="O543" s="845" t="n"/>
      <c r="P543" s="845" t="n"/>
      <c r="Q543" s="845" t="n"/>
      <c r="R543" s="845" t="n"/>
      <c r="S543" s="845" t="n"/>
      <c r="T543" s="845" t="n"/>
      <c r="U543" s="845" t="n"/>
      <c r="V543" s="845" t="n"/>
      <c r="W543" s="845" t="n"/>
      <c r="X543" s="845" t="n"/>
      <c r="Y543" s="845" t="n"/>
      <c r="Z543" s="845" t="n"/>
    </row>
    <row r="544">
      <c r="A544" s="845" t="n"/>
      <c r="B544" s="857" t="n"/>
      <c r="C544" s="857" t="n"/>
      <c r="D544" s="857" t="n"/>
      <c r="E544" s="857" t="n"/>
      <c r="F544" s="857" t="n"/>
      <c r="G544" s="858" t="n"/>
      <c r="H544" s="857" t="n"/>
      <c r="I544" s="857" t="n"/>
      <c r="J544" s="857" t="n"/>
      <c r="K544" s="857" t="n"/>
      <c r="L544" s="857" t="n"/>
      <c r="M544" s="857" t="n"/>
      <c r="N544" s="857" t="n"/>
      <c r="O544" s="845" t="n"/>
      <c r="P544" s="845" t="n"/>
      <c r="Q544" s="845" t="n"/>
      <c r="R544" s="845" t="n"/>
      <c r="S544" s="845" t="n"/>
      <c r="T544" s="845" t="n"/>
      <c r="U544" s="845" t="n"/>
      <c r="V544" s="845" t="n"/>
      <c r="W544" s="845" t="n"/>
      <c r="X544" s="845" t="n"/>
      <c r="Y544" s="845" t="n"/>
      <c r="Z544" s="845" t="n"/>
    </row>
    <row r="545">
      <c r="A545" s="845" t="n"/>
      <c r="B545" s="857" t="n"/>
      <c r="C545" s="857" t="n"/>
      <c r="D545" s="857" t="n"/>
      <c r="E545" s="857" t="n"/>
      <c r="F545" s="857" t="n"/>
      <c r="G545" s="858" t="n"/>
      <c r="H545" s="857" t="n"/>
      <c r="I545" s="857" t="n"/>
      <c r="J545" s="857" t="n"/>
      <c r="K545" s="857" t="n"/>
      <c r="L545" s="857" t="n"/>
      <c r="M545" s="857" t="n"/>
      <c r="N545" s="857" t="n"/>
      <c r="O545" s="845" t="n"/>
      <c r="P545" s="845" t="n"/>
      <c r="Q545" s="845" t="n"/>
      <c r="R545" s="845" t="n"/>
      <c r="S545" s="845" t="n"/>
      <c r="T545" s="845" t="n"/>
      <c r="U545" s="845" t="n"/>
      <c r="V545" s="845" t="n"/>
      <c r="W545" s="845" t="n"/>
      <c r="X545" s="845" t="n"/>
      <c r="Y545" s="845" t="n"/>
      <c r="Z545" s="845" t="n"/>
    </row>
    <row r="546">
      <c r="A546" s="845" t="n"/>
      <c r="B546" s="857" t="n"/>
      <c r="C546" s="857" t="n"/>
      <c r="D546" s="857" t="n"/>
      <c r="E546" s="857" t="n"/>
      <c r="F546" s="857" t="n"/>
      <c r="G546" s="858" t="n"/>
      <c r="H546" s="857" t="n"/>
      <c r="I546" s="857" t="n"/>
      <c r="J546" s="857" t="n"/>
      <c r="K546" s="857" t="n"/>
      <c r="L546" s="857" t="n"/>
      <c r="M546" s="857" t="n"/>
      <c r="N546" s="857" t="n"/>
      <c r="O546" s="845" t="n"/>
      <c r="P546" s="845" t="n"/>
      <c r="Q546" s="845" t="n"/>
      <c r="R546" s="845" t="n"/>
      <c r="S546" s="845" t="n"/>
      <c r="T546" s="845" t="n"/>
      <c r="U546" s="845" t="n"/>
      <c r="V546" s="845" t="n"/>
      <c r="W546" s="845" t="n"/>
      <c r="X546" s="845" t="n"/>
      <c r="Y546" s="845" t="n"/>
      <c r="Z546" s="845" t="n"/>
    </row>
    <row r="547">
      <c r="A547" s="845" t="n"/>
      <c r="B547" s="857" t="n"/>
      <c r="C547" s="857" t="n"/>
      <c r="D547" s="857" t="n"/>
      <c r="E547" s="857" t="n"/>
      <c r="F547" s="857" t="n"/>
      <c r="G547" s="858" t="n"/>
      <c r="H547" s="857" t="n"/>
      <c r="I547" s="857" t="n"/>
      <c r="J547" s="857" t="n"/>
      <c r="K547" s="857" t="n"/>
      <c r="L547" s="857" t="n"/>
      <c r="M547" s="857" t="n"/>
      <c r="N547" s="857" t="n"/>
      <c r="O547" s="845" t="n"/>
      <c r="P547" s="845" t="n"/>
      <c r="Q547" s="845" t="n"/>
      <c r="R547" s="845" t="n"/>
      <c r="S547" s="845" t="n"/>
      <c r="T547" s="845" t="n"/>
      <c r="U547" s="845" t="n"/>
      <c r="V547" s="845" t="n"/>
      <c r="W547" s="845" t="n"/>
      <c r="X547" s="845" t="n"/>
      <c r="Y547" s="845" t="n"/>
      <c r="Z547" s="845" t="n"/>
    </row>
    <row r="548">
      <c r="A548" s="845" t="n"/>
      <c r="B548" s="857" t="n"/>
      <c r="C548" s="857" t="n"/>
      <c r="D548" s="857" t="n"/>
      <c r="E548" s="857" t="n"/>
      <c r="F548" s="857" t="n"/>
      <c r="G548" s="858" t="n"/>
      <c r="H548" s="857" t="n"/>
      <c r="I548" s="857" t="n"/>
      <c r="J548" s="857" t="n"/>
      <c r="K548" s="857" t="n"/>
      <c r="L548" s="857" t="n"/>
      <c r="M548" s="857" t="n"/>
      <c r="N548" s="857" t="n"/>
      <c r="O548" s="845" t="n"/>
      <c r="P548" s="845" t="n"/>
      <c r="Q548" s="845" t="n"/>
      <c r="R548" s="845" t="n"/>
      <c r="S548" s="845" t="n"/>
      <c r="T548" s="845" t="n"/>
      <c r="U548" s="845" t="n"/>
      <c r="V548" s="845" t="n"/>
      <c r="W548" s="845" t="n"/>
      <c r="X548" s="845" t="n"/>
      <c r="Y548" s="845" t="n"/>
      <c r="Z548" s="845" t="n"/>
    </row>
    <row r="549">
      <c r="A549" s="845" t="n"/>
      <c r="B549" s="857" t="n"/>
      <c r="C549" s="857" t="n"/>
      <c r="D549" s="857" t="n"/>
      <c r="E549" s="857" t="n"/>
      <c r="F549" s="857" t="n"/>
      <c r="G549" s="858" t="n"/>
      <c r="H549" s="857" t="n"/>
      <c r="I549" s="857" t="n"/>
      <c r="J549" s="857" t="n"/>
      <c r="K549" s="857" t="n"/>
      <c r="L549" s="857" t="n"/>
      <c r="M549" s="857" t="n"/>
      <c r="N549" s="857" t="n"/>
      <c r="O549" s="845" t="n"/>
      <c r="P549" s="845" t="n"/>
      <c r="Q549" s="845" t="n"/>
      <c r="R549" s="845" t="n"/>
      <c r="S549" s="845" t="n"/>
      <c r="T549" s="845" t="n"/>
      <c r="U549" s="845" t="n"/>
      <c r="V549" s="845" t="n"/>
      <c r="W549" s="845" t="n"/>
      <c r="X549" s="845" t="n"/>
      <c r="Y549" s="845" t="n"/>
      <c r="Z549" s="845" t="n"/>
    </row>
    <row r="550">
      <c r="A550" s="845" t="n"/>
      <c r="B550" s="857" t="n"/>
      <c r="C550" s="857" t="n"/>
      <c r="D550" s="857" t="n"/>
      <c r="E550" s="857" t="n"/>
      <c r="F550" s="857" t="n"/>
      <c r="G550" s="858" t="n"/>
      <c r="H550" s="857" t="n"/>
      <c r="I550" s="857" t="n"/>
      <c r="J550" s="857" t="n"/>
      <c r="K550" s="857" t="n"/>
      <c r="L550" s="857" t="n"/>
      <c r="M550" s="857" t="n"/>
      <c r="N550" s="857" t="n"/>
      <c r="O550" s="845" t="n"/>
      <c r="P550" s="845" t="n"/>
      <c r="Q550" s="845" t="n"/>
      <c r="R550" s="845" t="n"/>
      <c r="S550" s="845" t="n"/>
      <c r="T550" s="845" t="n"/>
      <c r="U550" s="845" t="n"/>
      <c r="V550" s="845" t="n"/>
      <c r="W550" s="845" t="n"/>
      <c r="X550" s="845" t="n"/>
      <c r="Y550" s="845" t="n"/>
      <c r="Z550" s="845" t="n"/>
    </row>
    <row r="551">
      <c r="A551" s="845" t="n"/>
      <c r="B551" s="857" t="n"/>
      <c r="C551" s="857" t="n"/>
      <c r="D551" s="857" t="n"/>
      <c r="E551" s="857" t="n"/>
      <c r="F551" s="857" t="n"/>
      <c r="G551" s="858" t="n"/>
      <c r="H551" s="857" t="n"/>
      <c r="I551" s="857" t="n"/>
      <c r="J551" s="857" t="n"/>
      <c r="K551" s="857" t="n"/>
      <c r="L551" s="857" t="n"/>
      <c r="M551" s="857" t="n"/>
      <c r="N551" s="857" t="n"/>
      <c r="O551" s="845" t="n"/>
      <c r="P551" s="845" t="n"/>
      <c r="Q551" s="845" t="n"/>
      <c r="R551" s="845" t="n"/>
      <c r="S551" s="845" t="n"/>
      <c r="T551" s="845" t="n"/>
      <c r="U551" s="845" t="n"/>
      <c r="V551" s="845" t="n"/>
      <c r="W551" s="845" t="n"/>
      <c r="X551" s="845" t="n"/>
      <c r="Y551" s="845" t="n"/>
      <c r="Z551" s="845" t="n"/>
    </row>
    <row r="552">
      <c r="A552" s="845" t="n"/>
      <c r="B552" s="857" t="n"/>
      <c r="C552" s="857" t="n"/>
      <c r="D552" s="857" t="n"/>
      <c r="E552" s="857" t="n"/>
      <c r="F552" s="857" t="n"/>
      <c r="G552" s="858" t="n"/>
      <c r="H552" s="857" t="n"/>
      <c r="I552" s="857" t="n"/>
      <c r="J552" s="857" t="n"/>
      <c r="K552" s="857" t="n"/>
      <c r="L552" s="857" t="n"/>
      <c r="M552" s="857" t="n"/>
      <c r="N552" s="857" t="n"/>
      <c r="O552" s="845" t="n"/>
      <c r="P552" s="845" t="n"/>
      <c r="Q552" s="845" t="n"/>
      <c r="R552" s="845" t="n"/>
      <c r="S552" s="845" t="n"/>
      <c r="T552" s="845" t="n"/>
      <c r="U552" s="845" t="n"/>
      <c r="V552" s="845" t="n"/>
      <c r="W552" s="845" t="n"/>
      <c r="X552" s="845" t="n"/>
      <c r="Y552" s="845" t="n"/>
      <c r="Z552" s="845" t="n"/>
    </row>
    <row r="553">
      <c r="A553" s="845" t="n"/>
      <c r="B553" s="857" t="n"/>
      <c r="C553" s="857" t="n"/>
      <c r="D553" s="857" t="n"/>
      <c r="E553" s="857" t="n"/>
      <c r="F553" s="857" t="n"/>
      <c r="G553" s="858" t="n"/>
      <c r="H553" s="857" t="n"/>
      <c r="I553" s="857" t="n"/>
      <c r="J553" s="857" t="n"/>
      <c r="K553" s="857" t="n"/>
      <c r="L553" s="857" t="n"/>
      <c r="M553" s="857" t="n"/>
      <c r="N553" s="857" t="n"/>
      <c r="O553" s="845" t="n"/>
      <c r="P553" s="845" t="n"/>
      <c r="Q553" s="845" t="n"/>
      <c r="R553" s="845" t="n"/>
      <c r="S553" s="845" t="n"/>
      <c r="T553" s="845" t="n"/>
      <c r="U553" s="845" t="n"/>
      <c r="V553" s="845" t="n"/>
      <c r="W553" s="845" t="n"/>
      <c r="X553" s="845" t="n"/>
      <c r="Y553" s="845" t="n"/>
      <c r="Z553" s="845" t="n"/>
    </row>
    <row r="554">
      <c r="A554" s="845" t="n"/>
      <c r="B554" s="857" t="n"/>
      <c r="C554" s="857" t="n"/>
      <c r="D554" s="857" t="n"/>
      <c r="E554" s="857" t="n"/>
      <c r="F554" s="857" t="n"/>
      <c r="G554" s="858" t="n"/>
      <c r="H554" s="857" t="n"/>
      <c r="I554" s="857" t="n"/>
      <c r="J554" s="857" t="n"/>
      <c r="K554" s="857" t="n"/>
      <c r="L554" s="857" t="n"/>
      <c r="M554" s="857" t="n"/>
      <c r="N554" s="857" t="n"/>
      <c r="O554" s="845" t="n"/>
      <c r="P554" s="845" t="n"/>
      <c r="Q554" s="845" t="n"/>
      <c r="R554" s="845" t="n"/>
      <c r="S554" s="845" t="n"/>
      <c r="T554" s="845" t="n"/>
      <c r="U554" s="845" t="n"/>
      <c r="V554" s="845" t="n"/>
      <c r="W554" s="845" t="n"/>
      <c r="X554" s="845" t="n"/>
      <c r="Y554" s="845" t="n"/>
      <c r="Z554" s="845" t="n"/>
    </row>
    <row r="555">
      <c r="A555" s="845" t="n"/>
      <c r="B555" s="857" t="n"/>
      <c r="C555" s="857" t="n"/>
      <c r="D555" s="857" t="n"/>
      <c r="E555" s="857" t="n"/>
      <c r="F555" s="857" t="n"/>
      <c r="G555" s="858" t="n"/>
      <c r="H555" s="857" t="n"/>
      <c r="I555" s="857" t="n"/>
      <c r="J555" s="857" t="n"/>
      <c r="K555" s="857" t="n"/>
      <c r="L555" s="857" t="n"/>
      <c r="M555" s="857" t="n"/>
      <c r="N555" s="857" t="n"/>
      <c r="O555" s="845" t="n"/>
      <c r="P555" s="845" t="n"/>
      <c r="Q555" s="845" t="n"/>
      <c r="R555" s="845" t="n"/>
      <c r="S555" s="845" t="n"/>
      <c r="T555" s="845" t="n"/>
      <c r="U555" s="845" t="n"/>
      <c r="V555" s="845" t="n"/>
      <c r="W555" s="845" t="n"/>
      <c r="X555" s="845" t="n"/>
      <c r="Y555" s="845" t="n"/>
      <c r="Z555" s="845" t="n"/>
    </row>
    <row r="556">
      <c r="A556" s="845" t="n"/>
      <c r="B556" s="857" t="n"/>
      <c r="C556" s="857" t="n"/>
      <c r="D556" s="857" t="n"/>
      <c r="E556" s="857" t="n"/>
      <c r="F556" s="857" t="n"/>
      <c r="G556" s="858" t="n"/>
      <c r="H556" s="857" t="n"/>
      <c r="I556" s="857" t="n"/>
      <c r="J556" s="857" t="n"/>
      <c r="K556" s="857" t="n"/>
      <c r="L556" s="857" t="n"/>
      <c r="M556" s="857" t="n"/>
      <c r="N556" s="857" t="n"/>
      <c r="O556" s="845" t="n"/>
      <c r="P556" s="845" t="n"/>
      <c r="Q556" s="845" t="n"/>
      <c r="R556" s="845" t="n"/>
      <c r="S556" s="845" t="n"/>
      <c r="T556" s="845" t="n"/>
      <c r="U556" s="845" t="n"/>
      <c r="V556" s="845" t="n"/>
      <c r="W556" s="845" t="n"/>
      <c r="X556" s="845" t="n"/>
      <c r="Y556" s="845" t="n"/>
      <c r="Z556" s="845" t="n"/>
    </row>
    <row r="557">
      <c r="A557" s="845" t="n"/>
      <c r="B557" s="857" t="n"/>
      <c r="C557" s="857" t="n"/>
      <c r="D557" s="857" t="n"/>
      <c r="E557" s="857" t="n"/>
      <c r="F557" s="857" t="n"/>
      <c r="G557" s="858" t="n"/>
      <c r="H557" s="857" t="n"/>
      <c r="I557" s="857" t="n"/>
      <c r="J557" s="857" t="n"/>
      <c r="K557" s="857" t="n"/>
      <c r="L557" s="857" t="n"/>
      <c r="M557" s="857" t="n"/>
      <c r="N557" s="857" t="n"/>
      <c r="O557" s="845" t="n"/>
      <c r="P557" s="845" t="n"/>
      <c r="Q557" s="845" t="n"/>
      <c r="R557" s="845" t="n"/>
      <c r="S557" s="845" t="n"/>
      <c r="T557" s="845" t="n"/>
      <c r="U557" s="845" t="n"/>
      <c r="V557" s="845" t="n"/>
      <c r="W557" s="845" t="n"/>
      <c r="X557" s="845" t="n"/>
      <c r="Y557" s="845" t="n"/>
      <c r="Z557" s="845" t="n"/>
    </row>
    <row r="558">
      <c r="A558" s="845" t="n"/>
      <c r="B558" s="857" t="n"/>
      <c r="C558" s="857" t="n"/>
      <c r="D558" s="857" t="n"/>
      <c r="E558" s="857" t="n"/>
      <c r="F558" s="857" t="n"/>
      <c r="G558" s="858" t="n"/>
      <c r="H558" s="857" t="n"/>
      <c r="I558" s="857" t="n"/>
      <c r="J558" s="857" t="n"/>
      <c r="K558" s="857" t="n"/>
      <c r="L558" s="857" t="n"/>
      <c r="M558" s="857" t="n"/>
      <c r="N558" s="857" t="n"/>
      <c r="O558" s="845" t="n"/>
      <c r="P558" s="845" t="n"/>
      <c r="Q558" s="845" t="n"/>
      <c r="R558" s="845" t="n"/>
      <c r="S558" s="845" t="n"/>
      <c r="T558" s="845" t="n"/>
      <c r="U558" s="845" t="n"/>
      <c r="V558" s="845" t="n"/>
      <c r="W558" s="845" t="n"/>
      <c r="X558" s="845" t="n"/>
      <c r="Y558" s="845" t="n"/>
      <c r="Z558" s="845" t="n"/>
    </row>
    <row r="559">
      <c r="A559" s="845" t="n"/>
      <c r="B559" s="857" t="n"/>
      <c r="C559" s="857" t="n"/>
      <c r="D559" s="857" t="n"/>
      <c r="E559" s="857" t="n"/>
      <c r="F559" s="857" t="n"/>
      <c r="G559" s="858" t="n"/>
      <c r="H559" s="857" t="n"/>
      <c r="I559" s="857" t="n"/>
      <c r="J559" s="857" t="n"/>
      <c r="K559" s="857" t="n"/>
      <c r="L559" s="857" t="n"/>
      <c r="M559" s="857" t="n"/>
      <c r="N559" s="857" t="n"/>
      <c r="O559" s="845" t="n"/>
      <c r="P559" s="845" t="n"/>
      <c r="Q559" s="845" t="n"/>
      <c r="R559" s="845" t="n"/>
      <c r="S559" s="845" t="n"/>
      <c r="T559" s="845" t="n"/>
      <c r="U559" s="845" t="n"/>
      <c r="V559" s="845" t="n"/>
      <c r="W559" s="845" t="n"/>
      <c r="X559" s="845" t="n"/>
      <c r="Y559" s="845" t="n"/>
      <c r="Z559" s="845" t="n"/>
    </row>
    <row r="560">
      <c r="A560" s="845" t="n"/>
      <c r="B560" s="857" t="n"/>
      <c r="C560" s="857" t="n"/>
      <c r="D560" s="857" t="n"/>
      <c r="E560" s="857" t="n"/>
      <c r="F560" s="857" t="n"/>
      <c r="G560" s="858" t="n"/>
      <c r="H560" s="857" t="n"/>
      <c r="I560" s="857" t="n"/>
      <c r="J560" s="857" t="n"/>
      <c r="K560" s="857" t="n"/>
      <c r="L560" s="857" t="n"/>
      <c r="M560" s="857" t="n"/>
      <c r="N560" s="857" t="n"/>
      <c r="O560" s="845" t="n"/>
      <c r="P560" s="845" t="n"/>
      <c r="Q560" s="845" t="n"/>
      <c r="R560" s="845" t="n"/>
      <c r="S560" s="845" t="n"/>
      <c r="T560" s="845" t="n"/>
      <c r="U560" s="845" t="n"/>
      <c r="V560" s="845" t="n"/>
      <c r="W560" s="845" t="n"/>
      <c r="X560" s="845" t="n"/>
      <c r="Y560" s="845" t="n"/>
      <c r="Z560" s="845" t="n"/>
    </row>
    <row r="561">
      <c r="A561" s="845" t="n"/>
      <c r="B561" s="857" t="n"/>
      <c r="C561" s="857" t="n"/>
      <c r="D561" s="857" t="n"/>
      <c r="E561" s="857" t="n"/>
      <c r="F561" s="857" t="n"/>
      <c r="G561" s="858" t="n"/>
      <c r="H561" s="857" t="n"/>
      <c r="I561" s="857" t="n"/>
      <c r="J561" s="857" t="n"/>
      <c r="K561" s="857" t="n"/>
      <c r="L561" s="857" t="n"/>
      <c r="M561" s="857" t="n"/>
      <c r="N561" s="857" t="n"/>
      <c r="O561" s="845" t="n"/>
      <c r="P561" s="845" t="n"/>
      <c r="Q561" s="845" t="n"/>
      <c r="R561" s="845" t="n"/>
      <c r="S561" s="845" t="n"/>
      <c r="T561" s="845" t="n"/>
      <c r="U561" s="845" t="n"/>
      <c r="V561" s="845" t="n"/>
      <c r="W561" s="845" t="n"/>
      <c r="X561" s="845" t="n"/>
      <c r="Y561" s="845" t="n"/>
      <c r="Z561" s="845" t="n"/>
    </row>
    <row r="562">
      <c r="A562" s="845" t="n"/>
      <c r="B562" s="857" t="n"/>
      <c r="C562" s="857" t="n"/>
      <c r="D562" s="857" t="n"/>
      <c r="E562" s="857" t="n"/>
      <c r="F562" s="857" t="n"/>
      <c r="G562" s="858" t="n"/>
      <c r="H562" s="857" t="n"/>
      <c r="I562" s="857" t="n"/>
      <c r="J562" s="857" t="n"/>
      <c r="K562" s="857" t="n"/>
      <c r="L562" s="857" t="n"/>
      <c r="M562" s="857" t="n"/>
      <c r="N562" s="857" t="n"/>
      <c r="O562" s="845" t="n"/>
      <c r="P562" s="845" t="n"/>
      <c r="Q562" s="845" t="n"/>
      <c r="R562" s="845" t="n"/>
      <c r="S562" s="845" t="n"/>
      <c r="T562" s="845" t="n"/>
      <c r="U562" s="845" t="n"/>
      <c r="V562" s="845" t="n"/>
      <c r="W562" s="845" t="n"/>
      <c r="X562" s="845" t="n"/>
      <c r="Y562" s="845" t="n"/>
      <c r="Z562" s="845" t="n"/>
    </row>
    <row r="563">
      <c r="A563" s="845" t="n"/>
      <c r="B563" s="857" t="n"/>
      <c r="C563" s="857" t="n"/>
      <c r="D563" s="857" t="n"/>
      <c r="E563" s="857" t="n"/>
      <c r="F563" s="857" t="n"/>
      <c r="G563" s="858" t="n"/>
      <c r="H563" s="857" t="n"/>
      <c r="I563" s="857" t="n"/>
      <c r="J563" s="857" t="n"/>
      <c r="K563" s="857" t="n"/>
      <c r="L563" s="857" t="n"/>
      <c r="M563" s="857" t="n"/>
      <c r="N563" s="857" t="n"/>
      <c r="O563" s="845" t="n"/>
      <c r="P563" s="845" t="n"/>
      <c r="Q563" s="845" t="n"/>
      <c r="R563" s="845" t="n"/>
      <c r="S563" s="845" t="n"/>
      <c r="T563" s="845" t="n"/>
      <c r="U563" s="845" t="n"/>
      <c r="V563" s="845" t="n"/>
      <c r="W563" s="845" t="n"/>
      <c r="X563" s="845" t="n"/>
      <c r="Y563" s="845" t="n"/>
      <c r="Z563" s="845" t="n"/>
    </row>
    <row r="564">
      <c r="A564" s="845" t="n"/>
      <c r="B564" s="857" t="n"/>
      <c r="C564" s="857" t="n"/>
      <c r="D564" s="857" t="n"/>
      <c r="E564" s="857" t="n"/>
      <c r="F564" s="857" t="n"/>
      <c r="G564" s="858" t="n"/>
      <c r="H564" s="857" t="n"/>
      <c r="I564" s="857" t="n"/>
      <c r="J564" s="857" t="n"/>
      <c r="K564" s="857" t="n"/>
      <c r="L564" s="857" t="n"/>
      <c r="M564" s="857" t="n"/>
      <c r="N564" s="857" t="n"/>
      <c r="O564" s="845" t="n"/>
      <c r="P564" s="845" t="n"/>
      <c r="Q564" s="845" t="n"/>
      <c r="R564" s="845" t="n"/>
      <c r="S564" s="845" t="n"/>
      <c r="T564" s="845" t="n"/>
      <c r="U564" s="845" t="n"/>
      <c r="V564" s="845" t="n"/>
      <c r="W564" s="845" t="n"/>
      <c r="X564" s="845" t="n"/>
      <c r="Y564" s="845" t="n"/>
      <c r="Z564" s="845" t="n"/>
    </row>
    <row r="565">
      <c r="A565" s="845" t="n"/>
      <c r="B565" s="857" t="n"/>
      <c r="C565" s="857" t="n"/>
      <c r="D565" s="857" t="n"/>
      <c r="E565" s="857" t="n"/>
      <c r="F565" s="857" t="n"/>
      <c r="G565" s="858" t="n"/>
      <c r="H565" s="857" t="n"/>
      <c r="I565" s="857" t="n"/>
      <c r="J565" s="857" t="n"/>
      <c r="K565" s="857" t="n"/>
      <c r="L565" s="857" t="n"/>
      <c r="M565" s="857" t="n"/>
      <c r="N565" s="857" t="n"/>
      <c r="O565" s="845" t="n"/>
      <c r="P565" s="845" t="n"/>
      <c r="Q565" s="845" t="n"/>
      <c r="R565" s="845" t="n"/>
      <c r="S565" s="845" t="n"/>
      <c r="T565" s="845" t="n"/>
      <c r="U565" s="845" t="n"/>
      <c r="V565" s="845" t="n"/>
      <c r="W565" s="845" t="n"/>
      <c r="X565" s="845" t="n"/>
      <c r="Y565" s="845" t="n"/>
      <c r="Z565" s="845" t="n"/>
    </row>
    <row r="566">
      <c r="A566" s="845" t="n"/>
      <c r="B566" s="857" t="n"/>
      <c r="C566" s="857" t="n"/>
      <c r="D566" s="857" t="n"/>
      <c r="E566" s="857" t="n"/>
      <c r="F566" s="857" t="n"/>
      <c r="G566" s="858" t="n"/>
      <c r="H566" s="857" t="n"/>
      <c r="I566" s="857" t="n"/>
      <c r="J566" s="857" t="n"/>
      <c r="K566" s="857" t="n"/>
      <c r="L566" s="857" t="n"/>
      <c r="M566" s="857" t="n"/>
      <c r="N566" s="857" t="n"/>
      <c r="O566" s="845" t="n"/>
      <c r="P566" s="845" t="n"/>
      <c r="Q566" s="845" t="n"/>
      <c r="R566" s="845" t="n"/>
      <c r="S566" s="845" t="n"/>
      <c r="T566" s="845" t="n"/>
      <c r="U566" s="845" t="n"/>
      <c r="V566" s="845" t="n"/>
      <c r="W566" s="845" t="n"/>
      <c r="X566" s="845" t="n"/>
      <c r="Y566" s="845" t="n"/>
      <c r="Z566" s="845" t="n"/>
    </row>
    <row r="567">
      <c r="A567" s="845" t="n"/>
      <c r="B567" s="857" t="n"/>
      <c r="C567" s="857" t="n"/>
      <c r="D567" s="857" t="n"/>
      <c r="E567" s="857" t="n"/>
      <c r="F567" s="857" t="n"/>
      <c r="G567" s="858" t="n"/>
      <c r="H567" s="857" t="n"/>
      <c r="I567" s="857" t="n"/>
      <c r="J567" s="857" t="n"/>
      <c r="K567" s="857" t="n"/>
      <c r="L567" s="857" t="n"/>
      <c r="M567" s="857" t="n"/>
      <c r="N567" s="857" t="n"/>
      <c r="O567" s="845" t="n"/>
      <c r="P567" s="845" t="n"/>
      <c r="Q567" s="845" t="n"/>
      <c r="R567" s="845" t="n"/>
      <c r="S567" s="845" t="n"/>
      <c r="T567" s="845" t="n"/>
      <c r="U567" s="845" t="n"/>
      <c r="V567" s="845" t="n"/>
      <c r="W567" s="845" t="n"/>
      <c r="X567" s="845" t="n"/>
      <c r="Y567" s="845" t="n"/>
      <c r="Z567" s="845" t="n"/>
    </row>
    <row r="568">
      <c r="A568" s="845" t="n"/>
      <c r="B568" s="857" t="n"/>
      <c r="C568" s="857" t="n"/>
      <c r="D568" s="857" t="n"/>
      <c r="E568" s="857" t="n"/>
      <c r="F568" s="857" t="n"/>
      <c r="G568" s="858" t="n"/>
      <c r="H568" s="857" t="n"/>
      <c r="I568" s="857" t="n"/>
      <c r="J568" s="857" t="n"/>
      <c r="K568" s="857" t="n"/>
      <c r="L568" s="857" t="n"/>
      <c r="M568" s="857" t="n"/>
      <c r="N568" s="857" t="n"/>
      <c r="O568" s="845" t="n"/>
      <c r="P568" s="845" t="n"/>
      <c r="Q568" s="845" t="n"/>
      <c r="R568" s="845" t="n"/>
      <c r="S568" s="845" t="n"/>
      <c r="T568" s="845" t="n"/>
      <c r="U568" s="845" t="n"/>
      <c r="V568" s="845" t="n"/>
      <c r="W568" s="845" t="n"/>
      <c r="X568" s="845" t="n"/>
      <c r="Y568" s="845" t="n"/>
      <c r="Z568" s="845" t="n"/>
    </row>
    <row r="569">
      <c r="A569" s="845" t="n"/>
      <c r="B569" s="857" t="n"/>
      <c r="C569" s="857" t="n"/>
      <c r="D569" s="857" t="n"/>
      <c r="E569" s="857" t="n"/>
      <c r="F569" s="857" t="n"/>
      <c r="G569" s="858" t="n"/>
      <c r="H569" s="857" t="n"/>
      <c r="I569" s="857" t="n"/>
      <c r="J569" s="857" t="n"/>
      <c r="K569" s="857" t="n"/>
      <c r="L569" s="857" t="n"/>
      <c r="M569" s="857" t="n"/>
      <c r="N569" s="857" t="n"/>
      <c r="O569" s="845" t="n"/>
      <c r="P569" s="845" t="n"/>
      <c r="Q569" s="845" t="n"/>
      <c r="R569" s="845" t="n"/>
      <c r="S569" s="845" t="n"/>
      <c r="T569" s="845" t="n"/>
      <c r="U569" s="845" t="n"/>
      <c r="V569" s="845" t="n"/>
      <c r="W569" s="845" t="n"/>
      <c r="X569" s="845" t="n"/>
      <c r="Y569" s="845" t="n"/>
      <c r="Z569" s="845" t="n"/>
    </row>
    <row r="570">
      <c r="A570" s="845" t="n"/>
      <c r="B570" s="857" t="n"/>
      <c r="C570" s="857" t="n"/>
      <c r="D570" s="857" t="n"/>
      <c r="E570" s="857" t="n"/>
      <c r="F570" s="857" t="n"/>
      <c r="G570" s="858" t="n"/>
      <c r="H570" s="857" t="n"/>
      <c r="I570" s="857" t="n"/>
      <c r="J570" s="857" t="n"/>
      <c r="K570" s="857" t="n"/>
      <c r="L570" s="857" t="n"/>
      <c r="M570" s="857" t="n"/>
      <c r="N570" s="857" t="n"/>
      <c r="O570" s="845" t="n"/>
      <c r="P570" s="845" t="n"/>
      <c r="Q570" s="845" t="n"/>
      <c r="R570" s="845" t="n"/>
      <c r="S570" s="845" t="n"/>
      <c r="T570" s="845" t="n"/>
      <c r="U570" s="845" t="n"/>
      <c r="V570" s="845" t="n"/>
      <c r="W570" s="845" t="n"/>
      <c r="X570" s="845" t="n"/>
      <c r="Y570" s="845" t="n"/>
      <c r="Z570" s="845" t="n"/>
    </row>
    <row r="571">
      <c r="A571" s="845" t="n"/>
      <c r="B571" s="857" t="n"/>
      <c r="C571" s="857" t="n"/>
      <c r="D571" s="857" t="n"/>
      <c r="E571" s="857" t="n"/>
      <c r="F571" s="857" t="n"/>
      <c r="G571" s="858" t="n"/>
      <c r="H571" s="857" t="n"/>
      <c r="I571" s="857" t="n"/>
      <c r="J571" s="857" t="n"/>
      <c r="K571" s="857" t="n"/>
      <c r="L571" s="857" t="n"/>
      <c r="M571" s="857" t="n"/>
      <c r="N571" s="857" t="n"/>
      <c r="O571" s="845" t="n"/>
      <c r="P571" s="845" t="n"/>
      <c r="Q571" s="845" t="n"/>
      <c r="R571" s="845" t="n"/>
      <c r="S571" s="845" t="n"/>
      <c r="T571" s="845" t="n"/>
      <c r="U571" s="845" t="n"/>
      <c r="V571" s="845" t="n"/>
      <c r="W571" s="845" t="n"/>
      <c r="X571" s="845" t="n"/>
      <c r="Y571" s="845" t="n"/>
      <c r="Z571" s="845" t="n"/>
    </row>
    <row r="572">
      <c r="A572" s="845" t="n"/>
      <c r="B572" s="857" t="n"/>
      <c r="C572" s="857" t="n"/>
      <c r="D572" s="857" t="n"/>
      <c r="E572" s="857" t="n"/>
      <c r="F572" s="857" t="n"/>
      <c r="G572" s="858" t="n"/>
      <c r="H572" s="857" t="n"/>
      <c r="I572" s="857" t="n"/>
      <c r="J572" s="857" t="n"/>
      <c r="K572" s="857" t="n"/>
      <c r="L572" s="857" t="n"/>
      <c r="M572" s="857" t="n"/>
      <c r="N572" s="857" t="n"/>
      <c r="O572" s="845" t="n"/>
      <c r="P572" s="845" t="n"/>
      <c r="Q572" s="845" t="n"/>
      <c r="R572" s="845" t="n"/>
      <c r="S572" s="845" t="n"/>
      <c r="T572" s="845" t="n"/>
      <c r="U572" s="845" t="n"/>
      <c r="V572" s="845" t="n"/>
      <c r="W572" s="845" t="n"/>
      <c r="X572" s="845" t="n"/>
      <c r="Y572" s="845" t="n"/>
      <c r="Z572" s="845" t="n"/>
    </row>
    <row r="573">
      <c r="A573" s="845" t="n"/>
      <c r="B573" s="857" t="n"/>
      <c r="C573" s="857" t="n"/>
      <c r="D573" s="857" t="n"/>
      <c r="E573" s="857" t="n"/>
      <c r="F573" s="857" t="n"/>
      <c r="G573" s="858" t="n"/>
      <c r="H573" s="857" t="n"/>
      <c r="I573" s="857" t="n"/>
      <c r="J573" s="857" t="n"/>
      <c r="K573" s="857" t="n"/>
      <c r="L573" s="857" t="n"/>
      <c r="M573" s="857" t="n"/>
      <c r="N573" s="857" t="n"/>
      <c r="O573" s="845" t="n"/>
      <c r="P573" s="845" t="n"/>
      <c r="Q573" s="845" t="n"/>
      <c r="R573" s="845" t="n"/>
      <c r="S573" s="845" t="n"/>
      <c r="T573" s="845" t="n"/>
      <c r="U573" s="845" t="n"/>
      <c r="V573" s="845" t="n"/>
      <c r="W573" s="845" t="n"/>
      <c r="X573" s="845" t="n"/>
      <c r="Y573" s="845" t="n"/>
      <c r="Z573" s="845" t="n"/>
    </row>
    <row r="574">
      <c r="A574" s="845" t="n"/>
      <c r="B574" s="857" t="n"/>
      <c r="C574" s="857" t="n"/>
      <c r="D574" s="857" t="n"/>
      <c r="E574" s="857" t="n"/>
      <c r="F574" s="857" t="n"/>
      <c r="G574" s="858" t="n"/>
      <c r="H574" s="857" t="n"/>
      <c r="I574" s="857" t="n"/>
      <c r="J574" s="857" t="n"/>
      <c r="K574" s="857" t="n"/>
      <c r="L574" s="857" t="n"/>
      <c r="M574" s="857" t="n"/>
      <c r="N574" s="857" t="n"/>
      <c r="O574" s="845" t="n"/>
      <c r="P574" s="845" t="n"/>
      <c r="Q574" s="845" t="n"/>
      <c r="R574" s="845" t="n"/>
      <c r="S574" s="845" t="n"/>
      <c r="T574" s="845" t="n"/>
      <c r="U574" s="845" t="n"/>
      <c r="V574" s="845" t="n"/>
      <c r="W574" s="845" t="n"/>
      <c r="X574" s="845" t="n"/>
      <c r="Y574" s="845" t="n"/>
      <c r="Z574" s="845" t="n"/>
    </row>
    <row r="575">
      <c r="A575" s="845" t="n"/>
      <c r="B575" s="857" t="n"/>
      <c r="C575" s="857" t="n"/>
      <c r="D575" s="857" t="n"/>
      <c r="E575" s="857" t="n"/>
      <c r="F575" s="857" t="n"/>
      <c r="G575" s="858" t="n"/>
      <c r="H575" s="857" t="n"/>
      <c r="I575" s="857" t="n"/>
      <c r="J575" s="857" t="n"/>
      <c r="K575" s="857" t="n"/>
      <c r="L575" s="857" t="n"/>
      <c r="M575" s="857" t="n"/>
      <c r="N575" s="857" t="n"/>
      <c r="O575" s="845" t="n"/>
      <c r="P575" s="845" t="n"/>
      <c r="Q575" s="845" t="n"/>
      <c r="R575" s="845" t="n"/>
      <c r="S575" s="845" t="n"/>
      <c r="T575" s="845" t="n"/>
      <c r="U575" s="845" t="n"/>
      <c r="V575" s="845" t="n"/>
      <c r="W575" s="845" t="n"/>
      <c r="X575" s="845" t="n"/>
      <c r="Y575" s="845" t="n"/>
      <c r="Z575" s="845" t="n"/>
    </row>
    <row r="576">
      <c r="A576" s="845" t="n"/>
      <c r="B576" s="857" t="n"/>
      <c r="C576" s="857" t="n"/>
      <c r="D576" s="857" t="n"/>
      <c r="E576" s="857" t="n"/>
      <c r="F576" s="857" t="n"/>
      <c r="G576" s="858" t="n"/>
      <c r="H576" s="857" t="n"/>
      <c r="I576" s="857" t="n"/>
      <c r="J576" s="857" t="n"/>
      <c r="K576" s="857" t="n"/>
      <c r="L576" s="857" t="n"/>
      <c r="M576" s="857" t="n"/>
      <c r="N576" s="857" t="n"/>
      <c r="O576" s="845" t="n"/>
      <c r="P576" s="845" t="n"/>
      <c r="Q576" s="845" t="n"/>
      <c r="R576" s="845" t="n"/>
      <c r="S576" s="845" t="n"/>
      <c r="T576" s="845" t="n"/>
      <c r="U576" s="845" t="n"/>
      <c r="V576" s="845" t="n"/>
      <c r="W576" s="845" t="n"/>
      <c r="X576" s="845" t="n"/>
      <c r="Y576" s="845" t="n"/>
      <c r="Z576" s="845" t="n"/>
    </row>
    <row r="577">
      <c r="A577" s="845" t="n"/>
      <c r="B577" s="857" t="n"/>
      <c r="C577" s="857" t="n"/>
      <c r="D577" s="857" t="n"/>
      <c r="E577" s="857" t="n"/>
      <c r="F577" s="857" t="n"/>
      <c r="G577" s="858" t="n"/>
      <c r="H577" s="857" t="n"/>
      <c r="I577" s="857" t="n"/>
      <c r="J577" s="857" t="n"/>
      <c r="K577" s="857" t="n"/>
      <c r="L577" s="857" t="n"/>
      <c r="M577" s="857" t="n"/>
      <c r="N577" s="857" t="n"/>
      <c r="O577" s="845" t="n"/>
      <c r="P577" s="845" t="n"/>
      <c r="Q577" s="845" t="n"/>
      <c r="R577" s="845" t="n"/>
      <c r="S577" s="845" t="n"/>
      <c r="T577" s="845" t="n"/>
      <c r="U577" s="845" t="n"/>
      <c r="V577" s="845" t="n"/>
      <c r="W577" s="845" t="n"/>
      <c r="X577" s="845" t="n"/>
      <c r="Y577" s="845" t="n"/>
      <c r="Z577" s="845" t="n"/>
    </row>
    <row r="578">
      <c r="A578" s="845" t="n"/>
      <c r="B578" s="857" t="n"/>
      <c r="C578" s="857" t="n"/>
      <c r="D578" s="857" t="n"/>
      <c r="E578" s="857" t="n"/>
      <c r="F578" s="857" t="n"/>
      <c r="G578" s="858" t="n"/>
      <c r="H578" s="857" t="n"/>
      <c r="I578" s="857" t="n"/>
      <c r="J578" s="857" t="n"/>
      <c r="K578" s="857" t="n"/>
      <c r="L578" s="857" t="n"/>
      <c r="M578" s="857" t="n"/>
      <c r="N578" s="857" t="n"/>
      <c r="O578" s="845" t="n"/>
      <c r="P578" s="845" t="n"/>
      <c r="Q578" s="845" t="n"/>
      <c r="R578" s="845" t="n"/>
      <c r="S578" s="845" t="n"/>
      <c r="T578" s="845" t="n"/>
      <c r="U578" s="845" t="n"/>
      <c r="V578" s="845" t="n"/>
      <c r="W578" s="845" t="n"/>
      <c r="X578" s="845" t="n"/>
      <c r="Y578" s="845" t="n"/>
      <c r="Z578" s="845" t="n"/>
    </row>
    <row r="579">
      <c r="A579" s="845" t="n"/>
      <c r="B579" s="857" t="n"/>
      <c r="C579" s="857" t="n"/>
      <c r="D579" s="857" t="n"/>
      <c r="E579" s="857" t="n"/>
      <c r="F579" s="857" t="n"/>
      <c r="G579" s="858" t="n"/>
      <c r="H579" s="857" t="n"/>
      <c r="I579" s="857" t="n"/>
      <c r="J579" s="857" t="n"/>
      <c r="K579" s="857" t="n"/>
      <c r="L579" s="857" t="n"/>
      <c r="M579" s="857" t="n"/>
      <c r="N579" s="857" t="n"/>
      <c r="O579" s="845" t="n"/>
      <c r="P579" s="845" t="n"/>
      <c r="Q579" s="845" t="n"/>
      <c r="R579" s="845" t="n"/>
      <c r="S579" s="845" t="n"/>
      <c r="T579" s="845" t="n"/>
      <c r="U579" s="845" t="n"/>
      <c r="V579" s="845" t="n"/>
      <c r="W579" s="845" t="n"/>
      <c r="X579" s="845" t="n"/>
      <c r="Y579" s="845" t="n"/>
      <c r="Z579" s="845" t="n"/>
    </row>
    <row r="580">
      <c r="A580" s="845" t="n"/>
      <c r="B580" s="857" t="n"/>
      <c r="C580" s="857" t="n"/>
      <c r="D580" s="857" t="n"/>
      <c r="E580" s="857" t="n"/>
      <c r="F580" s="857" t="n"/>
      <c r="G580" s="858" t="n"/>
      <c r="H580" s="857" t="n"/>
      <c r="I580" s="857" t="n"/>
      <c r="J580" s="857" t="n"/>
      <c r="K580" s="857" t="n"/>
      <c r="L580" s="857" t="n"/>
      <c r="M580" s="857" t="n"/>
      <c r="N580" s="857" t="n"/>
      <c r="O580" s="845" t="n"/>
      <c r="P580" s="845" t="n"/>
      <c r="Q580" s="845" t="n"/>
      <c r="R580" s="845" t="n"/>
      <c r="S580" s="845" t="n"/>
      <c r="T580" s="845" t="n"/>
      <c r="U580" s="845" t="n"/>
      <c r="V580" s="845" t="n"/>
      <c r="W580" s="845" t="n"/>
      <c r="X580" s="845" t="n"/>
      <c r="Y580" s="845" t="n"/>
      <c r="Z580" s="845" t="n"/>
    </row>
    <row r="581">
      <c r="A581" s="845" t="n"/>
      <c r="B581" s="857" t="n"/>
      <c r="C581" s="857" t="n"/>
      <c r="D581" s="857" t="n"/>
      <c r="E581" s="857" t="n"/>
      <c r="F581" s="857" t="n"/>
      <c r="G581" s="858" t="n"/>
      <c r="H581" s="857" t="n"/>
      <c r="I581" s="857" t="n"/>
      <c r="J581" s="857" t="n"/>
      <c r="K581" s="857" t="n"/>
      <c r="L581" s="857" t="n"/>
      <c r="M581" s="857" t="n"/>
      <c r="N581" s="857" t="n"/>
      <c r="O581" s="845" t="n"/>
      <c r="P581" s="845" t="n"/>
      <c r="Q581" s="845" t="n"/>
      <c r="R581" s="845" t="n"/>
      <c r="S581" s="845" t="n"/>
      <c r="T581" s="845" t="n"/>
      <c r="U581" s="845" t="n"/>
      <c r="V581" s="845" t="n"/>
      <c r="W581" s="845" t="n"/>
      <c r="X581" s="845" t="n"/>
      <c r="Y581" s="845" t="n"/>
      <c r="Z581" s="845" t="n"/>
    </row>
    <row r="582">
      <c r="A582" s="845" t="n"/>
      <c r="B582" s="857" t="n"/>
      <c r="C582" s="857" t="n"/>
      <c r="D582" s="857" t="n"/>
      <c r="E582" s="857" t="n"/>
      <c r="F582" s="857" t="n"/>
      <c r="G582" s="858" t="n"/>
      <c r="H582" s="857" t="n"/>
      <c r="I582" s="857" t="n"/>
      <c r="J582" s="857" t="n"/>
      <c r="K582" s="857" t="n"/>
      <c r="L582" s="857" t="n"/>
      <c r="M582" s="857" t="n"/>
      <c r="N582" s="857" t="n"/>
      <c r="O582" s="845" t="n"/>
      <c r="P582" s="845" t="n"/>
      <c r="Q582" s="845" t="n"/>
      <c r="R582" s="845" t="n"/>
      <c r="S582" s="845" t="n"/>
      <c r="T582" s="845" t="n"/>
      <c r="U582" s="845" t="n"/>
      <c r="V582" s="845" t="n"/>
      <c r="W582" s="845" t="n"/>
      <c r="X582" s="845" t="n"/>
      <c r="Y582" s="845" t="n"/>
      <c r="Z582" s="845" t="n"/>
    </row>
    <row r="583">
      <c r="A583" s="845" t="n"/>
      <c r="B583" s="857" t="n"/>
      <c r="C583" s="857" t="n"/>
      <c r="D583" s="857" t="n"/>
      <c r="E583" s="857" t="n"/>
      <c r="F583" s="857" t="n"/>
      <c r="G583" s="858" t="n"/>
      <c r="H583" s="857" t="n"/>
      <c r="I583" s="857" t="n"/>
      <c r="J583" s="857" t="n"/>
      <c r="K583" s="857" t="n"/>
      <c r="L583" s="857" t="n"/>
      <c r="M583" s="857" t="n"/>
      <c r="N583" s="857" t="n"/>
      <c r="O583" s="845" t="n"/>
      <c r="P583" s="845" t="n"/>
      <c r="Q583" s="845" t="n"/>
      <c r="R583" s="845" t="n"/>
      <c r="S583" s="845" t="n"/>
      <c r="T583" s="845" t="n"/>
      <c r="U583" s="845" t="n"/>
      <c r="V583" s="845" t="n"/>
      <c r="W583" s="845" t="n"/>
      <c r="X583" s="845" t="n"/>
      <c r="Y583" s="845" t="n"/>
      <c r="Z583" s="845" t="n"/>
    </row>
    <row r="584">
      <c r="A584" s="845" t="n"/>
      <c r="B584" s="857" t="n"/>
      <c r="C584" s="857" t="n"/>
      <c r="D584" s="857" t="n"/>
      <c r="E584" s="857" t="n"/>
      <c r="F584" s="857" t="n"/>
      <c r="G584" s="858" t="n"/>
      <c r="H584" s="857" t="n"/>
      <c r="I584" s="857" t="n"/>
      <c r="J584" s="857" t="n"/>
      <c r="K584" s="857" t="n"/>
      <c r="L584" s="857" t="n"/>
      <c r="M584" s="857" t="n"/>
      <c r="N584" s="857" t="n"/>
      <c r="O584" s="845" t="n"/>
      <c r="P584" s="845" t="n"/>
      <c r="Q584" s="845" t="n"/>
      <c r="R584" s="845" t="n"/>
      <c r="S584" s="845" t="n"/>
      <c r="T584" s="845" t="n"/>
      <c r="U584" s="845" t="n"/>
      <c r="V584" s="845" t="n"/>
      <c r="W584" s="845" t="n"/>
      <c r="X584" s="845" t="n"/>
      <c r="Y584" s="845" t="n"/>
      <c r="Z584" s="845" t="n"/>
    </row>
    <row r="585">
      <c r="A585" s="845" t="n"/>
      <c r="B585" s="857" t="n"/>
      <c r="C585" s="857" t="n"/>
      <c r="D585" s="857" t="n"/>
      <c r="E585" s="857" t="n"/>
      <c r="F585" s="857" t="n"/>
      <c r="G585" s="858" t="n"/>
      <c r="H585" s="857" t="n"/>
      <c r="I585" s="857" t="n"/>
      <c r="J585" s="857" t="n"/>
      <c r="K585" s="857" t="n"/>
      <c r="L585" s="857" t="n"/>
      <c r="M585" s="857" t="n"/>
      <c r="N585" s="857" t="n"/>
      <c r="O585" s="845" t="n"/>
      <c r="P585" s="845" t="n"/>
      <c r="Q585" s="845" t="n"/>
      <c r="R585" s="845" t="n"/>
      <c r="S585" s="845" t="n"/>
      <c r="T585" s="845" t="n"/>
      <c r="U585" s="845" t="n"/>
      <c r="V585" s="845" t="n"/>
      <c r="W585" s="845" t="n"/>
      <c r="X585" s="845" t="n"/>
      <c r="Y585" s="845" t="n"/>
      <c r="Z585" s="845" t="n"/>
    </row>
    <row r="586">
      <c r="A586" s="845" t="n"/>
      <c r="B586" s="857" t="n"/>
      <c r="C586" s="857" t="n"/>
      <c r="D586" s="857" t="n"/>
      <c r="E586" s="857" t="n"/>
      <c r="F586" s="857" t="n"/>
      <c r="G586" s="858" t="n"/>
      <c r="H586" s="857" t="n"/>
      <c r="I586" s="857" t="n"/>
      <c r="J586" s="857" t="n"/>
      <c r="K586" s="857" t="n"/>
      <c r="L586" s="857" t="n"/>
      <c r="M586" s="857" t="n"/>
      <c r="N586" s="857" t="n"/>
      <c r="O586" s="845" t="n"/>
      <c r="P586" s="845" t="n"/>
      <c r="Q586" s="845" t="n"/>
      <c r="R586" s="845" t="n"/>
      <c r="S586" s="845" t="n"/>
      <c r="T586" s="845" t="n"/>
      <c r="U586" s="845" t="n"/>
      <c r="V586" s="845" t="n"/>
      <c r="W586" s="845" t="n"/>
      <c r="X586" s="845" t="n"/>
      <c r="Y586" s="845" t="n"/>
      <c r="Z586" s="845" t="n"/>
    </row>
    <row r="587">
      <c r="A587" s="845" t="n"/>
      <c r="B587" s="857" t="n"/>
      <c r="C587" s="857" t="n"/>
      <c r="D587" s="857" t="n"/>
      <c r="E587" s="857" t="n"/>
      <c r="F587" s="857" t="n"/>
      <c r="G587" s="858" t="n"/>
      <c r="H587" s="857" t="n"/>
      <c r="I587" s="857" t="n"/>
      <c r="J587" s="857" t="n"/>
      <c r="K587" s="857" t="n"/>
      <c r="L587" s="857" t="n"/>
      <c r="M587" s="857" t="n"/>
      <c r="N587" s="857" t="n"/>
      <c r="O587" s="845" t="n"/>
      <c r="P587" s="845" t="n"/>
      <c r="Q587" s="845" t="n"/>
      <c r="R587" s="845" t="n"/>
      <c r="S587" s="845" t="n"/>
      <c r="T587" s="845" t="n"/>
      <c r="U587" s="845" t="n"/>
      <c r="V587" s="845" t="n"/>
      <c r="W587" s="845" t="n"/>
      <c r="X587" s="845" t="n"/>
      <c r="Y587" s="845" t="n"/>
      <c r="Z587" s="845" t="n"/>
    </row>
    <row r="588">
      <c r="A588" s="845" t="n"/>
      <c r="B588" s="857" t="n"/>
      <c r="C588" s="857" t="n"/>
      <c r="D588" s="857" t="n"/>
      <c r="E588" s="857" t="n"/>
      <c r="F588" s="857" t="n"/>
      <c r="G588" s="858" t="n"/>
      <c r="H588" s="857" t="n"/>
      <c r="I588" s="857" t="n"/>
      <c r="J588" s="857" t="n"/>
      <c r="K588" s="857" t="n"/>
      <c r="L588" s="857" t="n"/>
      <c r="M588" s="857" t="n"/>
      <c r="N588" s="857" t="n"/>
      <c r="O588" s="845" t="n"/>
      <c r="P588" s="845" t="n"/>
      <c r="Q588" s="845" t="n"/>
      <c r="R588" s="845" t="n"/>
      <c r="S588" s="845" t="n"/>
      <c r="T588" s="845" t="n"/>
      <c r="U588" s="845" t="n"/>
      <c r="V588" s="845" t="n"/>
      <c r="W588" s="845" t="n"/>
      <c r="X588" s="845" t="n"/>
      <c r="Y588" s="845" t="n"/>
      <c r="Z588" s="845" t="n"/>
    </row>
    <row r="589">
      <c r="A589" s="845" t="n"/>
      <c r="B589" s="857" t="n"/>
      <c r="C589" s="857" t="n"/>
      <c r="D589" s="857" t="n"/>
      <c r="E589" s="857" t="n"/>
      <c r="F589" s="857" t="n"/>
      <c r="G589" s="858" t="n"/>
      <c r="H589" s="857" t="n"/>
      <c r="I589" s="857" t="n"/>
      <c r="J589" s="857" t="n"/>
      <c r="K589" s="857" t="n"/>
      <c r="L589" s="857" t="n"/>
      <c r="M589" s="857" t="n"/>
      <c r="N589" s="857" t="n"/>
      <c r="O589" s="845" t="n"/>
      <c r="P589" s="845" t="n"/>
      <c r="Q589" s="845" t="n"/>
      <c r="R589" s="845" t="n"/>
      <c r="S589" s="845" t="n"/>
      <c r="T589" s="845" t="n"/>
      <c r="U589" s="845" t="n"/>
      <c r="V589" s="845" t="n"/>
      <c r="W589" s="845" t="n"/>
      <c r="X589" s="845" t="n"/>
      <c r="Y589" s="845" t="n"/>
      <c r="Z589" s="845" t="n"/>
    </row>
    <row r="590">
      <c r="A590" s="845" t="n"/>
      <c r="B590" s="857" t="n"/>
      <c r="C590" s="857" t="n"/>
      <c r="D590" s="857" t="n"/>
      <c r="E590" s="857" t="n"/>
      <c r="F590" s="857" t="n"/>
      <c r="G590" s="858" t="n"/>
      <c r="H590" s="857" t="n"/>
      <c r="I590" s="857" t="n"/>
      <c r="J590" s="857" t="n"/>
      <c r="K590" s="857" t="n"/>
      <c r="L590" s="857" t="n"/>
      <c r="M590" s="857" t="n"/>
      <c r="N590" s="857" t="n"/>
      <c r="O590" s="845" t="n"/>
      <c r="P590" s="845" t="n"/>
      <c r="Q590" s="845" t="n"/>
      <c r="R590" s="845" t="n"/>
      <c r="S590" s="845" t="n"/>
      <c r="T590" s="845" t="n"/>
      <c r="U590" s="845" t="n"/>
      <c r="V590" s="845" t="n"/>
      <c r="W590" s="845" t="n"/>
      <c r="X590" s="845" t="n"/>
      <c r="Y590" s="845" t="n"/>
      <c r="Z590" s="845" t="n"/>
    </row>
    <row r="591">
      <c r="A591" s="845" t="n"/>
      <c r="B591" s="857" t="n"/>
      <c r="C591" s="857" t="n"/>
      <c r="D591" s="857" t="n"/>
      <c r="E591" s="857" t="n"/>
      <c r="F591" s="857" t="n"/>
      <c r="G591" s="858" t="n"/>
      <c r="H591" s="857" t="n"/>
      <c r="I591" s="857" t="n"/>
      <c r="J591" s="857" t="n"/>
      <c r="K591" s="857" t="n"/>
      <c r="L591" s="857" t="n"/>
      <c r="M591" s="857" t="n"/>
      <c r="N591" s="857" t="n"/>
      <c r="O591" s="845" t="n"/>
      <c r="P591" s="845" t="n"/>
      <c r="Q591" s="845" t="n"/>
      <c r="R591" s="845" t="n"/>
      <c r="S591" s="845" t="n"/>
      <c r="T591" s="845" t="n"/>
      <c r="U591" s="845" t="n"/>
      <c r="V591" s="845" t="n"/>
      <c r="W591" s="845" t="n"/>
      <c r="X591" s="845" t="n"/>
      <c r="Y591" s="845" t="n"/>
      <c r="Z591" s="845" t="n"/>
    </row>
    <row r="592">
      <c r="A592" s="845" t="n"/>
      <c r="B592" s="857" t="n"/>
      <c r="C592" s="857" t="n"/>
      <c r="D592" s="857" t="n"/>
      <c r="E592" s="857" t="n"/>
      <c r="F592" s="857" t="n"/>
      <c r="G592" s="858" t="n"/>
      <c r="H592" s="857" t="n"/>
      <c r="I592" s="857" t="n"/>
      <c r="J592" s="857" t="n"/>
      <c r="K592" s="857" t="n"/>
      <c r="L592" s="857" t="n"/>
      <c r="M592" s="857" t="n"/>
      <c r="N592" s="857" t="n"/>
      <c r="O592" s="845" t="n"/>
      <c r="P592" s="845" t="n"/>
      <c r="Q592" s="845" t="n"/>
      <c r="R592" s="845" t="n"/>
      <c r="S592" s="845" t="n"/>
      <c r="T592" s="845" t="n"/>
      <c r="U592" s="845" t="n"/>
      <c r="V592" s="845" t="n"/>
      <c r="W592" s="845" t="n"/>
      <c r="X592" s="845" t="n"/>
      <c r="Y592" s="845" t="n"/>
      <c r="Z592" s="845" t="n"/>
    </row>
    <row r="593">
      <c r="A593" s="845" t="n"/>
      <c r="B593" s="857" t="n"/>
      <c r="C593" s="857" t="n"/>
      <c r="D593" s="857" t="n"/>
      <c r="E593" s="857" t="n"/>
      <c r="F593" s="857" t="n"/>
      <c r="G593" s="858" t="n"/>
      <c r="H593" s="857" t="n"/>
      <c r="I593" s="857" t="n"/>
      <c r="J593" s="857" t="n"/>
      <c r="K593" s="857" t="n"/>
      <c r="L593" s="857" t="n"/>
      <c r="M593" s="857" t="n"/>
      <c r="N593" s="857" t="n"/>
      <c r="O593" s="845" t="n"/>
      <c r="P593" s="845" t="n"/>
      <c r="Q593" s="845" t="n"/>
      <c r="R593" s="845" t="n"/>
      <c r="S593" s="845" t="n"/>
      <c r="T593" s="845" t="n"/>
      <c r="U593" s="845" t="n"/>
      <c r="V593" s="845" t="n"/>
      <c r="W593" s="845" t="n"/>
      <c r="X593" s="845" t="n"/>
      <c r="Y593" s="845" t="n"/>
      <c r="Z593" s="845" t="n"/>
    </row>
    <row r="594">
      <c r="A594" s="845" t="n"/>
      <c r="B594" s="857" t="n"/>
      <c r="C594" s="857" t="n"/>
      <c r="D594" s="857" t="n"/>
      <c r="E594" s="857" t="n"/>
      <c r="F594" s="857" t="n"/>
      <c r="G594" s="858" t="n"/>
      <c r="H594" s="857" t="n"/>
      <c r="I594" s="857" t="n"/>
      <c r="J594" s="857" t="n"/>
      <c r="K594" s="857" t="n"/>
      <c r="L594" s="857" t="n"/>
      <c r="M594" s="857" t="n"/>
      <c r="N594" s="857" t="n"/>
      <c r="O594" s="845" t="n"/>
      <c r="P594" s="845" t="n"/>
      <c r="Q594" s="845" t="n"/>
      <c r="R594" s="845" t="n"/>
      <c r="S594" s="845" t="n"/>
      <c r="T594" s="845" t="n"/>
      <c r="U594" s="845" t="n"/>
      <c r="V594" s="845" t="n"/>
      <c r="W594" s="845" t="n"/>
      <c r="X594" s="845" t="n"/>
      <c r="Y594" s="845" t="n"/>
      <c r="Z594" s="845" t="n"/>
    </row>
    <row r="595">
      <c r="A595" s="845" t="n"/>
      <c r="B595" s="857" t="n"/>
      <c r="C595" s="857" t="n"/>
      <c r="D595" s="857" t="n"/>
      <c r="E595" s="857" t="n"/>
      <c r="F595" s="857" t="n"/>
      <c r="G595" s="858" t="n"/>
      <c r="H595" s="857" t="n"/>
      <c r="I595" s="857" t="n"/>
      <c r="J595" s="857" t="n"/>
      <c r="K595" s="857" t="n"/>
      <c r="L595" s="857" t="n"/>
      <c r="M595" s="857" t="n"/>
      <c r="N595" s="857" t="n"/>
      <c r="O595" s="845" t="n"/>
      <c r="P595" s="845" t="n"/>
      <c r="Q595" s="845" t="n"/>
      <c r="R595" s="845" t="n"/>
      <c r="S595" s="845" t="n"/>
      <c r="T595" s="845" t="n"/>
      <c r="U595" s="845" t="n"/>
      <c r="V595" s="845" t="n"/>
      <c r="W595" s="845" t="n"/>
      <c r="X595" s="845" t="n"/>
      <c r="Y595" s="845" t="n"/>
      <c r="Z595" s="845" t="n"/>
    </row>
    <row r="596">
      <c r="A596" s="845" t="n"/>
      <c r="B596" s="857" t="n"/>
      <c r="C596" s="857" t="n"/>
      <c r="D596" s="857" t="n"/>
      <c r="E596" s="857" t="n"/>
      <c r="F596" s="857" t="n"/>
      <c r="G596" s="858" t="n"/>
      <c r="H596" s="857" t="n"/>
      <c r="I596" s="857" t="n"/>
      <c r="J596" s="857" t="n"/>
      <c r="K596" s="857" t="n"/>
      <c r="L596" s="857" t="n"/>
      <c r="M596" s="857" t="n"/>
      <c r="N596" s="857" t="n"/>
      <c r="O596" s="845" t="n"/>
      <c r="P596" s="845" t="n"/>
      <c r="Q596" s="845" t="n"/>
      <c r="R596" s="845" t="n"/>
      <c r="S596" s="845" t="n"/>
      <c r="T596" s="845" t="n"/>
      <c r="U596" s="845" t="n"/>
      <c r="V596" s="845" t="n"/>
      <c r="W596" s="845" t="n"/>
      <c r="X596" s="845" t="n"/>
      <c r="Y596" s="845" t="n"/>
      <c r="Z596" s="845" t="n"/>
    </row>
    <row r="597">
      <c r="A597" s="845" t="n"/>
      <c r="B597" s="857" t="n"/>
      <c r="C597" s="857" t="n"/>
      <c r="D597" s="857" t="n"/>
      <c r="E597" s="857" t="n"/>
      <c r="F597" s="857" t="n"/>
      <c r="G597" s="858" t="n"/>
      <c r="H597" s="857" t="n"/>
      <c r="I597" s="857" t="n"/>
      <c r="J597" s="857" t="n"/>
      <c r="K597" s="857" t="n"/>
      <c r="L597" s="857" t="n"/>
      <c r="M597" s="857" t="n"/>
      <c r="N597" s="857" t="n"/>
      <c r="O597" s="845" t="n"/>
      <c r="P597" s="845" t="n"/>
      <c r="Q597" s="845" t="n"/>
      <c r="R597" s="845" t="n"/>
      <c r="S597" s="845" t="n"/>
      <c r="T597" s="845" t="n"/>
      <c r="U597" s="845" t="n"/>
      <c r="V597" s="845" t="n"/>
      <c r="W597" s="845" t="n"/>
      <c r="X597" s="845" t="n"/>
      <c r="Y597" s="845" t="n"/>
      <c r="Z597" s="845" t="n"/>
    </row>
    <row r="598">
      <c r="A598" s="845" t="n"/>
      <c r="B598" s="857" t="n"/>
      <c r="C598" s="857" t="n"/>
      <c r="D598" s="857" t="n"/>
      <c r="E598" s="857" t="n"/>
      <c r="F598" s="857" t="n"/>
      <c r="G598" s="858" t="n"/>
      <c r="H598" s="857" t="n"/>
      <c r="I598" s="857" t="n"/>
      <c r="J598" s="857" t="n"/>
      <c r="K598" s="857" t="n"/>
      <c r="L598" s="857" t="n"/>
      <c r="M598" s="857" t="n"/>
      <c r="N598" s="857" t="n"/>
      <c r="O598" s="845" t="n"/>
      <c r="P598" s="845" t="n"/>
      <c r="Q598" s="845" t="n"/>
      <c r="R598" s="845" t="n"/>
      <c r="S598" s="845" t="n"/>
      <c r="T598" s="845" t="n"/>
      <c r="U598" s="845" t="n"/>
      <c r="V598" s="845" t="n"/>
      <c r="W598" s="845" t="n"/>
      <c r="X598" s="845" t="n"/>
      <c r="Y598" s="845" t="n"/>
      <c r="Z598" s="845" t="n"/>
    </row>
    <row r="599">
      <c r="A599" s="845" t="n"/>
      <c r="B599" s="857" t="n"/>
      <c r="C599" s="857" t="n"/>
      <c r="D599" s="857" t="n"/>
      <c r="E599" s="857" t="n"/>
      <c r="F599" s="857" t="n"/>
      <c r="G599" s="858" t="n"/>
      <c r="H599" s="857" t="n"/>
      <c r="I599" s="857" t="n"/>
      <c r="J599" s="857" t="n"/>
      <c r="K599" s="857" t="n"/>
      <c r="L599" s="857" t="n"/>
      <c r="M599" s="857" t="n"/>
      <c r="N599" s="857" t="n"/>
      <c r="O599" s="845" t="n"/>
      <c r="P599" s="845" t="n"/>
      <c r="Q599" s="845" t="n"/>
      <c r="R599" s="845" t="n"/>
      <c r="S599" s="845" t="n"/>
      <c r="T599" s="845" t="n"/>
      <c r="U599" s="845" t="n"/>
      <c r="V599" s="845" t="n"/>
      <c r="W599" s="845" t="n"/>
      <c r="X599" s="845" t="n"/>
      <c r="Y599" s="845" t="n"/>
      <c r="Z599" s="845" t="n"/>
    </row>
    <row r="600">
      <c r="A600" s="845" t="n"/>
      <c r="B600" s="857" t="n"/>
      <c r="C600" s="857" t="n"/>
      <c r="D600" s="857" t="n"/>
      <c r="E600" s="857" t="n"/>
      <c r="F600" s="857" t="n"/>
      <c r="G600" s="858" t="n"/>
      <c r="H600" s="857" t="n"/>
      <c r="I600" s="857" t="n"/>
      <c r="J600" s="857" t="n"/>
      <c r="K600" s="857" t="n"/>
      <c r="L600" s="857" t="n"/>
      <c r="M600" s="857" t="n"/>
      <c r="N600" s="857" t="n"/>
      <c r="O600" s="845" t="n"/>
      <c r="P600" s="845" t="n"/>
      <c r="Q600" s="845" t="n"/>
      <c r="R600" s="845" t="n"/>
      <c r="S600" s="845" t="n"/>
      <c r="T600" s="845" t="n"/>
      <c r="U600" s="845" t="n"/>
      <c r="V600" s="845" t="n"/>
      <c r="W600" s="845" t="n"/>
      <c r="X600" s="845" t="n"/>
      <c r="Y600" s="845" t="n"/>
      <c r="Z600" s="845" t="n"/>
    </row>
    <row r="601">
      <c r="A601" s="845" t="n"/>
      <c r="B601" s="857" t="n"/>
      <c r="C601" s="857" t="n"/>
      <c r="D601" s="857" t="n"/>
      <c r="E601" s="857" t="n"/>
      <c r="F601" s="857" t="n"/>
      <c r="G601" s="858" t="n"/>
      <c r="H601" s="857" t="n"/>
      <c r="I601" s="857" t="n"/>
      <c r="J601" s="857" t="n"/>
      <c r="K601" s="857" t="n"/>
      <c r="L601" s="857" t="n"/>
      <c r="M601" s="857" t="n"/>
      <c r="N601" s="857" t="n"/>
      <c r="O601" s="845" t="n"/>
      <c r="P601" s="845" t="n"/>
      <c r="Q601" s="845" t="n"/>
      <c r="R601" s="845" t="n"/>
      <c r="S601" s="845" t="n"/>
      <c r="T601" s="845" t="n"/>
      <c r="U601" s="845" t="n"/>
      <c r="V601" s="845" t="n"/>
      <c r="W601" s="845" t="n"/>
      <c r="X601" s="845" t="n"/>
      <c r="Y601" s="845" t="n"/>
      <c r="Z601" s="845" t="n"/>
    </row>
    <row r="602">
      <c r="A602" s="845" t="n"/>
      <c r="B602" s="857" t="n"/>
      <c r="C602" s="857" t="n"/>
      <c r="D602" s="857" t="n"/>
      <c r="E602" s="857" t="n"/>
      <c r="F602" s="857" t="n"/>
      <c r="G602" s="858" t="n"/>
      <c r="H602" s="857" t="n"/>
      <c r="I602" s="857" t="n"/>
      <c r="J602" s="857" t="n"/>
      <c r="K602" s="857" t="n"/>
      <c r="L602" s="857" t="n"/>
      <c r="M602" s="857" t="n"/>
      <c r="N602" s="857" t="n"/>
      <c r="O602" s="845" t="n"/>
      <c r="P602" s="845" t="n"/>
      <c r="Q602" s="845" t="n"/>
      <c r="R602" s="845" t="n"/>
      <c r="S602" s="845" t="n"/>
      <c r="T602" s="845" t="n"/>
      <c r="U602" s="845" t="n"/>
      <c r="V602" s="845" t="n"/>
      <c r="W602" s="845" t="n"/>
      <c r="X602" s="845" t="n"/>
      <c r="Y602" s="845" t="n"/>
      <c r="Z602" s="845" t="n"/>
    </row>
    <row r="603">
      <c r="A603" s="845" t="n"/>
      <c r="B603" s="857" t="n"/>
      <c r="C603" s="857" t="n"/>
      <c r="D603" s="857" t="n"/>
      <c r="E603" s="857" t="n"/>
      <c r="F603" s="857" t="n"/>
      <c r="G603" s="858" t="n"/>
      <c r="H603" s="857" t="n"/>
      <c r="I603" s="857" t="n"/>
      <c r="J603" s="857" t="n"/>
      <c r="K603" s="857" t="n"/>
      <c r="L603" s="857" t="n"/>
      <c r="M603" s="857" t="n"/>
      <c r="N603" s="857" t="n"/>
      <c r="O603" s="845" t="n"/>
      <c r="P603" s="845" t="n"/>
      <c r="Q603" s="845" t="n"/>
      <c r="R603" s="845" t="n"/>
      <c r="S603" s="845" t="n"/>
      <c r="T603" s="845" t="n"/>
      <c r="U603" s="845" t="n"/>
      <c r="V603" s="845" t="n"/>
      <c r="W603" s="845" t="n"/>
      <c r="X603" s="845" t="n"/>
      <c r="Y603" s="845" t="n"/>
      <c r="Z603" s="845" t="n"/>
    </row>
    <row r="604">
      <c r="A604" s="845" t="n"/>
      <c r="B604" s="857" t="n"/>
      <c r="C604" s="857" t="n"/>
      <c r="D604" s="857" t="n"/>
      <c r="E604" s="857" t="n"/>
      <c r="F604" s="857" t="n"/>
      <c r="G604" s="858" t="n"/>
      <c r="H604" s="857" t="n"/>
      <c r="I604" s="857" t="n"/>
      <c r="J604" s="857" t="n"/>
      <c r="K604" s="857" t="n"/>
      <c r="L604" s="857" t="n"/>
      <c r="M604" s="857" t="n"/>
      <c r="N604" s="857" t="n"/>
      <c r="O604" s="845" t="n"/>
      <c r="P604" s="845" t="n"/>
      <c r="Q604" s="845" t="n"/>
      <c r="R604" s="845" t="n"/>
      <c r="S604" s="845" t="n"/>
      <c r="T604" s="845" t="n"/>
      <c r="U604" s="845" t="n"/>
      <c r="V604" s="845" t="n"/>
      <c r="W604" s="845" t="n"/>
      <c r="X604" s="845" t="n"/>
      <c r="Y604" s="845" t="n"/>
      <c r="Z604" s="845" t="n"/>
    </row>
    <row r="605">
      <c r="A605" s="845" t="n"/>
      <c r="B605" s="857" t="n"/>
      <c r="C605" s="857" t="n"/>
      <c r="D605" s="857" t="n"/>
      <c r="E605" s="857" t="n"/>
      <c r="F605" s="857" t="n"/>
      <c r="G605" s="858" t="n"/>
      <c r="H605" s="857" t="n"/>
      <c r="I605" s="857" t="n"/>
      <c r="J605" s="857" t="n"/>
      <c r="K605" s="857" t="n"/>
      <c r="L605" s="857" t="n"/>
      <c r="M605" s="857" t="n"/>
      <c r="N605" s="857" t="n"/>
      <c r="O605" s="845" t="n"/>
      <c r="P605" s="845" t="n"/>
      <c r="Q605" s="845" t="n"/>
      <c r="R605" s="845" t="n"/>
      <c r="S605" s="845" t="n"/>
      <c r="T605" s="845" t="n"/>
      <c r="U605" s="845" t="n"/>
      <c r="V605" s="845" t="n"/>
      <c r="W605" s="845" t="n"/>
      <c r="X605" s="845" t="n"/>
      <c r="Y605" s="845" t="n"/>
      <c r="Z605" s="845" t="n"/>
    </row>
    <row r="606">
      <c r="A606" s="845" t="n"/>
      <c r="B606" s="857" t="n"/>
      <c r="C606" s="857" t="n"/>
      <c r="D606" s="857" t="n"/>
      <c r="E606" s="857" t="n"/>
      <c r="F606" s="857" t="n"/>
      <c r="G606" s="858" t="n"/>
      <c r="H606" s="857" t="n"/>
      <c r="I606" s="857" t="n"/>
      <c r="J606" s="857" t="n"/>
      <c r="K606" s="857" t="n"/>
      <c r="L606" s="857" t="n"/>
      <c r="M606" s="857" t="n"/>
      <c r="N606" s="857" t="n"/>
      <c r="O606" s="845" t="n"/>
      <c r="P606" s="845" t="n"/>
      <c r="Q606" s="845" t="n"/>
      <c r="R606" s="845" t="n"/>
      <c r="S606" s="845" t="n"/>
      <c r="T606" s="845" t="n"/>
      <c r="U606" s="845" t="n"/>
      <c r="V606" s="845" t="n"/>
      <c r="W606" s="845" t="n"/>
      <c r="X606" s="845" t="n"/>
      <c r="Y606" s="845" t="n"/>
      <c r="Z606" s="845" t="n"/>
    </row>
    <row r="607">
      <c r="A607" s="845" t="n"/>
      <c r="B607" s="857" t="n"/>
      <c r="C607" s="857" t="n"/>
      <c r="D607" s="857" t="n"/>
      <c r="E607" s="857" t="n"/>
      <c r="F607" s="857" t="n"/>
      <c r="G607" s="858" t="n"/>
      <c r="H607" s="857" t="n"/>
      <c r="I607" s="857" t="n"/>
      <c r="J607" s="857" t="n"/>
      <c r="K607" s="857" t="n"/>
      <c r="L607" s="857" t="n"/>
      <c r="M607" s="857" t="n"/>
      <c r="N607" s="857" t="n"/>
      <c r="O607" s="845" t="n"/>
      <c r="P607" s="845" t="n"/>
      <c r="Q607" s="845" t="n"/>
      <c r="R607" s="845" t="n"/>
      <c r="S607" s="845" t="n"/>
      <c r="T607" s="845" t="n"/>
      <c r="U607" s="845" t="n"/>
      <c r="V607" s="845" t="n"/>
      <c r="W607" s="845" t="n"/>
      <c r="X607" s="845" t="n"/>
      <c r="Y607" s="845" t="n"/>
      <c r="Z607" s="845" t="n"/>
    </row>
    <row r="608">
      <c r="A608" s="845" t="n"/>
      <c r="B608" s="857" t="n"/>
      <c r="C608" s="857" t="n"/>
      <c r="D608" s="857" t="n"/>
      <c r="E608" s="857" t="n"/>
      <c r="F608" s="857" t="n"/>
      <c r="G608" s="858" t="n"/>
      <c r="H608" s="857" t="n"/>
      <c r="I608" s="857" t="n"/>
      <c r="J608" s="857" t="n"/>
      <c r="K608" s="857" t="n"/>
      <c r="L608" s="857" t="n"/>
      <c r="M608" s="857" t="n"/>
      <c r="N608" s="857" t="n"/>
      <c r="O608" s="845" t="n"/>
      <c r="P608" s="845" t="n"/>
      <c r="Q608" s="845" t="n"/>
      <c r="R608" s="845" t="n"/>
      <c r="S608" s="845" t="n"/>
      <c r="T608" s="845" t="n"/>
      <c r="U608" s="845" t="n"/>
      <c r="V608" s="845" t="n"/>
      <c r="W608" s="845" t="n"/>
      <c r="X608" s="845" t="n"/>
      <c r="Y608" s="845" t="n"/>
      <c r="Z608" s="845" t="n"/>
    </row>
    <row r="609">
      <c r="A609" s="845" t="n"/>
      <c r="B609" s="857" t="n"/>
      <c r="C609" s="857" t="n"/>
      <c r="D609" s="857" t="n"/>
      <c r="E609" s="857" t="n"/>
      <c r="F609" s="857" t="n"/>
      <c r="G609" s="858" t="n"/>
      <c r="H609" s="857" t="n"/>
      <c r="I609" s="857" t="n"/>
      <c r="J609" s="857" t="n"/>
      <c r="K609" s="857" t="n"/>
      <c r="L609" s="857" t="n"/>
      <c r="M609" s="857" t="n"/>
      <c r="N609" s="857" t="n"/>
      <c r="O609" s="845" t="n"/>
      <c r="P609" s="845" t="n"/>
      <c r="Q609" s="845" t="n"/>
      <c r="R609" s="845" t="n"/>
      <c r="S609" s="845" t="n"/>
      <c r="T609" s="845" t="n"/>
      <c r="U609" s="845" t="n"/>
      <c r="V609" s="845" t="n"/>
      <c r="W609" s="845" t="n"/>
      <c r="X609" s="845" t="n"/>
      <c r="Y609" s="845" t="n"/>
      <c r="Z609" s="845" t="n"/>
    </row>
    <row r="610">
      <c r="A610" s="845" t="n"/>
      <c r="B610" s="857" t="n"/>
      <c r="C610" s="857" t="n"/>
      <c r="D610" s="857" t="n"/>
      <c r="E610" s="857" t="n"/>
      <c r="F610" s="857" t="n"/>
      <c r="G610" s="858" t="n"/>
      <c r="H610" s="857" t="n"/>
      <c r="I610" s="857" t="n"/>
      <c r="J610" s="857" t="n"/>
      <c r="K610" s="857" t="n"/>
      <c r="L610" s="857" t="n"/>
      <c r="M610" s="857" t="n"/>
      <c r="N610" s="857" t="n"/>
      <c r="O610" s="845" t="n"/>
      <c r="P610" s="845" t="n"/>
      <c r="Q610" s="845" t="n"/>
      <c r="R610" s="845" t="n"/>
      <c r="S610" s="845" t="n"/>
      <c r="T610" s="845" t="n"/>
      <c r="U610" s="845" t="n"/>
      <c r="V610" s="845" t="n"/>
      <c r="W610" s="845" t="n"/>
      <c r="X610" s="845" t="n"/>
      <c r="Y610" s="845" t="n"/>
      <c r="Z610" s="845" t="n"/>
    </row>
    <row r="611">
      <c r="A611" s="845" t="n"/>
      <c r="B611" s="857" t="n"/>
      <c r="C611" s="857" t="n"/>
      <c r="D611" s="857" t="n"/>
      <c r="E611" s="857" t="n"/>
      <c r="F611" s="857" t="n"/>
      <c r="G611" s="858" t="n"/>
      <c r="H611" s="857" t="n"/>
      <c r="I611" s="857" t="n"/>
      <c r="J611" s="857" t="n"/>
      <c r="K611" s="857" t="n"/>
      <c r="L611" s="857" t="n"/>
      <c r="M611" s="857" t="n"/>
      <c r="N611" s="857" t="n"/>
      <c r="O611" s="845" t="n"/>
      <c r="P611" s="845" t="n"/>
      <c r="Q611" s="845" t="n"/>
      <c r="R611" s="845" t="n"/>
      <c r="S611" s="845" t="n"/>
      <c r="T611" s="845" t="n"/>
      <c r="U611" s="845" t="n"/>
      <c r="V611" s="845" t="n"/>
      <c r="W611" s="845" t="n"/>
      <c r="X611" s="845" t="n"/>
      <c r="Y611" s="845" t="n"/>
      <c r="Z611" s="845" t="n"/>
    </row>
    <row r="612">
      <c r="A612" s="845" t="n"/>
      <c r="B612" s="857" t="n"/>
      <c r="C612" s="857" t="n"/>
      <c r="D612" s="857" t="n"/>
      <c r="E612" s="857" t="n"/>
      <c r="F612" s="857" t="n"/>
      <c r="G612" s="858" t="n"/>
      <c r="H612" s="857" t="n"/>
      <c r="I612" s="857" t="n"/>
      <c r="J612" s="857" t="n"/>
      <c r="K612" s="857" t="n"/>
      <c r="L612" s="857" t="n"/>
      <c r="M612" s="857" t="n"/>
      <c r="N612" s="857" t="n"/>
      <c r="O612" s="845" t="n"/>
      <c r="P612" s="845" t="n"/>
      <c r="Q612" s="845" t="n"/>
      <c r="R612" s="845" t="n"/>
      <c r="S612" s="845" t="n"/>
      <c r="T612" s="845" t="n"/>
      <c r="U612" s="845" t="n"/>
      <c r="V612" s="845" t="n"/>
      <c r="W612" s="845" t="n"/>
      <c r="X612" s="845" t="n"/>
      <c r="Y612" s="845" t="n"/>
      <c r="Z612" s="845" t="n"/>
    </row>
    <row r="613">
      <c r="A613" s="845" t="n"/>
      <c r="B613" s="857" t="n"/>
      <c r="C613" s="857" t="n"/>
      <c r="D613" s="857" t="n"/>
      <c r="E613" s="857" t="n"/>
      <c r="F613" s="857" t="n"/>
      <c r="G613" s="858" t="n"/>
      <c r="H613" s="857" t="n"/>
      <c r="I613" s="857" t="n"/>
      <c r="J613" s="857" t="n"/>
      <c r="K613" s="857" t="n"/>
      <c r="L613" s="857" t="n"/>
      <c r="M613" s="857" t="n"/>
      <c r="N613" s="857" t="n"/>
      <c r="O613" s="845" t="n"/>
      <c r="P613" s="845" t="n"/>
      <c r="Q613" s="845" t="n"/>
      <c r="R613" s="845" t="n"/>
      <c r="S613" s="845" t="n"/>
      <c r="T613" s="845" t="n"/>
      <c r="U613" s="845" t="n"/>
      <c r="V613" s="845" t="n"/>
      <c r="W613" s="845" t="n"/>
      <c r="X613" s="845" t="n"/>
      <c r="Y613" s="845" t="n"/>
      <c r="Z613" s="845" t="n"/>
    </row>
    <row r="614">
      <c r="A614" s="845" t="n"/>
      <c r="B614" s="857" t="n"/>
      <c r="C614" s="857" t="n"/>
      <c r="D614" s="857" t="n"/>
      <c r="E614" s="857" t="n"/>
      <c r="F614" s="857" t="n"/>
      <c r="G614" s="858" t="n"/>
      <c r="H614" s="857" t="n"/>
      <c r="I614" s="857" t="n"/>
      <c r="J614" s="857" t="n"/>
      <c r="K614" s="857" t="n"/>
      <c r="L614" s="857" t="n"/>
      <c r="M614" s="857" t="n"/>
      <c r="N614" s="857" t="n"/>
      <c r="O614" s="845" t="n"/>
      <c r="P614" s="845" t="n"/>
      <c r="Q614" s="845" t="n"/>
      <c r="R614" s="845" t="n"/>
      <c r="S614" s="845" t="n"/>
      <c r="T614" s="845" t="n"/>
      <c r="U614" s="845" t="n"/>
      <c r="V614" s="845" t="n"/>
      <c r="W614" s="845" t="n"/>
      <c r="X614" s="845" t="n"/>
      <c r="Y614" s="845" t="n"/>
      <c r="Z614" s="845" t="n"/>
    </row>
    <row r="615">
      <c r="A615" s="845" t="n"/>
      <c r="B615" s="857" t="n"/>
      <c r="C615" s="857" t="n"/>
      <c r="D615" s="857" t="n"/>
      <c r="E615" s="857" t="n"/>
      <c r="F615" s="857" t="n"/>
      <c r="G615" s="858" t="n"/>
      <c r="H615" s="857" t="n"/>
      <c r="I615" s="857" t="n"/>
      <c r="J615" s="857" t="n"/>
      <c r="K615" s="857" t="n"/>
      <c r="L615" s="857" t="n"/>
      <c r="M615" s="857" t="n"/>
      <c r="N615" s="857" t="n"/>
      <c r="O615" s="845" t="n"/>
      <c r="P615" s="845" t="n"/>
      <c r="Q615" s="845" t="n"/>
      <c r="R615" s="845" t="n"/>
      <c r="S615" s="845" t="n"/>
      <c r="T615" s="845" t="n"/>
      <c r="U615" s="845" t="n"/>
      <c r="V615" s="845" t="n"/>
      <c r="W615" s="845" t="n"/>
      <c r="X615" s="845" t="n"/>
      <c r="Y615" s="845" t="n"/>
      <c r="Z615" s="845" t="n"/>
    </row>
    <row r="616">
      <c r="A616" s="845" t="n"/>
      <c r="B616" s="857" t="n"/>
      <c r="C616" s="857" t="n"/>
      <c r="D616" s="857" t="n"/>
      <c r="E616" s="857" t="n"/>
      <c r="F616" s="857" t="n"/>
      <c r="G616" s="858" t="n"/>
      <c r="H616" s="857" t="n"/>
      <c r="I616" s="857" t="n"/>
      <c r="J616" s="857" t="n"/>
      <c r="K616" s="857" t="n"/>
      <c r="L616" s="857" t="n"/>
      <c r="M616" s="857" t="n"/>
      <c r="N616" s="857" t="n"/>
      <c r="O616" s="845" t="n"/>
      <c r="P616" s="845" t="n"/>
      <c r="Q616" s="845" t="n"/>
      <c r="R616" s="845" t="n"/>
      <c r="S616" s="845" t="n"/>
      <c r="T616" s="845" t="n"/>
      <c r="U616" s="845" t="n"/>
      <c r="V616" s="845" t="n"/>
      <c r="W616" s="845" t="n"/>
      <c r="X616" s="845" t="n"/>
      <c r="Y616" s="845" t="n"/>
      <c r="Z616" s="845" t="n"/>
    </row>
    <row r="617">
      <c r="A617" s="845" t="n"/>
      <c r="B617" s="857" t="n"/>
      <c r="C617" s="857" t="n"/>
      <c r="D617" s="857" t="n"/>
      <c r="E617" s="857" t="n"/>
      <c r="F617" s="857" t="n"/>
      <c r="G617" s="858" t="n"/>
      <c r="H617" s="857" t="n"/>
      <c r="I617" s="857" t="n"/>
      <c r="J617" s="857" t="n"/>
      <c r="K617" s="857" t="n"/>
      <c r="L617" s="857" t="n"/>
      <c r="M617" s="857" t="n"/>
      <c r="N617" s="857" t="n"/>
      <c r="O617" s="845" t="n"/>
      <c r="P617" s="845" t="n"/>
      <c r="Q617" s="845" t="n"/>
      <c r="R617" s="845" t="n"/>
      <c r="S617" s="845" t="n"/>
      <c r="T617" s="845" t="n"/>
      <c r="U617" s="845" t="n"/>
      <c r="V617" s="845" t="n"/>
      <c r="W617" s="845" t="n"/>
      <c r="X617" s="845" t="n"/>
      <c r="Y617" s="845" t="n"/>
      <c r="Z617" s="845" t="n"/>
    </row>
    <row r="618">
      <c r="A618" s="845" t="n"/>
      <c r="B618" s="857" t="n"/>
      <c r="C618" s="857" t="n"/>
      <c r="D618" s="857" t="n"/>
      <c r="E618" s="857" t="n"/>
      <c r="F618" s="857" t="n"/>
      <c r="G618" s="858" t="n"/>
      <c r="H618" s="857" t="n"/>
      <c r="I618" s="857" t="n"/>
      <c r="J618" s="857" t="n"/>
      <c r="K618" s="857" t="n"/>
      <c r="L618" s="857" t="n"/>
      <c r="M618" s="857" t="n"/>
      <c r="N618" s="857" t="n"/>
      <c r="O618" s="845" t="n"/>
      <c r="P618" s="845" t="n"/>
      <c r="Q618" s="845" t="n"/>
      <c r="R618" s="845" t="n"/>
      <c r="S618" s="845" t="n"/>
      <c r="T618" s="845" t="n"/>
      <c r="U618" s="845" t="n"/>
      <c r="V618" s="845" t="n"/>
      <c r="W618" s="845" t="n"/>
      <c r="X618" s="845" t="n"/>
      <c r="Y618" s="845" t="n"/>
      <c r="Z618" s="845" t="n"/>
    </row>
    <row r="619">
      <c r="A619" s="845" t="n"/>
      <c r="B619" s="857" t="n"/>
      <c r="C619" s="857" t="n"/>
      <c r="D619" s="857" t="n"/>
      <c r="E619" s="857" t="n"/>
      <c r="F619" s="857" t="n"/>
      <c r="G619" s="858" t="n"/>
      <c r="H619" s="857" t="n"/>
      <c r="I619" s="857" t="n"/>
      <c r="J619" s="857" t="n"/>
      <c r="K619" s="857" t="n"/>
      <c r="L619" s="857" t="n"/>
      <c r="M619" s="857" t="n"/>
      <c r="N619" s="857" t="n"/>
      <c r="O619" s="845" t="n"/>
      <c r="P619" s="845" t="n"/>
      <c r="Q619" s="845" t="n"/>
      <c r="R619" s="845" t="n"/>
      <c r="S619" s="845" t="n"/>
      <c r="T619" s="845" t="n"/>
      <c r="U619" s="845" t="n"/>
      <c r="V619" s="845" t="n"/>
      <c r="W619" s="845" t="n"/>
      <c r="X619" s="845" t="n"/>
      <c r="Y619" s="845" t="n"/>
      <c r="Z619" s="845" t="n"/>
    </row>
    <row r="620">
      <c r="A620" s="845" t="n"/>
      <c r="B620" s="857" t="n"/>
      <c r="C620" s="857" t="n"/>
      <c r="D620" s="857" t="n"/>
      <c r="E620" s="857" t="n"/>
      <c r="F620" s="857" t="n"/>
      <c r="G620" s="858" t="n"/>
      <c r="H620" s="857" t="n"/>
      <c r="I620" s="857" t="n"/>
      <c r="J620" s="857" t="n"/>
      <c r="K620" s="857" t="n"/>
      <c r="L620" s="857" t="n"/>
      <c r="M620" s="857" t="n"/>
      <c r="N620" s="857" t="n"/>
      <c r="O620" s="845" t="n"/>
      <c r="P620" s="845" t="n"/>
      <c r="Q620" s="845" t="n"/>
      <c r="R620" s="845" t="n"/>
      <c r="S620" s="845" t="n"/>
      <c r="T620" s="845" t="n"/>
      <c r="U620" s="845" t="n"/>
      <c r="V620" s="845" t="n"/>
      <c r="W620" s="845" t="n"/>
      <c r="X620" s="845" t="n"/>
      <c r="Y620" s="845" t="n"/>
      <c r="Z620" s="845" t="n"/>
    </row>
    <row r="621">
      <c r="A621" s="845" t="n"/>
      <c r="B621" s="857" t="n"/>
      <c r="C621" s="857" t="n"/>
      <c r="D621" s="857" t="n"/>
      <c r="E621" s="857" t="n"/>
      <c r="F621" s="857" t="n"/>
      <c r="G621" s="858" t="n"/>
      <c r="H621" s="857" t="n"/>
      <c r="I621" s="857" t="n"/>
      <c r="J621" s="857" t="n"/>
      <c r="K621" s="857" t="n"/>
      <c r="L621" s="857" t="n"/>
      <c r="M621" s="857" t="n"/>
      <c r="N621" s="857" t="n"/>
      <c r="O621" s="845" t="n"/>
      <c r="P621" s="845" t="n"/>
      <c r="Q621" s="845" t="n"/>
      <c r="R621" s="845" t="n"/>
      <c r="S621" s="845" t="n"/>
      <c r="T621" s="845" t="n"/>
      <c r="U621" s="845" t="n"/>
      <c r="V621" s="845" t="n"/>
      <c r="W621" s="845" t="n"/>
      <c r="X621" s="845" t="n"/>
      <c r="Y621" s="845" t="n"/>
      <c r="Z621" s="845" t="n"/>
    </row>
    <row r="622">
      <c r="A622" s="845" t="n"/>
      <c r="B622" s="857" t="n"/>
      <c r="C622" s="857" t="n"/>
      <c r="D622" s="857" t="n"/>
      <c r="E622" s="857" t="n"/>
      <c r="F622" s="857" t="n"/>
      <c r="G622" s="858" t="n"/>
      <c r="H622" s="857" t="n"/>
      <c r="I622" s="857" t="n"/>
      <c r="J622" s="857" t="n"/>
      <c r="K622" s="857" t="n"/>
      <c r="L622" s="857" t="n"/>
      <c r="M622" s="857" t="n"/>
      <c r="N622" s="857" t="n"/>
      <c r="O622" s="845" t="n"/>
      <c r="P622" s="845" t="n"/>
      <c r="Q622" s="845" t="n"/>
      <c r="R622" s="845" t="n"/>
      <c r="S622" s="845" t="n"/>
      <c r="T622" s="845" t="n"/>
      <c r="U622" s="845" t="n"/>
      <c r="V622" s="845" t="n"/>
      <c r="W622" s="845" t="n"/>
      <c r="X622" s="845" t="n"/>
      <c r="Y622" s="845" t="n"/>
      <c r="Z622" s="845" t="n"/>
    </row>
    <row r="623">
      <c r="A623" s="845" t="n"/>
      <c r="B623" s="857" t="n"/>
      <c r="C623" s="857" t="n"/>
      <c r="D623" s="857" t="n"/>
      <c r="E623" s="857" t="n"/>
      <c r="F623" s="857" t="n"/>
      <c r="G623" s="858" t="n"/>
      <c r="H623" s="857" t="n"/>
      <c r="I623" s="857" t="n"/>
      <c r="J623" s="857" t="n"/>
      <c r="K623" s="857" t="n"/>
      <c r="L623" s="857" t="n"/>
      <c r="M623" s="857" t="n"/>
      <c r="N623" s="857" t="n"/>
      <c r="O623" s="845" t="n"/>
      <c r="P623" s="845" t="n"/>
      <c r="Q623" s="845" t="n"/>
      <c r="R623" s="845" t="n"/>
      <c r="S623" s="845" t="n"/>
      <c r="T623" s="845" t="n"/>
      <c r="U623" s="845" t="n"/>
      <c r="V623" s="845" t="n"/>
      <c r="W623" s="845" t="n"/>
      <c r="X623" s="845" t="n"/>
      <c r="Y623" s="845" t="n"/>
      <c r="Z623" s="845" t="n"/>
    </row>
    <row r="624">
      <c r="A624" s="845" t="n"/>
      <c r="B624" s="857" t="n"/>
      <c r="C624" s="857" t="n"/>
      <c r="D624" s="857" t="n"/>
      <c r="E624" s="857" t="n"/>
      <c r="F624" s="857" t="n"/>
      <c r="G624" s="858" t="n"/>
      <c r="H624" s="857" t="n"/>
      <c r="I624" s="857" t="n"/>
      <c r="J624" s="857" t="n"/>
      <c r="K624" s="857" t="n"/>
      <c r="L624" s="857" t="n"/>
      <c r="M624" s="857" t="n"/>
      <c r="N624" s="857" t="n"/>
      <c r="O624" s="845" t="n"/>
      <c r="P624" s="845" t="n"/>
      <c r="Q624" s="845" t="n"/>
      <c r="R624" s="845" t="n"/>
      <c r="S624" s="845" t="n"/>
      <c r="T624" s="845" t="n"/>
      <c r="U624" s="845" t="n"/>
      <c r="V624" s="845" t="n"/>
      <c r="W624" s="845" t="n"/>
      <c r="X624" s="845" t="n"/>
      <c r="Y624" s="845" t="n"/>
      <c r="Z624" s="845" t="n"/>
    </row>
    <row r="625">
      <c r="A625" s="845" t="n"/>
      <c r="B625" s="857" t="n"/>
      <c r="C625" s="857" t="n"/>
      <c r="D625" s="857" t="n"/>
      <c r="E625" s="857" t="n"/>
      <c r="F625" s="857" t="n"/>
      <c r="G625" s="858" t="n"/>
      <c r="H625" s="857" t="n"/>
      <c r="I625" s="857" t="n"/>
      <c r="J625" s="857" t="n"/>
      <c r="K625" s="857" t="n"/>
      <c r="L625" s="857" t="n"/>
      <c r="M625" s="857" t="n"/>
      <c r="N625" s="857" t="n"/>
      <c r="O625" s="845" t="n"/>
      <c r="P625" s="845" t="n"/>
      <c r="Q625" s="845" t="n"/>
      <c r="R625" s="845" t="n"/>
      <c r="S625" s="845" t="n"/>
      <c r="T625" s="845" t="n"/>
      <c r="U625" s="845" t="n"/>
      <c r="V625" s="845" t="n"/>
      <c r="W625" s="845" t="n"/>
      <c r="X625" s="845" t="n"/>
      <c r="Y625" s="845" t="n"/>
      <c r="Z625" s="845" t="n"/>
    </row>
    <row r="626">
      <c r="A626" s="845" t="n"/>
      <c r="B626" s="857" t="n"/>
      <c r="C626" s="857" t="n"/>
      <c r="D626" s="857" t="n"/>
      <c r="E626" s="857" t="n"/>
      <c r="F626" s="857" t="n"/>
      <c r="G626" s="858" t="n"/>
      <c r="H626" s="857" t="n"/>
      <c r="I626" s="857" t="n"/>
      <c r="J626" s="857" t="n"/>
      <c r="K626" s="857" t="n"/>
      <c r="L626" s="857" t="n"/>
      <c r="M626" s="857" t="n"/>
      <c r="N626" s="857" t="n"/>
      <c r="O626" s="845" t="n"/>
      <c r="P626" s="845" t="n"/>
      <c r="Q626" s="845" t="n"/>
      <c r="R626" s="845" t="n"/>
      <c r="S626" s="845" t="n"/>
      <c r="T626" s="845" t="n"/>
      <c r="U626" s="845" t="n"/>
      <c r="V626" s="845" t="n"/>
      <c r="W626" s="845" t="n"/>
      <c r="X626" s="845" t="n"/>
      <c r="Y626" s="845" t="n"/>
      <c r="Z626" s="845" t="n"/>
    </row>
    <row r="627">
      <c r="A627" s="845" t="n"/>
      <c r="B627" s="857" t="n"/>
      <c r="C627" s="857" t="n"/>
      <c r="D627" s="857" t="n"/>
      <c r="E627" s="857" t="n"/>
      <c r="F627" s="857" t="n"/>
      <c r="G627" s="858" t="n"/>
      <c r="H627" s="857" t="n"/>
      <c r="I627" s="857" t="n"/>
      <c r="J627" s="857" t="n"/>
      <c r="K627" s="857" t="n"/>
      <c r="L627" s="857" t="n"/>
      <c r="M627" s="857" t="n"/>
      <c r="N627" s="857" t="n"/>
      <c r="O627" s="845" t="n"/>
      <c r="P627" s="845" t="n"/>
      <c r="Q627" s="845" t="n"/>
      <c r="R627" s="845" t="n"/>
      <c r="S627" s="845" t="n"/>
      <c r="T627" s="845" t="n"/>
      <c r="U627" s="845" t="n"/>
      <c r="V627" s="845" t="n"/>
      <c r="W627" s="845" t="n"/>
      <c r="X627" s="845" t="n"/>
      <c r="Y627" s="845" t="n"/>
      <c r="Z627" s="845" t="n"/>
    </row>
    <row r="628">
      <c r="A628" s="845" t="n"/>
      <c r="B628" s="857" t="n"/>
      <c r="C628" s="857" t="n"/>
      <c r="D628" s="857" t="n"/>
      <c r="E628" s="857" t="n"/>
      <c r="F628" s="857" t="n"/>
      <c r="G628" s="858" t="n"/>
      <c r="H628" s="857" t="n"/>
      <c r="I628" s="857" t="n"/>
      <c r="J628" s="857" t="n"/>
      <c r="K628" s="857" t="n"/>
      <c r="L628" s="857" t="n"/>
      <c r="M628" s="857" t="n"/>
      <c r="N628" s="857" t="n"/>
      <c r="O628" s="845" t="n"/>
      <c r="P628" s="845" t="n"/>
      <c r="Q628" s="845" t="n"/>
      <c r="R628" s="845" t="n"/>
      <c r="S628" s="845" t="n"/>
      <c r="T628" s="845" t="n"/>
      <c r="U628" s="845" t="n"/>
      <c r="V628" s="845" t="n"/>
      <c r="W628" s="845" t="n"/>
      <c r="X628" s="845" t="n"/>
      <c r="Y628" s="845" t="n"/>
      <c r="Z628" s="845" t="n"/>
    </row>
    <row r="629">
      <c r="A629" s="845" t="n"/>
      <c r="B629" s="857" t="n"/>
      <c r="C629" s="857" t="n"/>
      <c r="D629" s="857" t="n"/>
      <c r="E629" s="857" t="n"/>
      <c r="F629" s="857" t="n"/>
      <c r="G629" s="858" t="n"/>
      <c r="H629" s="857" t="n"/>
      <c r="I629" s="857" t="n"/>
      <c r="J629" s="857" t="n"/>
      <c r="K629" s="857" t="n"/>
      <c r="L629" s="857" t="n"/>
      <c r="M629" s="857" t="n"/>
      <c r="N629" s="857" t="n"/>
      <c r="O629" s="845" t="n"/>
      <c r="P629" s="845" t="n"/>
      <c r="Q629" s="845" t="n"/>
      <c r="R629" s="845" t="n"/>
      <c r="S629" s="845" t="n"/>
      <c r="T629" s="845" t="n"/>
      <c r="U629" s="845" t="n"/>
      <c r="V629" s="845" t="n"/>
      <c r="W629" s="845" t="n"/>
      <c r="X629" s="845" t="n"/>
      <c r="Y629" s="845" t="n"/>
      <c r="Z629" s="845" t="n"/>
    </row>
    <row r="630">
      <c r="A630" s="845" t="n"/>
      <c r="B630" s="857" t="n"/>
      <c r="C630" s="857" t="n"/>
      <c r="D630" s="857" t="n"/>
      <c r="E630" s="857" t="n"/>
      <c r="F630" s="857" t="n"/>
      <c r="G630" s="858" t="n"/>
      <c r="H630" s="857" t="n"/>
      <c r="I630" s="857" t="n"/>
      <c r="J630" s="857" t="n"/>
      <c r="K630" s="857" t="n"/>
      <c r="L630" s="857" t="n"/>
      <c r="M630" s="857" t="n"/>
      <c r="N630" s="857" t="n"/>
      <c r="O630" s="845" t="n"/>
      <c r="P630" s="845" t="n"/>
      <c r="Q630" s="845" t="n"/>
      <c r="R630" s="845" t="n"/>
      <c r="S630" s="845" t="n"/>
      <c r="T630" s="845" t="n"/>
      <c r="U630" s="845" t="n"/>
      <c r="V630" s="845" t="n"/>
      <c r="W630" s="845" t="n"/>
      <c r="X630" s="845" t="n"/>
      <c r="Y630" s="845" t="n"/>
      <c r="Z630" s="845" t="n"/>
    </row>
    <row r="631">
      <c r="A631" s="845" t="n"/>
      <c r="B631" s="857" t="n"/>
      <c r="C631" s="857" t="n"/>
      <c r="D631" s="857" t="n"/>
      <c r="E631" s="857" t="n"/>
      <c r="F631" s="857" t="n"/>
      <c r="G631" s="858" t="n"/>
      <c r="H631" s="857" t="n"/>
      <c r="I631" s="857" t="n"/>
      <c r="J631" s="857" t="n"/>
      <c r="K631" s="857" t="n"/>
      <c r="L631" s="857" t="n"/>
      <c r="M631" s="857" t="n"/>
      <c r="N631" s="857" t="n"/>
      <c r="O631" s="845" t="n"/>
      <c r="P631" s="845" t="n"/>
      <c r="Q631" s="845" t="n"/>
      <c r="R631" s="845" t="n"/>
      <c r="S631" s="845" t="n"/>
      <c r="T631" s="845" t="n"/>
      <c r="U631" s="845" t="n"/>
      <c r="V631" s="845" t="n"/>
      <c r="W631" s="845" t="n"/>
      <c r="X631" s="845" t="n"/>
      <c r="Y631" s="845" t="n"/>
      <c r="Z631" s="845" t="n"/>
    </row>
    <row r="632">
      <c r="A632" s="845" t="n"/>
      <c r="B632" s="857" t="n"/>
      <c r="C632" s="857" t="n"/>
      <c r="D632" s="857" t="n"/>
      <c r="E632" s="857" t="n"/>
      <c r="F632" s="857" t="n"/>
      <c r="G632" s="858" t="n"/>
      <c r="H632" s="857" t="n"/>
      <c r="I632" s="857" t="n"/>
      <c r="J632" s="857" t="n"/>
      <c r="K632" s="857" t="n"/>
      <c r="L632" s="857" t="n"/>
      <c r="M632" s="857" t="n"/>
      <c r="N632" s="857" t="n"/>
      <c r="O632" s="845" t="n"/>
      <c r="P632" s="845" t="n"/>
      <c r="Q632" s="845" t="n"/>
      <c r="R632" s="845" t="n"/>
      <c r="S632" s="845" t="n"/>
      <c r="T632" s="845" t="n"/>
      <c r="U632" s="845" t="n"/>
      <c r="V632" s="845" t="n"/>
      <c r="W632" s="845" t="n"/>
      <c r="X632" s="845" t="n"/>
      <c r="Y632" s="845" t="n"/>
      <c r="Z632" s="845" t="n"/>
    </row>
    <row r="633">
      <c r="A633" s="845" t="n"/>
      <c r="B633" s="857" t="n"/>
      <c r="C633" s="857" t="n"/>
      <c r="D633" s="857" t="n"/>
      <c r="E633" s="857" t="n"/>
      <c r="F633" s="857" t="n"/>
      <c r="G633" s="858" t="n"/>
      <c r="H633" s="857" t="n"/>
      <c r="I633" s="857" t="n"/>
      <c r="J633" s="857" t="n"/>
      <c r="K633" s="857" t="n"/>
      <c r="L633" s="857" t="n"/>
      <c r="M633" s="857" t="n"/>
      <c r="N633" s="857" t="n"/>
      <c r="O633" s="845" t="n"/>
      <c r="P633" s="845" t="n"/>
      <c r="Q633" s="845" t="n"/>
      <c r="R633" s="845" t="n"/>
      <c r="S633" s="845" t="n"/>
      <c r="T633" s="845" t="n"/>
      <c r="U633" s="845" t="n"/>
      <c r="V633" s="845" t="n"/>
      <c r="W633" s="845" t="n"/>
      <c r="X633" s="845" t="n"/>
      <c r="Y633" s="845" t="n"/>
      <c r="Z633" s="845" t="n"/>
    </row>
    <row r="634">
      <c r="A634" s="845" t="n"/>
      <c r="B634" s="857" t="n"/>
      <c r="C634" s="857" t="n"/>
      <c r="D634" s="857" t="n"/>
      <c r="E634" s="857" t="n"/>
      <c r="F634" s="857" t="n"/>
      <c r="G634" s="858" t="n"/>
      <c r="H634" s="857" t="n"/>
      <c r="I634" s="857" t="n"/>
      <c r="J634" s="857" t="n"/>
      <c r="K634" s="857" t="n"/>
      <c r="L634" s="857" t="n"/>
      <c r="M634" s="857" t="n"/>
      <c r="N634" s="857" t="n"/>
      <c r="O634" s="845" t="n"/>
      <c r="P634" s="845" t="n"/>
      <c r="Q634" s="845" t="n"/>
      <c r="R634" s="845" t="n"/>
      <c r="S634" s="845" t="n"/>
      <c r="T634" s="845" t="n"/>
      <c r="U634" s="845" t="n"/>
      <c r="V634" s="845" t="n"/>
      <c r="W634" s="845" t="n"/>
      <c r="X634" s="845" t="n"/>
      <c r="Y634" s="845" t="n"/>
      <c r="Z634" s="845" t="n"/>
    </row>
    <row r="635">
      <c r="A635" s="845" t="n"/>
      <c r="B635" s="857" t="n"/>
      <c r="C635" s="857" t="n"/>
      <c r="D635" s="857" t="n"/>
      <c r="E635" s="857" t="n"/>
      <c r="F635" s="857" t="n"/>
      <c r="G635" s="858" t="n"/>
      <c r="H635" s="857" t="n"/>
      <c r="I635" s="857" t="n"/>
      <c r="J635" s="857" t="n"/>
      <c r="K635" s="857" t="n"/>
      <c r="L635" s="857" t="n"/>
      <c r="M635" s="857" t="n"/>
      <c r="N635" s="857" t="n"/>
      <c r="O635" s="845" t="n"/>
      <c r="P635" s="845" t="n"/>
      <c r="Q635" s="845" t="n"/>
      <c r="R635" s="845" t="n"/>
      <c r="S635" s="845" t="n"/>
      <c r="T635" s="845" t="n"/>
      <c r="U635" s="845" t="n"/>
      <c r="V635" s="845" t="n"/>
      <c r="W635" s="845" t="n"/>
      <c r="X635" s="845" t="n"/>
      <c r="Y635" s="845" t="n"/>
      <c r="Z635" s="845" t="n"/>
    </row>
    <row r="636">
      <c r="A636" s="845" t="n"/>
      <c r="B636" s="857" t="n"/>
      <c r="C636" s="857" t="n"/>
      <c r="D636" s="857" t="n"/>
      <c r="E636" s="857" t="n"/>
      <c r="F636" s="857" t="n"/>
      <c r="G636" s="858" t="n"/>
      <c r="H636" s="857" t="n"/>
      <c r="I636" s="857" t="n"/>
      <c r="J636" s="857" t="n"/>
      <c r="K636" s="857" t="n"/>
      <c r="L636" s="857" t="n"/>
      <c r="M636" s="857" t="n"/>
      <c r="N636" s="857" t="n"/>
      <c r="O636" s="845" t="n"/>
      <c r="P636" s="845" t="n"/>
      <c r="Q636" s="845" t="n"/>
      <c r="R636" s="845" t="n"/>
      <c r="S636" s="845" t="n"/>
      <c r="T636" s="845" t="n"/>
      <c r="U636" s="845" t="n"/>
      <c r="V636" s="845" t="n"/>
      <c r="W636" s="845" t="n"/>
      <c r="X636" s="845" t="n"/>
      <c r="Y636" s="845" t="n"/>
      <c r="Z636" s="845" t="n"/>
    </row>
    <row r="637">
      <c r="A637" s="845" t="n"/>
      <c r="B637" s="857" t="n"/>
      <c r="C637" s="857" t="n"/>
      <c r="D637" s="857" t="n"/>
      <c r="E637" s="857" t="n"/>
      <c r="F637" s="857" t="n"/>
      <c r="G637" s="858" t="n"/>
      <c r="H637" s="857" t="n"/>
      <c r="I637" s="857" t="n"/>
      <c r="J637" s="857" t="n"/>
      <c r="K637" s="857" t="n"/>
      <c r="L637" s="857" t="n"/>
      <c r="M637" s="857" t="n"/>
      <c r="N637" s="857" t="n"/>
      <c r="O637" s="845" t="n"/>
      <c r="P637" s="845" t="n"/>
      <c r="Q637" s="845" t="n"/>
      <c r="R637" s="845" t="n"/>
      <c r="S637" s="845" t="n"/>
      <c r="T637" s="845" t="n"/>
      <c r="U637" s="845" t="n"/>
      <c r="V637" s="845" t="n"/>
      <c r="W637" s="845" t="n"/>
      <c r="X637" s="845" t="n"/>
      <c r="Y637" s="845" t="n"/>
      <c r="Z637" s="845" t="n"/>
    </row>
    <row r="638">
      <c r="A638" s="845" t="n"/>
      <c r="B638" s="857" t="n"/>
      <c r="C638" s="857" t="n"/>
      <c r="D638" s="857" t="n"/>
      <c r="E638" s="857" t="n"/>
      <c r="F638" s="857" t="n"/>
      <c r="G638" s="858" t="n"/>
      <c r="H638" s="857" t="n"/>
      <c r="I638" s="857" t="n"/>
      <c r="J638" s="857" t="n"/>
      <c r="K638" s="857" t="n"/>
      <c r="L638" s="857" t="n"/>
      <c r="M638" s="857" t="n"/>
      <c r="N638" s="857" t="n"/>
      <c r="O638" s="845" t="n"/>
      <c r="P638" s="845" t="n"/>
      <c r="Q638" s="845" t="n"/>
      <c r="R638" s="845" t="n"/>
      <c r="S638" s="845" t="n"/>
      <c r="T638" s="845" t="n"/>
      <c r="U638" s="845" t="n"/>
      <c r="V638" s="845" t="n"/>
      <c r="W638" s="845" t="n"/>
      <c r="X638" s="845" t="n"/>
      <c r="Y638" s="845" t="n"/>
      <c r="Z638" s="845" t="n"/>
    </row>
    <row r="639">
      <c r="A639" s="845" t="n"/>
      <c r="B639" s="857" t="n"/>
      <c r="C639" s="857" t="n"/>
      <c r="D639" s="857" t="n"/>
      <c r="E639" s="857" t="n"/>
      <c r="F639" s="857" t="n"/>
      <c r="G639" s="858" t="n"/>
      <c r="H639" s="857" t="n"/>
      <c r="I639" s="857" t="n"/>
      <c r="J639" s="857" t="n"/>
      <c r="K639" s="857" t="n"/>
      <c r="L639" s="857" t="n"/>
      <c r="M639" s="857" t="n"/>
      <c r="N639" s="857" t="n"/>
      <c r="O639" s="845" t="n"/>
      <c r="P639" s="845" t="n"/>
      <c r="Q639" s="845" t="n"/>
      <c r="R639" s="845" t="n"/>
      <c r="S639" s="845" t="n"/>
      <c r="T639" s="845" t="n"/>
      <c r="U639" s="845" t="n"/>
      <c r="V639" s="845" t="n"/>
      <c r="W639" s="845" t="n"/>
      <c r="X639" s="845" t="n"/>
      <c r="Y639" s="845" t="n"/>
      <c r="Z639" s="845" t="n"/>
    </row>
    <row r="640">
      <c r="A640" s="845" t="n"/>
      <c r="B640" s="857" t="n"/>
      <c r="C640" s="857" t="n"/>
      <c r="D640" s="857" t="n"/>
      <c r="E640" s="857" t="n"/>
      <c r="F640" s="857" t="n"/>
      <c r="G640" s="858" t="n"/>
      <c r="H640" s="857" t="n"/>
      <c r="I640" s="857" t="n"/>
      <c r="J640" s="857" t="n"/>
      <c r="K640" s="857" t="n"/>
      <c r="L640" s="857" t="n"/>
      <c r="M640" s="857" t="n"/>
      <c r="N640" s="857" t="n"/>
      <c r="O640" s="845" t="n"/>
      <c r="P640" s="845" t="n"/>
      <c r="Q640" s="845" t="n"/>
      <c r="R640" s="845" t="n"/>
      <c r="S640" s="845" t="n"/>
      <c r="T640" s="845" t="n"/>
      <c r="U640" s="845" t="n"/>
      <c r="V640" s="845" t="n"/>
      <c r="W640" s="845" t="n"/>
      <c r="X640" s="845" t="n"/>
      <c r="Y640" s="845" t="n"/>
      <c r="Z640" s="845" t="n"/>
    </row>
    <row r="641">
      <c r="A641" s="845" t="n"/>
      <c r="B641" s="857" t="n"/>
      <c r="C641" s="857" t="n"/>
      <c r="D641" s="857" t="n"/>
      <c r="E641" s="857" t="n"/>
      <c r="F641" s="857" t="n"/>
      <c r="G641" s="858" t="n"/>
      <c r="H641" s="857" t="n"/>
      <c r="I641" s="857" t="n"/>
      <c r="J641" s="857" t="n"/>
      <c r="K641" s="857" t="n"/>
      <c r="L641" s="857" t="n"/>
      <c r="M641" s="857" t="n"/>
      <c r="N641" s="857" t="n"/>
      <c r="O641" s="845" t="n"/>
      <c r="P641" s="845" t="n"/>
      <c r="Q641" s="845" t="n"/>
      <c r="R641" s="845" t="n"/>
      <c r="S641" s="845" t="n"/>
      <c r="T641" s="845" t="n"/>
      <c r="U641" s="845" t="n"/>
      <c r="V641" s="845" t="n"/>
      <c r="W641" s="845" t="n"/>
      <c r="X641" s="845" t="n"/>
      <c r="Y641" s="845" t="n"/>
      <c r="Z641" s="845" t="n"/>
    </row>
    <row r="642">
      <c r="A642" s="845" t="n"/>
      <c r="B642" s="857" t="n"/>
      <c r="C642" s="857" t="n"/>
      <c r="D642" s="857" t="n"/>
      <c r="E642" s="857" t="n"/>
      <c r="F642" s="857" t="n"/>
      <c r="G642" s="858" t="n"/>
      <c r="H642" s="857" t="n"/>
      <c r="I642" s="857" t="n"/>
      <c r="J642" s="857" t="n"/>
      <c r="K642" s="857" t="n"/>
      <c r="L642" s="857" t="n"/>
      <c r="M642" s="857" t="n"/>
      <c r="N642" s="857" t="n"/>
      <c r="O642" s="845" t="n"/>
      <c r="P642" s="845" t="n"/>
      <c r="Q642" s="845" t="n"/>
      <c r="R642" s="845" t="n"/>
      <c r="S642" s="845" t="n"/>
      <c r="T642" s="845" t="n"/>
      <c r="U642" s="845" t="n"/>
      <c r="V642" s="845" t="n"/>
      <c r="W642" s="845" t="n"/>
      <c r="X642" s="845" t="n"/>
      <c r="Y642" s="845" t="n"/>
      <c r="Z642" s="845" t="n"/>
    </row>
    <row r="643">
      <c r="A643" s="845" t="n"/>
      <c r="B643" s="857" t="n"/>
      <c r="C643" s="857" t="n"/>
      <c r="D643" s="857" t="n"/>
      <c r="E643" s="857" t="n"/>
      <c r="F643" s="857" t="n"/>
      <c r="G643" s="858" t="n"/>
      <c r="H643" s="857" t="n"/>
      <c r="I643" s="857" t="n"/>
      <c r="J643" s="857" t="n"/>
      <c r="K643" s="857" t="n"/>
      <c r="L643" s="857" t="n"/>
      <c r="M643" s="857" t="n"/>
      <c r="N643" s="857" t="n"/>
      <c r="O643" s="845" t="n"/>
      <c r="P643" s="845" t="n"/>
      <c r="Q643" s="845" t="n"/>
      <c r="R643" s="845" t="n"/>
      <c r="S643" s="845" t="n"/>
      <c r="T643" s="845" t="n"/>
      <c r="U643" s="845" t="n"/>
      <c r="V643" s="845" t="n"/>
      <c r="W643" s="845" t="n"/>
      <c r="X643" s="845" t="n"/>
      <c r="Y643" s="845" t="n"/>
      <c r="Z643" s="845" t="n"/>
    </row>
    <row r="644">
      <c r="A644" s="845" t="n"/>
      <c r="B644" s="857" t="n"/>
      <c r="C644" s="857" t="n"/>
      <c r="D644" s="857" t="n"/>
      <c r="E644" s="857" t="n"/>
      <c r="F644" s="857" t="n"/>
      <c r="G644" s="858" t="n"/>
      <c r="H644" s="857" t="n"/>
      <c r="I644" s="857" t="n"/>
      <c r="J644" s="857" t="n"/>
      <c r="K644" s="857" t="n"/>
      <c r="L644" s="857" t="n"/>
      <c r="M644" s="857" t="n"/>
      <c r="N644" s="857" t="n"/>
      <c r="O644" s="845" t="n"/>
      <c r="P644" s="845" t="n"/>
      <c r="Q644" s="845" t="n"/>
      <c r="R644" s="845" t="n"/>
      <c r="S644" s="845" t="n"/>
      <c r="T644" s="845" t="n"/>
      <c r="U644" s="845" t="n"/>
      <c r="V644" s="845" t="n"/>
      <c r="W644" s="845" t="n"/>
      <c r="X644" s="845" t="n"/>
      <c r="Y644" s="845" t="n"/>
      <c r="Z644" s="845" t="n"/>
    </row>
    <row r="645">
      <c r="A645" s="845" t="n"/>
      <c r="B645" s="857" t="n"/>
      <c r="C645" s="857" t="n"/>
      <c r="D645" s="857" t="n"/>
      <c r="E645" s="857" t="n"/>
      <c r="F645" s="857" t="n"/>
      <c r="G645" s="858" t="n"/>
      <c r="H645" s="857" t="n"/>
      <c r="I645" s="857" t="n"/>
      <c r="J645" s="857" t="n"/>
      <c r="K645" s="857" t="n"/>
      <c r="L645" s="857" t="n"/>
      <c r="M645" s="857" t="n"/>
      <c r="N645" s="857" t="n"/>
      <c r="O645" s="845" t="n"/>
      <c r="P645" s="845" t="n"/>
      <c r="Q645" s="845" t="n"/>
      <c r="R645" s="845" t="n"/>
      <c r="S645" s="845" t="n"/>
      <c r="T645" s="845" t="n"/>
      <c r="U645" s="845" t="n"/>
      <c r="V645" s="845" t="n"/>
      <c r="W645" s="845" t="n"/>
      <c r="X645" s="845" t="n"/>
      <c r="Y645" s="845" t="n"/>
      <c r="Z645" s="845" t="n"/>
    </row>
    <row r="646">
      <c r="A646" s="845" t="n"/>
      <c r="B646" s="857" t="n"/>
      <c r="C646" s="857" t="n"/>
      <c r="D646" s="857" t="n"/>
      <c r="E646" s="857" t="n"/>
      <c r="F646" s="857" t="n"/>
      <c r="G646" s="858" t="n"/>
      <c r="H646" s="857" t="n"/>
      <c r="I646" s="857" t="n"/>
      <c r="J646" s="857" t="n"/>
      <c r="K646" s="857" t="n"/>
      <c r="L646" s="857" t="n"/>
      <c r="M646" s="857" t="n"/>
      <c r="N646" s="857" t="n"/>
      <c r="O646" s="845" t="n"/>
      <c r="P646" s="845" t="n"/>
      <c r="Q646" s="845" t="n"/>
      <c r="R646" s="845" t="n"/>
      <c r="S646" s="845" t="n"/>
      <c r="T646" s="845" t="n"/>
      <c r="U646" s="845" t="n"/>
      <c r="V646" s="845" t="n"/>
      <c r="W646" s="845" t="n"/>
      <c r="X646" s="845" t="n"/>
      <c r="Y646" s="845" t="n"/>
      <c r="Z646" s="845" t="n"/>
    </row>
    <row r="647">
      <c r="A647" s="845" t="n"/>
      <c r="B647" s="857" t="n"/>
      <c r="C647" s="857" t="n"/>
      <c r="D647" s="857" t="n"/>
      <c r="E647" s="857" t="n"/>
      <c r="F647" s="857" t="n"/>
      <c r="G647" s="858" t="n"/>
      <c r="H647" s="857" t="n"/>
      <c r="I647" s="857" t="n"/>
      <c r="J647" s="857" t="n"/>
      <c r="K647" s="857" t="n"/>
      <c r="L647" s="857" t="n"/>
      <c r="M647" s="857" t="n"/>
      <c r="N647" s="857" t="n"/>
      <c r="O647" s="845" t="n"/>
      <c r="P647" s="845" t="n"/>
      <c r="Q647" s="845" t="n"/>
      <c r="R647" s="845" t="n"/>
      <c r="S647" s="845" t="n"/>
      <c r="T647" s="845" t="n"/>
      <c r="U647" s="845" t="n"/>
      <c r="V647" s="845" t="n"/>
      <c r="W647" s="845" t="n"/>
      <c r="X647" s="845" t="n"/>
      <c r="Y647" s="845" t="n"/>
      <c r="Z647" s="845" t="n"/>
    </row>
    <row r="648">
      <c r="A648" s="845" t="n"/>
      <c r="B648" s="857" t="n"/>
      <c r="C648" s="857" t="n"/>
      <c r="D648" s="857" t="n"/>
      <c r="E648" s="857" t="n"/>
      <c r="F648" s="857" t="n"/>
      <c r="G648" s="858" t="n"/>
      <c r="H648" s="857" t="n"/>
      <c r="I648" s="857" t="n"/>
      <c r="J648" s="857" t="n"/>
      <c r="K648" s="857" t="n"/>
      <c r="L648" s="857" t="n"/>
      <c r="M648" s="857" t="n"/>
      <c r="N648" s="857" t="n"/>
      <c r="O648" s="845" t="n"/>
      <c r="P648" s="845" t="n"/>
      <c r="Q648" s="845" t="n"/>
      <c r="R648" s="845" t="n"/>
      <c r="S648" s="845" t="n"/>
      <c r="T648" s="845" t="n"/>
      <c r="U648" s="845" t="n"/>
      <c r="V648" s="845" t="n"/>
      <c r="W648" s="845" t="n"/>
      <c r="X648" s="845" t="n"/>
      <c r="Y648" s="845" t="n"/>
      <c r="Z648" s="845" t="n"/>
    </row>
    <row r="649">
      <c r="A649" s="845" t="n"/>
      <c r="B649" s="857" t="n"/>
      <c r="C649" s="857" t="n"/>
      <c r="D649" s="857" t="n"/>
      <c r="E649" s="857" t="n"/>
      <c r="F649" s="857" t="n"/>
      <c r="G649" s="858" t="n"/>
      <c r="H649" s="857" t="n"/>
      <c r="I649" s="857" t="n"/>
      <c r="J649" s="857" t="n"/>
      <c r="K649" s="857" t="n"/>
      <c r="L649" s="857" t="n"/>
      <c r="M649" s="857" t="n"/>
      <c r="N649" s="857" t="n"/>
      <c r="O649" s="845" t="n"/>
      <c r="P649" s="845" t="n"/>
      <c r="Q649" s="845" t="n"/>
      <c r="R649" s="845" t="n"/>
      <c r="S649" s="845" t="n"/>
      <c r="T649" s="845" t="n"/>
      <c r="U649" s="845" t="n"/>
      <c r="V649" s="845" t="n"/>
      <c r="W649" s="845" t="n"/>
      <c r="X649" s="845" t="n"/>
      <c r="Y649" s="845" t="n"/>
      <c r="Z649" s="845" t="n"/>
    </row>
    <row r="650">
      <c r="A650" s="845" t="n"/>
      <c r="B650" s="857" t="n"/>
      <c r="C650" s="857" t="n"/>
      <c r="D650" s="857" t="n"/>
      <c r="E650" s="857" t="n"/>
      <c r="F650" s="857" t="n"/>
      <c r="G650" s="858" t="n"/>
      <c r="H650" s="857" t="n"/>
      <c r="I650" s="857" t="n"/>
      <c r="J650" s="857" t="n"/>
      <c r="K650" s="857" t="n"/>
      <c r="L650" s="857" t="n"/>
      <c r="M650" s="857" t="n"/>
      <c r="N650" s="857" t="n"/>
      <c r="O650" s="845" t="n"/>
      <c r="P650" s="845" t="n"/>
      <c r="Q650" s="845" t="n"/>
      <c r="R650" s="845" t="n"/>
      <c r="S650" s="845" t="n"/>
      <c r="T650" s="845" t="n"/>
      <c r="U650" s="845" t="n"/>
      <c r="V650" s="845" t="n"/>
      <c r="W650" s="845" t="n"/>
      <c r="X650" s="845" t="n"/>
      <c r="Y650" s="845" t="n"/>
      <c r="Z650" s="845" t="n"/>
    </row>
    <row r="651">
      <c r="A651" s="845" t="n"/>
      <c r="B651" s="857" t="n"/>
      <c r="C651" s="857" t="n"/>
      <c r="D651" s="857" t="n"/>
      <c r="E651" s="857" t="n"/>
      <c r="F651" s="857" t="n"/>
      <c r="G651" s="858" t="n"/>
      <c r="H651" s="857" t="n"/>
      <c r="I651" s="857" t="n"/>
      <c r="J651" s="857" t="n"/>
      <c r="K651" s="857" t="n"/>
      <c r="L651" s="857" t="n"/>
      <c r="M651" s="857" t="n"/>
      <c r="N651" s="857" t="n"/>
      <c r="O651" s="845" t="n"/>
      <c r="P651" s="845" t="n"/>
      <c r="Q651" s="845" t="n"/>
      <c r="R651" s="845" t="n"/>
      <c r="S651" s="845" t="n"/>
      <c r="T651" s="845" t="n"/>
      <c r="U651" s="845" t="n"/>
      <c r="V651" s="845" t="n"/>
      <c r="W651" s="845" t="n"/>
      <c r="X651" s="845" t="n"/>
      <c r="Y651" s="845" t="n"/>
      <c r="Z651" s="845" t="n"/>
    </row>
    <row r="652">
      <c r="A652" s="845" t="n"/>
      <c r="B652" s="857" t="n"/>
      <c r="C652" s="857" t="n"/>
      <c r="D652" s="857" t="n"/>
      <c r="E652" s="857" t="n"/>
      <c r="F652" s="857" t="n"/>
      <c r="G652" s="858" t="n"/>
      <c r="H652" s="857" t="n"/>
      <c r="I652" s="857" t="n"/>
      <c r="J652" s="857" t="n"/>
      <c r="K652" s="857" t="n"/>
      <c r="L652" s="857" t="n"/>
      <c r="M652" s="857" t="n"/>
      <c r="N652" s="857" t="n"/>
      <c r="O652" s="845" t="n"/>
      <c r="P652" s="845" t="n"/>
      <c r="Q652" s="845" t="n"/>
      <c r="R652" s="845" t="n"/>
      <c r="S652" s="845" t="n"/>
      <c r="T652" s="845" t="n"/>
      <c r="U652" s="845" t="n"/>
      <c r="V652" s="845" t="n"/>
      <c r="W652" s="845" t="n"/>
      <c r="X652" s="845" t="n"/>
      <c r="Y652" s="845" t="n"/>
      <c r="Z652" s="845" t="n"/>
    </row>
    <row r="653">
      <c r="A653" s="845" t="n"/>
      <c r="B653" s="857" t="n"/>
      <c r="C653" s="857" t="n"/>
      <c r="D653" s="857" t="n"/>
      <c r="E653" s="857" t="n"/>
      <c r="F653" s="857" t="n"/>
      <c r="G653" s="858" t="n"/>
      <c r="H653" s="857" t="n"/>
      <c r="I653" s="857" t="n"/>
      <c r="J653" s="857" t="n"/>
      <c r="K653" s="857" t="n"/>
      <c r="L653" s="857" t="n"/>
      <c r="M653" s="857" t="n"/>
      <c r="N653" s="857" t="n"/>
      <c r="O653" s="845" t="n"/>
      <c r="P653" s="845" t="n"/>
      <c r="Q653" s="845" t="n"/>
      <c r="R653" s="845" t="n"/>
      <c r="S653" s="845" t="n"/>
      <c r="T653" s="845" t="n"/>
      <c r="U653" s="845" t="n"/>
      <c r="V653" s="845" t="n"/>
      <c r="W653" s="845" t="n"/>
      <c r="X653" s="845" t="n"/>
      <c r="Y653" s="845" t="n"/>
      <c r="Z653" s="845" t="n"/>
    </row>
    <row r="654">
      <c r="A654" s="845" t="n"/>
      <c r="B654" s="857" t="n"/>
      <c r="C654" s="857" t="n"/>
      <c r="D654" s="857" t="n"/>
      <c r="E654" s="857" t="n"/>
      <c r="F654" s="857" t="n"/>
      <c r="G654" s="858" t="n"/>
      <c r="H654" s="857" t="n"/>
      <c r="I654" s="857" t="n"/>
      <c r="J654" s="857" t="n"/>
      <c r="K654" s="857" t="n"/>
      <c r="L654" s="857" t="n"/>
      <c r="M654" s="857" t="n"/>
      <c r="N654" s="857" t="n"/>
      <c r="O654" s="845" t="n"/>
      <c r="P654" s="845" t="n"/>
      <c r="Q654" s="845" t="n"/>
      <c r="R654" s="845" t="n"/>
      <c r="S654" s="845" t="n"/>
      <c r="T654" s="845" t="n"/>
      <c r="U654" s="845" t="n"/>
      <c r="V654" s="845" t="n"/>
      <c r="W654" s="845" t="n"/>
      <c r="X654" s="845" t="n"/>
      <c r="Y654" s="845" t="n"/>
      <c r="Z654" s="845" t="n"/>
    </row>
    <row r="655">
      <c r="A655" s="845" t="n"/>
      <c r="B655" s="857" t="n"/>
      <c r="C655" s="857" t="n"/>
      <c r="D655" s="857" t="n"/>
      <c r="E655" s="857" t="n"/>
      <c r="F655" s="857" t="n"/>
      <c r="G655" s="858" t="n"/>
      <c r="H655" s="857" t="n"/>
      <c r="I655" s="857" t="n"/>
      <c r="J655" s="857" t="n"/>
      <c r="K655" s="857" t="n"/>
      <c r="L655" s="857" t="n"/>
      <c r="M655" s="857" t="n"/>
      <c r="N655" s="857" t="n"/>
      <c r="O655" s="845" t="n"/>
      <c r="P655" s="845" t="n"/>
      <c r="Q655" s="845" t="n"/>
      <c r="R655" s="845" t="n"/>
      <c r="S655" s="845" t="n"/>
      <c r="T655" s="845" t="n"/>
      <c r="U655" s="845" t="n"/>
      <c r="V655" s="845" t="n"/>
      <c r="W655" s="845" t="n"/>
      <c r="X655" s="845" t="n"/>
      <c r="Y655" s="845" t="n"/>
      <c r="Z655" s="845" t="n"/>
    </row>
    <row r="656">
      <c r="A656" s="845" t="n"/>
      <c r="B656" s="857" t="n"/>
      <c r="C656" s="857" t="n"/>
      <c r="D656" s="857" t="n"/>
      <c r="E656" s="857" t="n"/>
      <c r="F656" s="857" t="n"/>
      <c r="G656" s="858" t="n"/>
      <c r="H656" s="857" t="n"/>
      <c r="I656" s="857" t="n"/>
      <c r="J656" s="857" t="n"/>
      <c r="K656" s="857" t="n"/>
      <c r="L656" s="857" t="n"/>
      <c r="M656" s="857" t="n"/>
      <c r="N656" s="857" t="n"/>
      <c r="O656" s="845" t="n"/>
      <c r="P656" s="845" t="n"/>
      <c r="Q656" s="845" t="n"/>
      <c r="R656" s="845" t="n"/>
      <c r="S656" s="845" t="n"/>
      <c r="T656" s="845" t="n"/>
      <c r="U656" s="845" t="n"/>
      <c r="V656" s="845" t="n"/>
      <c r="W656" s="845" t="n"/>
      <c r="X656" s="845" t="n"/>
      <c r="Y656" s="845" t="n"/>
      <c r="Z656" s="845" t="n"/>
    </row>
    <row r="657">
      <c r="A657" s="845" t="n"/>
      <c r="B657" s="857" t="n"/>
      <c r="C657" s="857" t="n"/>
      <c r="D657" s="857" t="n"/>
      <c r="E657" s="857" t="n"/>
      <c r="F657" s="857" t="n"/>
      <c r="G657" s="858" t="n"/>
      <c r="H657" s="857" t="n"/>
      <c r="I657" s="857" t="n"/>
      <c r="J657" s="857" t="n"/>
      <c r="K657" s="857" t="n"/>
      <c r="L657" s="857" t="n"/>
      <c r="M657" s="857" t="n"/>
      <c r="N657" s="857" t="n"/>
      <c r="O657" s="845" t="n"/>
      <c r="P657" s="845" t="n"/>
      <c r="Q657" s="845" t="n"/>
      <c r="R657" s="845" t="n"/>
      <c r="S657" s="845" t="n"/>
      <c r="T657" s="845" t="n"/>
      <c r="U657" s="845" t="n"/>
      <c r="V657" s="845" t="n"/>
      <c r="W657" s="845" t="n"/>
      <c r="X657" s="845" t="n"/>
      <c r="Y657" s="845" t="n"/>
      <c r="Z657" s="845" t="n"/>
    </row>
    <row r="658">
      <c r="A658" s="845" t="n"/>
      <c r="B658" s="857" t="n"/>
      <c r="C658" s="857" t="n"/>
      <c r="D658" s="857" t="n"/>
      <c r="E658" s="857" t="n"/>
      <c r="F658" s="857" t="n"/>
      <c r="G658" s="858" t="n"/>
      <c r="H658" s="857" t="n"/>
      <c r="I658" s="857" t="n"/>
      <c r="J658" s="857" t="n"/>
      <c r="K658" s="857" t="n"/>
      <c r="L658" s="857" t="n"/>
      <c r="M658" s="857" t="n"/>
      <c r="N658" s="857" t="n"/>
      <c r="O658" s="845" t="n"/>
      <c r="P658" s="845" t="n"/>
      <c r="Q658" s="845" t="n"/>
      <c r="R658" s="845" t="n"/>
      <c r="S658" s="845" t="n"/>
      <c r="T658" s="845" t="n"/>
      <c r="U658" s="845" t="n"/>
      <c r="V658" s="845" t="n"/>
      <c r="W658" s="845" t="n"/>
      <c r="X658" s="845" t="n"/>
      <c r="Y658" s="845" t="n"/>
      <c r="Z658" s="845" t="n"/>
    </row>
    <row r="659">
      <c r="A659" s="845" t="n"/>
      <c r="B659" s="857" t="n"/>
      <c r="C659" s="857" t="n"/>
      <c r="D659" s="857" t="n"/>
      <c r="E659" s="857" t="n"/>
      <c r="F659" s="857" t="n"/>
      <c r="G659" s="858" t="n"/>
      <c r="H659" s="857" t="n"/>
      <c r="I659" s="857" t="n"/>
      <c r="J659" s="857" t="n"/>
      <c r="K659" s="857" t="n"/>
      <c r="L659" s="857" t="n"/>
      <c r="M659" s="857" t="n"/>
      <c r="N659" s="857" t="n"/>
      <c r="O659" s="845" t="n"/>
      <c r="P659" s="845" t="n"/>
      <c r="Q659" s="845" t="n"/>
      <c r="R659" s="845" t="n"/>
      <c r="S659" s="845" t="n"/>
      <c r="T659" s="845" t="n"/>
      <c r="U659" s="845" t="n"/>
      <c r="V659" s="845" t="n"/>
      <c r="W659" s="845" t="n"/>
      <c r="X659" s="845" t="n"/>
      <c r="Y659" s="845" t="n"/>
      <c r="Z659" s="845" t="n"/>
    </row>
    <row r="660">
      <c r="A660" s="845" t="n"/>
      <c r="B660" s="857" t="n"/>
      <c r="C660" s="857" t="n"/>
      <c r="D660" s="857" t="n"/>
      <c r="E660" s="857" t="n"/>
      <c r="F660" s="857" t="n"/>
      <c r="G660" s="858" t="n"/>
      <c r="H660" s="857" t="n"/>
      <c r="I660" s="857" t="n"/>
      <c r="J660" s="857" t="n"/>
      <c r="K660" s="857" t="n"/>
      <c r="L660" s="857" t="n"/>
      <c r="M660" s="857" t="n"/>
      <c r="N660" s="857" t="n"/>
      <c r="O660" s="845" t="n"/>
      <c r="P660" s="845" t="n"/>
      <c r="Q660" s="845" t="n"/>
      <c r="R660" s="845" t="n"/>
      <c r="S660" s="845" t="n"/>
      <c r="T660" s="845" t="n"/>
      <c r="U660" s="845" t="n"/>
      <c r="V660" s="845" t="n"/>
      <c r="W660" s="845" t="n"/>
      <c r="X660" s="845" t="n"/>
      <c r="Y660" s="845" t="n"/>
      <c r="Z660" s="845" t="n"/>
    </row>
    <row r="661">
      <c r="A661" s="845" t="n"/>
      <c r="B661" s="857" t="n"/>
      <c r="C661" s="857" t="n"/>
      <c r="D661" s="857" t="n"/>
      <c r="E661" s="857" t="n"/>
      <c r="F661" s="857" t="n"/>
      <c r="G661" s="858" t="n"/>
      <c r="H661" s="857" t="n"/>
      <c r="I661" s="857" t="n"/>
      <c r="J661" s="857" t="n"/>
      <c r="K661" s="857" t="n"/>
      <c r="L661" s="857" t="n"/>
      <c r="M661" s="857" t="n"/>
      <c r="N661" s="857" t="n"/>
      <c r="O661" s="845" t="n"/>
      <c r="P661" s="845" t="n"/>
      <c r="Q661" s="845" t="n"/>
      <c r="R661" s="845" t="n"/>
      <c r="S661" s="845" t="n"/>
      <c r="T661" s="845" t="n"/>
      <c r="U661" s="845" t="n"/>
      <c r="V661" s="845" t="n"/>
      <c r="W661" s="845" t="n"/>
      <c r="X661" s="845" t="n"/>
      <c r="Y661" s="845" t="n"/>
      <c r="Z661" s="845" t="n"/>
    </row>
    <row r="662">
      <c r="A662" s="845" t="n"/>
      <c r="B662" s="857" t="n"/>
      <c r="C662" s="857" t="n"/>
      <c r="D662" s="857" t="n"/>
      <c r="E662" s="857" t="n"/>
      <c r="F662" s="857" t="n"/>
      <c r="G662" s="858" t="n"/>
      <c r="H662" s="857" t="n"/>
      <c r="I662" s="857" t="n"/>
      <c r="J662" s="857" t="n"/>
      <c r="K662" s="857" t="n"/>
      <c r="L662" s="857" t="n"/>
      <c r="M662" s="857" t="n"/>
      <c r="N662" s="857" t="n"/>
      <c r="O662" s="845" t="n"/>
      <c r="P662" s="845" t="n"/>
      <c r="Q662" s="845" t="n"/>
      <c r="R662" s="845" t="n"/>
      <c r="S662" s="845" t="n"/>
      <c r="T662" s="845" t="n"/>
      <c r="U662" s="845" t="n"/>
      <c r="V662" s="845" t="n"/>
      <c r="W662" s="845" t="n"/>
      <c r="X662" s="845" t="n"/>
      <c r="Y662" s="845" t="n"/>
      <c r="Z662" s="845" t="n"/>
    </row>
    <row r="663">
      <c r="A663" s="845" t="n"/>
      <c r="B663" s="857" t="n"/>
      <c r="C663" s="857" t="n"/>
      <c r="D663" s="857" t="n"/>
      <c r="E663" s="857" t="n"/>
      <c r="F663" s="857" t="n"/>
      <c r="G663" s="858" t="n"/>
      <c r="H663" s="857" t="n"/>
      <c r="I663" s="857" t="n"/>
      <c r="J663" s="857" t="n"/>
      <c r="K663" s="857" t="n"/>
      <c r="L663" s="857" t="n"/>
      <c r="M663" s="857" t="n"/>
      <c r="N663" s="857" t="n"/>
      <c r="O663" s="845" t="n"/>
      <c r="P663" s="845" t="n"/>
      <c r="Q663" s="845" t="n"/>
      <c r="R663" s="845" t="n"/>
      <c r="S663" s="845" t="n"/>
      <c r="T663" s="845" t="n"/>
      <c r="U663" s="845" t="n"/>
      <c r="V663" s="845" t="n"/>
      <c r="W663" s="845" t="n"/>
      <c r="X663" s="845" t="n"/>
      <c r="Y663" s="845" t="n"/>
      <c r="Z663" s="845" t="n"/>
    </row>
    <row r="664">
      <c r="A664" s="845" t="n"/>
      <c r="B664" s="857" t="n"/>
      <c r="C664" s="857" t="n"/>
      <c r="D664" s="857" t="n"/>
      <c r="E664" s="857" t="n"/>
      <c r="F664" s="857" t="n"/>
      <c r="G664" s="858" t="n"/>
      <c r="H664" s="857" t="n"/>
      <c r="I664" s="857" t="n"/>
      <c r="J664" s="857" t="n"/>
      <c r="K664" s="857" t="n"/>
      <c r="L664" s="857" t="n"/>
      <c r="M664" s="857" t="n"/>
      <c r="N664" s="857" t="n"/>
      <c r="O664" s="845" t="n"/>
      <c r="P664" s="845" t="n"/>
      <c r="Q664" s="845" t="n"/>
      <c r="R664" s="845" t="n"/>
      <c r="S664" s="845" t="n"/>
      <c r="T664" s="845" t="n"/>
      <c r="U664" s="845" t="n"/>
      <c r="V664" s="845" t="n"/>
      <c r="W664" s="845" t="n"/>
      <c r="X664" s="845" t="n"/>
      <c r="Y664" s="845" t="n"/>
      <c r="Z664" s="845" t="n"/>
    </row>
    <row r="665">
      <c r="A665" s="845" t="n"/>
      <c r="B665" s="857" t="n"/>
      <c r="C665" s="857" t="n"/>
      <c r="D665" s="857" t="n"/>
      <c r="E665" s="857" t="n"/>
      <c r="F665" s="857" t="n"/>
      <c r="G665" s="858" t="n"/>
      <c r="H665" s="857" t="n"/>
      <c r="I665" s="857" t="n"/>
      <c r="J665" s="857" t="n"/>
      <c r="K665" s="857" t="n"/>
      <c r="L665" s="857" t="n"/>
      <c r="M665" s="857" t="n"/>
      <c r="N665" s="857" t="n"/>
      <c r="O665" s="845" t="n"/>
      <c r="P665" s="845" t="n"/>
      <c r="Q665" s="845" t="n"/>
      <c r="R665" s="845" t="n"/>
      <c r="S665" s="845" t="n"/>
      <c r="T665" s="845" t="n"/>
      <c r="U665" s="845" t="n"/>
      <c r="V665" s="845" t="n"/>
      <c r="W665" s="845" t="n"/>
      <c r="X665" s="845" t="n"/>
      <c r="Y665" s="845" t="n"/>
      <c r="Z665" s="845" t="n"/>
    </row>
    <row r="666">
      <c r="A666" s="845" t="n"/>
      <c r="B666" s="857" t="n"/>
      <c r="C666" s="857" t="n"/>
      <c r="D666" s="857" t="n"/>
      <c r="E666" s="857" t="n"/>
      <c r="F666" s="857" t="n"/>
      <c r="G666" s="858" t="n"/>
      <c r="H666" s="857" t="n"/>
      <c r="I666" s="857" t="n"/>
      <c r="J666" s="857" t="n"/>
      <c r="K666" s="857" t="n"/>
      <c r="L666" s="857" t="n"/>
      <c r="M666" s="857" t="n"/>
      <c r="N666" s="857" t="n"/>
      <c r="O666" s="845" t="n"/>
      <c r="P666" s="845" t="n"/>
      <c r="Q666" s="845" t="n"/>
      <c r="R666" s="845" t="n"/>
      <c r="S666" s="845" t="n"/>
      <c r="T666" s="845" t="n"/>
      <c r="U666" s="845" t="n"/>
      <c r="V666" s="845" t="n"/>
      <c r="W666" s="845" t="n"/>
      <c r="X666" s="845" t="n"/>
      <c r="Y666" s="845" t="n"/>
      <c r="Z666" s="845" t="n"/>
    </row>
    <row r="667">
      <c r="A667" s="845" t="n"/>
      <c r="B667" s="857" t="n"/>
      <c r="C667" s="857" t="n"/>
      <c r="D667" s="857" t="n"/>
      <c r="E667" s="857" t="n"/>
      <c r="F667" s="857" t="n"/>
      <c r="G667" s="858" t="n"/>
      <c r="H667" s="857" t="n"/>
      <c r="I667" s="857" t="n"/>
      <c r="J667" s="857" t="n"/>
      <c r="K667" s="857" t="n"/>
      <c r="L667" s="857" t="n"/>
      <c r="M667" s="857" t="n"/>
      <c r="N667" s="857" t="n"/>
      <c r="O667" s="845" t="n"/>
      <c r="P667" s="845" t="n"/>
      <c r="Q667" s="845" t="n"/>
      <c r="R667" s="845" t="n"/>
      <c r="S667" s="845" t="n"/>
      <c r="T667" s="845" t="n"/>
      <c r="U667" s="845" t="n"/>
      <c r="V667" s="845" t="n"/>
      <c r="W667" s="845" t="n"/>
      <c r="X667" s="845" t="n"/>
      <c r="Y667" s="845" t="n"/>
      <c r="Z667" s="845" t="n"/>
    </row>
    <row r="668">
      <c r="A668" s="845" t="n"/>
      <c r="B668" s="857" t="n"/>
      <c r="C668" s="857" t="n"/>
      <c r="D668" s="857" t="n"/>
      <c r="E668" s="857" t="n"/>
      <c r="F668" s="857" t="n"/>
      <c r="G668" s="858" t="n"/>
      <c r="H668" s="857" t="n"/>
      <c r="I668" s="857" t="n"/>
      <c r="J668" s="857" t="n"/>
      <c r="K668" s="857" t="n"/>
      <c r="L668" s="857" t="n"/>
      <c r="M668" s="857" t="n"/>
      <c r="N668" s="857" t="n"/>
      <c r="O668" s="845" t="n"/>
      <c r="P668" s="845" t="n"/>
      <c r="Q668" s="845" t="n"/>
      <c r="R668" s="845" t="n"/>
      <c r="S668" s="845" t="n"/>
      <c r="T668" s="845" t="n"/>
      <c r="U668" s="845" t="n"/>
      <c r="V668" s="845" t="n"/>
      <c r="W668" s="845" t="n"/>
      <c r="X668" s="845" t="n"/>
      <c r="Y668" s="845" t="n"/>
      <c r="Z668" s="845" t="n"/>
    </row>
    <row r="669">
      <c r="A669" s="845" t="n"/>
      <c r="B669" s="857" t="n"/>
      <c r="C669" s="857" t="n"/>
      <c r="D669" s="857" t="n"/>
      <c r="E669" s="857" t="n"/>
      <c r="F669" s="857" t="n"/>
      <c r="G669" s="858" t="n"/>
      <c r="H669" s="857" t="n"/>
      <c r="I669" s="857" t="n"/>
      <c r="J669" s="857" t="n"/>
      <c r="K669" s="857" t="n"/>
      <c r="L669" s="857" t="n"/>
      <c r="M669" s="857" t="n"/>
      <c r="N669" s="857" t="n"/>
      <c r="O669" s="845" t="n"/>
      <c r="P669" s="845" t="n"/>
      <c r="Q669" s="845" t="n"/>
      <c r="R669" s="845" t="n"/>
      <c r="S669" s="845" t="n"/>
      <c r="T669" s="845" t="n"/>
      <c r="U669" s="845" t="n"/>
      <c r="V669" s="845" t="n"/>
      <c r="W669" s="845" t="n"/>
      <c r="X669" s="845" t="n"/>
      <c r="Y669" s="845" t="n"/>
      <c r="Z669" s="845" t="n"/>
    </row>
    <row r="670">
      <c r="A670" s="845" t="n"/>
      <c r="B670" s="857" t="n"/>
      <c r="C670" s="857" t="n"/>
      <c r="D670" s="857" t="n"/>
      <c r="E670" s="857" t="n"/>
      <c r="F670" s="857" t="n"/>
      <c r="G670" s="858" t="n"/>
      <c r="H670" s="857" t="n"/>
      <c r="I670" s="857" t="n"/>
      <c r="J670" s="857" t="n"/>
      <c r="K670" s="857" t="n"/>
      <c r="L670" s="857" t="n"/>
      <c r="M670" s="857" t="n"/>
      <c r="N670" s="857" t="n"/>
      <c r="O670" s="845" t="n"/>
      <c r="P670" s="845" t="n"/>
      <c r="Q670" s="845" t="n"/>
      <c r="R670" s="845" t="n"/>
      <c r="S670" s="845" t="n"/>
      <c r="T670" s="845" t="n"/>
      <c r="U670" s="845" t="n"/>
      <c r="V670" s="845" t="n"/>
      <c r="W670" s="845" t="n"/>
      <c r="X670" s="845" t="n"/>
      <c r="Y670" s="845" t="n"/>
      <c r="Z670" s="845" t="n"/>
    </row>
    <row r="671">
      <c r="A671" s="845" t="n"/>
      <c r="B671" s="857" t="n"/>
      <c r="C671" s="857" t="n"/>
      <c r="D671" s="857" t="n"/>
      <c r="E671" s="857" t="n"/>
      <c r="F671" s="857" t="n"/>
      <c r="G671" s="858" t="n"/>
      <c r="H671" s="857" t="n"/>
      <c r="I671" s="857" t="n"/>
      <c r="J671" s="857" t="n"/>
      <c r="K671" s="857" t="n"/>
      <c r="L671" s="857" t="n"/>
      <c r="M671" s="857" t="n"/>
      <c r="N671" s="857" t="n"/>
      <c r="O671" s="845" t="n"/>
      <c r="P671" s="845" t="n"/>
      <c r="Q671" s="845" t="n"/>
      <c r="R671" s="845" t="n"/>
      <c r="S671" s="845" t="n"/>
      <c r="T671" s="845" t="n"/>
      <c r="U671" s="845" t="n"/>
      <c r="V671" s="845" t="n"/>
      <c r="W671" s="845" t="n"/>
      <c r="X671" s="845" t="n"/>
      <c r="Y671" s="845" t="n"/>
      <c r="Z671" s="845" t="n"/>
    </row>
    <row r="672">
      <c r="A672" s="845" t="n"/>
      <c r="B672" s="857" t="n"/>
      <c r="C672" s="857" t="n"/>
      <c r="D672" s="857" t="n"/>
      <c r="E672" s="857" t="n"/>
      <c r="F672" s="857" t="n"/>
      <c r="G672" s="858" t="n"/>
      <c r="H672" s="857" t="n"/>
      <c r="I672" s="857" t="n"/>
      <c r="J672" s="857" t="n"/>
      <c r="K672" s="857" t="n"/>
      <c r="L672" s="857" t="n"/>
      <c r="M672" s="857" t="n"/>
      <c r="N672" s="857" t="n"/>
      <c r="O672" s="845" t="n"/>
      <c r="P672" s="845" t="n"/>
      <c r="Q672" s="845" t="n"/>
      <c r="R672" s="845" t="n"/>
      <c r="S672" s="845" t="n"/>
      <c r="T672" s="845" t="n"/>
      <c r="U672" s="845" t="n"/>
      <c r="V672" s="845" t="n"/>
      <c r="W672" s="845" t="n"/>
      <c r="X672" s="845" t="n"/>
      <c r="Y672" s="845" t="n"/>
      <c r="Z672" s="845" t="n"/>
    </row>
    <row r="673">
      <c r="A673" s="845" t="n"/>
      <c r="B673" s="857" t="n"/>
      <c r="C673" s="857" t="n"/>
      <c r="D673" s="857" t="n"/>
      <c r="E673" s="857" t="n"/>
      <c r="F673" s="857" t="n"/>
      <c r="G673" s="858" t="n"/>
      <c r="H673" s="857" t="n"/>
      <c r="I673" s="857" t="n"/>
      <c r="J673" s="857" t="n"/>
      <c r="K673" s="857" t="n"/>
      <c r="L673" s="857" t="n"/>
      <c r="M673" s="857" t="n"/>
      <c r="N673" s="857" t="n"/>
      <c r="O673" s="845" t="n"/>
      <c r="P673" s="845" t="n"/>
      <c r="Q673" s="845" t="n"/>
      <c r="R673" s="845" t="n"/>
      <c r="S673" s="845" t="n"/>
      <c r="T673" s="845" t="n"/>
      <c r="U673" s="845" t="n"/>
      <c r="V673" s="845" t="n"/>
      <c r="W673" s="845" t="n"/>
      <c r="X673" s="845" t="n"/>
      <c r="Y673" s="845" t="n"/>
      <c r="Z673" s="845" t="n"/>
    </row>
    <row r="674">
      <c r="A674" s="845" t="n"/>
      <c r="B674" s="857" t="n"/>
      <c r="C674" s="857" t="n"/>
      <c r="D674" s="857" t="n"/>
      <c r="E674" s="857" t="n"/>
      <c r="F674" s="857" t="n"/>
      <c r="G674" s="858" t="n"/>
      <c r="H674" s="857" t="n"/>
      <c r="I674" s="857" t="n"/>
      <c r="J674" s="857" t="n"/>
      <c r="K674" s="857" t="n"/>
      <c r="L674" s="857" t="n"/>
      <c r="M674" s="857" t="n"/>
      <c r="N674" s="857" t="n"/>
      <c r="O674" s="845" t="n"/>
      <c r="P674" s="845" t="n"/>
      <c r="Q674" s="845" t="n"/>
      <c r="R674" s="845" t="n"/>
      <c r="S674" s="845" t="n"/>
      <c r="T674" s="845" t="n"/>
      <c r="U674" s="845" t="n"/>
      <c r="V674" s="845" t="n"/>
      <c r="W674" s="845" t="n"/>
      <c r="X674" s="845" t="n"/>
      <c r="Y674" s="845" t="n"/>
      <c r="Z674" s="845" t="n"/>
    </row>
    <row r="675">
      <c r="A675" s="845" t="n"/>
      <c r="B675" s="857" t="n"/>
      <c r="C675" s="857" t="n"/>
      <c r="D675" s="857" t="n"/>
      <c r="E675" s="857" t="n"/>
      <c r="F675" s="857" t="n"/>
      <c r="G675" s="858" t="n"/>
      <c r="H675" s="857" t="n"/>
      <c r="I675" s="857" t="n"/>
      <c r="J675" s="857" t="n"/>
      <c r="K675" s="857" t="n"/>
      <c r="L675" s="857" t="n"/>
      <c r="M675" s="857" t="n"/>
      <c r="N675" s="857" t="n"/>
      <c r="O675" s="845" t="n"/>
      <c r="P675" s="845" t="n"/>
      <c r="Q675" s="845" t="n"/>
      <c r="R675" s="845" t="n"/>
      <c r="S675" s="845" t="n"/>
      <c r="T675" s="845" t="n"/>
      <c r="U675" s="845" t="n"/>
      <c r="V675" s="845" t="n"/>
      <c r="W675" s="845" t="n"/>
      <c r="X675" s="845" t="n"/>
      <c r="Y675" s="845" t="n"/>
      <c r="Z675" s="845" t="n"/>
    </row>
    <row r="676">
      <c r="A676" s="845" t="n"/>
      <c r="B676" s="857" t="n"/>
      <c r="C676" s="857" t="n"/>
      <c r="D676" s="857" t="n"/>
      <c r="E676" s="857" t="n"/>
      <c r="F676" s="857" t="n"/>
      <c r="G676" s="858" t="n"/>
      <c r="H676" s="857" t="n"/>
      <c r="I676" s="857" t="n"/>
      <c r="J676" s="857" t="n"/>
      <c r="K676" s="857" t="n"/>
      <c r="L676" s="857" t="n"/>
      <c r="M676" s="857" t="n"/>
      <c r="N676" s="857" t="n"/>
      <c r="O676" s="845" t="n"/>
      <c r="P676" s="845" t="n"/>
      <c r="Q676" s="845" t="n"/>
      <c r="R676" s="845" t="n"/>
      <c r="S676" s="845" t="n"/>
      <c r="T676" s="845" t="n"/>
      <c r="U676" s="845" t="n"/>
      <c r="V676" s="845" t="n"/>
      <c r="W676" s="845" t="n"/>
      <c r="X676" s="845" t="n"/>
      <c r="Y676" s="845" t="n"/>
      <c r="Z676" s="845" t="n"/>
    </row>
    <row r="677">
      <c r="A677" s="845" t="n"/>
      <c r="B677" s="857" t="n"/>
      <c r="C677" s="857" t="n"/>
      <c r="D677" s="857" t="n"/>
      <c r="E677" s="857" t="n"/>
      <c r="F677" s="857" t="n"/>
      <c r="G677" s="858" t="n"/>
      <c r="H677" s="857" t="n"/>
      <c r="I677" s="857" t="n"/>
      <c r="J677" s="857" t="n"/>
      <c r="K677" s="857" t="n"/>
      <c r="L677" s="857" t="n"/>
      <c r="M677" s="857" t="n"/>
      <c r="N677" s="857" t="n"/>
      <c r="O677" s="845" t="n"/>
      <c r="P677" s="845" t="n"/>
      <c r="Q677" s="845" t="n"/>
      <c r="R677" s="845" t="n"/>
      <c r="S677" s="845" t="n"/>
      <c r="T677" s="845" t="n"/>
      <c r="U677" s="845" t="n"/>
      <c r="V677" s="845" t="n"/>
      <c r="W677" s="845" t="n"/>
      <c r="X677" s="845" t="n"/>
      <c r="Y677" s="845" t="n"/>
      <c r="Z677" s="845" t="n"/>
    </row>
    <row r="678">
      <c r="A678" s="845" t="n"/>
      <c r="B678" s="857" t="n"/>
      <c r="C678" s="857" t="n"/>
      <c r="D678" s="857" t="n"/>
      <c r="E678" s="857" t="n"/>
      <c r="F678" s="857" t="n"/>
      <c r="G678" s="858" t="n"/>
      <c r="H678" s="857" t="n"/>
      <c r="I678" s="857" t="n"/>
      <c r="J678" s="857" t="n"/>
      <c r="K678" s="857" t="n"/>
      <c r="L678" s="857" t="n"/>
      <c r="M678" s="857" t="n"/>
      <c r="N678" s="857" t="n"/>
      <c r="O678" s="845" t="n"/>
      <c r="P678" s="845" t="n"/>
      <c r="Q678" s="845" t="n"/>
      <c r="R678" s="845" t="n"/>
      <c r="S678" s="845" t="n"/>
      <c r="T678" s="845" t="n"/>
      <c r="U678" s="845" t="n"/>
      <c r="V678" s="845" t="n"/>
      <c r="W678" s="845" t="n"/>
      <c r="X678" s="845" t="n"/>
      <c r="Y678" s="845" t="n"/>
      <c r="Z678" s="845" t="n"/>
    </row>
    <row r="679">
      <c r="A679" s="845" t="n"/>
      <c r="B679" s="857" t="n"/>
      <c r="C679" s="857" t="n"/>
      <c r="D679" s="857" t="n"/>
      <c r="E679" s="857" t="n"/>
      <c r="F679" s="857" t="n"/>
      <c r="G679" s="858" t="n"/>
      <c r="H679" s="857" t="n"/>
      <c r="I679" s="857" t="n"/>
      <c r="J679" s="857" t="n"/>
      <c r="K679" s="857" t="n"/>
      <c r="L679" s="857" t="n"/>
      <c r="M679" s="857" t="n"/>
      <c r="N679" s="857" t="n"/>
      <c r="O679" s="845" t="n"/>
      <c r="P679" s="845" t="n"/>
      <c r="Q679" s="845" t="n"/>
      <c r="R679" s="845" t="n"/>
      <c r="S679" s="845" t="n"/>
      <c r="T679" s="845" t="n"/>
      <c r="U679" s="845" t="n"/>
      <c r="V679" s="845" t="n"/>
      <c r="W679" s="845" t="n"/>
      <c r="X679" s="845" t="n"/>
      <c r="Y679" s="845" t="n"/>
      <c r="Z679" s="845" t="n"/>
    </row>
    <row r="680">
      <c r="A680" s="845" t="n"/>
      <c r="B680" s="857" t="n"/>
      <c r="C680" s="857" t="n"/>
      <c r="D680" s="857" t="n"/>
      <c r="E680" s="857" t="n"/>
      <c r="F680" s="857" t="n"/>
      <c r="G680" s="858" t="n"/>
      <c r="H680" s="857" t="n"/>
      <c r="I680" s="857" t="n"/>
      <c r="J680" s="857" t="n"/>
      <c r="K680" s="857" t="n"/>
      <c r="L680" s="857" t="n"/>
      <c r="M680" s="857" t="n"/>
      <c r="N680" s="857" t="n"/>
      <c r="O680" s="845" t="n"/>
      <c r="P680" s="845" t="n"/>
      <c r="Q680" s="845" t="n"/>
      <c r="R680" s="845" t="n"/>
      <c r="S680" s="845" t="n"/>
      <c r="T680" s="845" t="n"/>
      <c r="U680" s="845" t="n"/>
      <c r="V680" s="845" t="n"/>
      <c r="W680" s="845" t="n"/>
      <c r="X680" s="845" t="n"/>
      <c r="Y680" s="845" t="n"/>
      <c r="Z680" s="845" t="n"/>
    </row>
    <row r="681">
      <c r="A681" s="845" t="n"/>
      <c r="B681" s="857" t="n"/>
      <c r="C681" s="857" t="n"/>
      <c r="D681" s="857" t="n"/>
      <c r="E681" s="857" t="n"/>
      <c r="F681" s="857" t="n"/>
      <c r="G681" s="858" t="n"/>
      <c r="H681" s="857" t="n"/>
      <c r="I681" s="857" t="n"/>
      <c r="J681" s="857" t="n"/>
      <c r="K681" s="857" t="n"/>
      <c r="L681" s="857" t="n"/>
      <c r="M681" s="857" t="n"/>
      <c r="N681" s="857" t="n"/>
      <c r="O681" s="845" t="n"/>
      <c r="P681" s="845" t="n"/>
      <c r="Q681" s="845" t="n"/>
      <c r="R681" s="845" t="n"/>
      <c r="S681" s="845" t="n"/>
      <c r="T681" s="845" t="n"/>
      <c r="U681" s="845" t="n"/>
      <c r="V681" s="845" t="n"/>
      <c r="W681" s="845" t="n"/>
      <c r="X681" s="845" t="n"/>
      <c r="Y681" s="845" t="n"/>
      <c r="Z681" s="845" t="n"/>
    </row>
    <row r="682">
      <c r="A682" s="845" t="n"/>
      <c r="B682" s="857" t="n"/>
      <c r="C682" s="857" t="n"/>
      <c r="D682" s="857" t="n"/>
      <c r="E682" s="857" t="n"/>
      <c r="F682" s="857" t="n"/>
      <c r="G682" s="858" t="n"/>
      <c r="H682" s="857" t="n"/>
      <c r="I682" s="857" t="n"/>
      <c r="J682" s="857" t="n"/>
      <c r="K682" s="857" t="n"/>
      <c r="L682" s="857" t="n"/>
      <c r="M682" s="857" t="n"/>
      <c r="N682" s="857" t="n"/>
      <c r="O682" s="845" t="n"/>
      <c r="P682" s="845" t="n"/>
      <c r="Q682" s="845" t="n"/>
      <c r="R682" s="845" t="n"/>
      <c r="S682" s="845" t="n"/>
      <c r="T682" s="845" t="n"/>
      <c r="U682" s="845" t="n"/>
      <c r="V682" s="845" t="n"/>
      <c r="W682" s="845" t="n"/>
      <c r="X682" s="845" t="n"/>
      <c r="Y682" s="845" t="n"/>
      <c r="Z682" s="845" t="n"/>
    </row>
    <row r="683">
      <c r="A683" s="845" t="n"/>
      <c r="B683" s="857" t="n"/>
      <c r="C683" s="857" t="n"/>
      <c r="D683" s="857" t="n"/>
      <c r="E683" s="857" t="n"/>
      <c r="F683" s="857" t="n"/>
      <c r="G683" s="858" t="n"/>
      <c r="H683" s="857" t="n"/>
      <c r="I683" s="857" t="n"/>
      <c r="J683" s="857" t="n"/>
      <c r="K683" s="857" t="n"/>
      <c r="L683" s="857" t="n"/>
      <c r="M683" s="857" t="n"/>
      <c r="N683" s="857" t="n"/>
      <c r="O683" s="845" t="n"/>
      <c r="P683" s="845" t="n"/>
      <c r="Q683" s="845" t="n"/>
      <c r="R683" s="845" t="n"/>
      <c r="S683" s="845" t="n"/>
      <c r="T683" s="845" t="n"/>
      <c r="U683" s="845" t="n"/>
      <c r="V683" s="845" t="n"/>
      <c r="W683" s="845" t="n"/>
      <c r="X683" s="845" t="n"/>
      <c r="Y683" s="845" t="n"/>
      <c r="Z683" s="845" t="n"/>
    </row>
    <row r="684">
      <c r="A684" s="845" t="n"/>
      <c r="B684" s="857" t="n"/>
      <c r="C684" s="857" t="n"/>
      <c r="D684" s="857" t="n"/>
      <c r="E684" s="857" t="n"/>
      <c r="F684" s="857" t="n"/>
      <c r="G684" s="858" t="n"/>
      <c r="H684" s="857" t="n"/>
      <c r="I684" s="857" t="n"/>
      <c r="J684" s="857" t="n"/>
      <c r="K684" s="857" t="n"/>
      <c r="L684" s="857" t="n"/>
      <c r="M684" s="857" t="n"/>
      <c r="N684" s="857" t="n"/>
      <c r="O684" s="845" t="n"/>
      <c r="P684" s="845" t="n"/>
      <c r="Q684" s="845" t="n"/>
      <c r="R684" s="845" t="n"/>
      <c r="S684" s="845" t="n"/>
      <c r="T684" s="845" t="n"/>
      <c r="U684" s="845" t="n"/>
      <c r="V684" s="845" t="n"/>
      <c r="W684" s="845" t="n"/>
      <c r="X684" s="845" t="n"/>
      <c r="Y684" s="845" t="n"/>
      <c r="Z684" s="845" t="n"/>
    </row>
    <row r="685">
      <c r="A685" s="845" t="n"/>
      <c r="B685" s="857" t="n"/>
      <c r="C685" s="857" t="n"/>
      <c r="D685" s="857" t="n"/>
      <c r="E685" s="857" t="n"/>
      <c r="F685" s="857" t="n"/>
      <c r="G685" s="858" t="n"/>
      <c r="H685" s="857" t="n"/>
      <c r="I685" s="857" t="n"/>
      <c r="J685" s="857" t="n"/>
      <c r="K685" s="857" t="n"/>
      <c r="L685" s="857" t="n"/>
      <c r="M685" s="857" t="n"/>
      <c r="N685" s="857" t="n"/>
      <c r="O685" s="845" t="n"/>
      <c r="P685" s="845" t="n"/>
      <c r="Q685" s="845" t="n"/>
      <c r="R685" s="845" t="n"/>
      <c r="S685" s="845" t="n"/>
      <c r="T685" s="845" t="n"/>
      <c r="U685" s="845" t="n"/>
      <c r="V685" s="845" t="n"/>
      <c r="W685" s="845" t="n"/>
      <c r="X685" s="845" t="n"/>
      <c r="Y685" s="845" t="n"/>
      <c r="Z685" s="845" t="n"/>
    </row>
    <row r="686">
      <c r="A686" s="845" t="n"/>
      <c r="B686" s="857" t="n"/>
      <c r="C686" s="857" t="n"/>
      <c r="D686" s="857" t="n"/>
      <c r="E686" s="857" t="n"/>
      <c r="F686" s="857" t="n"/>
      <c r="G686" s="858" t="n"/>
      <c r="H686" s="857" t="n"/>
      <c r="I686" s="857" t="n"/>
      <c r="J686" s="857" t="n"/>
      <c r="K686" s="857" t="n"/>
      <c r="L686" s="857" t="n"/>
      <c r="M686" s="857" t="n"/>
      <c r="N686" s="857" t="n"/>
      <c r="O686" s="845" t="n"/>
      <c r="P686" s="845" t="n"/>
      <c r="Q686" s="845" t="n"/>
      <c r="R686" s="845" t="n"/>
      <c r="S686" s="845" t="n"/>
      <c r="T686" s="845" t="n"/>
      <c r="U686" s="845" t="n"/>
      <c r="V686" s="845" t="n"/>
      <c r="W686" s="845" t="n"/>
      <c r="X686" s="845" t="n"/>
      <c r="Y686" s="845" t="n"/>
      <c r="Z686" s="845" t="n"/>
    </row>
    <row r="687">
      <c r="A687" s="845" t="n"/>
      <c r="B687" s="857" t="n"/>
      <c r="C687" s="857" t="n"/>
      <c r="D687" s="857" t="n"/>
      <c r="E687" s="857" t="n"/>
      <c r="F687" s="857" t="n"/>
      <c r="G687" s="858" t="n"/>
      <c r="H687" s="857" t="n"/>
      <c r="I687" s="857" t="n"/>
      <c r="J687" s="857" t="n"/>
      <c r="K687" s="857" t="n"/>
      <c r="L687" s="857" t="n"/>
      <c r="M687" s="857" t="n"/>
      <c r="N687" s="857" t="n"/>
      <c r="O687" s="845" t="n"/>
      <c r="P687" s="845" t="n"/>
      <c r="Q687" s="845" t="n"/>
      <c r="R687" s="845" t="n"/>
      <c r="S687" s="845" t="n"/>
      <c r="T687" s="845" t="n"/>
      <c r="U687" s="845" t="n"/>
      <c r="V687" s="845" t="n"/>
      <c r="W687" s="845" t="n"/>
      <c r="X687" s="845" t="n"/>
      <c r="Y687" s="845" t="n"/>
      <c r="Z687" s="845" t="n"/>
    </row>
    <row r="688">
      <c r="A688" s="845" t="n"/>
      <c r="B688" s="857" t="n"/>
      <c r="C688" s="857" t="n"/>
      <c r="D688" s="857" t="n"/>
      <c r="E688" s="857" t="n"/>
      <c r="F688" s="857" t="n"/>
      <c r="G688" s="858" t="n"/>
      <c r="H688" s="857" t="n"/>
      <c r="I688" s="857" t="n"/>
      <c r="J688" s="857" t="n"/>
      <c r="K688" s="857" t="n"/>
      <c r="L688" s="857" t="n"/>
      <c r="M688" s="857" t="n"/>
      <c r="N688" s="857" t="n"/>
      <c r="O688" s="845" t="n"/>
      <c r="P688" s="845" t="n"/>
      <c r="Q688" s="845" t="n"/>
      <c r="R688" s="845" t="n"/>
      <c r="S688" s="845" t="n"/>
      <c r="T688" s="845" t="n"/>
      <c r="U688" s="845" t="n"/>
      <c r="V688" s="845" t="n"/>
      <c r="W688" s="845" t="n"/>
      <c r="X688" s="845" t="n"/>
      <c r="Y688" s="845" t="n"/>
      <c r="Z688" s="845" t="n"/>
    </row>
    <row r="689">
      <c r="A689" s="845" t="n"/>
      <c r="B689" s="857" t="n"/>
      <c r="C689" s="857" t="n"/>
      <c r="D689" s="857" t="n"/>
      <c r="E689" s="857" t="n"/>
      <c r="F689" s="857" t="n"/>
      <c r="G689" s="858" t="n"/>
      <c r="H689" s="857" t="n"/>
      <c r="I689" s="857" t="n"/>
      <c r="J689" s="857" t="n"/>
      <c r="K689" s="857" t="n"/>
      <c r="L689" s="857" t="n"/>
      <c r="M689" s="857" t="n"/>
      <c r="N689" s="857" t="n"/>
      <c r="O689" s="845" t="n"/>
      <c r="P689" s="845" t="n"/>
      <c r="Q689" s="845" t="n"/>
      <c r="R689" s="845" t="n"/>
      <c r="S689" s="845" t="n"/>
      <c r="T689" s="845" t="n"/>
      <c r="U689" s="845" t="n"/>
      <c r="V689" s="845" t="n"/>
      <c r="W689" s="845" t="n"/>
      <c r="X689" s="845" t="n"/>
      <c r="Y689" s="845" t="n"/>
      <c r="Z689" s="845" t="n"/>
    </row>
    <row r="690">
      <c r="A690" s="845" t="n"/>
      <c r="B690" s="857" t="n"/>
      <c r="C690" s="857" t="n"/>
      <c r="D690" s="857" t="n"/>
      <c r="E690" s="857" t="n"/>
      <c r="F690" s="857" t="n"/>
      <c r="G690" s="858" t="n"/>
      <c r="H690" s="857" t="n"/>
      <c r="I690" s="857" t="n"/>
      <c r="J690" s="857" t="n"/>
      <c r="K690" s="857" t="n"/>
      <c r="L690" s="857" t="n"/>
      <c r="M690" s="857" t="n"/>
      <c r="N690" s="857" t="n"/>
      <c r="O690" s="845" t="n"/>
      <c r="P690" s="845" t="n"/>
      <c r="Q690" s="845" t="n"/>
      <c r="R690" s="845" t="n"/>
      <c r="S690" s="845" t="n"/>
      <c r="T690" s="845" t="n"/>
      <c r="U690" s="845" t="n"/>
      <c r="V690" s="845" t="n"/>
      <c r="W690" s="845" t="n"/>
      <c r="X690" s="845" t="n"/>
      <c r="Y690" s="845" t="n"/>
      <c r="Z690" s="845" t="n"/>
    </row>
    <row r="691">
      <c r="A691" s="845" t="n"/>
      <c r="B691" s="857" t="n"/>
      <c r="C691" s="857" t="n"/>
      <c r="D691" s="857" t="n"/>
      <c r="E691" s="857" t="n"/>
      <c r="F691" s="857" t="n"/>
      <c r="G691" s="858" t="n"/>
      <c r="H691" s="857" t="n"/>
      <c r="I691" s="857" t="n"/>
      <c r="J691" s="857" t="n"/>
      <c r="K691" s="857" t="n"/>
      <c r="L691" s="857" t="n"/>
      <c r="M691" s="857" t="n"/>
      <c r="N691" s="857" t="n"/>
      <c r="O691" s="845" t="n"/>
      <c r="P691" s="845" t="n"/>
      <c r="Q691" s="845" t="n"/>
      <c r="R691" s="845" t="n"/>
      <c r="S691" s="845" t="n"/>
      <c r="T691" s="845" t="n"/>
      <c r="U691" s="845" t="n"/>
      <c r="V691" s="845" t="n"/>
      <c r="W691" s="845" t="n"/>
      <c r="X691" s="845" t="n"/>
      <c r="Y691" s="845" t="n"/>
      <c r="Z691" s="845" t="n"/>
    </row>
    <row r="692">
      <c r="A692" s="845" t="n"/>
      <c r="B692" s="857" t="n"/>
      <c r="C692" s="857" t="n"/>
      <c r="D692" s="857" t="n"/>
      <c r="E692" s="857" t="n"/>
      <c r="F692" s="857" t="n"/>
      <c r="G692" s="858" t="n"/>
      <c r="H692" s="857" t="n"/>
      <c r="I692" s="857" t="n"/>
      <c r="J692" s="857" t="n"/>
      <c r="K692" s="857" t="n"/>
      <c r="L692" s="857" t="n"/>
      <c r="M692" s="857" t="n"/>
      <c r="N692" s="857" t="n"/>
      <c r="O692" s="845" t="n"/>
      <c r="P692" s="845" t="n"/>
      <c r="Q692" s="845" t="n"/>
      <c r="R692" s="845" t="n"/>
      <c r="S692" s="845" t="n"/>
      <c r="T692" s="845" t="n"/>
      <c r="U692" s="845" t="n"/>
      <c r="V692" s="845" t="n"/>
      <c r="W692" s="845" t="n"/>
      <c r="X692" s="845" t="n"/>
      <c r="Y692" s="845" t="n"/>
      <c r="Z692" s="845" t="n"/>
    </row>
    <row r="693">
      <c r="A693" s="845" t="n"/>
      <c r="B693" s="857" t="n"/>
      <c r="C693" s="857" t="n"/>
      <c r="D693" s="857" t="n"/>
      <c r="E693" s="857" t="n"/>
      <c r="F693" s="857" t="n"/>
      <c r="G693" s="858" t="n"/>
      <c r="H693" s="857" t="n"/>
      <c r="I693" s="857" t="n"/>
      <c r="J693" s="857" t="n"/>
      <c r="K693" s="857" t="n"/>
      <c r="L693" s="857" t="n"/>
      <c r="M693" s="857" t="n"/>
      <c r="N693" s="857" t="n"/>
      <c r="O693" s="845" t="n"/>
      <c r="P693" s="845" t="n"/>
      <c r="Q693" s="845" t="n"/>
      <c r="R693" s="845" t="n"/>
      <c r="S693" s="845" t="n"/>
      <c r="T693" s="845" t="n"/>
      <c r="U693" s="845" t="n"/>
      <c r="V693" s="845" t="n"/>
      <c r="W693" s="845" t="n"/>
      <c r="X693" s="845" t="n"/>
      <c r="Y693" s="845" t="n"/>
      <c r="Z693" s="845" t="n"/>
    </row>
    <row r="694">
      <c r="A694" s="845" t="n"/>
      <c r="B694" s="857" t="n"/>
      <c r="C694" s="857" t="n"/>
      <c r="D694" s="857" t="n"/>
      <c r="E694" s="857" t="n"/>
      <c r="F694" s="857" t="n"/>
      <c r="G694" s="858" t="n"/>
      <c r="H694" s="857" t="n"/>
      <c r="I694" s="857" t="n"/>
      <c r="J694" s="857" t="n"/>
      <c r="K694" s="857" t="n"/>
      <c r="L694" s="857" t="n"/>
      <c r="M694" s="857" t="n"/>
      <c r="N694" s="857" t="n"/>
      <c r="O694" s="845" t="n"/>
      <c r="P694" s="845" t="n"/>
      <c r="Q694" s="845" t="n"/>
      <c r="R694" s="845" t="n"/>
      <c r="S694" s="845" t="n"/>
      <c r="T694" s="845" t="n"/>
      <c r="U694" s="845" t="n"/>
      <c r="V694" s="845" t="n"/>
      <c r="W694" s="845" t="n"/>
      <c r="X694" s="845" t="n"/>
      <c r="Y694" s="845" t="n"/>
      <c r="Z694" s="845" t="n"/>
    </row>
    <row r="695">
      <c r="A695" s="845" t="n"/>
      <c r="B695" s="857" t="n"/>
      <c r="C695" s="857" t="n"/>
      <c r="D695" s="857" t="n"/>
      <c r="E695" s="857" t="n"/>
      <c r="F695" s="857" t="n"/>
      <c r="G695" s="858" t="n"/>
      <c r="H695" s="857" t="n"/>
      <c r="I695" s="857" t="n"/>
      <c r="J695" s="857" t="n"/>
      <c r="K695" s="857" t="n"/>
      <c r="L695" s="857" t="n"/>
      <c r="M695" s="857" t="n"/>
      <c r="N695" s="857" t="n"/>
      <c r="O695" s="845" t="n"/>
      <c r="P695" s="845" t="n"/>
      <c r="Q695" s="845" t="n"/>
      <c r="R695" s="845" t="n"/>
      <c r="S695" s="845" t="n"/>
      <c r="T695" s="845" t="n"/>
      <c r="U695" s="845" t="n"/>
      <c r="V695" s="845" t="n"/>
      <c r="W695" s="845" t="n"/>
      <c r="X695" s="845" t="n"/>
      <c r="Y695" s="845" t="n"/>
      <c r="Z695" s="845" t="n"/>
    </row>
    <row r="696">
      <c r="A696" s="845" t="n"/>
      <c r="B696" s="857" t="n"/>
      <c r="C696" s="857" t="n"/>
      <c r="D696" s="857" t="n"/>
      <c r="E696" s="857" t="n"/>
      <c r="F696" s="857" t="n"/>
      <c r="G696" s="858" t="n"/>
      <c r="H696" s="857" t="n"/>
      <c r="I696" s="857" t="n"/>
      <c r="J696" s="857" t="n"/>
      <c r="K696" s="857" t="n"/>
      <c r="L696" s="857" t="n"/>
      <c r="M696" s="857" t="n"/>
      <c r="N696" s="857" t="n"/>
      <c r="O696" s="845" t="n"/>
      <c r="P696" s="845" t="n"/>
      <c r="Q696" s="845" t="n"/>
      <c r="R696" s="845" t="n"/>
      <c r="S696" s="845" t="n"/>
      <c r="T696" s="845" t="n"/>
      <c r="U696" s="845" t="n"/>
      <c r="V696" s="845" t="n"/>
      <c r="W696" s="845" t="n"/>
      <c r="X696" s="845" t="n"/>
      <c r="Y696" s="845" t="n"/>
      <c r="Z696" s="845" t="n"/>
    </row>
    <row r="697">
      <c r="A697" s="845" t="n"/>
      <c r="B697" s="857" t="n"/>
      <c r="C697" s="857" t="n"/>
      <c r="D697" s="857" t="n"/>
      <c r="E697" s="857" t="n"/>
      <c r="F697" s="857" t="n"/>
      <c r="G697" s="858" t="n"/>
      <c r="H697" s="857" t="n"/>
      <c r="I697" s="857" t="n"/>
      <c r="J697" s="857" t="n"/>
      <c r="K697" s="857" t="n"/>
      <c r="L697" s="857" t="n"/>
      <c r="M697" s="857" t="n"/>
      <c r="N697" s="857" t="n"/>
      <c r="O697" s="845" t="n"/>
      <c r="P697" s="845" t="n"/>
      <c r="Q697" s="845" t="n"/>
      <c r="R697" s="845" t="n"/>
      <c r="S697" s="845" t="n"/>
      <c r="T697" s="845" t="n"/>
      <c r="U697" s="845" t="n"/>
      <c r="V697" s="845" t="n"/>
      <c r="W697" s="845" t="n"/>
      <c r="X697" s="845" t="n"/>
      <c r="Y697" s="845" t="n"/>
      <c r="Z697" s="845" t="n"/>
    </row>
    <row r="698">
      <c r="A698" s="845" t="n"/>
      <c r="B698" s="857" t="n"/>
      <c r="C698" s="857" t="n"/>
      <c r="D698" s="857" t="n"/>
      <c r="E698" s="857" t="n"/>
      <c r="F698" s="857" t="n"/>
      <c r="G698" s="858" t="n"/>
      <c r="H698" s="857" t="n"/>
      <c r="I698" s="857" t="n"/>
      <c r="J698" s="857" t="n"/>
      <c r="K698" s="857" t="n"/>
      <c r="L698" s="857" t="n"/>
      <c r="M698" s="857" t="n"/>
      <c r="N698" s="857" t="n"/>
      <c r="O698" s="845" t="n"/>
      <c r="P698" s="845" t="n"/>
      <c r="Q698" s="845" t="n"/>
      <c r="R698" s="845" t="n"/>
      <c r="S698" s="845" t="n"/>
      <c r="T698" s="845" t="n"/>
      <c r="U698" s="845" t="n"/>
      <c r="V698" s="845" t="n"/>
      <c r="W698" s="845" t="n"/>
      <c r="X698" s="845" t="n"/>
      <c r="Y698" s="845" t="n"/>
      <c r="Z698" s="845" t="n"/>
    </row>
    <row r="699">
      <c r="A699" s="845" t="n"/>
      <c r="B699" s="857" t="n"/>
      <c r="C699" s="857" t="n"/>
      <c r="D699" s="857" t="n"/>
      <c r="E699" s="857" t="n"/>
      <c r="F699" s="857" t="n"/>
      <c r="G699" s="858" t="n"/>
      <c r="H699" s="857" t="n"/>
      <c r="I699" s="857" t="n"/>
      <c r="J699" s="857" t="n"/>
      <c r="K699" s="857" t="n"/>
      <c r="L699" s="857" t="n"/>
      <c r="M699" s="857" t="n"/>
      <c r="N699" s="857" t="n"/>
      <c r="O699" s="845" t="n"/>
      <c r="P699" s="845" t="n"/>
      <c r="Q699" s="845" t="n"/>
      <c r="R699" s="845" t="n"/>
      <c r="S699" s="845" t="n"/>
      <c r="T699" s="845" t="n"/>
      <c r="U699" s="845" t="n"/>
      <c r="V699" s="845" t="n"/>
      <c r="W699" s="845" t="n"/>
      <c r="X699" s="845" t="n"/>
      <c r="Y699" s="845" t="n"/>
      <c r="Z699" s="845" t="n"/>
    </row>
    <row r="700">
      <c r="A700" s="845" t="n"/>
      <c r="B700" s="857" t="n"/>
      <c r="C700" s="857" t="n"/>
      <c r="D700" s="857" t="n"/>
      <c r="E700" s="857" t="n"/>
      <c r="F700" s="857" t="n"/>
      <c r="G700" s="858" t="n"/>
      <c r="H700" s="857" t="n"/>
      <c r="I700" s="857" t="n"/>
      <c r="J700" s="857" t="n"/>
      <c r="K700" s="857" t="n"/>
      <c r="L700" s="857" t="n"/>
      <c r="M700" s="857" t="n"/>
      <c r="N700" s="857" t="n"/>
      <c r="O700" s="845" t="n"/>
      <c r="P700" s="845" t="n"/>
      <c r="Q700" s="845" t="n"/>
      <c r="R700" s="845" t="n"/>
      <c r="S700" s="845" t="n"/>
      <c r="T700" s="845" t="n"/>
      <c r="U700" s="845" t="n"/>
      <c r="V700" s="845" t="n"/>
      <c r="W700" s="845" t="n"/>
      <c r="X700" s="845" t="n"/>
      <c r="Y700" s="845" t="n"/>
      <c r="Z700" s="845" t="n"/>
    </row>
    <row r="701">
      <c r="A701" s="845" t="n"/>
      <c r="B701" s="857" t="n"/>
      <c r="C701" s="857" t="n"/>
      <c r="D701" s="857" t="n"/>
      <c r="E701" s="857" t="n"/>
      <c r="F701" s="857" t="n"/>
      <c r="G701" s="858" t="n"/>
      <c r="H701" s="857" t="n"/>
      <c r="I701" s="857" t="n"/>
      <c r="J701" s="857" t="n"/>
      <c r="K701" s="857" t="n"/>
      <c r="L701" s="857" t="n"/>
      <c r="M701" s="857" t="n"/>
      <c r="N701" s="857" t="n"/>
      <c r="O701" s="845" t="n"/>
      <c r="P701" s="845" t="n"/>
      <c r="Q701" s="845" t="n"/>
      <c r="R701" s="845" t="n"/>
      <c r="S701" s="845" t="n"/>
      <c r="T701" s="845" t="n"/>
      <c r="U701" s="845" t="n"/>
      <c r="V701" s="845" t="n"/>
      <c r="W701" s="845" t="n"/>
      <c r="X701" s="845" t="n"/>
      <c r="Y701" s="845" t="n"/>
      <c r="Z701" s="845" t="n"/>
    </row>
    <row r="702">
      <c r="A702" s="845" t="n"/>
      <c r="B702" s="857" t="n"/>
      <c r="C702" s="857" t="n"/>
      <c r="D702" s="857" t="n"/>
      <c r="E702" s="857" t="n"/>
      <c r="F702" s="857" t="n"/>
      <c r="G702" s="858" t="n"/>
      <c r="H702" s="857" t="n"/>
      <c r="I702" s="857" t="n"/>
      <c r="J702" s="857" t="n"/>
      <c r="K702" s="857" t="n"/>
      <c r="L702" s="857" t="n"/>
      <c r="M702" s="857" t="n"/>
      <c r="N702" s="857" t="n"/>
      <c r="O702" s="845" t="n"/>
      <c r="P702" s="845" t="n"/>
      <c r="Q702" s="845" t="n"/>
      <c r="R702" s="845" t="n"/>
      <c r="S702" s="845" t="n"/>
      <c r="T702" s="845" t="n"/>
      <c r="U702" s="845" t="n"/>
      <c r="V702" s="845" t="n"/>
      <c r="W702" s="845" t="n"/>
      <c r="X702" s="845" t="n"/>
      <c r="Y702" s="845" t="n"/>
      <c r="Z702" s="845" t="n"/>
    </row>
    <row r="703">
      <c r="A703" s="845" t="n"/>
      <c r="B703" s="857" t="n"/>
      <c r="C703" s="857" t="n"/>
      <c r="D703" s="857" t="n"/>
      <c r="E703" s="857" t="n"/>
      <c r="F703" s="857" t="n"/>
      <c r="G703" s="858" t="n"/>
      <c r="H703" s="857" t="n"/>
      <c r="I703" s="857" t="n"/>
      <c r="J703" s="857" t="n"/>
      <c r="K703" s="857" t="n"/>
      <c r="L703" s="857" t="n"/>
      <c r="M703" s="857" t="n"/>
      <c r="N703" s="857" t="n"/>
      <c r="O703" s="845" t="n"/>
      <c r="P703" s="845" t="n"/>
      <c r="Q703" s="845" t="n"/>
      <c r="R703" s="845" t="n"/>
      <c r="S703" s="845" t="n"/>
      <c r="T703" s="845" t="n"/>
      <c r="U703" s="845" t="n"/>
      <c r="V703" s="845" t="n"/>
      <c r="W703" s="845" t="n"/>
      <c r="X703" s="845" t="n"/>
      <c r="Y703" s="845" t="n"/>
      <c r="Z703" s="845" t="n"/>
    </row>
    <row r="704">
      <c r="A704" s="845" t="n"/>
      <c r="B704" s="857" t="n"/>
      <c r="C704" s="857" t="n"/>
      <c r="D704" s="857" t="n"/>
      <c r="E704" s="857" t="n"/>
      <c r="F704" s="857" t="n"/>
      <c r="G704" s="858" t="n"/>
      <c r="H704" s="857" t="n"/>
      <c r="I704" s="857" t="n"/>
      <c r="J704" s="857" t="n"/>
      <c r="K704" s="857" t="n"/>
      <c r="L704" s="857" t="n"/>
      <c r="M704" s="857" t="n"/>
      <c r="N704" s="857" t="n"/>
      <c r="O704" s="845" t="n"/>
      <c r="P704" s="845" t="n"/>
      <c r="Q704" s="845" t="n"/>
      <c r="R704" s="845" t="n"/>
      <c r="S704" s="845" t="n"/>
      <c r="T704" s="845" t="n"/>
      <c r="U704" s="845" t="n"/>
      <c r="V704" s="845" t="n"/>
      <c r="W704" s="845" t="n"/>
      <c r="X704" s="845" t="n"/>
      <c r="Y704" s="845" t="n"/>
      <c r="Z704" s="845" t="n"/>
    </row>
    <row r="705">
      <c r="A705" s="845" t="n"/>
      <c r="B705" s="857" t="n"/>
      <c r="C705" s="857" t="n"/>
      <c r="D705" s="857" t="n"/>
      <c r="E705" s="857" t="n"/>
      <c r="F705" s="857" t="n"/>
      <c r="G705" s="858" t="n"/>
      <c r="H705" s="857" t="n"/>
      <c r="I705" s="857" t="n"/>
      <c r="J705" s="857" t="n"/>
      <c r="K705" s="857" t="n"/>
      <c r="L705" s="857" t="n"/>
      <c r="M705" s="857" t="n"/>
      <c r="N705" s="857" t="n"/>
      <c r="O705" s="845" t="n"/>
      <c r="P705" s="845" t="n"/>
      <c r="Q705" s="845" t="n"/>
      <c r="R705" s="845" t="n"/>
      <c r="S705" s="845" t="n"/>
      <c r="T705" s="845" t="n"/>
      <c r="U705" s="845" t="n"/>
      <c r="V705" s="845" t="n"/>
      <c r="W705" s="845" t="n"/>
      <c r="X705" s="845" t="n"/>
      <c r="Y705" s="845" t="n"/>
      <c r="Z705" s="845" t="n"/>
    </row>
    <row r="706">
      <c r="A706" s="845" t="n"/>
      <c r="B706" s="857" t="n"/>
      <c r="C706" s="857" t="n"/>
      <c r="D706" s="857" t="n"/>
      <c r="E706" s="857" t="n"/>
      <c r="F706" s="857" t="n"/>
      <c r="G706" s="858" t="n"/>
      <c r="H706" s="857" t="n"/>
      <c r="I706" s="857" t="n"/>
      <c r="J706" s="857" t="n"/>
      <c r="K706" s="857" t="n"/>
      <c r="L706" s="857" t="n"/>
      <c r="M706" s="857" t="n"/>
      <c r="N706" s="857" t="n"/>
      <c r="O706" s="845" t="n"/>
      <c r="P706" s="845" t="n"/>
      <c r="Q706" s="845" t="n"/>
      <c r="R706" s="845" t="n"/>
      <c r="S706" s="845" t="n"/>
      <c r="T706" s="845" t="n"/>
      <c r="U706" s="845" t="n"/>
      <c r="V706" s="845" t="n"/>
      <c r="W706" s="845" t="n"/>
      <c r="X706" s="845" t="n"/>
      <c r="Y706" s="845" t="n"/>
      <c r="Z706" s="845" t="n"/>
    </row>
    <row r="707">
      <c r="A707" s="845" t="n"/>
      <c r="B707" s="857" t="n"/>
      <c r="C707" s="857" t="n"/>
      <c r="D707" s="857" t="n"/>
      <c r="E707" s="857" t="n"/>
      <c r="F707" s="857" t="n"/>
      <c r="G707" s="858" t="n"/>
      <c r="H707" s="857" t="n"/>
      <c r="I707" s="857" t="n"/>
      <c r="J707" s="857" t="n"/>
      <c r="K707" s="857" t="n"/>
      <c r="L707" s="857" t="n"/>
      <c r="M707" s="857" t="n"/>
      <c r="N707" s="857" t="n"/>
      <c r="O707" s="845" t="n"/>
      <c r="P707" s="845" t="n"/>
      <c r="Q707" s="845" t="n"/>
      <c r="R707" s="845" t="n"/>
      <c r="S707" s="845" t="n"/>
      <c r="T707" s="845" t="n"/>
      <c r="U707" s="845" t="n"/>
      <c r="V707" s="845" t="n"/>
      <c r="W707" s="845" t="n"/>
      <c r="X707" s="845" t="n"/>
      <c r="Y707" s="845" t="n"/>
      <c r="Z707" s="845" t="n"/>
    </row>
    <row r="708">
      <c r="A708" s="845" t="n"/>
      <c r="B708" s="857" t="n"/>
      <c r="C708" s="857" t="n"/>
      <c r="D708" s="857" t="n"/>
      <c r="E708" s="857" t="n"/>
      <c r="F708" s="857" t="n"/>
      <c r="G708" s="858" t="n"/>
      <c r="H708" s="857" t="n"/>
      <c r="I708" s="857" t="n"/>
      <c r="J708" s="857" t="n"/>
      <c r="K708" s="857" t="n"/>
      <c r="L708" s="857" t="n"/>
      <c r="M708" s="857" t="n"/>
      <c r="N708" s="857" t="n"/>
      <c r="O708" s="845" t="n"/>
      <c r="P708" s="845" t="n"/>
      <c r="Q708" s="845" t="n"/>
      <c r="R708" s="845" t="n"/>
      <c r="S708" s="845" t="n"/>
      <c r="T708" s="845" t="n"/>
      <c r="U708" s="845" t="n"/>
      <c r="V708" s="845" t="n"/>
      <c r="W708" s="845" t="n"/>
      <c r="X708" s="845" t="n"/>
      <c r="Y708" s="845" t="n"/>
      <c r="Z708" s="845" t="n"/>
    </row>
    <row r="709">
      <c r="A709" s="845" t="n"/>
      <c r="B709" s="857" t="n"/>
      <c r="C709" s="857" t="n"/>
      <c r="D709" s="857" t="n"/>
      <c r="E709" s="857" t="n"/>
      <c r="F709" s="857" t="n"/>
      <c r="G709" s="858" t="n"/>
      <c r="H709" s="857" t="n"/>
      <c r="I709" s="857" t="n"/>
      <c r="J709" s="857" t="n"/>
      <c r="K709" s="857" t="n"/>
      <c r="L709" s="857" t="n"/>
      <c r="M709" s="857" t="n"/>
      <c r="N709" s="857" t="n"/>
      <c r="O709" s="845" t="n"/>
      <c r="P709" s="845" t="n"/>
      <c r="Q709" s="845" t="n"/>
      <c r="R709" s="845" t="n"/>
      <c r="S709" s="845" t="n"/>
      <c r="T709" s="845" t="n"/>
      <c r="U709" s="845" t="n"/>
      <c r="V709" s="845" t="n"/>
      <c r="W709" s="845" t="n"/>
      <c r="X709" s="845" t="n"/>
      <c r="Y709" s="845" t="n"/>
      <c r="Z709" s="845" t="n"/>
    </row>
    <row r="710">
      <c r="A710" s="845" t="n"/>
      <c r="B710" s="857" t="n"/>
      <c r="C710" s="857" t="n"/>
      <c r="D710" s="857" t="n"/>
      <c r="E710" s="857" t="n"/>
      <c r="F710" s="857" t="n"/>
      <c r="G710" s="858" t="n"/>
      <c r="H710" s="857" t="n"/>
      <c r="I710" s="857" t="n"/>
      <c r="J710" s="857" t="n"/>
      <c r="K710" s="857" t="n"/>
      <c r="L710" s="857" t="n"/>
      <c r="M710" s="857" t="n"/>
      <c r="N710" s="857" t="n"/>
      <c r="O710" s="845" t="n"/>
      <c r="P710" s="845" t="n"/>
      <c r="Q710" s="845" t="n"/>
      <c r="R710" s="845" t="n"/>
      <c r="S710" s="845" t="n"/>
      <c r="T710" s="845" t="n"/>
      <c r="U710" s="845" t="n"/>
      <c r="V710" s="845" t="n"/>
      <c r="W710" s="845" t="n"/>
      <c r="X710" s="845" t="n"/>
      <c r="Y710" s="845" t="n"/>
      <c r="Z710" s="845" t="n"/>
    </row>
    <row r="711">
      <c r="A711" s="845" t="n"/>
      <c r="B711" s="857" t="n"/>
      <c r="C711" s="857" t="n"/>
      <c r="D711" s="857" t="n"/>
      <c r="E711" s="857" t="n"/>
      <c r="F711" s="857" t="n"/>
      <c r="G711" s="858" t="n"/>
      <c r="H711" s="857" t="n"/>
      <c r="I711" s="857" t="n"/>
      <c r="J711" s="857" t="n"/>
      <c r="K711" s="857" t="n"/>
      <c r="L711" s="857" t="n"/>
      <c r="M711" s="857" t="n"/>
      <c r="N711" s="857" t="n"/>
      <c r="O711" s="845" t="n"/>
      <c r="P711" s="845" t="n"/>
      <c r="Q711" s="845" t="n"/>
      <c r="R711" s="845" t="n"/>
      <c r="S711" s="845" t="n"/>
      <c r="T711" s="845" t="n"/>
      <c r="U711" s="845" t="n"/>
      <c r="V711" s="845" t="n"/>
      <c r="W711" s="845" t="n"/>
      <c r="X711" s="845" t="n"/>
      <c r="Y711" s="845" t="n"/>
      <c r="Z711" s="845" t="n"/>
    </row>
    <row r="712">
      <c r="A712" s="845" t="n"/>
      <c r="B712" s="857" t="n"/>
      <c r="C712" s="857" t="n"/>
      <c r="D712" s="857" t="n"/>
      <c r="E712" s="857" t="n"/>
      <c r="F712" s="857" t="n"/>
      <c r="G712" s="858" t="n"/>
      <c r="H712" s="857" t="n"/>
      <c r="I712" s="857" t="n"/>
      <c r="J712" s="857" t="n"/>
      <c r="K712" s="857" t="n"/>
      <c r="L712" s="857" t="n"/>
      <c r="M712" s="857" t="n"/>
      <c r="N712" s="857" t="n"/>
      <c r="O712" s="845" t="n"/>
      <c r="P712" s="845" t="n"/>
      <c r="Q712" s="845" t="n"/>
      <c r="R712" s="845" t="n"/>
      <c r="S712" s="845" t="n"/>
      <c r="T712" s="845" t="n"/>
      <c r="U712" s="845" t="n"/>
      <c r="V712" s="845" t="n"/>
      <c r="W712" s="845" t="n"/>
      <c r="X712" s="845" t="n"/>
      <c r="Y712" s="845" t="n"/>
      <c r="Z712" s="845" t="n"/>
    </row>
    <row r="713">
      <c r="A713" s="845" t="n"/>
      <c r="B713" s="857" t="n"/>
      <c r="C713" s="857" t="n"/>
      <c r="D713" s="857" t="n"/>
      <c r="E713" s="857" t="n"/>
      <c r="F713" s="857" t="n"/>
      <c r="G713" s="858" t="n"/>
      <c r="H713" s="857" t="n"/>
      <c r="I713" s="857" t="n"/>
      <c r="J713" s="857" t="n"/>
      <c r="K713" s="857" t="n"/>
      <c r="L713" s="857" t="n"/>
      <c r="M713" s="857" t="n"/>
      <c r="N713" s="857" t="n"/>
      <c r="O713" s="845" t="n"/>
      <c r="P713" s="845" t="n"/>
      <c r="Q713" s="845" t="n"/>
      <c r="R713" s="845" t="n"/>
      <c r="S713" s="845" t="n"/>
      <c r="T713" s="845" t="n"/>
      <c r="U713" s="845" t="n"/>
      <c r="V713" s="845" t="n"/>
      <c r="W713" s="845" t="n"/>
      <c r="X713" s="845" t="n"/>
      <c r="Y713" s="845" t="n"/>
      <c r="Z713" s="845" t="n"/>
    </row>
    <row r="714">
      <c r="A714" s="845" t="n"/>
      <c r="B714" s="857" t="n"/>
      <c r="C714" s="857" t="n"/>
      <c r="D714" s="857" t="n"/>
      <c r="E714" s="857" t="n"/>
      <c r="F714" s="857" t="n"/>
      <c r="G714" s="858" t="n"/>
      <c r="H714" s="857" t="n"/>
      <c r="I714" s="857" t="n"/>
      <c r="J714" s="857" t="n"/>
      <c r="K714" s="857" t="n"/>
      <c r="L714" s="857" t="n"/>
      <c r="M714" s="857" t="n"/>
      <c r="N714" s="857" t="n"/>
      <c r="O714" s="845" t="n"/>
      <c r="P714" s="845" t="n"/>
      <c r="Q714" s="845" t="n"/>
      <c r="R714" s="845" t="n"/>
      <c r="S714" s="845" t="n"/>
      <c r="T714" s="845" t="n"/>
      <c r="U714" s="845" t="n"/>
      <c r="V714" s="845" t="n"/>
      <c r="W714" s="845" t="n"/>
      <c r="X714" s="845" t="n"/>
      <c r="Y714" s="845" t="n"/>
      <c r="Z714" s="845" t="n"/>
    </row>
    <row r="715">
      <c r="A715" s="845" t="n"/>
      <c r="B715" s="857" t="n"/>
      <c r="C715" s="857" t="n"/>
      <c r="D715" s="857" t="n"/>
      <c r="E715" s="857" t="n"/>
      <c r="F715" s="857" t="n"/>
      <c r="G715" s="858" t="n"/>
      <c r="H715" s="857" t="n"/>
      <c r="I715" s="857" t="n"/>
      <c r="J715" s="857" t="n"/>
      <c r="K715" s="857" t="n"/>
      <c r="L715" s="857" t="n"/>
      <c r="M715" s="857" t="n"/>
      <c r="N715" s="857" t="n"/>
      <c r="O715" s="845" t="n"/>
      <c r="P715" s="845" t="n"/>
      <c r="Q715" s="845" t="n"/>
      <c r="R715" s="845" t="n"/>
      <c r="S715" s="845" t="n"/>
      <c r="T715" s="845" t="n"/>
      <c r="U715" s="845" t="n"/>
      <c r="V715" s="845" t="n"/>
      <c r="W715" s="845" t="n"/>
      <c r="X715" s="845" t="n"/>
      <c r="Y715" s="845" t="n"/>
      <c r="Z715" s="845" t="n"/>
    </row>
    <row r="716">
      <c r="A716" s="845" t="n"/>
      <c r="B716" s="857" t="n"/>
      <c r="C716" s="857" t="n"/>
      <c r="D716" s="857" t="n"/>
      <c r="E716" s="857" t="n"/>
      <c r="F716" s="857" t="n"/>
      <c r="G716" s="858" t="n"/>
      <c r="H716" s="857" t="n"/>
      <c r="I716" s="857" t="n"/>
      <c r="J716" s="857" t="n"/>
      <c r="K716" s="857" t="n"/>
      <c r="L716" s="857" t="n"/>
      <c r="M716" s="857" t="n"/>
      <c r="N716" s="857" t="n"/>
      <c r="O716" s="845" t="n"/>
      <c r="P716" s="845" t="n"/>
      <c r="Q716" s="845" t="n"/>
      <c r="R716" s="845" t="n"/>
      <c r="S716" s="845" t="n"/>
      <c r="T716" s="845" t="n"/>
      <c r="U716" s="845" t="n"/>
      <c r="V716" s="845" t="n"/>
      <c r="W716" s="845" t="n"/>
      <c r="X716" s="845" t="n"/>
      <c r="Y716" s="845" t="n"/>
      <c r="Z716" s="845" t="n"/>
    </row>
    <row r="717">
      <c r="A717" s="845" t="n"/>
      <c r="B717" s="857" t="n"/>
      <c r="C717" s="857" t="n"/>
      <c r="D717" s="857" t="n"/>
      <c r="E717" s="857" t="n"/>
      <c r="F717" s="857" t="n"/>
      <c r="G717" s="858" t="n"/>
      <c r="H717" s="857" t="n"/>
      <c r="I717" s="857" t="n"/>
      <c r="J717" s="857" t="n"/>
      <c r="K717" s="857" t="n"/>
      <c r="L717" s="857" t="n"/>
      <c r="M717" s="857" t="n"/>
      <c r="N717" s="857" t="n"/>
      <c r="O717" s="845" t="n"/>
      <c r="P717" s="845" t="n"/>
      <c r="Q717" s="845" t="n"/>
      <c r="R717" s="845" t="n"/>
      <c r="S717" s="845" t="n"/>
      <c r="T717" s="845" t="n"/>
      <c r="U717" s="845" t="n"/>
      <c r="V717" s="845" t="n"/>
      <c r="W717" s="845" t="n"/>
      <c r="X717" s="845" t="n"/>
      <c r="Y717" s="845" t="n"/>
      <c r="Z717" s="845" t="n"/>
    </row>
    <row r="718">
      <c r="A718" s="845" t="n"/>
      <c r="B718" s="857" t="n"/>
      <c r="C718" s="857" t="n"/>
      <c r="D718" s="857" t="n"/>
      <c r="E718" s="857" t="n"/>
      <c r="F718" s="857" t="n"/>
      <c r="G718" s="858" t="n"/>
      <c r="H718" s="857" t="n"/>
      <c r="I718" s="857" t="n"/>
      <c r="J718" s="857" t="n"/>
      <c r="K718" s="857" t="n"/>
      <c r="L718" s="857" t="n"/>
      <c r="M718" s="857" t="n"/>
      <c r="N718" s="857" t="n"/>
      <c r="O718" s="845" t="n"/>
      <c r="P718" s="845" t="n"/>
      <c r="Q718" s="845" t="n"/>
      <c r="R718" s="845" t="n"/>
      <c r="S718" s="845" t="n"/>
      <c r="T718" s="845" t="n"/>
      <c r="U718" s="845" t="n"/>
      <c r="V718" s="845" t="n"/>
      <c r="W718" s="845" t="n"/>
      <c r="X718" s="845" t="n"/>
      <c r="Y718" s="845" t="n"/>
      <c r="Z718" s="845" t="n"/>
    </row>
    <row r="719">
      <c r="A719" s="845" t="n"/>
      <c r="B719" s="857" t="n"/>
      <c r="C719" s="857" t="n"/>
      <c r="D719" s="857" t="n"/>
      <c r="E719" s="857" t="n"/>
      <c r="F719" s="857" t="n"/>
      <c r="G719" s="858" t="n"/>
      <c r="H719" s="857" t="n"/>
      <c r="I719" s="857" t="n"/>
      <c r="J719" s="857" t="n"/>
      <c r="K719" s="857" t="n"/>
      <c r="L719" s="857" t="n"/>
      <c r="M719" s="857" t="n"/>
      <c r="N719" s="857" t="n"/>
      <c r="O719" s="845" t="n"/>
      <c r="P719" s="845" t="n"/>
      <c r="Q719" s="845" t="n"/>
      <c r="R719" s="845" t="n"/>
      <c r="S719" s="845" t="n"/>
      <c r="T719" s="845" t="n"/>
      <c r="U719" s="845" t="n"/>
      <c r="V719" s="845" t="n"/>
      <c r="W719" s="845" t="n"/>
      <c r="X719" s="845" t="n"/>
      <c r="Y719" s="845" t="n"/>
      <c r="Z719" s="845" t="n"/>
    </row>
    <row r="720">
      <c r="A720" s="845" t="n"/>
      <c r="B720" s="857" t="n"/>
      <c r="C720" s="857" t="n"/>
      <c r="D720" s="857" t="n"/>
      <c r="E720" s="857" t="n"/>
      <c r="F720" s="857" t="n"/>
      <c r="G720" s="858" t="n"/>
      <c r="H720" s="857" t="n"/>
      <c r="I720" s="857" t="n"/>
      <c r="J720" s="857" t="n"/>
      <c r="K720" s="857" t="n"/>
      <c r="L720" s="857" t="n"/>
      <c r="M720" s="857" t="n"/>
      <c r="N720" s="857" t="n"/>
      <c r="O720" s="845" t="n"/>
      <c r="P720" s="845" t="n"/>
      <c r="Q720" s="845" t="n"/>
      <c r="R720" s="845" t="n"/>
      <c r="S720" s="845" t="n"/>
      <c r="T720" s="845" t="n"/>
      <c r="U720" s="845" t="n"/>
      <c r="V720" s="845" t="n"/>
      <c r="W720" s="845" t="n"/>
      <c r="X720" s="845" t="n"/>
      <c r="Y720" s="845" t="n"/>
      <c r="Z720" s="845" t="n"/>
    </row>
    <row r="721">
      <c r="A721" s="845" t="n"/>
      <c r="B721" s="857" t="n"/>
      <c r="C721" s="857" t="n"/>
      <c r="D721" s="857" t="n"/>
      <c r="E721" s="857" t="n"/>
      <c r="F721" s="857" t="n"/>
      <c r="G721" s="858" t="n"/>
      <c r="H721" s="857" t="n"/>
      <c r="I721" s="857" t="n"/>
      <c r="J721" s="857" t="n"/>
      <c r="K721" s="857" t="n"/>
      <c r="L721" s="857" t="n"/>
      <c r="M721" s="857" t="n"/>
      <c r="N721" s="857" t="n"/>
      <c r="O721" s="845" t="n"/>
      <c r="P721" s="845" t="n"/>
      <c r="Q721" s="845" t="n"/>
      <c r="R721" s="845" t="n"/>
      <c r="S721" s="845" t="n"/>
      <c r="T721" s="845" t="n"/>
      <c r="U721" s="845" t="n"/>
      <c r="V721" s="845" t="n"/>
      <c r="W721" s="845" t="n"/>
      <c r="X721" s="845" t="n"/>
      <c r="Y721" s="845" t="n"/>
      <c r="Z721" s="845" t="n"/>
    </row>
    <row r="722">
      <c r="A722" s="845" t="n"/>
      <c r="B722" s="857" t="n"/>
      <c r="C722" s="857" t="n"/>
      <c r="D722" s="857" t="n"/>
      <c r="E722" s="857" t="n"/>
      <c r="F722" s="857" t="n"/>
      <c r="G722" s="858" t="n"/>
      <c r="H722" s="857" t="n"/>
      <c r="I722" s="857" t="n"/>
      <c r="J722" s="857" t="n"/>
      <c r="K722" s="857" t="n"/>
      <c r="L722" s="857" t="n"/>
      <c r="M722" s="857" t="n"/>
      <c r="N722" s="857" t="n"/>
      <c r="O722" s="845" t="n"/>
      <c r="P722" s="845" t="n"/>
      <c r="Q722" s="845" t="n"/>
      <c r="R722" s="845" t="n"/>
      <c r="S722" s="845" t="n"/>
      <c r="T722" s="845" t="n"/>
      <c r="U722" s="845" t="n"/>
      <c r="V722" s="845" t="n"/>
      <c r="W722" s="845" t="n"/>
      <c r="X722" s="845" t="n"/>
      <c r="Y722" s="845" t="n"/>
      <c r="Z722" s="845" t="n"/>
    </row>
    <row r="723">
      <c r="A723" s="845" t="n"/>
      <c r="B723" s="857" t="n"/>
      <c r="C723" s="857" t="n"/>
      <c r="D723" s="857" t="n"/>
      <c r="E723" s="857" t="n"/>
      <c r="F723" s="857" t="n"/>
      <c r="G723" s="858" t="n"/>
      <c r="H723" s="857" t="n"/>
      <c r="I723" s="857" t="n"/>
      <c r="J723" s="857" t="n"/>
      <c r="K723" s="857" t="n"/>
      <c r="L723" s="857" t="n"/>
      <c r="M723" s="857" t="n"/>
      <c r="N723" s="857" t="n"/>
      <c r="O723" s="845" t="n"/>
      <c r="P723" s="845" t="n"/>
      <c r="Q723" s="845" t="n"/>
      <c r="R723" s="845" t="n"/>
      <c r="S723" s="845" t="n"/>
      <c r="T723" s="845" t="n"/>
      <c r="U723" s="845" t="n"/>
      <c r="V723" s="845" t="n"/>
      <c r="W723" s="845" t="n"/>
      <c r="X723" s="845" t="n"/>
      <c r="Y723" s="845" t="n"/>
      <c r="Z723" s="845" t="n"/>
    </row>
    <row r="724">
      <c r="A724" s="845" t="n"/>
      <c r="B724" s="857" t="n"/>
      <c r="C724" s="857" t="n"/>
      <c r="D724" s="857" t="n"/>
      <c r="E724" s="857" t="n"/>
      <c r="F724" s="857" t="n"/>
      <c r="G724" s="858" t="n"/>
      <c r="H724" s="857" t="n"/>
      <c r="I724" s="857" t="n"/>
      <c r="J724" s="857" t="n"/>
      <c r="K724" s="857" t="n"/>
      <c r="L724" s="857" t="n"/>
      <c r="M724" s="857" t="n"/>
      <c r="N724" s="857" t="n"/>
      <c r="O724" s="845" t="n"/>
      <c r="P724" s="845" t="n"/>
      <c r="Q724" s="845" t="n"/>
      <c r="R724" s="845" t="n"/>
      <c r="S724" s="845" t="n"/>
      <c r="T724" s="845" t="n"/>
      <c r="U724" s="845" t="n"/>
      <c r="V724" s="845" t="n"/>
      <c r="W724" s="845" t="n"/>
      <c r="X724" s="845" t="n"/>
      <c r="Y724" s="845" t="n"/>
      <c r="Z724" s="845" t="n"/>
    </row>
    <row r="725">
      <c r="A725" s="845" t="n"/>
      <c r="B725" s="857" t="n"/>
      <c r="C725" s="857" t="n"/>
      <c r="D725" s="857" t="n"/>
      <c r="E725" s="857" t="n"/>
      <c r="F725" s="857" t="n"/>
      <c r="G725" s="858" t="n"/>
      <c r="H725" s="857" t="n"/>
      <c r="I725" s="857" t="n"/>
      <c r="J725" s="857" t="n"/>
      <c r="K725" s="857" t="n"/>
      <c r="L725" s="857" t="n"/>
      <c r="M725" s="857" t="n"/>
      <c r="N725" s="857" t="n"/>
      <c r="O725" s="845" t="n"/>
      <c r="P725" s="845" t="n"/>
      <c r="Q725" s="845" t="n"/>
      <c r="R725" s="845" t="n"/>
      <c r="S725" s="845" t="n"/>
      <c r="T725" s="845" t="n"/>
      <c r="U725" s="845" t="n"/>
      <c r="V725" s="845" t="n"/>
      <c r="W725" s="845" t="n"/>
      <c r="X725" s="845" t="n"/>
      <c r="Y725" s="845" t="n"/>
      <c r="Z725" s="845" t="n"/>
    </row>
    <row r="726">
      <c r="A726" s="845" t="n"/>
      <c r="B726" s="857" t="n"/>
      <c r="C726" s="857" t="n"/>
      <c r="D726" s="857" t="n"/>
      <c r="E726" s="857" t="n"/>
      <c r="F726" s="857" t="n"/>
      <c r="G726" s="858" t="n"/>
      <c r="H726" s="857" t="n"/>
      <c r="I726" s="857" t="n"/>
      <c r="J726" s="857" t="n"/>
      <c r="K726" s="857" t="n"/>
      <c r="L726" s="857" t="n"/>
      <c r="M726" s="857" t="n"/>
      <c r="N726" s="857" t="n"/>
      <c r="O726" s="845" t="n"/>
      <c r="P726" s="845" t="n"/>
      <c r="Q726" s="845" t="n"/>
      <c r="R726" s="845" t="n"/>
      <c r="S726" s="845" t="n"/>
      <c r="T726" s="845" t="n"/>
      <c r="U726" s="845" t="n"/>
      <c r="V726" s="845" t="n"/>
      <c r="W726" s="845" t="n"/>
      <c r="X726" s="845" t="n"/>
      <c r="Y726" s="845" t="n"/>
      <c r="Z726" s="845" t="n"/>
    </row>
    <row r="727">
      <c r="A727" s="845" t="n"/>
      <c r="B727" s="857" t="n"/>
      <c r="C727" s="857" t="n"/>
      <c r="D727" s="857" t="n"/>
      <c r="E727" s="857" t="n"/>
      <c r="F727" s="857" t="n"/>
      <c r="G727" s="858" t="n"/>
      <c r="H727" s="857" t="n"/>
      <c r="I727" s="857" t="n"/>
      <c r="J727" s="857" t="n"/>
      <c r="K727" s="857" t="n"/>
      <c r="L727" s="857" t="n"/>
      <c r="M727" s="857" t="n"/>
      <c r="N727" s="857" t="n"/>
      <c r="O727" s="845" t="n"/>
      <c r="P727" s="845" t="n"/>
      <c r="Q727" s="845" t="n"/>
      <c r="R727" s="845" t="n"/>
      <c r="S727" s="845" t="n"/>
      <c r="T727" s="845" t="n"/>
      <c r="U727" s="845" t="n"/>
      <c r="V727" s="845" t="n"/>
      <c r="W727" s="845" t="n"/>
      <c r="X727" s="845" t="n"/>
      <c r="Y727" s="845" t="n"/>
      <c r="Z727" s="845" t="n"/>
    </row>
    <row r="728">
      <c r="A728" s="845" t="n"/>
      <c r="B728" s="857" t="n"/>
      <c r="C728" s="857" t="n"/>
      <c r="D728" s="857" t="n"/>
      <c r="E728" s="857" t="n"/>
      <c r="F728" s="857" t="n"/>
      <c r="G728" s="858" t="n"/>
      <c r="H728" s="857" t="n"/>
      <c r="I728" s="857" t="n"/>
      <c r="J728" s="857" t="n"/>
      <c r="K728" s="857" t="n"/>
      <c r="L728" s="857" t="n"/>
      <c r="M728" s="857" t="n"/>
      <c r="N728" s="857" t="n"/>
      <c r="O728" s="845" t="n"/>
      <c r="P728" s="845" t="n"/>
      <c r="Q728" s="845" t="n"/>
      <c r="R728" s="845" t="n"/>
      <c r="S728" s="845" t="n"/>
      <c r="T728" s="845" t="n"/>
      <c r="U728" s="845" t="n"/>
      <c r="V728" s="845" t="n"/>
      <c r="W728" s="845" t="n"/>
      <c r="X728" s="845" t="n"/>
      <c r="Y728" s="845" t="n"/>
      <c r="Z728" s="845" t="n"/>
    </row>
    <row r="729">
      <c r="A729" s="845" t="n"/>
      <c r="B729" s="857" t="n"/>
      <c r="C729" s="857" t="n"/>
      <c r="D729" s="857" t="n"/>
      <c r="E729" s="857" t="n"/>
      <c r="F729" s="857" t="n"/>
      <c r="G729" s="858" t="n"/>
      <c r="H729" s="857" t="n"/>
      <c r="I729" s="857" t="n"/>
      <c r="J729" s="857" t="n"/>
      <c r="K729" s="857" t="n"/>
      <c r="L729" s="857" t="n"/>
      <c r="M729" s="857" t="n"/>
      <c r="N729" s="857" t="n"/>
      <c r="O729" s="845" t="n"/>
      <c r="P729" s="845" t="n"/>
      <c r="Q729" s="845" t="n"/>
      <c r="R729" s="845" t="n"/>
      <c r="S729" s="845" t="n"/>
      <c r="T729" s="845" t="n"/>
      <c r="U729" s="845" t="n"/>
      <c r="V729" s="845" t="n"/>
      <c r="W729" s="845" t="n"/>
      <c r="X729" s="845" t="n"/>
      <c r="Y729" s="845" t="n"/>
      <c r="Z729" s="845" t="n"/>
    </row>
    <row r="730">
      <c r="A730" s="845" t="n"/>
      <c r="B730" s="857" t="n"/>
      <c r="C730" s="857" t="n"/>
      <c r="D730" s="857" t="n"/>
      <c r="E730" s="857" t="n"/>
      <c r="F730" s="857" t="n"/>
      <c r="G730" s="858" t="n"/>
      <c r="H730" s="857" t="n"/>
      <c r="I730" s="857" t="n"/>
      <c r="J730" s="857" t="n"/>
      <c r="K730" s="857" t="n"/>
      <c r="L730" s="857" t="n"/>
      <c r="M730" s="857" t="n"/>
      <c r="N730" s="857" t="n"/>
      <c r="O730" s="845" t="n"/>
      <c r="P730" s="845" t="n"/>
      <c r="Q730" s="845" t="n"/>
      <c r="R730" s="845" t="n"/>
      <c r="S730" s="845" t="n"/>
      <c r="T730" s="845" t="n"/>
      <c r="U730" s="845" t="n"/>
      <c r="V730" s="845" t="n"/>
      <c r="W730" s="845" t="n"/>
      <c r="X730" s="845" t="n"/>
      <c r="Y730" s="845" t="n"/>
      <c r="Z730" s="845" t="n"/>
    </row>
    <row r="731">
      <c r="A731" s="845" t="n"/>
      <c r="B731" s="857" t="n"/>
      <c r="C731" s="857" t="n"/>
      <c r="D731" s="857" t="n"/>
      <c r="E731" s="857" t="n"/>
      <c r="F731" s="857" t="n"/>
      <c r="G731" s="858" t="n"/>
      <c r="H731" s="857" t="n"/>
      <c r="I731" s="857" t="n"/>
      <c r="J731" s="857" t="n"/>
      <c r="K731" s="857" t="n"/>
      <c r="L731" s="857" t="n"/>
      <c r="M731" s="857" t="n"/>
      <c r="N731" s="857" t="n"/>
      <c r="O731" s="845" t="n"/>
      <c r="P731" s="845" t="n"/>
      <c r="Q731" s="845" t="n"/>
      <c r="R731" s="845" t="n"/>
      <c r="S731" s="845" t="n"/>
      <c r="T731" s="845" t="n"/>
      <c r="U731" s="845" t="n"/>
      <c r="V731" s="845" t="n"/>
      <c r="W731" s="845" t="n"/>
      <c r="X731" s="845" t="n"/>
      <c r="Y731" s="845" t="n"/>
      <c r="Z731" s="845" t="n"/>
    </row>
    <row r="732">
      <c r="A732" s="845" t="n"/>
      <c r="B732" s="857" t="n"/>
      <c r="C732" s="857" t="n"/>
      <c r="D732" s="857" t="n"/>
      <c r="E732" s="857" t="n"/>
      <c r="F732" s="857" t="n"/>
      <c r="G732" s="858" t="n"/>
      <c r="H732" s="857" t="n"/>
      <c r="I732" s="857" t="n"/>
      <c r="J732" s="857" t="n"/>
      <c r="K732" s="857" t="n"/>
      <c r="L732" s="857" t="n"/>
      <c r="M732" s="857" t="n"/>
      <c r="N732" s="857" t="n"/>
      <c r="O732" s="845" t="n"/>
      <c r="P732" s="845" t="n"/>
      <c r="Q732" s="845" t="n"/>
      <c r="R732" s="845" t="n"/>
      <c r="S732" s="845" t="n"/>
      <c r="T732" s="845" t="n"/>
      <c r="U732" s="845" t="n"/>
      <c r="V732" s="845" t="n"/>
      <c r="W732" s="845" t="n"/>
      <c r="X732" s="845" t="n"/>
      <c r="Y732" s="845" t="n"/>
      <c r="Z732" s="845" t="n"/>
    </row>
    <row r="733">
      <c r="A733" s="845" t="n"/>
      <c r="B733" s="857" t="n"/>
      <c r="C733" s="857" t="n"/>
      <c r="D733" s="857" t="n"/>
      <c r="E733" s="857" t="n"/>
      <c r="F733" s="857" t="n"/>
      <c r="G733" s="858" t="n"/>
      <c r="H733" s="857" t="n"/>
      <c r="I733" s="857" t="n"/>
      <c r="J733" s="857" t="n"/>
      <c r="K733" s="857" t="n"/>
      <c r="L733" s="857" t="n"/>
      <c r="M733" s="857" t="n"/>
      <c r="N733" s="857" t="n"/>
      <c r="O733" s="845" t="n"/>
      <c r="P733" s="845" t="n"/>
      <c r="Q733" s="845" t="n"/>
      <c r="R733" s="845" t="n"/>
      <c r="S733" s="845" t="n"/>
      <c r="T733" s="845" t="n"/>
      <c r="U733" s="845" t="n"/>
      <c r="V733" s="845" t="n"/>
      <c r="W733" s="845" t="n"/>
      <c r="X733" s="845" t="n"/>
      <c r="Y733" s="845" t="n"/>
      <c r="Z733" s="845" t="n"/>
    </row>
    <row r="734">
      <c r="A734" s="845" t="n"/>
      <c r="B734" s="857" t="n"/>
      <c r="C734" s="857" t="n"/>
      <c r="D734" s="857" t="n"/>
      <c r="E734" s="857" t="n"/>
      <c r="F734" s="857" t="n"/>
      <c r="G734" s="858" t="n"/>
      <c r="H734" s="857" t="n"/>
      <c r="I734" s="857" t="n"/>
      <c r="J734" s="857" t="n"/>
      <c r="K734" s="857" t="n"/>
      <c r="L734" s="857" t="n"/>
      <c r="M734" s="857" t="n"/>
      <c r="N734" s="857" t="n"/>
      <c r="O734" s="845" t="n"/>
      <c r="P734" s="845" t="n"/>
      <c r="Q734" s="845" t="n"/>
      <c r="R734" s="845" t="n"/>
      <c r="S734" s="845" t="n"/>
      <c r="T734" s="845" t="n"/>
      <c r="U734" s="845" t="n"/>
      <c r="V734" s="845" t="n"/>
      <c r="W734" s="845" t="n"/>
      <c r="X734" s="845" t="n"/>
      <c r="Y734" s="845" t="n"/>
      <c r="Z734" s="845" t="n"/>
    </row>
    <row r="735">
      <c r="A735" s="845" t="n"/>
      <c r="B735" s="857" t="n"/>
      <c r="C735" s="857" t="n"/>
      <c r="D735" s="857" t="n"/>
      <c r="E735" s="857" t="n"/>
      <c r="F735" s="857" t="n"/>
      <c r="G735" s="858" t="n"/>
      <c r="H735" s="857" t="n"/>
      <c r="I735" s="857" t="n"/>
      <c r="J735" s="857" t="n"/>
      <c r="K735" s="857" t="n"/>
      <c r="L735" s="857" t="n"/>
      <c r="M735" s="857" t="n"/>
      <c r="N735" s="857" t="n"/>
      <c r="O735" s="845" t="n"/>
      <c r="P735" s="845" t="n"/>
      <c r="Q735" s="845" t="n"/>
      <c r="R735" s="845" t="n"/>
      <c r="S735" s="845" t="n"/>
      <c r="T735" s="845" t="n"/>
      <c r="U735" s="845" t="n"/>
      <c r="V735" s="845" t="n"/>
      <c r="W735" s="845" t="n"/>
      <c r="X735" s="845" t="n"/>
      <c r="Y735" s="845" t="n"/>
      <c r="Z735" s="845" t="n"/>
    </row>
    <row r="736">
      <c r="A736" s="845" t="n"/>
      <c r="B736" s="857" t="n"/>
      <c r="C736" s="857" t="n"/>
      <c r="D736" s="857" t="n"/>
      <c r="E736" s="857" t="n"/>
      <c r="F736" s="857" t="n"/>
      <c r="G736" s="858" t="n"/>
      <c r="H736" s="857" t="n"/>
      <c r="I736" s="857" t="n"/>
      <c r="J736" s="857" t="n"/>
      <c r="K736" s="857" t="n"/>
      <c r="L736" s="857" t="n"/>
      <c r="M736" s="857" t="n"/>
      <c r="N736" s="857" t="n"/>
      <c r="O736" s="845" t="n"/>
      <c r="P736" s="845" t="n"/>
      <c r="Q736" s="845" t="n"/>
      <c r="R736" s="845" t="n"/>
      <c r="S736" s="845" t="n"/>
      <c r="T736" s="845" t="n"/>
      <c r="U736" s="845" t="n"/>
      <c r="V736" s="845" t="n"/>
      <c r="W736" s="845" t="n"/>
      <c r="X736" s="845" t="n"/>
      <c r="Y736" s="845" t="n"/>
      <c r="Z736" s="845" t="n"/>
    </row>
    <row r="737">
      <c r="A737" s="845" t="n"/>
      <c r="B737" s="857" t="n"/>
      <c r="C737" s="857" t="n"/>
      <c r="D737" s="857" t="n"/>
      <c r="E737" s="857" t="n"/>
      <c r="F737" s="857" t="n"/>
      <c r="G737" s="858" t="n"/>
      <c r="H737" s="857" t="n"/>
      <c r="I737" s="857" t="n"/>
      <c r="J737" s="857" t="n"/>
      <c r="K737" s="857" t="n"/>
      <c r="L737" s="857" t="n"/>
      <c r="M737" s="857" t="n"/>
      <c r="N737" s="857" t="n"/>
      <c r="O737" s="845" t="n"/>
      <c r="P737" s="845" t="n"/>
      <c r="Q737" s="845" t="n"/>
      <c r="R737" s="845" t="n"/>
      <c r="S737" s="845" t="n"/>
      <c r="T737" s="845" t="n"/>
      <c r="U737" s="845" t="n"/>
      <c r="V737" s="845" t="n"/>
      <c r="W737" s="845" t="n"/>
      <c r="X737" s="845" t="n"/>
      <c r="Y737" s="845" t="n"/>
      <c r="Z737" s="845" t="n"/>
    </row>
    <row r="738">
      <c r="A738" s="845" t="n"/>
      <c r="B738" s="857" t="n"/>
      <c r="C738" s="857" t="n"/>
      <c r="D738" s="857" t="n"/>
      <c r="E738" s="857" t="n"/>
      <c r="F738" s="857" t="n"/>
      <c r="G738" s="858" t="n"/>
      <c r="H738" s="857" t="n"/>
      <c r="I738" s="857" t="n"/>
      <c r="J738" s="857" t="n"/>
      <c r="K738" s="857" t="n"/>
      <c r="L738" s="857" t="n"/>
      <c r="M738" s="857" t="n"/>
      <c r="N738" s="857" t="n"/>
      <c r="O738" s="845" t="n"/>
      <c r="P738" s="845" t="n"/>
      <c r="Q738" s="845" t="n"/>
      <c r="R738" s="845" t="n"/>
      <c r="S738" s="845" t="n"/>
      <c r="T738" s="845" t="n"/>
      <c r="U738" s="845" t="n"/>
      <c r="V738" s="845" t="n"/>
      <c r="W738" s="845" t="n"/>
      <c r="X738" s="845" t="n"/>
      <c r="Y738" s="845" t="n"/>
      <c r="Z738" s="845" t="n"/>
    </row>
    <row r="739">
      <c r="A739" s="845" t="n"/>
      <c r="B739" s="857" t="n"/>
      <c r="C739" s="857" t="n"/>
      <c r="D739" s="857" t="n"/>
      <c r="E739" s="857" t="n"/>
      <c r="F739" s="857" t="n"/>
      <c r="G739" s="858" t="n"/>
      <c r="H739" s="857" t="n"/>
      <c r="I739" s="857" t="n"/>
      <c r="J739" s="857" t="n"/>
      <c r="K739" s="857" t="n"/>
      <c r="L739" s="857" t="n"/>
      <c r="M739" s="857" t="n"/>
      <c r="N739" s="857" t="n"/>
      <c r="O739" s="845" t="n"/>
      <c r="P739" s="845" t="n"/>
      <c r="Q739" s="845" t="n"/>
      <c r="R739" s="845" t="n"/>
      <c r="S739" s="845" t="n"/>
      <c r="T739" s="845" t="n"/>
      <c r="U739" s="845" t="n"/>
      <c r="V739" s="845" t="n"/>
      <c r="W739" s="845" t="n"/>
      <c r="X739" s="845" t="n"/>
      <c r="Y739" s="845" t="n"/>
      <c r="Z739" s="845" t="n"/>
    </row>
    <row r="740">
      <c r="A740" s="845" t="n"/>
      <c r="B740" s="857" t="n"/>
      <c r="C740" s="857" t="n"/>
      <c r="D740" s="857" t="n"/>
      <c r="E740" s="857" t="n"/>
      <c r="F740" s="857" t="n"/>
      <c r="G740" s="858" t="n"/>
      <c r="H740" s="857" t="n"/>
      <c r="I740" s="857" t="n"/>
      <c r="J740" s="857" t="n"/>
      <c r="K740" s="857" t="n"/>
      <c r="L740" s="857" t="n"/>
      <c r="M740" s="857" t="n"/>
      <c r="N740" s="857" t="n"/>
      <c r="O740" s="845" t="n"/>
      <c r="P740" s="845" t="n"/>
      <c r="Q740" s="845" t="n"/>
      <c r="R740" s="845" t="n"/>
      <c r="S740" s="845" t="n"/>
      <c r="T740" s="845" t="n"/>
      <c r="U740" s="845" t="n"/>
      <c r="V740" s="845" t="n"/>
      <c r="W740" s="845" t="n"/>
      <c r="X740" s="845" t="n"/>
      <c r="Y740" s="845" t="n"/>
      <c r="Z740" s="845" t="n"/>
    </row>
    <row r="741">
      <c r="A741" s="845" t="n"/>
      <c r="B741" s="857" t="n"/>
      <c r="C741" s="857" t="n"/>
      <c r="D741" s="857" t="n"/>
      <c r="E741" s="857" t="n"/>
      <c r="F741" s="857" t="n"/>
      <c r="G741" s="858" t="n"/>
      <c r="H741" s="857" t="n"/>
      <c r="I741" s="857" t="n"/>
      <c r="J741" s="857" t="n"/>
      <c r="K741" s="857" t="n"/>
      <c r="L741" s="857" t="n"/>
      <c r="M741" s="857" t="n"/>
      <c r="N741" s="857" t="n"/>
      <c r="O741" s="845" t="n"/>
      <c r="P741" s="845" t="n"/>
      <c r="Q741" s="845" t="n"/>
      <c r="R741" s="845" t="n"/>
      <c r="S741" s="845" t="n"/>
      <c r="T741" s="845" t="n"/>
      <c r="U741" s="845" t="n"/>
      <c r="V741" s="845" t="n"/>
      <c r="W741" s="845" t="n"/>
      <c r="X741" s="845" t="n"/>
      <c r="Y741" s="845" t="n"/>
      <c r="Z741" s="845" t="n"/>
    </row>
    <row r="742">
      <c r="A742" s="845" t="n"/>
      <c r="B742" s="857" t="n"/>
      <c r="C742" s="857" t="n"/>
      <c r="D742" s="857" t="n"/>
      <c r="E742" s="857" t="n"/>
      <c r="F742" s="857" t="n"/>
      <c r="G742" s="858" t="n"/>
      <c r="H742" s="857" t="n"/>
      <c r="I742" s="857" t="n"/>
      <c r="J742" s="857" t="n"/>
      <c r="K742" s="857" t="n"/>
      <c r="L742" s="857" t="n"/>
      <c r="M742" s="857" t="n"/>
      <c r="N742" s="857" t="n"/>
      <c r="O742" s="845" t="n"/>
      <c r="P742" s="845" t="n"/>
      <c r="Q742" s="845" t="n"/>
      <c r="R742" s="845" t="n"/>
      <c r="S742" s="845" t="n"/>
      <c r="T742" s="845" t="n"/>
      <c r="U742" s="845" t="n"/>
      <c r="V742" s="845" t="n"/>
      <c r="W742" s="845" t="n"/>
      <c r="X742" s="845" t="n"/>
      <c r="Y742" s="845" t="n"/>
      <c r="Z742" s="845" t="n"/>
    </row>
    <row r="743">
      <c r="A743" s="845" t="n"/>
      <c r="B743" s="857" t="n"/>
      <c r="C743" s="857" t="n"/>
      <c r="D743" s="857" t="n"/>
      <c r="E743" s="857" t="n"/>
      <c r="F743" s="857" t="n"/>
      <c r="G743" s="858" t="n"/>
      <c r="H743" s="857" t="n"/>
      <c r="I743" s="857" t="n"/>
      <c r="J743" s="857" t="n"/>
      <c r="K743" s="857" t="n"/>
      <c r="L743" s="857" t="n"/>
      <c r="M743" s="857" t="n"/>
      <c r="N743" s="857" t="n"/>
      <c r="O743" s="845" t="n"/>
      <c r="P743" s="845" t="n"/>
      <c r="Q743" s="845" t="n"/>
      <c r="R743" s="845" t="n"/>
      <c r="S743" s="845" t="n"/>
      <c r="T743" s="845" t="n"/>
      <c r="U743" s="845" t="n"/>
      <c r="V743" s="845" t="n"/>
      <c r="W743" s="845" t="n"/>
      <c r="X743" s="845" t="n"/>
      <c r="Y743" s="845" t="n"/>
      <c r="Z743" s="845" t="n"/>
    </row>
    <row r="744">
      <c r="A744" s="845" t="n"/>
      <c r="B744" s="857" t="n"/>
      <c r="C744" s="857" t="n"/>
      <c r="D744" s="857" t="n"/>
      <c r="E744" s="857" t="n"/>
      <c r="F744" s="857" t="n"/>
      <c r="G744" s="858" t="n"/>
      <c r="H744" s="857" t="n"/>
      <c r="I744" s="857" t="n"/>
      <c r="J744" s="857" t="n"/>
      <c r="K744" s="857" t="n"/>
      <c r="L744" s="857" t="n"/>
      <c r="M744" s="857" t="n"/>
      <c r="N744" s="857" t="n"/>
      <c r="O744" s="845" t="n"/>
      <c r="P744" s="845" t="n"/>
      <c r="Q744" s="845" t="n"/>
      <c r="R744" s="845" t="n"/>
      <c r="S744" s="845" t="n"/>
      <c r="T744" s="845" t="n"/>
      <c r="U744" s="845" t="n"/>
      <c r="V744" s="845" t="n"/>
      <c r="W744" s="845" t="n"/>
      <c r="X744" s="845" t="n"/>
      <c r="Y744" s="845" t="n"/>
      <c r="Z744" s="845" t="n"/>
    </row>
    <row r="745">
      <c r="A745" s="845" t="n"/>
      <c r="B745" s="857" t="n"/>
      <c r="C745" s="857" t="n"/>
      <c r="D745" s="857" t="n"/>
      <c r="E745" s="857" t="n"/>
      <c r="F745" s="857" t="n"/>
      <c r="G745" s="858" t="n"/>
      <c r="H745" s="857" t="n"/>
      <c r="I745" s="857" t="n"/>
      <c r="J745" s="857" t="n"/>
      <c r="K745" s="857" t="n"/>
      <c r="L745" s="857" t="n"/>
      <c r="M745" s="857" t="n"/>
      <c r="N745" s="857" t="n"/>
      <c r="O745" s="845" t="n"/>
      <c r="P745" s="845" t="n"/>
      <c r="Q745" s="845" t="n"/>
      <c r="R745" s="845" t="n"/>
      <c r="S745" s="845" t="n"/>
      <c r="T745" s="845" t="n"/>
      <c r="U745" s="845" t="n"/>
      <c r="V745" s="845" t="n"/>
      <c r="W745" s="845" t="n"/>
      <c r="X745" s="845" t="n"/>
      <c r="Y745" s="845" t="n"/>
      <c r="Z745" s="845" t="n"/>
    </row>
    <row r="746">
      <c r="A746" s="845" t="n"/>
      <c r="B746" s="857" t="n"/>
      <c r="C746" s="857" t="n"/>
      <c r="D746" s="857" t="n"/>
      <c r="E746" s="857" t="n"/>
      <c r="F746" s="857" t="n"/>
      <c r="G746" s="858" t="n"/>
      <c r="H746" s="857" t="n"/>
      <c r="I746" s="857" t="n"/>
      <c r="J746" s="857" t="n"/>
      <c r="K746" s="857" t="n"/>
      <c r="L746" s="857" t="n"/>
      <c r="M746" s="857" t="n"/>
      <c r="N746" s="857" t="n"/>
      <c r="O746" s="845" t="n"/>
      <c r="P746" s="845" t="n"/>
      <c r="Q746" s="845" t="n"/>
      <c r="R746" s="845" t="n"/>
      <c r="S746" s="845" t="n"/>
      <c r="T746" s="845" t="n"/>
      <c r="U746" s="845" t="n"/>
      <c r="V746" s="845" t="n"/>
      <c r="W746" s="845" t="n"/>
      <c r="X746" s="845" t="n"/>
      <c r="Y746" s="845" t="n"/>
      <c r="Z746" s="845" t="n"/>
    </row>
    <row r="747">
      <c r="A747" s="845" t="n"/>
      <c r="B747" s="857" t="n"/>
      <c r="C747" s="857" t="n"/>
      <c r="D747" s="857" t="n"/>
      <c r="E747" s="857" t="n"/>
      <c r="F747" s="857" t="n"/>
      <c r="G747" s="858" t="n"/>
      <c r="H747" s="857" t="n"/>
      <c r="I747" s="857" t="n"/>
      <c r="J747" s="857" t="n"/>
      <c r="K747" s="857" t="n"/>
      <c r="L747" s="857" t="n"/>
      <c r="M747" s="857" t="n"/>
      <c r="N747" s="857" t="n"/>
      <c r="O747" s="845" t="n"/>
      <c r="P747" s="845" t="n"/>
      <c r="Q747" s="845" t="n"/>
      <c r="R747" s="845" t="n"/>
      <c r="S747" s="845" t="n"/>
      <c r="T747" s="845" t="n"/>
      <c r="U747" s="845" t="n"/>
      <c r="V747" s="845" t="n"/>
      <c r="W747" s="845" t="n"/>
      <c r="X747" s="845" t="n"/>
      <c r="Y747" s="845" t="n"/>
      <c r="Z747" s="845" t="n"/>
    </row>
    <row r="748">
      <c r="A748" s="845" t="n"/>
      <c r="B748" s="857" t="n"/>
      <c r="C748" s="857" t="n"/>
      <c r="D748" s="857" t="n"/>
      <c r="E748" s="857" t="n"/>
      <c r="F748" s="857" t="n"/>
      <c r="G748" s="858" t="n"/>
      <c r="H748" s="857" t="n"/>
      <c r="I748" s="857" t="n"/>
      <c r="J748" s="857" t="n"/>
      <c r="K748" s="857" t="n"/>
      <c r="L748" s="857" t="n"/>
      <c r="M748" s="857" t="n"/>
      <c r="N748" s="857" t="n"/>
      <c r="O748" s="845" t="n"/>
      <c r="P748" s="845" t="n"/>
      <c r="Q748" s="845" t="n"/>
      <c r="R748" s="845" t="n"/>
      <c r="S748" s="845" t="n"/>
      <c r="T748" s="845" t="n"/>
      <c r="U748" s="845" t="n"/>
      <c r="V748" s="845" t="n"/>
      <c r="W748" s="845" t="n"/>
      <c r="X748" s="845" t="n"/>
      <c r="Y748" s="845" t="n"/>
      <c r="Z748" s="845" t="n"/>
    </row>
    <row r="749">
      <c r="A749" s="845" t="n"/>
      <c r="B749" s="857" t="n"/>
      <c r="C749" s="857" t="n"/>
      <c r="D749" s="857" t="n"/>
      <c r="E749" s="857" t="n"/>
      <c r="F749" s="857" t="n"/>
      <c r="G749" s="858" t="n"/>
      <c r="H749" s="857" t="n"/>
      <c r="I749" s="857" t="n"/>
      <c r="J749" s="857" t="n"/>
      <c r="K749" s="857" t="n"/>
      <c r="L749" s="857" t="n"/>
      <c r="M749" s="857" t="n"/>
      <c r="N749" s="857" t="n"/>
      <c r="O749" s="845" t="n"/>
      <c r="P749" s="845" t="n"/>
      <c r="Q749" s="845" t="n"/>
      <c r="R749" s="845" t="n"/>
      <c r="S749" s="845" t="n"/>
      <c r="T749" s="845" t="n"/>
      <c r="U749" s="845" t="n"/>
      <c r="V749" s="845" t="n"/>
      <c r="W749" s="845" t="n"/>
      <c r="X749" s="845" t="n"/>
      <c r="Y749" s="845" t="n"/>
      <c r="Z749" s="845" t="n"/>
    </row>
    <row r="750">
      <c r="A750" s="845" t="n"/>
      <c r="B750" s="857" t="n"/>
      <c r="C750" s="857" t="n"/>
      <c r="D750" s="857" t="n"/>
      <c r="E750" s="857" t="n"/>
      <c r="F750" s="857" t="n"/>
      <c r="G750" s="858" t="n"/>
      <c r="H750" s="857" t="n"/>
      <c r="I750" s="857" t="n"/>
      <c r="J750" s="857" t="n"/>
      <c r="K750" s="857" t="n"/>
      <c r="L750" s="857" t="n"/>
      <c r="M750" s="857" t="n"/>
      <c r="N750" s="857" t="n"/>
      <c r="O750" s="845" t="n"/>
      <c r="P750" s="845" t="n"/>
      <c r="Q750" s="845" t="n"/>
      <c r="R750" s="845" t="n"/>
      <c r="S750" s="845" t="n"/>
      <c r="T750" s="845" t="n"/>
      <c r="U750" s="845" t="n"/>
      <c r="V750" s="845" t="n"/>
      <c r="W750" s="845" t="n"/>
      <c r="X750" s="845" t="n"/>
      <c r="Y750" s="845" t="n"/>
      <c r="Z750" s="845" t="n"/>
    </row>
    <row r="751">
      <c r="A751" s="845" t="n"/>
      <c r="B751" s="857" t="n"/>
      <c r="C751" s="857" t="n"/>
      <c r="D751" s="857" t="n"/>
      <c r="E751" s="857" t="n"/>
      <c r="F751" s="857" t="n"/>
      <c r="G751" s="858" t="n"/>
      <c r="H751" s="857" t="n"/>
      <c r="I751" s="857" t="n"/>
      <c r="J751" s="857" t="n"/>
      <c r="K751" s="857" t="n"/>
      <c r="L751" s="857" t="n"/>
      <c r="M751" s="857" t="n"/>
      <c r="N751" s="857" t="n"/>
      <c r="O751" s="845" t="n"/>
      <c r="P751" s="845" t="n"/>
      <c r="Q751" s="845" t="n"/>
      <c r="R751" s="845" t="n"/>
      <c r="S751" s="845" t="n"/>
      <c r="T751" s="845" t="n"/>
      <c r="U751" s="845" t="n"/>
      <c r="V751" s="845" t="n"/>
      <c r="W751" s="845" t="n"/>
      <c r="X751" s="845" t="n"/>
      <c r="Y751" s="845" t="n"/>
      <c r="Z751" s="845" t="n"/>
    </row>
    <row r="752">
      <c r="A752" s="845" t="n"/>
      <c r="B752" s="857" t="n"/>
      <c r="C752" s="857" t="n"/>
      <c r="D752" s="857" t="n"/>
      <c r="E752" s="857" t="n"/>
      <c r="F752" s="857" t="n"/>
      <c r="G752" s="858" t="n"/>
      <c r="H752" s="857" t="n"/>
      <c r="I752" s="857" t="n"/>
      <c r="J752" s="857" t="n"/>
      <c r="K752" s="857" t="n"/>
      <c r="L752" s="857" t="n"/>
      <c r="M752" s="857" t="n"/>
      <c r="N752" s="857" t="n"/>
      <c r="O752" s="845" t="n"/>
      <c r="P752" s="845" t="n"/>
      <c r="Q752" s="845" t="n"/>
      <c r="R752" s="845" t="n"/>
      <c r="S752" s="845" t="n"/>
      <c r="T752" s="845" t="n"/>
      <c r="U752" s="845" t="n"/>
      <c r="V752" s="845" t="n"/>
      <c r="W752" s="845" t="n"/>
      <c r="X752" s="845" t="n"/>
      <c r="Y752" s="845" t="n"/>
      <c r="Z752" s="845" t="n"/>
    </row>
    <row r="753">
      <c r="A753" s="845" t="n"/>
      <c r="B753" s="857" t="n"/>
      <c r="C753" s="857" t="n"/>
      <c r="D753" s="857" t="n"/>
      <c r="E753" s="857" t="n"/>
      <c r="F753" s="857" t="n"/>
      <c r="G753" s="858" t="n"/>
      <c r="H753" s="857" t="n"/>
      <c r="I753" s="857" t="n"/>
      <c r="J753" s="857" t="n"/>
      <c r="K753" s="857" t="n"/>
      <c r="L753" s="857" t="n"/>
      <c r="M753" s="857" t="n"/>
      <c r="N753" s="857" t="n"/>
      <c r="O753" s="845" t="n"/>
      <c r="P753" s="845" t="n"/>
      <c r="Q753" s="845" t="n"/>
      <c r="R753" s="845" t="n"/>
      <c r="S753" s="845" t="n"/>
      <c r="T753" s="845" t="n"/>
      <c r="U753" s="845" t="n"/>
      <c r="V753" s="845" t="n"/>
      <c r="W753" s="845" t="n"/>
      <c r="X753" s="845" t="n"/>
      <c r="Y753" s="845" t="n"/>
      <c r="Z753" s="845" t="n"/>
    </row>
    <row r="754">
      <c r="A754" s="845" t="n"/>
      <c r="B754" s="857" t="n"/>
      <c r="C754" s="857" t="n"/>
      <c r="D754" s="857" t="n"/>
      <c r="E754" s="857" t="n"/>
      <c r="F754" s="857" t="n"/>
      <c r="G754" s="858" t="n"/>
      <c r="H754" s="857" t="n"/>
      <c r="I754" s="857" t="n"/>
      <c r="J754" s="857" t="n"/>
      <c r="K754" s="857" t="n"/>
      <c r="L754" s="857" t="n"/>
      <c r="M754" s="857" t="n"/>
      <c r="N754" s="857" t="n"/>
      <c r="O754" s="845" t="n"/>
      <c r="P754" s="845" t="n"/>
      <c r="Q754" s="845" t="n"/>
      <c r="R754" s="845" t="n"/>
      <c r="S754" s="845" t="n"/>
      <c r="T754" s="845" t="n"/>
      <c r="U754" s="845" t="n"/>
      <c r="V754" s="845" t="n"/>
      <c r="W754" s="845" t="n"/>
      <c r="X754" s="845" t="n"/>
      <c r="Y754" s="845" t="n"/>
      <c r="Z754" s="845" t="n"/>
    </row>
    <row r="755">
      <c r="A755" s="845" t="n"/>
      <c r="B755" s="857" t="n"/>
      <c r="C755" s="857" t="n"/>
      <c r="D755" s="857" t="n"/>
      <c r="E755" s="857" t="n"/>
      <c r="F755" s="857" t="n"/>
      <c r="G755" s="858" t="n"/>
      <c r="H755" s="857" t="n"/>
      <c r="I755" s="857" t="n"/>
      <c r="J755" s="857" t="n"/>
      <c r="K755" s="857" t="n"/>
      <c r="L755" s="857" t="n"/>
      <c r="M755" s="857" t="n"/>
      <c r="N755" s="857" t="n"/>
      <c r="O755" s="845" t="n"/>
      <c r="P755" s="845" t="n"/>
      <c r="Q755" s="845" t="n"/>
      <c r="R755" s="845" t="n"/>
      <c r="S755" s="845" t="n"/>
      <c r="T755" s="845" t="n"/>
      <c r="U755" s="845" t="n"/>
      <c r="V755" s="845" t="n"/>
      <c r="W755" s="845" t="n"/>
      <c r="X755" s="845" t="n"/>
      <c r="Y755" s="845" t="n"/>
      <c r="Z755" s="845" t="n"/>
    </row>
    <row r="756">
      <c r="A756" s="845" t="n"/>
      <c r="B756" s="857" t="n"/>
      <c r="C756" s="857" t="n"/>
      <c r="D756" s="857" t="n"/>
      <c r="E756" s="857" t="n"/>
      <c r="F756" s="857" t="n"/>
      <c r="G756" s="858" t="n"/>
      <c r="H756" s="857" t="n"/>
      <c r="I756" s="857" t="n"/>
      <c r="J756" s="857" t="n"/>
      <c r="K756" s="857" t="n"/>
      <c r="L756" s="857" t="n"/>
      <c r="M756" s="857" t="n"/>
      <c r="N756" s="857" t="n"/>
      <c r="O756" s="845" t="n"/>
      <c r="P756" s="845" t="n"/>
      <c r="Q756" s="845" t="n"/>
      <c r="R756" s="845" t="n"/>
      <c r="S756" s="845" t="n"/>
      <c r="T756" s="845" t="n"/>
      <c r="U756" s="845" t="n"/>
      <c r="V756" s="845" t="n"/>
      <c r="W756" s="845" t="n"/>
      <c r="X756" s="845" t="n"/>
      <c r="Y756" s="845" t="n"/>
      <c r="Z756" s="845" t="n"/>
    </row>
    <row r="757">
      <c r="A757" s="845" t="n"/>
      <c r="B757" s="857" t="n"/>
      <c r="C757" s="857" t="n"/>
      <c r="D757" s="857" t="n"/>
      <c r="E757" s="857" t="n"/>
      <c r="F757" s="857" t="n"/>
      <c r="G757" s="858" t="n"/>
      <c r="H757" s="857" t="n"/>
      <c r="I757" s="857" t="n"/>
      <c r="J757" s="857" t="n"/>
      <c r="K757" s="857" t="n"/>
      <c r="L757" s="857" t="n"/>
      <c r="M757" s="857" t="n"/>
      <c r="N757" s="857" t="n"/>
      <c r="O757" s="845" t="n"/>
      <c r="P757" s="845" t="n"/>
      <c r="Q757" s="845" t="n"/>
      <c r="R757" s="845" t="n"/>
      <c r="S757" s="845" t="n"/>
      <c r="T757" s="845" t="n"/>
      <c r="U757" s="845" t="n"/>
      <c r="V757" s="845" t="n"/>
      <c r="W757" s="845" t="n"/>
      <c r="X757" s="845" t="n"/>
      <c r="Y757" s="845" t="n"/>
      <c r="Z757" s="845" t="n"/>
    </row>
    <row r="758">
      <c r="A758" s="845" t="n"/>
      <c r="B758" s="857" t="n"/>
      <c r="C758" s="857" t="n"/>
      <c r="D758" s="857" t="n"/>
      <c r="E758" s="857" t="n"/>
      <c r="F758" s="857" t="n"/>
      <c r="G758" s="858" t="n"/>
      <c r="H758" s="857" t="n"/>
      <c r="I758" s="857" t="n"/>
      <c r="J758" s="857" t="n"/>
      <c r="K758" s="857" t="n"/>
      <c r="L758" s="857" t="n"/>
      <c r="M758" s="857" t="n"/>
      <c r="N758" s="857" t="n"/>
      <c r="O758" s="845" t="n"/>
      <c r="P758" s="845" t="n"/>
      <c r="Q758" s="845" t="n"/>
      <c r="R758" s="845" t="n"/>
      <c r="S758" s="845" t="n"/>
      <c r="T758" s="845" t="n"/>
      <c r="U758" s="845" t="n"/>
      <c r="V758" s="845" t="n"/>
      <c r="W758" s="845" t="n"/>
      <c r="X758" s="845" t="n"/>
      <c r="Y758" s="845" t="n"/>
      <c r="Z758" s="845" t="n"/>
    </row>
    <row r="759">
      <c r="A759" s="845" t="n"/>
      <c r="B759" s="857" t="n"/>
      <c r="C759" s="857" t="n"/>
      <c r="D759" s="857" t="n"/>
      <c r="E759" s="857" t="n"/>
      <c r="F759" s="857" t="n"/>
      <c r="G759" s="858" t="n"/>
      <c r="H759" s="857" t="n"/>
      <c r="I759" s="857" t="n"/>
      <c r="J759" s="857" t="n"/>
      <c r="K759" s="857" t="n"/>
      <c r="L759" s="857" t="n"/>
      <c r="M759" s="857" t="n"/>
      <c r="N759" s="857" t="n"/>
      <c r="O759" s="845" t="n"/>
      <c r="P759" s="845" t="n"/>
      <c r="Q759" s="845" t="n"/>
      <c r="R759" s="845" t="n"/>
      <c r="S759" s="845" t="n"/>
      <c r="T759" s="845" t="n"/>
      <c r="U759" s="845" t="n"/>
      <c r="V759" s="845" t="n"/>
      <c r="W759" s="845" t="n"/>
      <c r="X759" s="845" t="n"/>
      <c r="Y759" s="845" t="n"/>
      <c r="Z759" s="845" t="n"/>
    </row>
    <row r="760">
      <c r="A760" s="845" t="n"/>
      <c r="B760" s="857" t="n"/>
      <c r="C760" s="857" t="n"/>
      <c r="D760" s="857" t="n"/>
      <c r="E760" s="857" t="n"/>
      <c r="F760" s="857" t="n"/>
      <c r="G760" s="858" t="n"/>
      <c r="H760" s="857" t="n"/>
      <c r="I760" s="857" t="n"/>
      <c r="J760" s="857" t="n"/>
      <c r="K760" s="857" t="n"/>
      <c r="L760" s="857" t="n"/>
      <c r="M760" s="857" t="n"/>
      <c r="N760" s="857" t="n"/>
      <c r="O760" s="845" t="n"/>
      <c r="P760" s="845" t="n"/>
      <c r="Q760" s="845" t="n"/>
      <c r="R760" s="845" t="n"/>
      <c r="S760" s="845" t="n"/>
      <c r="T760" s="845" t="n"/>
      <c r="U760" s="845" t="n"/>
      <c r="V760" s="845" t="n"/>
      <c r="W760" s="845" t="n"/>
      <c r="X760" s="845" t="n"/>
      <c r="Y760" s="845" t="n"/>
      <c r="Z760" s="845" t="n"/>
    </row>
    <row r="761">
      <c r="A761" s="845" t="n"/>
      <c r="B761" s="857" t="n"/>
      <c r="C761" s="857" t="n"/>
      <c r="D761" s="857" t="n"/>
      <c r="E761" s="857" t="n"/>
      <c r="F761" s="857" t="n"/>
      <c r="G761" s="858" t="n"/>
      <c r="H761" s="857" t="n"/>
      <c r="I761" s="857" t="n"/>
      <c r="J761" s="857" t="n"/>
      <c r="K761" s="857" t="n"/>
      <c r="L761" s="857" t="n"/>
      <c r="M761" s="857" t="n"/>
      <c r="N761" s="857" t="n"/>
      <c r="O761" s="845" t="n"/>
      <c r="P761" s="845" t="n"/>
      <c r="Q761" s="845" t="n"/>
      <c r="R761" s="845" t="n"/>
      <c r="S761" s="845" t="n"/>
      <c r="T761" s="845" t="n"/>
      <c r="U761" s="845" t="n"/>
      <c r="V761" s="845" t="n"/>
      <c r="W761" s="845" t="n"/>
      <c r="X761" s="845" t="n"/>
      <c r="Y761" s="845" t="n"/>
      <c r="Z761" s="845" t="n"/>
    </row>
    <row r="762">
      <c r="A762" s="845" t="n"/>
      <c r="B762" s="857" t="n"/>
      <c r="C762" s="857" t="n"/>
      <c r="D762" s="857" t="n"/>
      <c r="E762" s="857" t="n"/>
      <c r="F762" s="857" t="n"/>
      <c r="G762" s="858" t="n"/>
      <c r="H762" s="857" t="n"/>
      <c r="I762" s="857" t="n"/>
      <c r="J762" s="857" t="n"/>
      <c r="K762" s="857" t="n"/>
      <c r="L762" s="857" t="n"/>
      <c r="M762" s="857" t="n"/>
      <c r="N762" s="857" t="n"/>
      <c r="O762" s="845" t="n"/>
      <c r="P762" s="845" t="n"/>
      <c r="Q762" s="845" t="n"/>
      <c r="R762" s="845" t="n"/>
      <c r="S762" s="845" t="n"/>
      <c r="T762" s="845" t="n"/>
      <c r="U762" s="845" t="n"/>
      <c r="V762" s="845" t="n"/>
      <c r="W762" s="845" t="n"/>
      <c r="X762" s="845" t="n"/>
      <c r="Y762" s="845" t="n"/>
      <c r="Z762" s="845" t="n"/>
    </row>
    <row r="763">
      <c r="A763" s="845" t="n"/>
      <c r="B763" s="857" t="n"/>
      <c r="C763" s="857" t="n"/>
      <c r="D763" s="857" t="n"/>
      <c r="E763" s="857" t="n"/>
      <c r="F763" s="857" t="n"/>
      <c r="G763" s="858" t="n"/>
      <c r="H763" s="857" t="n"/>
      <c r="I763" s="857" t="n"/>
      <c r="J763" s="857" t="n"/>
      <c r="K763" s="857" t="n"/>
      <c r="L763" s="857" t="n"/>
      <c r="M763" s="857" t="n"/>
      <c r="N763" s="857" t="n"/>
      <c r="O763" s="845" t="n"/>
      <c r="P763" s="845" t="n"/>
      <c r="Q763" s="845" t="n"/>
      <c r="R763" s="845" t="n"/>
      <c r="S763" s="845" t="n"/>
      <c r="T763" s="845" t="n"/>
      <c r="U763" s="845" t="n"/>
      <c r="V763" s="845" t="n"/>
      <c r="W763" s="845" t="n"/>
      <c r="X763" s="845" t="n"/>
      <c r="Y763" s="845" t="n"/>
      <c r="Z763" s="845" t="n"/>
    </row>
    <row r="764">
      <c r="A764" s="845" t="n"/>
      <c r="B764" s="857" t="n"/>
      <c r="C764" s="857" t="n"/>
      <c r="D764" s="857" t="n"/>
      <c r="E764" s="857" t="n"/>
      <c r="F764" s="857" t="n"/>
      <c r="G764" s="858" t="n"/>
      <c r="H764" s="857" t="n"/>
      <c r="I764" s="857" t="n"/>
      <c r="J764" s="857" t="n"/>
      <c r="K764" s="857" t="n"/>
      <c r="L764" s="857" t="n"/>
      <c r="M764" s="857" t="n"/>
      <c r="N764" s="857" t="n"/>
      <c r="O764" s="845" t="n"/>
      <c r="P764" s="845" t="n"/>
      <c r="Q764" s="845" t="n"/>
      <c r="R764" s="845" t="n"/>
      <c r="S764" s="845" t="n"/>
      <c r="T764" s="845" t="n"/>
      <c r="U764" s="845" t="n"/>
      <c r="V764" s="845" t="n"/>
      <c r="W764" s="845" t="n"/>
      <c r="X764" s="845" t="n"/>
      <c r="Y764" s="845" t="n"/>
      <c r="Z764" s="845" t="n"/>
    </row>
    <row r="765">
      <c r="A765" s="845" t="n"/>
      <c r="B765" s="857" t="n"/>
      <c r="C765" s="857" t="n"/>
      <c r="D765" s="857" t="n"/>
      <c r="E765" s="857" t="n"/>
      <c r="F765" s="857" t="n"/>
      <c r="G765" s="858" t="n"/>
      <c r="H765" s="857" t="n"/>
      <c r="I765" s="857" t="n"/>
      <c r="J765" s="857" t="n"/>
      <c r="K765" s="857" t="n"/>
      <c r="L765" s="857" t="n"/>
      <c r="M765" s="857" t="n"/>
      <c r="N765" s="857" t="n"/>
      <c r="O765" s="845" t="n"/>
      <c r="P765" s="845" t="n"/>
      <c r="Q765" s="845" t="n"/>
      <c r="R765" s="845" t="n"/>
      <c r="S765" s="845" t="n"/>
      <c r="T765" s="845" t="n"/>
      <c r="U765" s="845" t="n"/>
      <c r="V765" s="845" t="n"/>
      <c r="W765" s="845" t="n"/>
      <c r="X765" s="845" t="n"/>
      <c r="Y765" s="845" t="n"/>
      <c r="Z765" s="845" t="n"/>
    </row>
    <row r="766">
      <c r="A766" s="845" t="n"/>
      <c r="B766" s="857" t="n"/>
      <c r="C766" s="857" t="n"/>
      <c r="D766" s="857" t="n"/>
      <c r="E766" s="857" t="n"/>
      <c r="F766" s="857" t="n"/>
      <c r="G766" s="858" t="n"/>
      <c r="H766" s="857" t="n"/>
      <c r="I766" s="857" t="n"/>
      <c r="J766" s="857" t="n"/>
      <c r="K766" s="857" t="n"/>
      <c r="L766" s="857" t="n"/>
      <c r="M766" s="857" t="n"/>
      <c r="N766" s="857" t="n"/>
      <c r="O766" s="845" t="n"/>
      <c r="P766" s="845" t="n"/>
      <c r="Q766" s="845" t="n"/>
      <c r="R766" s="845" t="n"/>
      <c r="S766" s="845" t="n"/>
      <c r="T766" s="845" t="n"/>
      <c r="U766" s="845" t="n"/>
      <c r="V766" s="845" t="n"/>
      <c r="W766" s="845" t="n"/>
      <c r="X766" s="845" t="n"/>
      <c r="Y766" s="845" t="n"/>
      <c r="Z766" s="845" t="n"/>
    </row>
    <row r="767">
      <c r="A767" s="845" t="n"/>
      <c r="B767" s="857" t="n"/>
      <c r="C767" s="857" t="n"/>
      <c r="D767" s="857" t="n"/>
      <c r="E767" s="857" t="n"/>
      <c r="F767" s="857" t="n"/>
      <c r="G767" s="858" t="n"/>
      <c r="H767" s="857" t="n"/>
      <c r="I767" s="857" t="n"/>
      <c r="J767" s="857" t="n"/>
      <c r="K767" s="857" t="n"/>
      <c r="L767" s="857" t="n"/>
      <c r="M767" s="857" t="n"/>
      <c r="N767" s="857" t="n"/>
      <c r="O767" s="845" t="n"/>
      <c r="P767" s="845" t="n"/>
      <c r="Q767" s="845" t="n"/>
      <c r="R767" s="845" t="n"/>
      <c r="S767" s="845" t="n"/>
      <c r="T767" s="845" t="n"/>
      <c r="U767" s="845" t="n"/>
      <c r="V767" s="845" t="n"/>
      <c r="W767" s="845" t="n"/>
      <c r="X767" s="845" t="n"/>
      <c r="Y767" s="845" t="n"/>
      <c r="Z767" s="845" t="n"/>
    </row>
    <row r="768">
      <c r="A768" s="845" t="n"/>
      <c r="B768" s="857" t="n"/>
      <c r="C768" s="857" t="n"/>
      <c r="D768" s="857" t="n"/>
      <c r="E768" s="857" t="n"/>
      <c r="F768" s="857" t="n"/>
      <c r="G768" s="858" t="n"/>
      <c r="H768" s="857" t="n"/>
      <c r="I768" s="857" t="n"/>
      <c r="J768" s="857" t="n"/>
      <c r="K768" s="857" t="n"/>
      <c r="L768" s="857" t="n"/>
      <c r="M768" s="857" t="n"/>
      <c r="N768" s="857" t="n"/>
      <c r="O768" s="845" t="n"/>
      <c r="P768" s="845" t="n"/>
      <c r="Q768" s="845" t="n"/>
      <c r="R768" s="845" t="n"/>
      <c r="S768" s="845" t="n"/>
      <c r="T768" s="845" t="n"/>
      <c r="U768" s="845" t="n"/>
      <c r="V768" s="845" t="n"/>
      <c r="W768" s="845" t="n"/>
      <c r="X768" s="845" t="n"/>
      <c r="Y768" s="845" t="n"/>
      <c r="Z768" s="845" t="n"/>
    </row>
    <row r="769">
      <c r="A769" s="845" t="n"/>
      <c r="B769" s="857" t="n"/>
      <c r="C769" s="857" t="n"/>
      <c r="D769" s="857" t="n"/>
      <c r="E769" s="857" t="n"/>
      <c r="F769" s="857" t="n"/>
      <c r="G769" s="858" t="n"/>
      <c r="H769" s="857" t="n"/>
      <c r="I769" s="857" t="n"/>
      <c r="J769" s="857" t="n"/>
      <c r="K769" s="857" t="n"/>
      <c r="L769" s="857" t="n"/>
      <c r="M769" s="857" t="n"/>
      <c r="N769" s="857" t="n"/>
      <c r="O769" s="845" t="n"/>
      <c r="P769" s="845" t="n"/>
      <c r="Q769" s="845" t="n"/>
      <c r="R769" s="845" t="n"/>
      <c r="S769" s="845" t="n"/>
      <c r="T769" s="845" t="n"/>
      <c r="U769" s="845" t="n"/>
      <c r="V769" s="845" t="n"/>
      <c r="W769" s="845" t="n"/>
      <c r="X769" s="845" t="n"/>
      <c r="Y769" s="845" t="n"/>
      <c r="Z769" s="845" t="n"/>
    </row>
    <row r="770">
      <c r="A770" s="845" t="n"/>
      <c r="B770" s="857" t="n"/>
      <c r="C770" s="857" t="n"/>
      <c r="D770" s="857" t="n"/>
      <c r="E770" s="857" t="n"/>
      <c r="F770" s="857" t="n"/>
      <c r="G770" s="858" t="n"/>
      <c r="H770" s="857" t="n"/>
      <c r="I770" s="857" t="n"/>
      <c r="J770" s="857" t="n"/>
      <c r="K770" s="857" t="n"/>
      <c r="L770" s="857" t="n"/>
      <c r="M770" s="857" t="n"/>
      <c r="N770" s="857" t="n"/>
      <c r="O770" s="845" t="n"/>
      <c r="P770" s="845" t="n"/>
      <c r="Q770" s="845" t="n"/>
      <c r="R770" s="845" t="n"/>
      <c r="S770" s="845" t="n"/>
      <c r="T770" s="845" t="n"/>
      <c r="U770" s="845" t="n"/>
      <c r="V770" s="845" t="n"/>
      <c r="W770" s="845" t="n"/>
      <c r="X770" s="845" t="n"/>
      <c r="Y770" s="845" t="n"/>
      <c r="Z770" s="845" t="n"/>
    </row>
    <row r="771">
      <c r="A771" s="845" t="n"/>
      <c r="B771" s="857" t="n"/>
      <c r="C771" s="857" t="n"/>
      <c r="D771" s="857" t="n"/>
      <c r="E771" s="857" t="n"/>
      <c r="F771" s="857" t="n"/>
      <c r="G771" s="858" t="n"/>
      <c r="H771" s="857" t="n"/>
      <c r="I771" s="857" t="n"/>
      <c r="J771" s="857" t="n"/>
      <c r="K771" s="857" t="n"/>
      <c r="L771" s="857" t="n"/>
      <c r="M771" s="857" t="n"/>
      <c r="N771" s="857" t="n"/>
      <c r="O771" s="845" t="n"/>
      <c r="P771" s="845" t="n"/>
      <c r="Q771" s="845" t="n"/>
      <c r="R771" s="845" t="n"/>
      <c r="S771" s="845" t="n"/>
      <c r="T771" s="845" t="n"/>
      <c r="U771" s="845" t="n"/>
      <c r="V771" s="845" t="n"/>
      <c r="W771" s="845" t="n"/>
      <c r="X771" s="845" t="n"/>
      <c r="Y771" s="845" t="n"/>
      <c r="Z771" s="845" t="n"/>
    </row>
    <row r="772">
      <c r="A772" s="845" t="n"/>
      <c r="B772" s="857" t="n"/>
      <c r="C772" s="857" t="n"/>
      <c r="D772" s="857" t="n"/>
      <c r="E772" s="857" t="n"/>
      <c r="F772" s="857" t="n"/>
      <c r="G772" s="858" t="n"/>
      <c r="H772" s="857" t="n"/>
      <c r="I772" s="857" t="n"/>
      <c r="J772" s="857" t="n"/>
      <c r="K772" s="857" t="n"/>
      <c r="L772" s="857" t="n"/>
      <c r="M772" s="857" t="n"/>
      <c r="N772" s="857" t="n"/>
      <c r="O772" s="845" t="n"/>
      <c r="P772" s="845" t="n"/>
      <c r="Q772" s="845" t="n"/>
      <c r="R772" s="845" t="n"/>
      <c r="S772" s="845" t="n"/>
      <c r="T772" s="845" t="n"/>
      <c r="U772" s="845" t="n"/>
      <c r="V772" s="845" t="n"/>
      <c r="W772" s="845" t="n"/>
      <c r="X772" s="845" t="n"/>
      <c r="Y772" s="845" t="n"/>
      <c r="Z772" s="845" t="n"/>
    </row>
    <row r="773">
      <c r="A773" s="845" t="n"/>
      <c r="B773" s="857" t="n"/>
      <c r="C773" s="857" t="n"/>
      <c r="D773" s="857" t="n"/>
      <c r="E773" s="857" t="n"/>
      <c r="F773" s="857" t="n"/>
      <c r="G773" s="858" t="n"/>
      <c r="H773" s="857" t="n"/>
      <c r="I773" s="857" t="n"/>
      <c r="J773" s="857" t="n"/>
      <c r="K773" s="857" t="n"/>
      <c r="L773" s="857" t="n"/>
      <c r="M773" s="857" t="n"/>
      <c r="N773" s="857" t="n"/>
      <c r="O773" s="845" t="n"/>
      <c r="P773" s="845" t="n"/>
      <c r="Q773" s="845" t="n"/>
      <c r="R773" s="845" t="n"/>
      <c r="S773" s="845" t="n"/>
      <c r="T773" s="845" t="n"/>
      <c r="U773" s="845" t="n"/>
      <c r="V773" s="845" t="n"/>
      <c r="W773" s="845" t="n"/>
      <c r="X773" s="845" t="n"/>
      <c r="Y773" s="845" t="n"/>
      <c r="Z773" s="845" t="n"/>
    </row>
    <row r="774">
      <c r="A774" s="845" t="n"/>
      <c r="B774" s="857" t="n"/>
      <c r="C774" s="857" t="n"/>
      <c r="D774" s="857" t="n"/>
      <c r="E774" s="857" t="n"/>
      <c r="F774" s="857" t="n"/>
      <c r="G774" s="858" t="n"/>
      <c r="H774" s="857" t="n"/>
      <c r="I774" s="857" t="n"/>
      <c r="J774" s="857" t="n"/>
      <c r="K774" s="857" t="n"/>
      <c r="L774" s="857" t="n"/>
      <c r="M774" s="857" t="n"/>
      <c r="N774" s="857" t="n"/>
      <c r="O774" s="845" t="n"/>
      <c r="P774" s="845" t="n"/>
      <c r="Q774" s="845" t="n"/>
      <c r="R774" s="845" t="n"/>
      <c r="S774" s="845" t="n"/>
      <c r="T774" s="845" t="n"/>
      <c r="U774" s="845" t="n"/>
      <c r="V774" s="845" t="n"/>
      <c r="W774" s="845" t="n"/>
      <c r="X774" s="845" t="n"/>
      <c r="Y774" s="845" t="n"/>
      <c r="Z774" s="845" t="n"/>
    </row>
    <row r="775">
      <c r="A775" s="845" t="n"/>
      <c r="B775" s="857" t="n"/>
      <c r="C775" s="857" t="n"/>
      <c r="D775" s="857" t="n"/>
      <c r="E775" s="857" t="n"/>
      <c r="F775" s="857" t="n"/>
      <c r="G775" s="858" t="n"/>
      <c r="H775" s="857" t="n"/>
      <c r="I775" s="857" t="n"/>
      <c r="J775" s="857" t="n"/>
      <c r="K775" s="857" t="n"/>
      <c r="L775" s="857" t="n"/>
      <c r="M775" s="857" t="n"/>
      <c r="N775" s="857" t="n"/>
      <c r="O775" s="845" t="n"/>
      <c r="P775" s="845" t="n"/>
      <c r="Q775" s="845" t="n"/>
      <c r="R775" s="845" t="n"/>
      <c r="S775" s="845" t="n"/>
      <c r="T775" s="845" t="n"/>
      <c r="U775" s="845" t="n"/>
      <c r="V775" s="845" t="n"/>
      <c r="W775" s="845" t="n"/>
      <c r="X775" s="845" t="n"/>
      <c r="Y775" s="845" t="n"/>
      <c r="Z775" s="845" t="n"/>
    </row>
    <row r="776">
      <c r="A776" s="845" t="n"/>
      <c r="B776" s="857" t="n"/>
      <c r="C776" s="857" t="n"/>
      <c r="D776" s="857" t="n"/>
      <c r="E776" s="857" t="n"/>
      <c r="F776" s="857" t="n"/>
      <c r="G776" s="858" t="n"/>
      <c r="H776" s="857" t="n"/>
      <c r="I776" s="857" t="n"/>
      <c r="J776" s="857" t="n"/>
      <c r="K776" s="857" t="n"/>
      <c r="L776" s="857" t="n"/>
      <c r="M776" s="857" t="n"/>
      <c r="N776" s="857" t="n"/>
      <c r="O776" s="845" t="n"/>
      <c r="P776" s="845" t="n"/>
      <c r="Q776" s="845" t="n"/>
      <c r="R776" s="845" t="n"/>
      <c r="S776" s="845" t="n"/>
      <c r="T776" s="845" t="n"/>
      <c r="U776" s="845" t="n"/>
      <c r="V776" s="845" t="n"/>
      <c r="W776" s="845" t="n"/>
      <c r="X776" s="845" t="n"/>
      <c r="Y776" s="845" t="n"/>
      <c r="Z776" s="845" t="n"/>
    </row>
    <row r="777">
      <c r="A777" s="845" t="n"/>
      <c r="B777" s="857" t="n"/>
      <c r="C777" s="857" t="n"/>
      <c r="D777" s="857" t="n"/>
      <c r="E777" s="857" t="n"/>
      <c r="F777" s="857" t="n"/>
      <c r="G777" s="858" t="n"/>
      <c r="H777" s="857" t="n"/>
      <c r="I777" s="857" t="n"/>
      <c r="J777" s="857" t="n"/>
      <c r="K777" s="857" t="n"/>
      <c r="L777" s="857" t="n"/>
      <c r="M777" s="857" t="n"/>
      <c r="N777" s="857" t="n"/>
      <c r="O777" s="845" t="n"/>
      <c r="P777" s="845" t="n"/>
      <c r="Q777" s="845" t="n"/>
      <c r="R777" s="845" t="n"/>
      <c r="S777" s="845" t="n"/>
      <c r="T777" s="845" t="n"/>
      <c r="U777" s="845" t="n"/>
      <c r="V777" s="845" t="n"/>
      <c r="W777" s="845" t="n"/>
      <c r="X777" s="845" t="n"/>
      <c r="Y777" s="845" t="n"/>
      <c r="Z777" s="845" t="n"/>
    </row>
    <row r="778">
      <c r="A778" s="845" t="n"/>
      <c r="B778" s="857" t="n"/>
      <c r="C778" s="857" t="n"/>
      <c r="D778" s="857" t="n"/>
      <c r="E778" s="857" t="n"/>
      <c r="F778" s="857" t="n"/>
      <c r="G778" s="858" t="n"/>
      <c r="H778" s="857" t="n"/>
      <c r="I778" s="857" t="n"/>
      <c r="J778" s="857" t="n"/>
      <c r="K778" s="857" t="n"/>
      <c r="L778" s="857" t="n"/>
      <c r="M778" s="857" t="n"/>
      <c r="N778" s="857" t="n"/>
      <c r="O778" s="845" t="n"/>
      <c r="P778" s="845" t="n"/>
      <c r="Q778" s="845" t="n"/>
      <c r="R778" s="845" t="n"/>
      <c r="S778" s="845" t="n"/>
      <c r="T778" s="845" t="n"/>
      <c r="U778" s="845" t="n"/>
      <c r="V778" s="845" t="n"/>
      <c r="W778" s="845" t="n"/>
      <c r="X778" s="845" t="n"/>
      <c r="Y778" s="845" t="n"/>
      <c r="Z778" s="845" t="n"/>
    </row>
    <row r="779">
      <c r="A779" s="845" t="n"/>
      <c r="B779" s="857" t="n"/>
      <c r="C779" s="857" t="n"/>
      <c r="D779" s="857" t="n"/>
      <c r="E779" s="857" t="n"/>
      <c r="F779" s="857" t="n"/>
      <c r="G779" s="858" t="n"/>
      <c r="H779" s="857" t="n"/>
      <c r="I779" s="857" t="n"/>
      <c r="J779" s="857" t="n"/>
      <c r="K779" s="857" t="n"/>
      <c r="L779" s="857" t="n"/>
      <c r="M779" s="857" t="n"/>
      <c r="N779" s="857" t="n"/>
      <c r="O779" s="845" t="n"/>
      <c r="P779" s="845" t="n"/>
      <c r="Q779" s="845" t="n"/>
      <c r="R779" s="845" t="n"/>
      <c r="S779" s="845" t="n"/>
      <c r="T779" s="845" t="n"/>
      <c r="U779" s="845" t="n"/>
      <c r="V779" s="845" t="n"/>
      <c r="W779" s="845" t="n"/>
      <c r="X779" s="845" t="n"/>
      <c r="Y779" s="845" t="n"/>
      <c r="Z779" s="845" t="n"/>
    </row>
    <row r="780">
      <c r="A780" s="845" t="n"/>
      <c r="B780" s="857" t="n"/>
      <c r="C780" s="857" t="n"/>
      <c r="D780" s="857" t="n"/>
      <c r="E780" s="857" t="n"/>
      <c r="F780" s="857" t="n"/>
      <c r="G780" s="858" t="n"/>
      <c r="H780" s="857" t="n"/>
      <c r="I780" s="857" t="n"/>
      <c r="J780" s="857" t="n"/>
      <c r="K780" s="857" t="n"/>
      <c r="L780" s="857" t="n"/>
      <c r="M780" s="857" t="n"/>
      <c r="N780" s="857" t="n"/>
      <c r="O780" s="845" t="n"/>
      <c r="P780" s="845" t="n"/>
      <c r="Q780" s="845" t="n"/>
      <c r="R780" s="845" t="n"/>
      <c r="S780" s="845" t="n"/>
      <c r="T780" s="845" t="n"/>
      <c r="U780" s="845" t="n"/>
      <c r="V780" s="845" t="n"/>
      <c r="W780" s="845" t="n"/>
      <c r="X780" s="845" t="n"/>
      <c r="Y780" s="845" t="n"/>
      <c r="Z780" s="845" t="n"/>
    </row>
    <row r="781">
      <c r="A781" s="845" t="n"/>
      <c r="B781" s="857" t="n"/>
      <c r="C781" s="857" t="n"/>
      <c r="D781" s="857" t="n"/>
      <c r="E781" s="857" t="n"/>
      <c r="F781" s="857" t="n"/>
      <c r="G781" s="858" t="n"/>
      <c r="H781" s="857" t="n"/>
      <c r="I781" s="857" t="n"/>
      <c r="J781" s="857" t="n"/>
      <c r="K781" s="857" t="n"/>
      <c r="L781" s="857" t="n"/>
      <c r="M781" s="857" t="n"/>
      <c r="N781" s="857" t="n"/>
      <c r="O781" s="845" t="n"/>
      <c r="P781" s="845" t="n"/>
      <c r="Q781" s="845" t="n"/>
      <c r="R781" s="845" t="n"/>
      <c r="S781" s="845" t="n"/>
      <c r="T781" s="845" t="n"/>
      <c r="U781" s="845" t="n"/>
      <c r="V781" s="845" t="n"/>
      <c r="W781" s="845" t="n"/>
      <c r="X781" s="845" t="n"/>
      <c r="Y781" s="845" t="n"/>
      <c r="Z781" s="845" t="n"/>
    </row>
    <row r="782">
      <c r="A782" s="845" t="n"/>
      <c r="B782" s="857" t="n"/>
      <c r="C782" s="857" t="n"/>
      <c r="D782" s="857" t="n"/>
      <c r="E782" s="857" t="n"/>
      <c r="F782" s="857" t="n"/>
      <c r="G782" s="858" t="n"/>
      <c r="H782" s="857" t="n"/>
      <c r="I782" s="857" t="n"/>
      <c r="J782" s="857" t="n"/>
      <c r="K782" s="857" t="n"/>
      <c r="L782" s="857" t="n"/>
      <c r="M782" s="857" t="n"/>
      <c r="N782" s="857" t="n"/>
      <c r="O782" s="845" t="n"/>
      <c r="P782" s="845" t="n"/>
      <c r="Q782" s="845" t="n"/>
      <c r="R782" s="845" t="n"/>
      <c r="S782" s="845" t="n"/>
      <c r="T782" s="845" t="n"/>
      <c r="U782" s="845" t="n"/>
      <c r="V782" s="845" t="n"/>
      <c r="W782" s="845" t="n"/>
      <c r="X782" s="845" t="n"/>
      <c r="Y782" s="845" t="n"/>
      <c r="Z782" s="845" t="n"/>
    </row>
    <row r="783">
      <c r="A783" s="845" t="n"/>
      <c r="B783" s="857" t="n"/>
      <c r="C783" s="857" t="n"/>
      <c r="D783" s="857" t="n"/>
      <c r="E783" s="857" t="n"/>
      <c r="F783" s="857" t="n"/>
      <c r="G783" s="858" t="n"/>
      <c r="H783" s="857" t="n"/>
      <c r="I783" s="857" t="n"/>
      <c r="J783" s="857" t="n"/>
      <c r="K783" s="857" t="n"/>
      <c r="L783" s="857" t="n"/>
      <c r="M783" s="857" t="n"/>
      <c r="N783" s="857" t="n"/>
      <c r="O783" s="845" t="n"/>
      <c r="P783" s="845" t="n"/>
      <c r="Q783" s="845" t="n"/>
      <c r="R783" s="845" t="n"/>
      <c r="S783" s="845" t="n"/>
      <c r="T783" s="845" t="n"/>
      <c r="U783" s="845" t="n"/>
      <c r="V783" s="845" t="n"/>
      <c r="W783" s="845" t="n"/>
      <c r="X783" s="845" t="n"/>
      <c r="Y783" s="845" t="n"/>
      <c r="Z783" s="845" t="n"/>
    </row>
    <row r="784">
      <c r="A784" s="845" t="n"/>
      <c r="B784" s="857" t="n"/>
      <c r="C784" s="857" t="n"/>
      <c r="D784" s="857" t="n"/>
      <c r="E784" s="857" t="n"/>
      <c r="F784" s="857" t="n"/>
      <c r="G784" s="858" t="n"/>
      <c r="H784" s="857" t="n"/>
      <c r="I784" s="857" t="n"/>
      <c r="J784" s="857" t="n"/>
      <c r="K784" s="857" t="n"/>
      <c r="L784" s="857" t="n"/>
      <c r="M784" s="857" t="n"/>
      <c r="N784" s="857" t="n"/>
      <c r="O784" s="845" t="n"/>
      <c r="P784" s="845" t="n"/>
      <c r="Q784" s="845" t="n"/>
      <c r="R784" s="845" t="n"/>
      <c r="S784" s="845" t="n"/>
      <c r="T784" s="845" t="n"/>
      <c r="U784" s="845" t="n"/>
      <c r="V784" s="845" t="n"/>
      <c r="W784" s="845" t="n"/>
      <c r="X784" s="845" t="n"/>
      <c r="Y784" s="845" t="n"/>
      <c r="Z784" s="845" t="n"/>
    </row>
    <row r="785">
      <c r="A785" s="845" t="n"/>
      <c r="B785" s="857" t="n"/>
      <c r="C785" s="857" t="n"/>
      <c r="D785" s="857" t="n"/>
      <c r="E785" s="857" t="n"/>
      <c r="F785" s="857" t="n"/>
      <c r="G785" s="858" t="n"/>
      <c r="H785" s="857" t="n"/>
      <c r="I785" s="857" t="n"/>
      <c r="J785" s="857" t="n"/>
      <c r="K785" s="857" t="n"/>
      <c r="L785" s="857" t="n"/>
      <c r="M785" s="857" t="n"/>
      <c r="N785" s="857" t="n"/>
      <c r="O785" s="845" t="n"/>
      <c r="P785" s="845" t="n"/>
      <c r="Q785" s="845" t="n"/>
      <c r="R785" s="845" t="n"/>
      <c r="S785" s="845" t="n"/>
      <c r="T785" s="845" t="n"/>
      <c r="U785" s="845" t="n"/>
      <c r="V785" s="845" t="n"/>
      <c r="W785" s="845" t="n"/>
      <c r="X785" s="845" t="n"/>
      <c r="Y785" s="845" t="n"/>
      <c r="Z785" s="845" t="n"/>
    </row>
    <row r="786">
      <c r="A786" s="845" t="n"/>
      <c r="B786" s="857" t="n"/>
      <c r="C786" s="857" t="n"/>
      <c r="D786" s="857" t="n"/>
      <c r="E786" s="857" t="n"/>
      <c r="F786" s="857" t="n"/>
      <c r="G786" s="858" t="n"/>
      <c r="H786" s="857" t="n"/>
      <c r="I786" s="857" t="n"/>
      <c r="J786" s="857" t="n"/>
      <c r="K786" s="857" t="n"/>
      <c r="L786" s="857" t="n"/>
      <c r="M786" s="857" t="n"/>
      <c r="N786" s="857" t="n"/>
      <c r="O786" s="845" t="n"/>
      <c r="P786" s="845" t="n"/>
      <c r="Q786" s="845" t="n"/>
      <c r="R786" s="845" t="n"/>
      <c r="S786" s="845" t="n"/>
      <c r="T786" s="845" t="n"/>
      <c r="U786" s="845" t="n"/>
      <c r="V786" s="845" t="n"/>
      <c r="W786" s="845" t="n"/>
      <c r="X786" s="845" t="n"/>
      <c r="Y786" s="845" t="n"/>
      <c r="Z786" s="845" t="n"/>
    </row>
    <row r="787">
      <c r="A787" s="845" t="n"/>
      <c r="B787" s="857" t="n"/>
      <c r="C787" s="857" t="n"/>
      <c r="D787" s="857" t="n"/>
      <c r="E787" s="857" t="n"/>
      <c r="F787" s="857" t="n"/>
      <c r="G787" s="858" t="n"/>
      <c r="H787" s="857" t="n"/>
      <c r="I787" s="857" t="n"/>
      <c r="J787" s="857" t="n"/>
      <c r="K787" s="857" t="n"/>
      <c r="L787" s="857" t="n"/>
      <c r="M787" s="857" t="n"/>
      <c r="N787" s="857" t="n"/>
      <c r="O787" s="845" t="n"/>
      <c r="P787" s="845" t="n"/>
      <c r="Q787" s="845" t="n"/>
      <c r="R787" s="845" t="n"/>
      <c r="S787" s="845" t="n"/>
      <c r="T787" s="845" t="n"/>
      <c r="U787" s="845" t="n"/>
      <c r="V787" s="845" t="n"/>
      <c r="W787" s="845" t="n"/>
      <c r="X787" s="845" t="n"/>
      <c r="Y787" s="845" t="n"/>
      <c r="Z787" s="845" t="n"/>
    </row>
    <row r="788">
      <c r="A788" s="845" t="n"/>
      <c r="B788" s="857" t="n"/>
      <c r="C788" s="857" t="n"/>
      <c r="D788" s="857" t="n"/>
      <c r="E788" s="857" t="n"/>
      <c r="F788" s="857" t="n"/>
      <c r="G788" s="858" t="n"/>
      <c r="H788" s="857" t="n"/>
      <c r="I788" s="857" t="n"/>
      <c r="J788" s="857" t="n"/>
      <c r="K788" s="857" t="n"/>
      <c r="L788" s="857" t="n"/>
      <c r="M788" s="857" t="n"/>
      <c r="N788" s="857" t="n"/>
      <c r="O788" s="845" t="n"/>
      <c r="P788" s="845" t="n"/>
      <c r="Q788" s="845" t="n"/>
      <c r="R788" s="845" t="n"/>
      <c r="S788" s="845" t="n"/>
      <c r="T788" s="845" t="n"/>
      <c r="U788" s="845" t="n"/>
      <c r="V788" s="845" t="n"/>
      <c r="W788" s="845" t="n"/>
      <c r="X788" s="845" t="n"/>
      <c r="Y788" s="845" t="n"/>
      <c r="Z788" s="845" t="n"/>
    </row>
    <row r="789">
      <c r="A789" s="845" t="n"/>
      <c r="B789" s="857" t="n"/>
      <c r="C789" s="857" t="n"/>
      <c r="D789" s="857" t="n"/>
      <c r="E789" s="857" t="n"/>
      <c r="F789" s="857" t="n"/>
      <c r="G789" s="858" t="n"/>
      <c r="H789" s="857" t="n"/>
      <c r="I789" s="857" t="n"/>
      <c r="J789" s="857" t="n"/>
      <c r="K789" s="857" t="n"/>
      <c r="L789" s="857" t="n"/>
      <c r="M789" s="857" t="n"/>
      <c r="N789" s="857" t="n"/>
      <c r="O789" s="845" t="n"/>
      <c r="P789" s="845" t="n"/>
      <c r="Q789" s="845" t="n"/>
      <c r="R789" s="845" t="n"/>
      <c r="S789" s="845" t="n"/>
      <c r="T789" s="845" t="n"/>
      <c r="U789" s="845" t="n"/>
      <c r="V789" s="845" t="n"/>
      <c r="W789" s="845" t="n"/>
      <c r="X789" s="845" t="n"/>
      <c r="Y789" s="845" t="n"/>
      <c r="Z789" s="845" t="n"/>
    </row>
    <row r="790">
      <c r="A790" s="845" t="n"/>
      <c r="B790" s="857" t="n"/>
      <c r="C790" s="857" t="n"/>
      <c r="D790" s="857" t="n"/>
      <c r="E790" s="857" t="n"/>
      <c r="F790" s="857" t="n"/>
      <c r="G790" s="858" t="n"/>
      <c r="H790" s="857" t="n"/>
      <c r="I790" s="857" t="n"/>
      <c r="J790" s="857" t="n"/>
      <c r="K790" s="857" t="n"/>
      <c r="L790" s="857" t="n"/>
      <c r="M790" s="857" t="n"/>
      <c r="N790" s="857" t="n"/>
      <c r="O790" s="845" t="n"/>
      <c r="P790" s="845" t="n"/>
      <c r="Q790" s="845" t="n"/>
      <c r="R790" s="845" t="n"/>
      <c r="S790" s="845" t="n"/>
      <c r="T790" s="845" t="n"/>
      <c r="U790" s="845" t="n"/>
      <c r="V790" s="845" t="n"/>
      <c r="W790" s="845" t="n"/>
      <c r="X790" s="845" t="n"/>
      <c r="Y790" s="845" t="n"/>
      <c r="Z790" s="845" t="n"/>
    </row>
    <row r="791">
      <c r="A791" s="845" t="n"/>
      <c r="B791" s="857" t="n"/>
      <c r="C791" s="857" t="n"/>
      <c r="D791" s="857" t="n"/>
      <c r="E791" s="857" t="n"/>
      <c r="F791" s="857" t="n"/>
      <c r="G791" s="858" t="n"/>
      <c r="H791" s="857" t="n"/>
      <c r="I791" s="857" t="n"/>
      <c r="J791" s="857" t="n"/>
      <c r="K791" s="857" t="n"/>
      <c r="L791" s="857" t="n"/>
      <c r="M791" s="857" t="n"/>
      <c r="N791" s="857" t="n"/>
      <c r="O791" s="845" t="n"/>
      <c r="P791" s="845" t="n"/>
      <c r="Q791" s="845" t="n"/>
      <c r="R791" s="845" t="n"/>
      <c r="S791" s="845" t="n"/>
      <c r="T791" s="845" t="n"/>
      <c r="U791" s="845" t="n"/>
      <c r="V791" s="845" t="n"/>
      <c r="W791" s="845" t="n"/>
      <c r="X791" s="845" t="n"/>
      <c r="Y791" s="845" t="n"/>
      <c r="Z791" s="845" t="n"/>
    </row>
    <row r="792">
      <c r="A792" s="845" t="n"/>
      <c r="B792" s="857" t="n"/>
      <c r="C792" s="857" t="n"/>
      <c r="D792" s="857" t="n"/>
      <c r="E792" s="857" t="n"/>
      <c r="F792" s="857" t="n"/>
      <c r="G792" s="858" t="n"/>
      <c r="H792" s="857" t="n"/>
      <c r="I792" s="857" t="n"/>
      <c r="J792" s="857" t="n"/>
      <c r="K792" s="857" t="n"/>
      <c r="L792" s="857" t="n"/>
      <c r="M792" s="857" t="n"/>
      <c r="N792" s="857" t="n"/>
      <c r="O792" s="845" t="n"/>
      <c r="P792" s="845" t="n"/>
      <c r="Q792" s="845" t="n"/>
      <c r="R792" s="845" t="n"/>
      <c r="S792" s="845" t="n"/>
      <c r="T792" s="845" t="n"/>
      <c r="U792" s="845" t="n"/>
      <c r="V792" s="845" t="n"/>
      <c r="W792" s="845" t="n"/>
      <c r="X792" s="845" t="n"/>
      <c r="Y792" s="845" t="n"/>
      <c r="Z792" s="845" t="n"/>
    </row>
    <row r="793">
      <c r="A793" s="845" t="n"/>
      <c r="B793" s="857" t="n"/>
      <c r="C793" s="857" t="n"/>
      <c r="D793" s="857" t="n"/>
      <c r="E793" s="857" t="n"/>
      <c r="F793" s="857" t="n"/>
      <c r="G793" s="858" t="n"/>
      <c r="H793" s="857" t="n"/>
      <c r="I793" s="857" t="n"/>
      <c r="J793" s="857" t="n"/>
      <c r="K793" s="857" t="n"/>
      <c r="L793" s="857" t="n"/>
      <c r="M793" s="857" t="n"/>
      <c r="N793" s="857" t="n"/>
      <c r="O793" s="845" t="n"/>
      <c r="P793" s="845" t="n"/>
      <c r="Q793" s="845" t="n"/>
      <c r="R793" s="845" t="n"/>
      <c r="S793" s="845" t="n"/>
      <c r="T793" s="845" t="n"/>
      <c r="U793" s="845" t="n"/>
      <c r="V793" s="845" t="n"/>
      <c r="W793" s="845" t="n"/>
      <c r="X793" s="845" t="n"/>
      <c r="Y793" s="845" t="n"/>
      <c r="Z793" s="845" t="n"/>
    </row>
    <row r="794">
      <c r="A794" s="845" t="n"/>
      <c r="B794" s="857" t="n"/>
      <c r="C794" s="857" t="n"/>
      <c r="D794" s="857" t="n"/>
      <c r="E794" s="857" t="n"/>
      <c r="F794" s="857" t="n"/>
      <c r="G794" s="858" t="n"/>
      <c r="H794" s="857" t="n"/>
      <c r="I794" s="857" t="n"/>
      <c r="J794" s="857" t="n"/>
      <c r="K794" s="857" t="n"/>
      <c r="L794" s="857" t="n"/>
      <c r="M794" s="857" t="n"/>
      <c r="N794" s="857" t="n"/>
      <c r="O794" s="845" t="n"/>
      <c r="P794" s="845" t="n"/>
      <c r="Q794" s="845" t="n"/>
      <c r="R794" s="845" t="n"/>
      <c r="S794" s="845" t="n"/>
      <c r="T794" s="845" t="n"/>
      <c r="U794" s="845" t="n"/>
      <c r="V794" s="845" t="n"/>
      <c r="W794" s="845" t="n"/>
      <c r="X794" s="845" t="n"/>
      <c r="Y794" s="845" t="n"/>
      <c r="Z794" s="845" t="n"/>
    </row>
    <row r="795">
      <c r="A795" s="845" t="n"/>
      <c r="B795" s="857" t="n"/>
      <c r="C795" s="857" t="n"/>
      <c r="D795" s="857" t="n"/>
      <c r="E795" s="857" t="n"/>
      <c r="F795" s="857" t="n"/>
      <c r="G795" s="858" t="n"/>
      <c r="H795" s="857" t="n"/>
      <c r="I795" s="857" t="n"/>
      <c r="J795" s="857" t="n"/>
      <c r="K795" s="857" t="n"/>
      <c r="L795" s="857" t="n"/>
      <c r="M795" s="857" t="n"/>
      <c r="N795" s="857" t="n"/>
      <c r="O795" s="845" t="n"/>
      <c r="P795" s="845" t="n"/>
      <c r="Q795" s="845" t="n"/>
      <c r="R795" s="845" t="n"/>
      <c r="S795" s="845" t="n"/>
      <c r="T795" s="845" t="n"/>
      <c r="U795" s="845" t="n"/>
      <c r="V795" s="845" t="n"/>
      <c r="W795" s="845" t="n"/>
      <c r="X795" s="845" t="n"/>
      <c r="Y795" s="845" t="n"/>
      <c r="Z795" s="845" t="n"/>
    </row>
    <row r="796">
      <c r="A796" s="845" t="n"/>
      <c r="B796" s="857" t="n"/>
      <c r="C796" s="857" t="n"/>
      <c r="D796" s="857" t="n"/>
      <c r="E796" s="857" t="n"/>
      <c r="F796" s="857" t="n"/>
      <c r="G796" s="858" t="n"/>
      <c r="H796" s="857" t="n"/>
      <c r="I796" s="857" t="n"/>
      <c r="J796" s="857" t="n"/>
      <c r="K796" s="857" t="n"/>
      <c r="L796" s="857" t="n"/>
      <c r="M796" s="857" t="n"/>
      <c r="N796" s="857" t="n"/>
      <c r="O796" s="845" t="n"/>
      <c r="P796" s="845" t="n"/>
      <c r="Q796" s="845" t="n"/>
      <c r="R796" s="845" t="n"/>
      <c r="S796" s="845" t="n"/>
      <c r="T796" s="845" t="n"/>
      <c r="U796" s="845" t="n"/>
      <c r="V796" s="845" t="n"/>
      <c r="W796" s="845" t="n"/>
      <c r="X796" s="845" t="n"/>
      <c r="Y796" s="845" t="n"/>
      <c r="Z796" s="845" t="n"/>
    </row>
    <row r="797">
      <c r="A797" s="845" t="n"/>
      <c r="B797" s="857" t="n"/>
      <c r="C797" s="857" t="n"/>
      <c r="D797" s="857" t="n"/>
      <c r="E797" s="857" t="n"/>
      <c r="F797" s="857" t="n"/>
      <c r="G797" s="858" t="n"/>
      <c r="H797" s="857" t="n"/>
      <c r="I797" s="857" t="n"/>
      <c r="J797" s="857" t="n"/>
      <c r="K797" s="857" t="n"/>
      <c r="L797" s="857" t="n"/>
      <c r="M797" s="857" t="n"/>
      <c r="N797" s="857" t="n"/>
      <c r="O797" s="845" t="n"/>
      <c r="P797" s="845" t="n"/>
      <c r="Q797" s="845" t="n"/>
      <c r="R797" s="845" t="n"/>
      <c r="S797" s="845" t="n"/>
      <c r="T797" s="845" t="n"/>
      <c r="U797" s="845" t="n"/>
      <c r="V797" s="845" t="n"/>
      <c r="W797" s="845" t="n"/>
      <c r="X797" s="845" t="n"/>
      <c r="Y797" s="845" t="n"/>
      <c r="Z797" s="845" t="n"/>
    </row>
    <row r="798">
      <c r="A798" s="845" t="n"/>
      <c r="B798" s="857" t="n"/>
      <c r="C798" s="857" t="n"/>
      <c r="D798" s="857" t="n"/>
      <c r="E798" s="857" t="n"/>
      <c r="F798" s="857" t="n"/>
      <c r="G798" s="858" t="n"/>
      <c r="H798" s="857" t="n"/>
      <c r="I798" s="857" t="n"/>
      <c r="J798" s="857" t="n"/>
      <c r="K798" s="857" t="n"/>
      <c r="L798" s="857" t="n"/>
      <c r="M798" s="857" t="n"/>
      <c r="N798" s="857" t="n"/>
      <c r="O798" s="845" t="n"/>
      <c r="P798" s="845" t="n"/>
      <c r="Q798" s="845" t="n"/>
      <c r="R798" s="845" t="n"/>
      <c r="S798" s="845" t="n"/>
      <c r="T798" s="845" t="n"/>
      <c r="U798" s="845" t="n"/>
      <c r="V798" s="845" t="n"/>
      <c r="W798" s="845" t="n"/>
      <c r="X798" s="845" t="n"/>
      <c r="Y798" s="845" t="n"/>
      <c r="Z798" s="845" t="n"/>
    </row>
    <row r="799">
      <c r="A799" s="845" t="n"/>
      <c r="B799" s="857" t="n"/>
      <c r="C799" s="857" t="n"/>
      <c r="D799" s="857" t="n"/>
      <c r="E799" s="857" t="n"/>
      <c r="F799" s="857" t="n"/>
      <c r="G799" s="858" t="n"/>
      <c r="H799" s="857" t="n"/>
      <c r="I799" s="857" t="n"/>
      <c r="J799" s="857" t="n"/>
      <c r="K799" s="857" t="n"/>
      <c r="L799" s="857" t="n"/>
      <c r="M799" s="857" t="n"/>
      <c r="N799" s="857" t="n"/>
      <c r="O799" s="845" t="n"/>
      <c r="P799" s="845" t="n"/>
      <c r="Q799" s="845" t="n"/>
      <c r="R799" s="845" t="n"/>
      <c r="S799" s="845" t="n"/>
      <c r="T799" s="845" t="n"/>
      <c r="U799" s="845" t="n"/>
      <c r="V799" s="845" t="n"/>
      <c r="W799" s="845" t="n"/>
      <c r="X799" s="845" t="n"/>
      <c r="Y799" s="845" t="n"/>
      <c r="Z799" s="845" t="n"/>
    </row>
    <row r="800">
      <c r="A800" s="845" t="n"/>
      <c r="B800" s="857" t="n"/>
      <c r="C800" s="857" t="n"/>
      <c r="D800" s="857" t="n"/>
      <c r="E800" s="857" t="n"/>
      <c r="F800" s="857" t="n"/>
      <c r="G800" s="858" t="n"/>
      <c r="H800" s="857" t="n"/>
      <c r="I800" s="857" t="n"/>
      <c r="J800" s="857" t="n"/>
      <c r="K800" s="857" t="n"/>
      <c r="L800" s="857" t="n"/>
      <c r="M800" s="857" t="n"/>
      <c r="N800" s="857" t="n"/>
      <c r="O800" s="845" t="n"/>
      <c r="P800" s="845" t="n"/>
      <c r="Q800" s="845" t="n"/>
      <c r="R800" s="845" t="n"/>
      <c r="S800" s="845" t="n"/>
      <c r="T800" s="845" t="n"/>
      <c r="U800" s="845" t="n"/>
      <c r="V800" s="845" t="n"/>
      <c r="W800" s="845" t="n"/>
      <c r="X800" s="845" t="n"/>
      <c r="Y800" s="845" t="n"/>
      <c r="Z800" s="845" t="n"/>
    </row>
    <row r="801">
      <c r="A801" s="845" t="n"/>
      <c r="B801" s="857" t="n"/>
      <c r="C801" s="857" t="n"/>
      <c r="D801" s="857" t="n"/>
      <c r="E801" s="857" t="n"/>
      <c r="F801" s="857" t="n"/>
      <c r="G801" s="858" t="n"/>
      <c r="H801" s="857" t="n"/>
      <c r="I801" s="857" t="n"/>
      <c r="J801" s="857" t="n"/>
      <c r="K801" s="857" t="n"/>
      <c r="L801" s="857" t="n"/>
      <c r="M801" s="857" t="n"/>
      <c r="N801" s="857" t="n"/>
      <c r="O801" s="845" t="n"/>
      <c r="P801" s="845" t="n"/>
      <c r="Q801" s="845" t="n"/>
      <c r="R801" s="845" t="n"/>
      <c r="S801" s="845" t="n"/>
      <c r="T801" s="845" t="n"/>
      <c r="U801" s="845" t="n"/>
      <c r="V801" s="845" t="n"/>
      <c r="W801" s="845" t="n"/>
      <c r="X801" s="845" t="n"/>
      <c r="Y801" s="845" t="n"/>
      <c r="Z801" s="845" t="n"/>
    </row>
    <row r="802">
      <c r="A802" s="845" t="n"/>
      <c r="B802" s="857" t="n"/>
      <c r="C802" s="857" t="n"/>
      <c r="D802" s="857" t="n"/>
      <c r="E802" s="857" t="n"/>
      <c r="F802" s="857" t="n"/>
      <c r="G802" s="858" t="n"/>
      <c r="H802" s="857" t="n"/>
      <c r="I802" s="857" t="n"/>
      <c r="J802" s="857" t="n"/>
      <c r="K802" s="857" t="n"/>
      <c r="L802" s="857" t="n"/>
      <c r="M802" s="857" t="n"/>
      <c r="N802" s="857" t="n"/>
      <c r="O802" s="845" t="n"/>
      <c r="P802" s="845" t="n"/>
      <c r="Q802" s="845" t="n"/>
      <c r="R802" s="845" t="n"/>
      <c r="S802" s="845" t="n"/>
      <c r="T802" s="845" t="n"/>
      <c r="U802" s="845" t="n"/>
      <c r="V802" s="845" t="n"/>
      <c r="W802" s="845" t="n"/>
      <c r="X802" s="845" t="n"/>
      <c r="Y802" s="845" t="n"/>
      <c r="Z802" s="845" t="n"/>
    </row>
    <row r="803">
      <c r="A803" s="845" t="n"/>
      <c r="B803" s="857" t="n"/>
      <c r="C803" s="857" t="n"/>
      <c r="D803" s="857" t="n"/>
      <c r="E803" s="857" t="n"/>
      <c r="F803" s="857" t="n"/>
      <c r="G803" s="858" t="n"/>
      <c r="H803" s="857" t="n"/>
      <c r="I803" s="857" t="n"/>
      <c r="J803" s="857" t="n"/>
      <c r="K803" s="857" t="n"/>
      <c r="L803" s="857" t="n"/>
      <c r="M803" s="857" t="n"/>
      <c r="N803" s="857" t="n"/>
      <c r="O803" s="845" t="n"/>
      <c r="P803" s="845" t="n"/>
      <c r="Q803" s="845" t="n"/>
      <c r="R803" s="845" t="n"/>
      <c r="S803" s="845" t="n"/>
      <c r="T803" s="845" t="n"/>
      <c r="U803" s="845" t="n"/>
      <c r="V803" s="845" t="n"/>
      <c r="W803" s="845" t="n"/>
      <c r="X803" s="845" t="n"/>
      <c r="Y803" s="845" t="n"/>
      <c r="Z803" s="845" t="n"/>
    </row>
    <row r="804">
      <c r="A804" s="845" t="n"/>
      <c r="B804" s="857" t="n"/>
      <c r="C804" s="857" t="n"/>
      <c r="D804" s="857" t="n"/>
      <c r="E804" s="857" t="n"/>
      <c r="F804" s="857" t="n"/>
      <c r="G804" s="858" t="n"/>
      <c r="H804" s="857" t="n"/>
      <c r="I804" s="857" t="n"/>
      <c r="J804" s="857" t="n"/>
      <c r="K804" s="857" t="n"/>
      <c r="L804" s="857" t="n"/>
      <c r="M804" s="857" t="n"/>
      <c r="N804" s="857" t="n"/>
      <c r="O804" s="845" t="n"/>
      <c r="P804" s="845" t="n"/>
      <c r="Q804" s="845" t="n"/>
      <c r="R804" s="845" t="n"/>
      <c r="S804" s="845" t="n"/>
      <c r="T804" s="845" t="n"/>
      <c r="U804" s="845" t="n"/>
      <c r="V804" s="845" t="n"/>
      <c r="W804" s="845" t="n"/>
      <c r="X804" s="845" t="n"/>
      <c r="Y804" s="845" t="n"/>
      <c r="Z804" s="845" t="n"/>
    </row>
    <row r="805">
      <c r="A805" s="845" t="n"/>
      <c r="B805" s="857" t="n"/>
      <c r="C805" s="857" t="n"/>
      <c r="D805" s="857" t="n"/>
      <c r="E805" s="857" t="n"/>
      <c r="F805" s="857" t="n"/>
      <c r="G805" s="858" t="n"/>
      <c r="H805" s="857" t="n"/>
      <c r="I805" s="857" t="n"/>
      <c r="J805" s="857" t="n"/>
      <c r="K805" s="857" t="n"/>
      <c r="L805" s="857" t="n"/>
      <c r="M805" s="857" t="n"/>
      <c r="N805" s="857" t="n"/>
      <c r="O805" s="845" t="n"/>
      <c r="P805" s="845" t="n"/>
      <c r="Q805" s="845" t="n"/>
      <c r="R805" s="845" t="n"/>
      <c r="S805" s="845" t="n"/>
      <c r="T805" s="845" t="n"/>
      <c r="U805" s="845" t="n"/>
      <c r="V805" s="845" t="n"/>
      <c r="W805" s="845" t="n"/>
      <c r="X805" s="845" t="n"/>
      <c r="Y805" s="845" t="n"/>
      <c r="Z805" s="845" t="n"/>
    </row>
    <row r="806">
      <c r="A806" s="845" t="n"/>
      <c r="B806" s="857" t="n"/>
      <c r="C806" s="857" t="n"/>
      <c r="D806" s="857" t="n"/>
      <c r="E806" s="857" t="n"/>
      <c r="F806" s="857" t="n"/>
      <c r="G806" s="858" t="n"/>
      <c r="H806" s="857" t="n"/>
      <c r="I806" s="857" t="n"/>
      <c r="J806" s="857" t="n"/>
      <c r="K806" s="857" t="n"/>
      <c r="L806" s="857" t="n"/>
      <c r="M806" s="857" t="n"/>
      <c r="N806" s="857" t="n"/>
      <c r="O806" s="845" t="n"/>
      <c r="P806" s="845" t="n"/>
      <c r="Q806" s="845" t="n"/>
      <c r="R806" s="845" t="n"/>
      <c r="S806" s="845" t="n"/>
      <c r="T806" s="845" t="n"/>
      <c r="U806" s="845" t="n"/>
      <c r="V806" s="845" t="n"/>
      <c r="W806" s="845" t="n"/>
      <c r="X806" s="845" t="n"/>
      <c r="Y806" s="845" t="n"/>
      <c r="Z806" s="845" t="n"/>
    </row>
    <row r="807">
      <c r="A807" s="845" t="n"/>
      <c r="B807" s="857" t="n"/>
      <c r="C807" s="857" t="n"/>
      <c r="D807" s="857" t="n"/>
      <c r="E807" s="857" t="n"/>
      <c r="F807" s="857" t="n"/>
      <c r="G807" s="858" t="n"/>
      <c r="H807" s="857" t="n"/>
      <c r="I807" s="857" t="n"/>
      <c r="J807" s="857" t="n"/>
      <c r="K807" s="857" t="n"/>
      <c r="L807" s="857" t="n"/>
      <c r="M807" s="857" t="n"/>
      <c r="N807" s="857" t="n"/>
      <c r="O807" s="845" t="n"/>
      <c r="P807" s="845" t="n"/>
      <c r="Q807" s="845" t="n"/>
      <c r="R807" s="845" t="n"/>
      <c r="S807" s="845" t="n"/>
      <c r="T807" s="845" t="n"/>
      <c r="U807" s="845" t="n"/>
      <c r="V807" s="845" t="n"/>
      <c r="W807" s="845" t="n"/>
      <c r="X807" s="845" t="n"/>
      <c r="Y807" s="845" t="n"/>
      <c r="Z807" s="845" t="n"/>
    </row>
    <row r="808">
      <c r="A808" s="845" t="n"/>
      <c r="B808" s="857" t="n"/>
      <c r="C808" s="857" t="n"/>
      <c r="D808" s="857" t="n"/>
      <c r="E808" s="857" t="n"/>
      <c r="F808" s="857" t="n"/>
      <c r="G808" s="858" t="n"/>
      <c r="H808" s="857" t="n"/>
      <c r="I808" s="857" t="n"/>
      <c r="J808" s="857" t="n"/>
      <c r="K808" s="857" t="n"/>
      <c r="L808" s="857" t="n"/>
      <c r="M808" s="857" t="n"/>
      <c r="N808" s="857" t="n"/>
      <c r="O808" s="845" t="n"/>
      <c r="P808" s="845" t="n"/>
      <c r="Q808" s="845" t="n"/>
      <c r="R808" s="845" t="n"/>
      <c r="S808" s="845" t="n"/>
      <c r="T808" s="845" t="n"/>
      <c r="U808" s="845" t="n"/>
      <c r="V808" s="845" t="n"/>
      <c r="W808" s="845" t="n"/>
      <c r="X808" s="845" t="n"/>
      <c r="Y808" s="845" t="n"/>
      <c r="Z808" s="845" t="n"/>
    </row>
    <row r="809">
      <c r="A809" s="845" t="n"/>
      <c r="B809" s="857" t="n"/>
      <c r="C809" s="857" t="n"/>
      <c r="D809" s="857" t="n"/>
      <c r="E809" s="857" t="n"/>
      <c r="F809" s="857" t="n"/>
      <c r="G809" s="858" t="n"/>
      <c r="H809" s="857" t="n"/>
      <c r="I809" s="857" t="n"/>
      <c r="J809" s="857" t="n"/>
      <c r="K809" s="857" t="n"/>
      <c r="L809" s="857" t="n"/>
      <c r="M809" s="857" t="n"/>
      <c r="N809" s="857" t="n"/>
      <c r="O809" s="845" t="n"/>
      <c r="P809" s="845" t="n"/>
      <c r="Q809" s="845" t="n"/>
      <c r="R809" s="845" t="n"/>
      <c r="S809" s="845" t="n"/>
      <c r="T809" s="845" t="n"/>
      <c r="U809" s="845" t="n"/>
      <c r="V809" s="845" t="n"/>
      <c r="W809" s="845" t="n"/>
      <c r="X809" s="845" t="n"/>
      <c r="Y809" s="845" t="n"/>
      <c r="Z809" s="845" t="n"/>
    </row>
    <row r="810">
      <c r="A810" s="845" t="n"/>
      <c r="B810" s="857" t="n"/>
      <c r="C810" s="857" t="n"/>
      <c r="D810" s="857" t="n"/>
      <c r="E810" s="857" t="n"/>
      <c r="F810" s="857" t="n"/>
      <c r="G810" s="858" t="n"/>
      <c r="H810" s="857" t="n"/>
      <c r="I810" s="857" t="n"/>
      <c r="J810" s="857" t="n"/>
      <c r="K810" s="857" t="n"/>
      <c r="L810" s="857" t="n"/>
      <c r="M810" s="857" t="n"/>
      <c r="N810" s="857" t="n"/>
      <c r="O810" s="845" t="n"/>
      <c r="P810" s="845" t="n"/>
      <c r="Q810" s="845" t="n"/>
      <c r="R810" s="845" t="n"/>
      <c r="S810" s="845" t="n"/>
      <c r="T810" s="845" t="n"/>
      <c r="U810" s="845" t="n"/>
      <c r="V810" s="845" t="n"/>
      <c r="W810" s="845" t="n"/>
      <c r="X810" s="845" t="n"/>
      <c r="Y810" s="845" t="n"/>
      <c r="Z810" s="845" t="n"/>
    </row>
    <row r="811">
      <c r="A811" s="845" t="n"/>
      <c r="B811" s="857" t="n"/>
      <c r="C811" s="857" t="n"/>
      <c r="D811" s="857" t="n"/>
      <c r="E811" s="857" t="n"/>
      <c r="F811" s="857" t="n"/>
      <c r="G811" s="858" t="n"/>
      <c r="H811" s="857" t="n"/>
      <c r="I811" s="857" t="n"/>
      <c r="J811" s="857" t="n"/>
      <c r="K811" s="857" t="n"/>
      <c r="L811" s="857" t="n"/>
      <c r="M811" s="857" t="n"/>
      <c r="N811" s="857" t="n"/>
      <c r="O811" s="845" t="n"/>
      <c r="P811" s="845" t="n"/>
      <c r="Q811" s="845" t="n"/>
      <c r="R811" s="845" t="n"/>
      <c r="S811" s="845" t="n"/>
      <c r="T811" s="845" t="n"/>
      <c r="U811" s="845" t="n"/>
      <c r="V811" s="845" t="n"/>
      <c r="W811" s="845" t="n"/>
      <c r="X811" s="845" t="n"/>
      <c r="Y811" s="845" t="n"/>
      <c r="Z811" s="845" t="n"/>
    </row>
    <row r="812">
      <c r="A812" s="845" t="n"/>
      <c r="B812" s="857" t="n"/>
      <c r="C812" s="857" t="n"/>
      <c r="D812" s="857" t="n"/>
      <c r="E812" s="857" t="n"/>
      <c r="F812" s="857" t="n"/>
      <c r="G812" s="858" t="n"/>
      <c r="H812" s="857" t="n"/>
      <c r="I812" s="857" t="n"/>
      <c r="J812" s="857" t="n"/>
      <c r="K812" s="857" t="n"/>
      <c r="L812" s="857" t="n"/>
      <c r="M812" s="857" t="n"/>
      <c r="N812" s="857" t="n"/>
      <c r="O812" s="845" t="n"/>
      <c r="P812" s="845" t="n"/>
      <c r="Q812" s="845" t="n"/>
      <c r="R812" s="845" t="n"/>
      <c r="S812" s="845" t="n"/>
      <c r="T812" s="845" t="n"/>
      <c r="U812" s="845" t="n"/>
      <c r="V812" s="845" t="n"/>
      <c r="W812" s="845" t="n"/>
      <c r="X812" s="845" t="n"/>
      <c r="Y812" s="845" t="n"/>
      <c r="Z812" s="845" t="n"/>
    </row>
    <row r="813">
      <c r="A813" s="845" t="n"/>
      <c r="B813" s="857" t="n"/>
      <c r="C813" s="857" t="n"/>
      <c r="D813" s="857" t="n"/>
      <c r="E813" s="857" t="n"/>
      <c r="F813" s="857" t="n"/>
      <c r="G813" s="858" t="n"/>
      <c r="H813" s="857" t="n"/>
      <c r="I813" s="857" t="n"/>
      <c r="J813" s="857" t="n"/>
      <c r="K813" s="857" t="n"/>
      <c r="L813" s="857" t="n"/>
      <c r="M813" s="857" t="n"/>
      <c r="N813" s="857" t="n"/>
      <c r="O813" s="845" t="n"/>
      <c r="P813" s="845" t="n"/>
      <c r="Q813" s="845" t="n"/>
      <c r="R813" s="845" t="n"/>
      <c r="S813" s="845" t="n"/>
      <c r="T813" s="845" t="n"/>
      <c r="U813" s="845" t="n"/>
      <c r="V813" s="845" t="n"/>
      <c r="W813" s="845" t="n"/>
      <c r="X813" s="845" t="n"/>
      <c r="Y813" s="845" t="n"/>
      <c r="Z813" s="845" t="n"/>
    </row>
    <row r="814">
      <c r="A814" s="845" t="n"/>
      <c r="B814" s="857" t="n"/>
      <c r="C814" s="857" t="n"/>
      <c r="D814" s="857" t="n"/>
      <c r="E814" s="857" t="n"/>
      <c r="F814" s="857" t="n"/>
      <c r="G814" s="858" t="n"/>
      <c r="H814" s="857" t="n"/>
      <c r="I814" s="857" t="n"/>
      <c r="J814" s="857" t="n"/>
      <c r="K814" s="857" t="n"/>
      <c r="L814" s="857" t="n"/>
      <c r="M814" s="857" t="n"/>
      <c r="N814" s="857" t="n"/>
      <c r="O814" s="845" t="n"/>
      <c r="P814" s="845" t="n"/>
      <c r="Q814" s="845" t="n"/>
      <c r="R814" s="845" t="n"/>
      <c r="S814" s="845" t="n"/>
      <c r="T814" s="845" t="n"/>
      <c r="U814" s="845" t="n"/>
      <c r="V814" s="845" t="n"/>
      <c r="W814" s="845" t="n"/>
      <c r="X814" s="845" t="n"/>
      <c r="Y814" s="845" t="n"/>
      <c r="Z814" s="845" t="n"/>
    </row>
    <row r="815">
      <c r="A815" s="845" t="n"/>
      <c r="B815" s="857" t="n"/>
      <c r="C815" s="857" t="n"/>
      <c r="D815" s="857" t="n"/>
      <c r="E815" s="857" t="n"/>
      <c r="F815" s="857" t="n"/>
      <c r="G815" s="858" t="n"/>
      <c r="H815" s="857" t="n"/>
      <c r="I815" s="857" t="n"/>
      <c r="J815" s="857" t="n"/>
      <c r="K815" s="857" t="n"/>
      <c r="L815" s="857" t="n"/>
      <c r="M815" s="857" t="n"/>
      <c r="N815" s="857" t="n"/>
      <c r="O815" s="845" t="n"/>
      <c r="P815" s="845" t="n"/>
      <c r="Q815" s="845" t="n"/>
      <c r="R815" s="845" t="n"/>
      <c r="S815" s="845" t="n"/>
      <c r="T815" s="845" t="n"/>
      <c r="U815" s="845" t="n"/>
      <c r="V815" s="845" t="n"/>
      <c r="W815" s="845" t="n"/>
      <c r="X815" s="845" t="n"/>
      <c r="Y815" s="845" t="n"/>
      <c r="Z815" s="845" t="n"/>
    </row>
    <row r="816">
      <c r="A816" s="845" t="n"/>
      <c r="B816" s="857" t="n"/>
      <c r="C816" s="857" t="n"/>
      <c r="D816" s="857" t="n"/>
      <c r="E816" s="857" t="n"/>
      <c r="F816" s="857" t="n"/>
      <c r="G816" s="858" t="n"/>
      <c r="H816" s="857" t="n"/>
      <c r="I816" s="857" t="n"/>
      <c r="J816" s="857" t="n"/>
      <c r="K816" s="857" t="n"/>
      <c r="L816" s="857" t="n"/>
      <c r="M816" s="857" t="n"/>
      <c r="N816" s="857" t="n"/>
      <c r="O816" s="845" t="n"/>
      <c r="P816" s="845" t="n"/>
      <c r="Q816" s="845" t="n"/>
      <c r="R816" s="845" t="n"/>
      <c r="S816" s="845" t="n"/>
      <c r="T816" s="845" t="n"/>
      <c r="U816" s="845" t="n"/>
      <c r="V816" s="845" t="n"/>
      <c r="W816" s="845" t="n"/>
      <c r="X816" s="845" t="n"/>
      <c r="Y816" s="845" t="n"/>
      <c r="Z816" s="845" t="n"/>
    </row>
    <row r="817">
      <c r="A817" s="845" t="n"/>
      <c r="B817" s="857" t="n"/>
      <c r="C817" s="857" t="n"/>
      <c r="D817" s="857" t="n"/>
      <c r="E817" s="857" t="n"/>
      <c r="F817" s="857" t="n"/>
      <c r="G817" s="858" t="n"/>
      <c r="H817" s="857" t="n"/>
      <c r="I817" s="857" t="n"/>
      <c r="J817" s="857" t="n"/>
      <c r="K817" s="857" t="n"/>
      <c r="L817" s="857" t="n"/>
      <c r="M817" s="857" t="n"/>
      <c r="N817" s="857" t="n"/>
      <c r="O817" s="845" t="n"/>
      <c r="P817" s="845" t="n"/>
      <c r="Q817" s="845" t="n"/>
      <c r="R817" s="845" t="n"/>
      <c r="S817" s="845" t="n"/>
      <c r="T817" s="845" t="n"/>
      <c r="U817" s="845" t="n"/>
      <c r="V817" s="845" t="n"/>
      <c r="W817" s="845" t="n"/>
      <c r="X817" s="845" t="n"/>
      <c r="Y817" s="845" t="n"/>
      <c r="Z817" s="845" t="n"/>
    </row>
    <row r="818">
      <c r="A818" s="845" t="n"/>
      <c r="B818" s="857" t="n"/>
      <c r="C818" s="857" t="n"/>
      <c r="D818" s="857" t="n"/>
      <c r="E818" s="857" t="n"/>
      <c r="F818" s="857" t="n"/>
      <c r="G818" s="858" t="n"/>
      <c r="H818" s="857" t="n"/>
      <c r="I818" s="857" t="n"/>
      <c r="J818" s="857" t="n"/>
      <c r="K818" s="857" t="n"/>
      <c r="L818" s="857" t="n"/>
      <c r="M818" s="857" t="n"/>
      <c r="N818" s="857" t="n"/>
      <c r="O818" s="845" t="n"/>
      <c r="P818" s="845" t="n"/>
      <c r="Q818" s="845" t="n"/>
      <c r="R818" s="845" t="n"/>
      <c r="S818" s="845" t="n"/>
      <c r="T818" s="845" t="n"/>
      <c r="U818" s="845" t="n"/>
      <c r="V818" s="845" t="n"/>
      <c r="W818" s="845" t="n"/>
      <c r="X818" s="845" t="n"/>
      <c r="Y818" s="845" t="n"/>
      <c r="Z818" s="845" t="n"/>
    </row>
    <row r="819">
      <c r="A819" s="845" t="n"/>
      <c r="B819" s="857" t="n"/>
      <c r="C819" s="857" t="n"/>
      <c r="D819" s="857" t="n"/>
      <c r="E819" s="857" t="n"/>
      <c r="F819" s="857" t="n"/>
      <c r="G819" s="858" t="n"/>
      <c r="H819" s="857" t="n"/>
      <c r="I819" s="857" t="n"/>
      <c r="J819" s="857" t="n"/>
      <c r="K819" s="857" t="n"/>
      <c r="L819" s="857" t="n"/>
      <c r="M819" s="857" t="n"/>
      <c r="N819" s="857" t="n"/>
      <c r="O819" s="845" t="n"/>
      <c r="P819" s="845" t="n"/>
      <c r="Q819" s="845" t="n"/>
      <c r="R819" s="845" t="n"/>
      <c r="S819" s="845" t="n"/>
      <c r="T819" s="845" t="n"/>
      <c r="U819" s="845" t="n"/>
      <c r="V819" s="845" t="n"/>
      <c r="W819" s="845" t="n"/>
      <c r="X819" s="845" t="n"/>
      <c r="Y819" s="845" t="n"/>
      <c r="Z819" s="845" t="n"/>
    </row>
    <row r="820">
      <c r="A820" s="845" t="n"/>
      <c r="B820" s="857" t="n"/>
      <c r="C820" s="857" t="n"/>
      <c r="D820" s="857" t="n"/>
      <c r="E820" s="857" t="n"/>
      <c r="F820" s="857" t="n"/>
      <c r="G820" s="858" t="n"/>
      <c r="H820" s="857" t="n"/>
      <c r="I820" s="857" t="n"/>
      <c r="J820" s="857" t="n"/>
      <c r="K820" s="857" t="n"/>
      <c r="L820" s="857" t="n"/>
      <c r="M820" s="857" t="n"/>
      <c r="N820" s="857" t="n"/>
      <c r="O820" s="845" t="n"/>
      <c r="P820" s="845" t="n"/>
      <c r="Q820" s="845" t="n"/>
      <c r="R820" s="845" t="n"/>
      <c r="S820" s="845" t="n"/>
      <c r="T820" s="845" t="n"/>
      <c r="U820" s="845" t="n"/>
      <c r="V820" s="845" t="n"/>
      <c r="W820" s="845" t="n"/>
      <c r="X820" s="845" t="n"/>
      <c r="Y820" s="845" t="n"/>
      <c r="Z820" s="845" t="n"/>
    </row>
    <row r="821">
      <c r="A821" s="845" t="n"/>
      <c r="B821" s="857" t="n"/>
      <c r="C821" s="857" t="n"/>
      <c r="D821" s="857" t="n"/>
      <c r="E821" s="857" t="n"/>
      <c r="F821" s="857" t="n"/>
      <c r="G821" s="858" t="n"/>
      <c r="H821" s="857" t="n"/>
      <c r="I821" s="857" t="n"/>
      <c r="J821" s="857" t="n"/>
      <c r="K821" s="857" t="n"/>
      <c r="L821" s="857" t="n"/>
      <c r="M821" s="857" t="n"/>
      <c r="N821" s="857" t="n"/>
      <c r="O821" s="845" t="n"/>
      <c r="P821" s="845" t="n"/>
      <c r="Q821" s="845" t="n"/>
      <c r="R821" s="845" t="n"/>
      <c r="S821" s="845" t="n"/>
      <c r="T821" s="845" t="n"/>
      <c r="U821" s="845" t="n"/>
      <c r="V821" s="845" t="n"/>
      <c r="W821" s="845" t="n"/>
      <c r="X821" s="845" t="n"/>
      <c r="Y821" s="845" t="n"/>
      <c r="Z821" s="845" t="n"/>
    </row>
    <row r="822">
      <c r="A822" s="845" t="n"/>
      <c r="B822" s="857" t="n"/>
      <c r="C822" s="857" t="n"/>
      <c r="D822" s="857" t="n"/>
      <c r="E822" s="857" t="n"/>
      <c r="F822" s="857" t="n"/>
      <c r="G822" s="858" t="n"/>
      <c r="H822" s="857" t="n"/>
      <c r="I822" s="857" t="n"/>
      <c r="J822" s="857" t="n"/>
      <c r="K822" s="857" t="n"/>
      <c r="L822" s="857" t="n"/>
      <c r="M822" s="857" t="n"/>
      <c r="N822" s="857" t="n"/>
      <c r="O822" s="845" t="n"/>
      <c r="P822" s="845" t="n"/>
      <c r="Q822" s="845" t="n"/>
      <c r="R822" s="845" t="n"/>
      <c r="S822" s="845" t="n"/>
      <c r="T822" s="845" t="n"/>
      <c r="U822" s="845" t="n"/>
      <c r="V822" s="845" t="n"/>
      <c r="W822" s="845" t="n"/>
      <c r="X822" s="845" t="n"/>
      <c r="Y822" s="845" t="n"/>
      <c r="Z822" s="845" t="n"/>
    </row>
    <row r="823">
      <c r="A823" s="845" t="n"/>
      <c r="B823" s="857" t="n"/>
      <c r="C823" s="857" t="n"/>
      <c r="D823" s="857" t="n"/>
      <c r="E823" s="857" t="n"/>
      <c r="F823" s="857" t="n"/>
      <c r="G823" s="858" t="n"/>
      <c r="H823" s="857" t="n"/>
      <c r="I823" s="857" t="n"/>
      <c r="J823" s="857" t="n"/>
      <c r="K823" s="857" t="n"/>
      <c r="L823" s="857" t="n"/>
      <c r="M823" s="857" t="n"/>
      <c r="N823" s="857" t="n"/>
      <c r="O823" s="845" t="n"/>
      <c r="P823" s="845" t="n"/>
      <c r="Q823" s="845" t="n"/>
      <c r="R823" s="845" t="n"/>
      <c r="S823" s="845" t="n"/>
      <c r="T823" s="845" t="n"/>
      <c r="U823" s="845" t="n"/>
      <c r="V823" s="845" t="n"/>
      <c r="W823" s="845" t="n"/>
      <c r="X823" s="845" t="n"/>
      <c r="Y823" s="845" t="n"/>
      <c r="Z823" s="845" t="n"/>
    </row>
    <row r="824">
      <c r="A824" s="845" t="n"/>
      <c r="B824" s="857" t="n"/>
      <c r="C824" s="857" t="n"/>
      <c r="D824" s="857" t="n"/>
      <c r="E824" s="857" t="n"/>
      <c r="F824" s="857" t="n"/>
      <c r="G824" s="858" t="n"/>
      <c r="H824" s="857" t="n"/>
      <c r="I824" s="857" t="n"/>
      <c r="J824" s="857" t="n"/>
      <c r="K824" s="857" t="n"/>
      <c r="L824" s="857" t="n"/>
      <c r="M824" s="857" t="n"/>
      <c r="N824" s="857" t="n"/>
      <c r="O824" s="845" t="n"/>
      <c r="P824" s="845" t="n"/>
      <c r="Q824" s="845" t="n"/>
      <c r="R824" s="845" t="n"/>
      <c r="S824" s="845" t="n"/>
      <c r="T824" s="845" t="n"/>
      <c r="U824" s="845" t="n"/>
      <c r="V824" s="845" t="n"/>
      <c r="W824" s="845" t="n"/>
      <c r="X824" s="845" t="n"/>
      <c r="Y824" s="845" t="n"/>
      <c r="Z824" s="845" t="n"/>
    </row>
    <row r="825">
      <c r="A825" s="845" t="n"/>
      <c r="B825" s="857" t="n"/>
      <c r="C825" s="857" t="n"/>
      <c r="D825" s="857" t="n"/>
      <c r="E825" s="857" t="n"/>
      <c r="F825" s="857" t="n"/>
      <c r="G825" s="858" t="n"/>
      <c r="H825" s="857" t="n"/>
      <c r="I825" s="857" t="n"/>
      <c r="J825" s="857" t="n"/>
      <c r="K825" s="857" t="n"/>
      <c r="L825" s="857" t="n"/>
      <c r="M825" s="857" t="n"/>
      <c r="N825" s="857" t="n"/>
      <c r="O825" s="845" t="n"/>
      <c r="P825" s="845" t="n"/>
      <c r="Q825" s="845" t="n"/>
      <c r="R825" s="845" t="n"/>
      <c r="S825" s="845" t="n"/>
      <c r="T825" s="845" t="n"/>
      <c r="U825" s="845" t="n"/>
      <c r="V825" s="845" t="n"/>
      <c r="W825" s="845" t="n"/>
      <c r="X825" s="845" t="n"/>
      <c r="Y825" s="845" t="n"/>
      <c r="Z825" s="845" t="n"/>
    </row>
    <row r="826">
      <c r="A826" s="845" t="n"/>
      <c r="B826" s="857" t="n"/>
      <c r="C826" s="857" t="n"/>
      <c r="D826" s="857" t="n"/>
      <c r="E826" s="857" t="n"/>
      <c r="F826" s="857" t="n"/>
      <c r="G826" s="858" t="n"/>
      <c r="H826" s="857" t="n"/>
      <c r="I826" s="857" t="n"/>
      <c r="J826" s="857" t="n"/>
      <c r="K826" s="857" t="n"/>
      <c r="L826" s="857" t="n"/>
      <c r="M826" s="857" t="n"/>
      <c r="N826" s="857" t="n"/>
      <c r="O826" s="845" t="n"/>
      <c r="P826" s="845" t="n"/>
      <c r="Q826" s="845" t="n"/>
      <c r="R826" s="845" t="n"/>
      <c r="S826" s="845" t="n"/>
      <c r="T826" s="845" t="n"/>
      <c r="U826" s="845" t="n"/>
      <c r="V826" s="845" t="n"/>
      <c r="W826" s="845" t="n"/>
      <c r="X826" s="845" t="n"/>
      <c r="Y826" s="845" t="n"/>
      <c r="Z826" s="845" t="n"/>
    </row>
    <row r="827">
      <c r="A827" s="845" t="n"/>
      <c r="B827" s="857" t="n"/>
      <c r="C827" s="857" t="n"/>
      <c r="D827" s="857" t="n"/>
      <c r="E827" s="857" t="n"/>
      <c r="F827" s="857" t="n"/>
      <c r="G827" s="858" t="n"/>
      <c r="H827" s="857" t="n"/>
      <c r="I827" s="857" t="n"/>
      <c r="J827" s="857" t="n"/>
      <c r="K827" s="857" t="n"/>
      <c r="L827" s="857" t="n"/>
      <c r="M827" s="857" t="n"/>
      <c r="N827" s="857" t="n"/>
      <c r="O827" s="845" t="n"/>
      <c r="P827" s="845" t="n"/>
      <c r="Q827" s="845" t="n"/>
      <c r="R827" s="845" t="n"/>
      <c r="S827" s="845" t="n"/>
      <c r="T827" s="845" t="n"/>
      <c r="U827" s="845" t="n"/>
      <c r="V827" s="845" t="n"/>
      <c r="W827" s="845" t="n"/>
      <c r="X827" s="845" t="n"/>
      <c r="Y827" s="845" t="n"/>
      <c r="Z827" s="845" t="n"/>
    </row>
    <row r="828">
      <c r="A828" s="845" t="n"/>
      <c r="B828" s="857" t="n"/>
      <c r="C828" s="857" t="n"/>
      <c r="D828" s="857" t="n"/>
      <c r="E828" s="857" t="n"/>
      <c r="F828" s="857" t="n"/>
      <c r="G828" s="858" t="n"/>
      <c r="H828" s="857" t="n"/>
      <c r="I828" s="857" t="n"/>
      <c r="J828" s="857" t="n"/>
      <c r="K828" s="857" t="n"/>
      <c r="L828" s="857" t="n"/>
      <c r="M828" s="857" t="n"/>
      <c r="N828" s="857" t="n"/>
      <c r="O828" s="845" t="n"/>
      <c r="P828" s="845" t="n"/>
      <c r="Q828" s="845" t="n"/>
      <c r="R828" s="845" t="n"/>
      <c r="S828" s="845" t="n"/>
      <c r="T828" s="845" t="n"/>
      <c r="U828" s="845" t="n"/>
      <c r="V828" s="845" t="n"/>
      <c r="W828" s="845" t="n"/>
      <c r="X828" s="845" t="n"/>
      <c r="Y828" s="845" t="n"/>
      <c r="Z828" s="845" t="n"/>
    </row>
    <row r="829">
      <c r="A829" s="845" t="n"/>
      <c r="B829" s="857" t="n"/>
      <c r="C829" s="857" t="n"/>
      <c r="D829" s="857" t="n"/>
      <c r="E829" s="857" t="n"/>
      <c r="F829" s="857" t="n"/>
      <c r="G829" s="858" t="n"/>
      <c r="H829" s="857" t="n"/>
      <c r="I829" s="857" t="n"/>
      <c r="J829" s="857" t="n"/>
      <c r="K829" s="857" t="n"/>
      <c r="L829" s="857" t="n"/>
      <c r="M829" s="857" t="n"/>
      <c r="N829" s="857" t="n"/>
      <c r="O829" s="845" t="n"/>
      <c r="P829" s="845" t="n"/>
      <c r="Q829" s="845" t="n"/>
      <c r="R829" s="845" t="n"/>
      <c r="S829" s="845" t="n"/>
      <c r="T829" s="845" t="n"/>
      <c r="U829" s="845" t="n"/>
      <c r="V829" s="845" t="n"/>
      <c r="W829" s="845" t="n"/>
      <c r="X829" s="845" t="n"/>
      <c r="Y829" s="845" t="n"/>
      <c r="Z829" s="845" t="n"/>
    </row>
    <row r="830">
      <c r="A830" s="845" t="n"/>
      <c r="B830" s="857" t="n"/>
      <c r="C830" s="857" t="n"/>
      <c r="D830" s="857" t="n"/>
      <c r="E830" s="857" t="n"/>
      <c r="F830" s="857" t="n"/>
      <c r="G830" s="858" t="n"/>
      <c r="H830" s="857" t="n"/>
      <c r="I830" s="857" t="n"/>
      <c r="J830" s="857" t="n"/>
      <c r="K830" s="857" t="n"/>
      <c r="L830" s="857" t="n"/>
      <c r="M830" s="857" t="n"/>
      <c r="N830" s="857" t="n"/>
      <c r="O830" s="845" t="n"/>
      <c r="P830" s="845" t="n"/>
      <c r="Q830" s="845" t="n"/>
      <c r="R830" s="845" t="n"/>
      <c r="S830" s="845" t="n"/>
      <c r="T830" s="845" t="n"/>
      <c r="U830" s="845" t="n"/>
      <c r="V830" s="845" t="n"/>
      <c r="W830" s="845" t="n"/>
      <c r="X830" s="845" t="n"/>
      <c r="Y830" s="845" t="n"/>
      <c r="Z830" s="845" t="n"/>
    </row>
    <row r="831">
      <c r="A831" s="845" t="n"/>
      <c r="B831" s="857" t="n"/>
      <c r="C831" s="857" t="n"/>
      <c r="D831" s="857" t="n"/>
      <c r="E831" s="857" t="n"/>
      <c r="F831" s="857" t="n"/>
      <c r="G831" s="858" t="n"/>
      <c r="H831" s="857" t="n"/>
      <c r="I831" s="857" t="n"/>
      <c r="J831" s="857" t="n"/>
      <c r="K831" s="857" t="n"/>
      <c r="L831" s="857" t="n"/>
      <c r="M831" s="857" t="n"/>
      <c r="N831" s="857" t="n"/>
      <c r="O831" s="845" t="n"/>
      <c r="P831" s="845" t="n"/>
      <c r="Q831" s="845" t="n"/>
      <c r="R831" s="845" t="n"/>
      <c r="S831" s="845" t="n"/>
      <c r="T831" s="845" t="n"/>
      <c r="U831" s="845" t="n"/>
      <c r="V831" s="845" t="n"/>
      <c r="W831" s="845" t="n"/>
      <c r="X831" s="845" t="n"/>
      <c r="Y831" s="845" t="n"/>
      <c r="Z831" s="845" t="n"/>
    </row>
    <row r="832">
      <c r="A832" s="845" t="n"/>
      <c r="B832" s="857" t="n"/>
      <c r="C832" s="857" t="n"/>
      <c r="D832" s="857" t="n"/>
      <c r="E832" s="857" t="n"/>
      <c r="F832" s="857" t="n"/>
      <c r="G832" s="858" t="n"/>
      <c r="H832" s="857" t="n"/>
      <c r="I832" s="857" t="n"/>
      <c r="J832" s="857" t="n"/>
      <c r="K832" s="857" t="n"/>
      <c r="L832" s="857" t="n"/>
      <c r="M832" s="857" t="n"/>
      <c r="N832" s="857" t="n"/>
      <c r="O832" s="845" t="n"/>
      <c r="P832" s="845" t="n"/>
      <c r="Q832" s="845" t="n"/>
      <c r="R832" s="845" t="n"/>
      <c r="S832" s="845" t="n"/>
      <c r="T832" s="845" t="n"/>
      <c r="U832" s="845" t="n"/>
      <c r="V832" s="845" t="n"/>
      <c r="W832" s="845" t="n"/>
      <c r="X832" s="845" t="n"/>
      <c r="Y832" s="845" t="n"/>
      <c r="Z832" s="845" t="n"/>
    </row>
    <row r="833">
      <c r="A833" s="845" t="n"/>
      <c r="B833" s="857" t="n"/>
      <c r="C833" s="857" t="n"/>
      <c r="D833" s="857" t="n"/>
      <c r="E833" s="857" t="n"/>
      <c r="F833" s="857" t="n"/>
      <c r="G833" s="858" t="n"/>
      <c r="H833" s="857" t="n"/>
      <c r="I833" s="857" t="n"/>
      <c r="J833" s="857" t="n"/>
      <c r="K833" s="857" t="n"/>
      <c r="L833" s="857" t="n"/>
      <c r="M833" s="857" t="n"/>
      <c r="N833" s="857" t="n"/>
      <c r="O833" s="845" t="n"/>
      <c r="P833" s="845" t="n"/>
      <c r="Q833" s="845" t="n"/>
      <c r="R833" s="845" t="n"/>
      <c r="S833" s="845" t="n"/>
      <c r="T833" s="845" t="n"/>
      <c r="U833" s="845" t="n"/>
      <c r="V833" s="845" t="n"/>
      <c r="W833" s="845" t="n"/>
      <c r="X833" s="845" t="n"/>
      <c r="Y833" s="845" t="n"/>
      <c r="Z833" s="845" t="n"/>
    </row>
    <row r="834">
      <c r="A834" s="845" t="n"/>
      <c r="B834" s="857" t="n"/>
      <c r="C834" s="857" t="n"/>
      <c r="D834" s="857" t="n"/>
      <c r="E834" s="857" t="n"/>
      <c r="F834" s="857" t="n"/>
      <c r="G834" s="858" t="n"/>
      <c r="H834" s="857" t="n"/>
      <c r="I834" s="857" t="n"/>
      <c r="J834" s="857" t="n"/>
      <c r="K834" s="857" t="n"/>
      <c r="L834" s="857" t="n"/>
      <c r="M834" s="857" t="n"/>
      <c r="N834" s="857" t="n"/>
      <c r="O834" s="845" t="n"/>
      <c r="P834" s="845" t="n"/>
      <c r="Q834" s="845" t="n"/>
      <c r="R834" s="845" t="n"/>
      <c r="S834" s="845" t="n"/>
      <c r="T834" s="845" t="n"/>
      <c r="U834" s="845" t="n"/>
      <c r="V834" s="845" t="n"/>
      <c r="W834" s="845" t="n"/>
      <c r="X834" s="845" t="n"/>
      <c r="Y834" s="845" t="n"/>
      <c r="Z834" s="845" t="n"/>
    </row>
    <row r="835">
      <c r="A835" s="845" t="n"/>
      <c r="B835" s="857" t="n"/>
      <c r="C835" s="857" t="n"/>
      <c r="D835" s="857" t="n"/>
      <c r="E835" s="857" t="n"/>
      <c r="F835" s="857" t="n"/>
      <c r="G835" s="858" t="n"/>
      <c r="H835" s="857" t="n"/>
      <c r="I835" s="857" t="n"/>
      <c r="J835" s="857" t="n"/>
      <c r="K835" s="857" t="n"/>
      <c r="L835" s="857" t="n"/>
      <c r="M835" s="857" t="n"/>
      <c r="N835" s="857" t="n"/>
      <c r="O835" s="845" t="n"/>
      <c r="P835" s="845" t="n"/>
      <c r="Q835" s="845" t="n"/>
      <c r="R835" s="845" t="n"/>
      <c r="S835" s="845" t="n"/>
      <c r="T835" s="845" t="n"/>
      <c r="U835" s="845" t="n"/>
      <c r="V835" s="845" t="n"/>
      <c r="W835" s="845" t="n"/>
      <c r="X835" s="845" t="n"/>
      <c r="Y835" s="845" t="n"/>
      <c r="Z835" s="845" t="n"/>
    </row>
    <row r="836">
      <c r="A836" s="845" t="n"/>
      <c r="B836" s="857" t="n"/>
      <c r="C836" s="857" t="n"/>
      <c r="D836" s="857" t="n"/>
      <c r="E836" s="857" t="n"/>
      <c r="F836" s="857" t="n"/>
      <c r="G836" s="858" t="n"/>
      <c r="H836" s="857" t="n"/>
      <c r="I836" s="857" t="n"/>
      <c r="J836" s="857" t="n"/>
      <c r="K836" s="857" t="n"/>
      <c r="L836" s="857" t="n"/>
      <c r="M836" s="857" t="n"/>
      <c r="N836" s="857" t="n"/>
      <c r="O836" s="845" t="n"/>
      <c r="P836" s="845" t="n"/>
      <c r="Q836" s="845" t="n"/>
      <c r="R836" s="845" t="n"/>
      <c r="S836" s="845" t="n"/>
      <c r="T836" s="845" t="n"/>
      <c r="U836" s="845" t="n"/>
      <c r="V836" s="845" t="n"/>
      <c r="W836" s="845" t="n"/>
      <c r="X836" s="845" t="n"/>
      <c r="Y836" s="845" t="n"/>
      <c r="Z836" s="845" t="n"/>
    </row>
    <row r="837">
      <c r="A837" s="845" t="n"/>
      <c r="B837" s="857" t="n"/>
      <c r="C837" s="857" t="n"/>
      <c r="D837" s="857" t="n"/>
      <c r="E837" s="857" t="n"/>
      <c r="F837" s="857" t="n"/>
      <c r="G837" s="858" t="n"/>
      <c r="H837" s="857" t="n"/>
      <c r="I837" s="857" t="n"/>
      <c r="J837" s="857" t="n"/>
      <c r="K837" s="857" t="n"/>
      <c r="L837" s="857" t="n"/>
      <c r="M837" s="857" t="n"/>
      <c r="N837" s="857" t="n"/>
      <c r="O837" s="845" t="n"/>
      <c r="P837" s="845" t="n"/>
      <c r="Q837" s="845" t="n"/>
      <c r="R837" s="845" t="n"/>
      <c r="S837" s="845" t="n"/>
      <c r="T837" s="845" t="n"/>
      <c r="U837" s="845" t="n"/>
      <c r="V837" s="845" t="n"/>
      <c r="W837" s="845" t="n"/>
      <c r="X837" s="845" t="n"/>
      <c r="Y837" s="845" t="n"/>
      <c r="Z837" s="845" t="n"/>
    </row>
    <row r="838">
      <c r="A838" s="845" t="n"/>
      <c r="B838" s="857" t="n"/>
      <c r="C838" s="857" t="n"/>
      <c r="D838" s="857" t="n"/>
      <c r="E838" s="857" t="n"/>
      <c r="F838" s="857" t="n"/>
      <c r="G838" s="858" t="n"/>
      <c r="H838" s="857" t="n"/>
      <c r="I838" s="857" t="n"/>
      <c r="J838" s="857" t="n"/>
      <c r="K838" s="857" t="n"/>
      <c r="L838" s="857" t="n"/>
      <c r="M838" s="857" t="n"/>
      <c r="N838" s="857" t="n"/>
      <c r="O838" s="845" t="n"/>
      <c r="P838" s="845" t="n"/>
      <c r="Q838" s="845" t="n"/>
      <c r="R838" s="845" t="n"/>
      <c r="S838" s="845" t="n"/>
      <c r="T838" s="845" t="n"/>
      <c r="U838" s="845" t="n"/>
      <c r="V838" s="845" t="n"/>
      <c r="W838" s="845" t="n"/>
      <c r="X838" s="845" t="n"/>
      <c r="Y838" s="845" t="n"/>
      <c r="Z838" s="845" t="n"/>
    </row>
    <row r="839">
      <c r="A839" s="845" t="n"/>
      <c r="B839" s="857" t="n"/>
      <c r="C839" s="857" t="n"/>
      <c r="D839" s="857" t="n"/>
      <c r="E839" s="857" t="n"/>
      <c r="F839" s="857" t="n"/>
      <c r="G839" s="858" t="n"/>
      <c r="H839" s="857" t="n"/>
      <c r="I839" s="857" t="n"/>
      <c r="J839" s="857" t="n"/>
      <c r="K839" s="857" t="n"/>
      <c r="L839" s="857" t="n"/>
      <c r="M839" s="857" t="n"/>
      <c r="N839" s="857" t="n"/>
      <c r="O839" s="845" t="n"/>
      <c r="P839" s="845" t="n"/>
      <c r="Q839" s="845" t="n"/>
      <c r="R839" s="845" t="n"/>
      <c r="S839" s="845" t="n"/>
      <c r="T839" s="845" t="n"/>
      <c r="U839" s="845" t="n"/>
      <c r="V839" s="845" t="n"/>
      <c r="W839" s="845" t="n"/>
      <c r="X839" s="845" t="n"/>
      <c r="Y839" s="845" t="n"/>
      <c r="Z839" s="845" t="n"/>
    </row>
    <row r="840">
      <c r="A840" s="845" t="n"/>
      <c r="B840" s="857" t="n"/>
      <c r="C840" s="857" t="n"/>
      <c r="D840" s="857" t="n"/>
      <c r="E840" s="857" t="n"/>
      <c r="F840" s="857" t="n"/>
      <c r="G840" s="858" t="n"/>
      <c r="H840" s="857" t="n"/>
      <c r="I840" s="857" t="n"/>
      <c r="J840" s="857" t="n"/>
      <c r="K840" s="857" t="n"/>
      <c r="L840" s="857" t="n"/>
      <c r="M840" s="857" t="n"/>
      <c r="N840" s="857" t="n"/>
      <c r="O840" s="845" t="n"/>
      <c r="P840" s="845" t="n"/>
      <c r="Q840" s="845" t="n"/>
      <c r="R840" s="845" t="n"/>
      <c r="S840" s="845" t="n"/>
      <c r="T840" s="845" t="n"/>
      <c r="U840" s="845" t="n"/>
      <c r="V840" s="845" t="n"/>
      <c r="W840" s="845" t="n"/>
      <c r="X840" s="845" t="n"/>
      <c r="Y840" s="845" t="n"/>
      <c r="Z840" s="845" t="n"/>
    </row>
    <row r="841">
      <c r="A841" s="845" t="n"/>
      <c r="B841" s="857" t="n"/>
      <c r="C841" s="857" t="n"/>
      <c r="D841" s="857" t="n"/>
      <c r="E841" s="857" t="n"/>
      <c r="F841" s="857" t="n"/>
      <c r="G841" s="858" t="n"/>
      <c r="H841" s="857" t="n"/>
      <c r="I841" s="857" t="n"/>
      <c r="J841" s="857" t="n"/>
      <c r="K841" s="857" t="n"/>
      <c r="L841" s="857" t="n"/>
      <c r="M841" s="857" t="n"/>
      <c r="N841" s="857" t="n"/>
      <c r="O841" s="845" t="n"/>
      <c r="P841" s="845" t="n"/>
      <c r="Q841" s="845" t="n"/>
      <c r="R841" s="845" t="n"/>
      <c r="S841" s="845" t="n"/>
      <c r="T841" s="845" t="n"/>
      <c r="U841" s="845" t="n"/>
      <c r="V841" s="845" t="n"/>
      <c r="W841" s="845" t="n"/>
      <c r="X841" s="845" t="n"/>
      <c r="Y841" s="845" t="n"/>
      <c r="Z841" s="845" t="n"/>
    </row>
    <row r="842">
      <c r="A842" s="845" t="n"/>
      <c r="B842" s="857" t="n"/>
      <c r="C842" s="857" t="n"/>
      <c r="D842" s="857" t="n"/>
      <c r="E842" s="857" t="n"/>
      <c r="F842" s="857" t="n"/>
      <c r="G842" s="858" t="n"/>
      <c r="H842" s="857" t="n"/>
      <c r="I842" s="857" t="n"/>
      <c r="J842" s="857" t="n"/>
      <c r="K842" s="857" t="n"/>
      <c r="L842" s="857" t="n"/>
      <c r="M842" s="857" t="n"/>
      <c r="N842" s="857" t="n"/>
      <c r="O842" s="845" t="n"/>
      <c r="P842" s="845" t="n"/>
      <c r="Q842" s="845" t="n"/>
      <c r="R842" s="845" t="n"/>
      <c r="S842" s="845" t="n"/>
      <c r="T842" s="845" t="n"/>
      <c r="U842" s="845" t="n"/>
      <c r="V842" s="845" t="n"/>
      <c r="W842" s="845" t="n"/>
      <c r="X842" s="845" t="n"/>
      <c r="Y842" s="845" t="n"/>
      <c r="Z842" s="845" t="n"/>
    </row>
    <row r="843">
      <c r="A843" s="845" t="n"/>
      <c r="B843" s="857" t="n"/>
      <c r="C843" s="857" t="n"/>
      <c r="D843" s="857" t="n"/>
      <c r="E843" s="857" t="n"/>
      <c r="F843" s="857" t="n"/>
      <c r="G843" s="858" t="n"/>
      <c r="H843" s="857" t="n"/>
      <c r="I843" s="857" t="n"/>
      <c r="J843" s="857" t="n"/>
      <c r="K843" s="857" t="n"/>
      <c r="L843" s="857" t="n"/>
      <c r="M843" s="857" t="n"/>
      <c r="N843" s="857" t="n"/>
      <c r="O843" s="845" t="n"/>
      <c r="P843" s="845" t="n"/>
      <c r="Q843" s="845" t="n"/>
      <c r="R843" s="845" t="n"/>
      <c r="S843" s="845" t="n"/>
      <c r="T843" s="845" t="n"/>
      <c r="U843" s="845" t="n"/>
      <c r="V843" s="845" t="n"/>
      <c r="W843" s="845" t="n"/>
      <c r="X843" s="845" t="n"/>
      <c r="Y843" s="845" t="n"/>
      <c r="Z843" s="845" t="n"/>
    </row>
    <row r="844">
      <c r="A844" s="845" t="n"/>
      <c r="B844" s="857" t="n"/>
      <c r="C844" s="857" t="n"/>
      <c r="D844" s="857" t="n"/>
      <c r="E844" s="857" t="n"/>
      <c r="F844" s="857" t="n"/>
      <c r="G844" s="858" t="n"/>
      <c r="H844" s="857" t="n"/>
      <c r="I844" s="857" t="n"/>
      <c r="J844" s="857" t="n"/>
      <c r="K844" s="857" t="n"/>
      <c r="L844" s="857" t="n"/>
      <c r="M844" s="857" t="n"/>
      <c r="N844" s="857" t="n"/>
      <c r="O844" s="845" t="n"/>
      <c r="P844" s="845" t="n"/>
      <c r="Q844" s="845" t="n"/>
      <c r="R844" s="845" t="n"/>
      <c r="S844" s="845" t="n"/>
      <c r="T844" s="845" t="n"/>
      <c r="U844" s="845" t="n"/>
      <c r="V844" s="845" t="n"/>
      <c r="W844" s="845" t="n"/>
      <c r="X844" s="845" t="n"/>
      <c r="Y844" s="845" t="n"/>
      <c r="Z844" s="845" t="n"/>
    </row>
    <row r="845">
      <c r="A845" s="845" t="n"/>
      <c r="B845" s="857" t="n"/>
      <c r="C845" s="857" t="n"/>
      <c r="D845" s="857" t="n"/>
      <c r="E845" s="857" t="n"/>
      <c r="F845" s="857" t="n"/>
      <c r="G845" s="858" t="n"/>
      <c r="H845" s="857" t="n"/>
      <c r="I845" s="857" t="n"/>
      <c r="J845" s="857" t="n"/>
      <c r="K845" s="857" t="n"/>
      <c r="L845" s="857" t="n"/>
      <c r="M845" s="857" t="n"/>
      <c r="N845" s="857" t="n"/>
      <c r="O845" s="845" t="n"/>
      <c r="P845" s="845" t="n"/>
      <c r="Q845" s="845" t="n"/>
      <c r="R845" s="845" t="n"/>
      <c r="S845" s="845" t="n"/>
      <c r="T845" s="845" t="n"/>
      <c r="U845" s="845" t="n"/>
      <c r="V845" s="845" t="n"/>
      <c r="W845" s="845" t="n"/>
      <c r="X845" s="845" t="n"/>
      <c r="Y845" s="845" t="n"/>
      <c r="Z845" s="845" t="n"/>
    </row>
    <row r="846">
      <c r="A846" s="845" t="n"/>
      <c r="B846" s="857" t="n"/>
      <c r="C846" s="857" t="n"/>
      <c r="D846" s="857" t="n"/>
      <c r="E846" s="857" t="n"/>
      <c r="F846" s="857" t="n"/>
      <c r="G846" s="858" t="n"/>
      <c r="H846" s="857" t="n"/>
      <c r="I846" s="857" t="n"/>
      <c r="J846" s="857" t="n"/>
      <c r="K846" s="857" t="n"/>
      <c r="L846" s="857" t="n"/>
      <c r="M846" s="857" t="n"/>
      <c r="N846" s="857" t="n"/>
      <c r="O846" s="845" t="n"/>
      <c r="P846" s="845" t="n"/>
      <c r="Q846" s="845" t="n"/>
      <c r="R846" s="845" t="n"/>
      <c r="S846" s="845" t="n"/>
      <c r="T846" s="845" t="n"/>
      <c r="U846" s="845" t="n"/>
      <c r="V846" s="845" t="n"/>
      <c r="W846" s="845" t="n"/>
      <c r="X846" s="845" t="n"/>
      <c r="Y846" s="845" t="n"/>
      <c r="Z846" s="845" t="n"/>
    </row>
    <row r="847">
      <c r="A847" s="845" t="n"/>
      <c r="B847" s="857" t="n"/>
      <c r="C847" s="857" t="n"/>
      <c r="D847" s="857" t="n"/>
      <c r="E847" s="857" t="n"/>
      <c r="F847" s="857" t="n"/>
      <c r="G847" s="858" t="n"/>
      <c r="H847" s="857" t="n"/>
      <c r="I847" s="857" t="n"/>
      <c r="J847" s="857" t="n"/>
      <c r="K847" s="857" t="n"/>
      <c r="L847" s="857" t="n"/>
      <c r="M847" s="857" t="n"/>
      <c r="N847" s="857" t="n"/>
      <c r="O847" s="845" t="n"/>
      <c r="P847" s="845" t="n"/>
      <c r="Q847" s="845" t="n"/>
      <c r="R847" s="845" t="n"/>
      <c r="S847" s="845" t="n"/>
      <c r="T847" s="845" t="n"/>
      <c r="U847" s="845" t="n"/>
      <c r="V847" s="845" t="n"/>
      <c r="W847" s="845" t="n"/>
      <c r="X847" s="845" t="n"/>
      <c r="Y847" s="845" t="n"/>
      <c r="Z847" s="845" t="n"/>
    </row>
    <row r="848">
      <c r="A848" s="845" t="n"/>
      <c r="B848" s="857" t="n"/>
      <c r="C848" s="857" t="n"/>
      <c r="D848" s="857" t="n"/>
      <c r="E848" s="857" t="n"/>
      <c r="F848" s="857" t="n"/>
      <c r="G848" s="858" t="n"/>
      <c r="H848" s="857" t="n"/>
      <c r="I848" s="857" t="n"/>
      <c r="J848" s="857" t="n"/>
      <c r="K848" s="857" t="n"/>
      <c r="L848" s="857" t="n"/>
      <c r="M848" s="857" t="n"/>
      <c r="N848" s="857" t="n"/>
      <c r="O848" s="845" t="n"/>
      <c r="P848" s="845" t="n"/>
      <c r="Q848" s="845" t="n"/>
      <c r="R848" s="845" t="n"/>
      <c r="S848" s="845" t="n"/>
      <c r="T848" s="845" t="n"/>
      <c r="U848" s="845" t="n"/>
      <c r="V848" s="845" t="n"/>
      <c r="W848" s="845" t="n"/>
      <c r="X848" s="845" t="n"/>
      <c r="Y848" s="845" t="n"/>
      <c r="Z848" s="845" t="n"/>
    </row>
    <row r="849">
      <c r="A849" s="845" t="n"/>
      <c r="B849" s="857" t="n"/>
      <c r="C849" s="857" t="n"/>
      <c r="D849" s="857" t="n"/>
      <c r="E849" s="857" t="n"/>
      <c r="F849" s="857" t="n"/>
      <c r="G849" s="858" t="n"/>
      <c r="H849" s="857" t="n"/>
      <c r="I849" s="857" t="n"/>
      <c r="J849" s="857" t="n"/>
      <c r="K849" s="857" t="n"/>
      <c r="L849" s="857" t="n"/>
      <c r="M849" s="857" t="n"/>
      <c r="N849" s="857" t="n"/>
      <c r="O849" s="845" t="n"/>
      <c r="P849" s="845" t="n"/>
      <c r="Q849" s="845" t="n"/>
      <c r="R849" s="845" t="n"/>
      <c r="S849" s="845" t="n"/>
      <c r="T849" s="845" t="n"/>
      <c r="U849" s="845" t="n"/>
      <c r="V849" s="845" t="n"/>
      <c r="W849" s="845" t="n"/>
      <c r="X849" s="845" t="n"/>
      <c r="Y849" s="845" t="n"/>
      <c r="Z849" s="845" t="n"/>
    </row>
    <row r="850">
      <c r="A850" s="845" t="n"/>
      <c r="B850" s="857" t="n"/>
      <c r="C850" s="857" t="n"/>
      <c r="D850" s="857" t="n"/>
      <c r="E850" s="857" t="n"/>
      <c r="F850" s="857" t="n"/>
      <c r="G850" s="858" t="n"/>
      <c r="H850" s="857" t="n"/>
      <c r="I850" s="857" t="n"/>
      <c r="J850" s="857" t="n"/>
      <c r="K850" s="857" t="n"/>
      <c r="L850" s="857" t="n"/>
      <c r="M850" s="857" t="n"/>
      <c r="N850" s="857" t="n"/>
      <c r="O850" s="845" t="n"/>
      <c r="P850" s="845" t="n"/>
      <c r="Q850" s="845" t="n"/>
      <c r="R850" s="845" t="n"/>
      <c r="S850" s="845" t="n"/>
      <c r="T850" s="845" t="n"/>
      <c r="U850" s="845" t="n"/>
      <c r="V850" s="845" t="n"/>
      <c r="W850" s="845" t="n"/>
      <c r="X850" s="845" t="n"/>
      <c r="Y850" s="845" t="n"/>
      <c r="Z850" s="845" t="n"/>
    </row>
    <row r="851">
      <c r="A851" s="845" t="n"/>
      <c r="B851" s="857" t="n"/>
      <c r="C851" s="857" t="n"/>
      <c r="D851" s="857" t="n"/>
      <c r="E851" s="857" t="n"/>
      <c r="F851" s="857" t="n"/>
      <c r="G851" s="858" t="n"/>
      <c r="H851" s="857" t="n"/>
      <c r="I851" s="857" t="n"/>
      <c r="J851" s="857" t="n"/>
      <c r="K851" s="857" t="n"/>
      <c r="L851" s="857" t="n"/>
      <c r="M851" s="857" t="n"/>
      <c r="N851" s="857" t="n"/>
      <c r="O851" s="845" t="n"/>
      <c r="P851" s="845" t="n"/>
      <c r="Q851" s="845" t="n"/>
      <c r="R851" s="845" t="n"/>
      <c r="S851" s="845" t="n"/>
      <c r="T851" s="845" t="n"/>
      <c r="U851" s="845" t="n"/>
      <c r="V851" s="845" t="n"/>
      <c r="W851" s="845" t="n"/>
      <c r="X851" s="845" t="n"/>
      <c r="Y851" s="845" t="n"/>
      <c r="Z851" s="845" t="n"/>
    </row>
    <row r="852">
      <c r="A852" s="845" t="n"/>
      <c r="B852" s="857" t="n"/>
      <c r="C852" s="857" t="n"/>
      <c r="D852" s="857" t="n"/>
      <c r="E852" s="857" t="n"/>
      <c r="F852" s="857" t="n"/>
      <c r="G852" s="858" t="n"/>
      <c r="H852" s="857" t="n"/>
      <c r="I852" s="857" t="n"/>
      <c r="J852" s="857" t="n"/>
      <c r="K852" s="857" t="n"/>
      <c r="L852" s="857" t="n"/>
      <c r="M852" s="857" t="n"/>
      <c r="N852" s="857" t="n"/>
      <c r="O852" s="845" t="n"/>
      <c r="P852" s="845" t="n"/>
      <c r="Q852" s="845" t="n"/>
      <c r="R852" s="845" t="n"/>
      <c r="S852" s="845" t="n"/>
      <c r="T852" s="845" t="n"/>
      <c r="U852" s="845" t="n"/>
      <c r="V852" s="845" t="n"/>
      <c r="W852" s="845" t="n"/>
      <c r="X852" s="845" t="n"/>
      <c r="Y852" s="845" t="n"/>
      <c r="Z852" s="845" t="n"/>
    </row>
    <row r="853">
      <c r="A853" s="845" t="n"/>
      <c r="B853" s="857" t="n"/>
      <c r="C853" s="857" t="n"/>
      <c r="D853" s="857" t="n"/>
      <c r="E853" s="857" t="n"/>
      <c r="F853" s="857" t="n"/>
      <c r="G853" s="858" t="n"/>
      <c r="H853" s="857" t="n"/>
      <c r="I853" s="857" t="n"/>
      <c r="J853" s="857" t="n"/>
      <c r="K853" s="857" t="n"/>
      <c r="L853" s="857" t="n"/>
      <c r="M853" s="857" t="n"/>
      <c r="N853" s="857" t="n"/>
      <c r="O853" s="845" t="n"/>
      <c r="P853" s="845" t="n"/>
      <c r="Q853" s="845" t="n"/>
      <c r="R853" s="845" t="n"/>
      <c r="S853" s="845" t="n"/>
      <c r="T853" s="845" t="n"/>
      <c r="U853" s="845" t="n"/>
      <c r="V853" s="845" t="n"/>
      <c r="W853" s="845" t="n"/>
      <c r="X853" s="845" t="n"/>
      <c r="Y853" s="845" t="n"/>
      <c r="Z853" s="845" t="n"/>
    </row>
    <row r="854">
      <c r="A854" s="845" t="n"/>
      <c r="B854" s="857" t="n"/>
      <c r="C854" s="857" t="n"/>
      <c r="D854" s="857" t="n"/>
      <c r="E854" s="857" t="n"/>
      <c r="F854" s="857" t="n"/>
      <c r="G854" s="858" t="n"/>
      <c r="H854" s="857" t="n"/>
      <c r="I854" s="857" t="n"/>
      <c r="J854" s="857" t="n"/>
      <c r="K854" s="857" t="n"/>
      <c r="L854" s="857" t="n"/>
      <c r="M854" s="857" t="n"/>
      <c r="N854" s="857" t="n"/>
      <c r="O854" s="845" t="n"/>
      <c r="P854" s="845" t="n"/>
      <c r="Q854" s="845" t="n"/>
      <c r="R854" s="845" t="n"/>
      <c r="S854" s="845" t="n"/>
      <c r="T854" s="845" t="n"/>
      <c r="U854" s="845" t="n"/>
      <c r="V854" s="845" t="n"/>
      <c r="W854" s="845" t="n"/>
      <c r="X854" s="845" t="n"/>
      <c r="Y854" s="845" t="n"/>
      <c r="Z854" s="845" t="n"/>
    </row>
    <row r="855">
      <c r="A855" s="845" t="n"/>
      <c r="B855" s="857" t="n"/>
      <c r="C855" s="857" t="n"/>
      <c r="D855" s="857" t="n"/>
      <c r="E855" s="857" t="n"/>
      <c r="F855" s="857" t="n"/>
      <c r="G855" s="858" t="n"/>
      <c r="H855" s="857" t="n"/>
      <c r="I855" s="857" t="n"/>
      <c r="J855" s="857" t="n"/>
      <c r="K855" s="857" t="n"/>
      <c r="L855" s="857" t="n"/>
      <c r="M855" s="857" t="n"/>
      <c r="N855" s="857" t="n"/>
      <c r="O855" s="845" t="n"/>
      <c r="P855" s="845" t="n"/>
      <c r="Q855" s="845" t="n"/>
      <c r="R855" s="845" t="n"/>
      <c r="S855" s="845" t="n"/>
      <c r="T855" s="845" t="n"/>
      <c r="U855" s="845" t="n"/>
      <c r="V855" s="845" t="n"/>
      <c r="W855" s="845" t="n"/>
      <c r="X855" s="845" t="n"/>
      <c r="Y855" s="845" t="n"/>
      <c r="Z855" s="845" t="n"/>
    </row>
    <row r="856">
      <c r="A856" s="845" t="n"/>
      <c r="B856" s="857" t="n"/>
      <c r="C856" s="857" t="n"/>
      <c r="D856" s="857" t="n"/>
      <c r="E856" s="857" t="n"/>
      <c r="F856" s="857" t="n"/>
      <c r="G856" s="858" t="n"/>
      <c r="H856" s="857" t="n"/>
      <c r="I856" s="857" t="n"/>
      <c r="J856" s="857" t="n"/>
      <c r="K856" s="857" t="n"/>
      <c r="L856" s="857" t="n"/>
      <c r="M856" s="857" t="n"/>
      <c r="N856" s="857" t="n"/>
      <c r="O856" s="845" t="n"/>
      <c r="P856" s="845" t="n"/>
      <c r="Q856" s="845" t="n"/>
      <c r="R856" s="845" t="n"/>
      <c r="S856" s="845" t="n"/>
      <c r="T856" s="845" t="n"/>
      <c r="U856" s="845" t="n"/>
      <c r="V856" s="845" t="n"/>
      <c r="W856" s="845" t="n"/>
      <c r="X856" s="845" t="n"/>
      <c r="Y856" s="845" t="n"/>
      <c r="Z856" s="845" t="n"/>
    </row>
    <row r="857">
      <c r="A857" s="845" t="n"/>
      <c r="B857" s="857" t="n"/>
      <c r="C857" s="857" t="n"/>
      <c r="D857" s="857" t="n"/>
      <c r="E857" s="857" t="n"/>
      <c r="F857" s="857" t="n"/>
      <c r="G857" s="858" t="n"/>
      <c r="H857" s="857" t="n"/>
      <c r="I857" s="857" t="n"/>
      <c r="J857" s="857" t="n"/>
      <c r="K857" s="857" t="n"/>
      <c r="L857" s="857" t="n"/>
      <c r="M857" s="857" t="n"/>
      <c r="N857" s="857" t="n"/>
      <c r="O857" s="845" t="n"/>
      <c r="P857" s="845" t="n"/>
      <c r="Q857" s="845" t="n"/>
      <c r="R857" s="845" t="n"/>
      <c r="S857" s="845" t="n"/>
      <c r="T857" s="845" t="n"/>
      <c r="U857" s="845" t="n"/>
      <c r="V857" s="845" t="n"/>
      <c r="W857" s="845" t="n"/>
      <c r="X857" s="845" t="n"/>
      <c r="Y857" s="845" t="n"/>
      <c r="Z857" s="845" t="n"/>
    </row>
    <row r="858">
      <c r="A858" s="845" t="n"/>
      <c r="B858" s="857" t="n"/>
      <c r="C858" s="857" t="n"/>
      <c r="D858" s="857" t="n"/>
      <c r="E858" s="857" t="n"/>
      <c r="F858" s="857" t="n"/>
      <c r="G858" s="858" t="n"/>
      <c r="H858" s="857" t="n"/>
      <c r="I858" s="857" t="n"/>
      <c r="J858" s="857" t="n"/>
      <c r="K858" s="857" t="n"/>
      <c r="L858" s="857" t="n"/>
      <c r="M858" s="857" t="n"/>
      <c r="N858" s="857" t="n"/>
      <c r="O858" s="845" t="n"/>
      <c r="P858" s="845" t="n"/>
      <c r="Q858" s="845" t="n"/>
      <c r="R858" s="845" t="n"/>
      <c r="S858" s="845" t="n"/>
      <c r="T858" s="845" t="n"/>
      <c r="U858" s="845" t="n"/>
      <c r="V858" s="845" t="n"/>
      <c r="W858" s="845" t="n"/>
      <c r="X858" s="845" t="n"/>
      <c r="Y858" s="845" t="n"/>
      <c r="Z858" s="845" t="n"/>
    </row>
    <row r="859">
      <c r="A859" s="845" t="n"/>
      <c r="B859" s="857" t="n"/>
      <c r="C859" s="857" t="n"/>
      <c r="D859" s="857" t="n"/>
      <c r="E859" s="857" t="n"/>
      <c r="F859" s="857" t="n"/>
      <c r="G859" s="858" t="n"/>
      <c r="H859" s="857" t="n"/>
      <c r="I859" s="857" t="n"/>
      <c r="J859" s="857" t="n"/>
      <c r="K859" s="857" t="n"/>
      <c r="L859" s="857" t="n"/>
      <c r="M859" s="857" t="n"/>
      <c r="N859" s="857" t="n"/>
      <c r="O859" s="845" t="n"/>
      <c r="P859" s="845" t="n"/>
      <c r="Q859" s="845" t="n"/>
      <c r="R859" s="845" t="n"/>
      <c r="S859" s="845" t="n"/>
      <c r="T859" s="845" t="n"/>
      <c r="U859" s="845" t="n"/>
      <c r="V859" s="845" t="n"/>
      <c r="W859" s="845" t="n"/>
      <c r="X859" s="845" t="n"/>
      <c r="Y859" s="845" t="n"/>
      <c r="Z859" s="845" t="n"/>
    </row>
    <row r="860">
      <c r="A860" s="845" t="n"/>
      <c r="B860" s="857" t="n"/>
      <c r="C860" s="857" t="n"/>
      <c r="D860" s="857" t="n"/>
      <c r="E860" s="857" t="n"/>
      <c r="F860" s="857" t="n"/>
      <c r="G860" s="858" t="n"/>
      <c r="H860" s="857" t="n"/>
      <c r="I860" s="857" t="n"/>
      <c r="J860" s="857" t="n"/>
      <c r="K860" s="857" t="n"/>
      <c r="L860" s="857" t="n"/>
      <c r="M860" s="857" t="n"/>
      <c r="N860" s="857" t="n"/>
      <c r="O860" s="845" t="n"/>
      <c r="P860" s="845" t="n"/>
      <c r="Q860" s="845" t="n"/>
      <c r="R860" s="845" t="n"/>
      <c r="S860" s="845" t="n"/>
      <c r="T860" s="845" t="n"/>
      <c r="U860" s="845" t="n"/>
      <c r="V860" s="845" t="n"/>
      <c r="W860" s="845" t="n"/>
      <c r="X860" s="845" t="n"/>
      <c r="Y860" s="845" t="n"/>
      <c r="Z860" s="845" t="n"/>
    </row>
    <row r="861">
      <c r="A861" s="845" t="n"/>
      <c r="B861" s="857" t="n"/>
      <c r="C861" s="857" t="n"/>
      <c r="D861" s="857" t="n"/>
      <c r="E861" s="857" t="n"/>
      <c r="F861" s="857" t="n"/>
      <c r="G861" s="858" t="n"/>
      <c r="H861" s="857" t="n"/>
      <c r="I861" s="857" t="n"/>
      <c r="J861" s="857" t="n"/>
      <c r="K861" s="857" t="n"/>
      <c r="L861" s="857" t="n"/>
      <c r="M861" s="857" t="n"/>
      <c r="N861" s="857" t="n"/>
      <c r="O861" s="845" t="n"/>
      <c r="P861" s="845" t="n"/>
      <c r="Q861" s="845" t="n"/>
      <c r="R861" s="845" t="n"/>
      <c r="S861" s="845" t="n"/>
      <c r="T861" s="845" t="n"/>
      <c r="U861" s="845" t="n"/>
      <c r="V861" s="845" t="n"/>
      <c r="W861" s="845" t="n"/>
      <c r="X861" s="845" t="n"/>
      <c r="Y861" s="845" t="n"/>
      <c r="Z861" s="845" t="n"/>
    </row>
    <row r="862">
      <c r="A862" s="845" t="n"/>
      <c r="B862" s="857" t="n"/>
      <c r="C862" s="857" t="n"/>
      <c r="D862" s="857" t="n"/>
      <c r="E862" s="857" t="n"/>
      <c r="F862" s="857" t="n"/>
      <c r="G862" s="858" t="n"/>
      <c r="H862" s="857" t="n"/>
      <c r="I862" s="857" t="n"/>
      <c r="J862" s="857" t="n"/>
      <c r="K862" s="857" t="n"/>
      <c r="L862" s="857" t="n"/>
      <c r="M862" s="857" t="n"/>
      <c r="N862" s="857" t="n"/>
      <c r="O862" s="845" t="n"/>
      <c r="P862" s="845" t="n"/>
      <c r="Q862" s="845" t="n"/>
      <c r="R862" s="845" t="n"/>
      <c r="S862" s="845" t="n"/>
      <c r="T862" s="845" t="n"/>
      <c r="U862" s="845" t="n"/>
      <c r="V862" s="845" t="n"/>
      <c r="W862" s="845" t="n"/>
      <c r="X862" s="845" t="n"/>
      <c r="Y862" s="845" t="n"/>
      <c r="Z862" s="845" t="n"/>
    </row>
    <row r="863">
      <c r="A863" s="845" t="n"/>
      <c r="B863" s="857" t="n"/>
      <c r="C863" s="857" t="n"/>
      <c r="D863" s="857" t="n"/>
      <c r="E863" s="857" t="n"/>
      <c r="F863" s="857" t="n"/>
      <c r="G863" s="858" t="n"/>
      <c r="H863" s="857" t="n"/>
      <c r="I863" s="857" t="n"/>
      <c r="J863" s="857" t="n"/>
      <c r="K863" s="857" t="n"/>
      <c r="L863" s="857" t="n"/>
      <c r="M863" s="857" t="n"/>
      <c r="N863" s="857" t="n"/>
      <c r="O863" s="845" t="n"/>
      <c r="P863" s="845" t="n"/>
      <c r="Q863" s="845" t="n"/>
      <c r="R863" s="845" t="n"/>
      <c r="S863" s="845" t="n"/>
      <c r="T863" s="845" t="n"/>
      <c r="U863" s="845" t="n"/>
      <c r="V863" s="845" t="n"/>
      <c r="W863" s="845" t="n"/>
      <c r="X863" s="845" t="n"/>
      <c r="Y863" s="845" t="n"/>
      <c r="Z863" s="845" t="n"/>
    </row>
    <row r="864">
      <c r="A864" s="845" t="n"/>
      <c r="B864" s="857" t="n"/>
      <c r="C864" s="857" t="n"/>
      <c r="D864" s="857" t="n"/>
      <c r="E864" s="857" t="n"/>
      <c r="F864" s="857" t="n"/>
      <c r="G864" s="858" t="n"/>
      <c r="H864" s="857" t="n"/>
      <c r="I864" s="857" t="n"/>
      <c r="J864" s="857" t="n"/>
      <c r="K864" s="857" t="n"/>
      <c r="L864" s="857" t="n"/>
      <c r="M864" s="857" t="n"/>
      <c r="N864" s="857" t="n"/>
      <c r="O864" s="845" t="n"/>
      <c r="P864" s="845" t="n"/>
      <c r="Q864" s="845" t="n"/>
      <c r="R864" s="845" t="n"/>
      <c r="S864" s="845" t="n"/>
      <c r="T864" s="845" t="n"/>
      <c r="U864" s="845" t="n"/>
      <c r="V864" s="845" t="n"/>
      <c r="W864" s="845" t="n"/>
      <c r="X864" s="845" t="n"/>
      <c r="Y864" s="845" t="n"/>
      <c r="Z864" s="845" t="n"/>
    </row>
    <row r="865">
      <c r="A865" s="845" t="n"/>
      <c r="B865" s="857" t="n"/>
      <c r="C865" s="857" t="n"/>
      <c r="D865" s="857" t="n"/>
      <c r="E865" s="857" t="n"/>
      <c r="F865" s="857" t="n"/>
      <c r="G865" s="858" t="n"/>
      <c r="H865" s="857" t="n"/>
      <c r="I865" s="857" t="n"/>
      <c r="J865" s="857" t="n"/>
      <c r="K865" s="857" t="n"/>
      <c r="L865" s="857" t="n"/>
      <c r="M865" s="857" t="n"/>
      <c r="N865" s="857" t="n"/>
      <c r="O865" s="845" t="n"/>
      <c r="P865" s="845" t="n"/>
      <c r="Q865" s="845" t="n"/>
      <c r="R865" s="845" t="n"/>
      <c r="S865" s="845" t="n"/>
      <c r="T865" s="845" t="n"/>
      <c r="U865" s="845" t="n"/>
      <c r="V865" s="845" t="n"/>
      <c r="W865" s="845" t="n"/>
      <c r="X865" s="845" t="n"/>
      <c r="Y865" s="845" t="n"/>
      <c r="Z865" s="845" t="n"/>
    </row>
    <row r="866">
      <c r="A866" s="845" t="n"/>
      <c r="B866" s="857" t="n"/>
      <c r="C866" s="857" t="n"/>
      <c r="D866" s="857" t="n"/>
      <c r="E866" s="857" t="n"/>
      <c r="F866" s="857" t="n"/>
      <c r="G866" s="858" t="n"/>
      <c r="H866" s="857" t="n"/>
      <c r="I866" s="857" t="n"/>
      <c r="J866" s="857" t="n"/>
      <c r="K866" s="857" t="n"/>
      <c r="L866" s="857" t="n"/>
      <c r="M866" s="857" t="n"/>
      <c r="N866" s="857" t="n"/>
      <c r="O866" s="845" t="n"/>
      <c r="P866" s="845" t="n"/>
      <c r="Q866" s="845" t="n"/>
      <c r="R866" s="845" t="n"/>
      <c r="S866" s="845" t="n"/>
      <c r="T866" s="845" t="n"/>
      <c r="U866" s="845" t="n"/>
      <c r="V866" s="845" t="n"/>
      <c r="W866" s="845" t="n"/>
      <c r="X866" s="845" t="n"/>
      <c r="Y866" s="845" t="n"/>
      <c r="Z866" s="845" t="n"/>
    </row>
    <row r="867">
      <c r="A867" s="845" t="n"/>
      <c r="B867" s="857" t="n"/>
      <c r="C867" s="857" t="n"/>
      <c r="D867" s="857" t="n"/>
      <c r="E867" s="857" t="n"/>
      <c r="F867" s="857" t="n"/>
      <c r="G867" s="858" t="n"/>
      <c r="H867" s="857" t="n"/>
      <c r="I867" s="857" t="n"/>
      <c r="J867" s="857" t="n"/>
      <c r="K867" s="857" t="n"/>
      <c r="L867" s="857" t="n"/>
      <c r="M867" s="857" t="n"/>
      <c r="N867" s="857" t="n"/>
      <c r="O867" s="845" t="n"/>
      <c r="P867" s="845" t="n"/>
      <c r="Q867" s="845" t="n"/>
      <c r="R867" s="845" t="n"/>
      <c r="S867" s="845" t="n"/>
      <c r="T867" s="845" t="n"/>
      <c r="U867" s="845" t="n"/>
      <c r="V867" s="845" t="n"/>
      <c r="W867" s="845" t="n"/>
      <c r="X867" s="845" t="n"/>
      <c r="Y867" s="845" t="n"/>
      <c r="Z867" s="845" t="n"/>
    </row>
    <row r="868">
      <c r="A868" s="845" t="n"/>
      <c r="B868" s="857" t="n"/>
      <c r="C868" s="857" t="n"/>
      <c r="D868" s="857" t="n"/>
      <c r="E868" s="857" t="n"/>
      <c r="F868" s="857" t="n"/>
      <c r="G868" s="858" t="n"/>
      <c r="H868" s="857" t="n"/>
      <c r="I868" s="857" t="n"/>
      <c r="J868" s="857" t="n"/>
      <c r="K868" s="857" t="n"/>
      <c r="L868" s="857" t="n"/>
      <c r="M868" s="857" t="n"/>
      <c r="N868" s="857" t="n"/>
      <c r="O868" s="845" t="n"/>
      <c r="P868" s="845" t="n"/>
      <c r="Q868" s="845" t="n"/>
      <c r="R868" s="845" t="n"/>
      <c r="S868" s="845" t="n"/>
      <c r="T868" s="845" t="n"/>
      <c r="U868" s="845" t="n"/>
      <c r="V868" s="845" t="n"/>
      <c r="W868" s="845" t="n"/>
      <c r="X868" s="845" t="n"/>
      <c r="Y868" s="845" t="n"/>
      <c r="Z868" s="845" t="n"/>
    </row>
    <row r="869">
      <c r="A869" s="845" t="n"/>
      <c r="B869" s="857" t="n"/>
      <c r="C869" s="857" t="n"/>
      <c r="D869" s="857" t="n"/>
      <c r="E869" s="857" t="n"/>
      <c r="F869" s="857" t="n"/>
      <c r="G869" s="858" t="n"/>
      <c r="H869" s="857" t="n"/>
      <c r="I869" s="857" t="n"/>
      <c r="J869" s="857" t="n"/>
      <c r="K869" s="857" t="n"/>
      <c r="L869" s="857" t="n"/>
      <c r="M869" s="857" t="n"/>
      <c r="N869" s="857" t="n"/>
      <c r="O869" s="845" t="n"/>
      <c r="P869" s="845" t="n"/>
      <c r="Q869" s="845" t="n"/>
      <c r="R869" s="845" t="n"/>
      <c r="S869" s="845" t="n"/>
      <c r="T869" s="845" t="n"/>
      <c r="U869" s="845" t="n"/>
      <c r="V869" s="845" t="n"/>
      <c r="W869" s="845" t="n"/>
      <c r="X869" s="845" t="n"/>
      <c r="Y869" s="845" t="n"/>
      <c r="Z869" s="845" t="n"/>
    </row>
    <row r="870">
      <c r="A870" s="845" t="n"/>
      <c r="B870" s="857" t="n"/>
      <c r="C870" s="857" t="n"/>
      <c r="D870" s="857" t="n"/>
      <c r="E870" s="857" t="n"/>
      <c r="F870" s="857" t="n"/>
      <c r="G870" s="858" t="n"/>
      <c r="H870" s="857" t="n"/>
      <c r="I870" s="857" t="n"/>
      <c r="J870" s="857" t="n"/>
      <c r="K870" s="857" t="n"/>
      <c r="L870" s="857" t="n"/>
      <c r="M870" s="857" t="n"/>
      <c r="N870" s="857" t="n"/>
      <c r="O870" s="845" t="n"/>
      <c r="P870" s="845" t="n"/>
      <c r="Q870" s="845" t="n"/>
      <c r="R870" s="845" t="n"/>
      <c r="S870" s="845" t="n"/>
      <c r="T870" s="845" t="n"/>
      <c r="U870" s="845" t="n"/>
      <c r="V870" s="845" t="n"/>
      <c r="W870" s="845" t="n"/>
      <c r="X870" s="845" t="n"/>
      <c r="Y870" s="845" t="n"/>
      <c r="Z870" s="845" t="n"/>
    </row>
    <row r="871">
      <c r="A871" s="845" t="n"/>
      <c r="B871" s="857" t="n"/>
      <c r="C871" s="857" t="n"/>
      <c r="D871" s="857" t="n"/>
      <c r="E871" s="857" t="n"/>
      <c r="F871" s="857" t="n"/>
      <c r="G871" s="858" t="n"/>
      <c r="H871" s="857" t="n"/>
      <c r="I871" s="857" t="n"/>
      <c r="J871" s="857" t="n"/>
      <c r="K871" s="857" t="n"/>
      <c r="L871" s="857" t="n"/>
      <c r="M871" s="857" t="n"/>
      <c r="N871" s="857" t="n"/>
      <c r="O871" s="845" t="n"/>
      <c r="P871" s="845" t="n"/>
      <c r="Q871" s="845" t="n"/>
      <c r="R871" s="845" t="n"/>
      <c r="S871" s="845" t="n"/>
      <c r="T871" s="845" t="n"/>
      <c r="U871" s="845" t="n"/>
      <c r="V871" s="845" t="n"/>
      <c r="W871" s="845" t="n"/>
      <c r="X871" s="845" t="n"/>
      <c r="Y871" s="845" t="n"/>
      <c r="Z871" s="845" t="n"/>
    </row>
    <row r="872">
      <c r="A872" s="845" t="n"/>
      <c r="B872" s="857" t="n"/>
      <c r="C872" s="857" t="n"/>
      <c r="D872" s="857" t="n"/>
      <c r="E872" s="857" t="n"/>
      <c r="F872" s="857" t="n"/>
      <c r="G872" s="858" t="n"/>
      <c r="H872" s="857" t="n"/>
      <c r="I872" s="857" t="n"/>
      <c r="J872" s="857" t="n"/>
      <c r="K872" s="857" t="n"/>
      <c r="L872" s="857" t="n"/>
      <c r="M872" s="857" t="n"/>
      <c r="N872" s="857" t="n"/>
      <c r="O872" s="845" t="n"/>
      <c r="P872" s="845" t="n"/>
      <c r="Q872" s="845" t="n"/>
      <c r="R872" s="845" t="n"/>
      <c r="S872" s="845" t="n"/>
      <c r="T872" s="845" t="n"/>
      <c r="U872" s="845" t="n"/>
      <c r="V872" s="845" t="n"/>
      <c r="W872" s="845" t="n"/>
      <c r="X872" s="845" t="n"/>
      <c r="Y872" s="845" t="n"/>
      <c r="Z872" s="845" t="n"/>
    </row>
    <row r="873">
      <c r="A873" s="845" t="n"/>
      <c r="B873" s="857" t="n"/>
      <c r="C873" s="857" t="n"/>
      <c r="D873" s="857" t="n"/>
      <c r="E873" s="857" t="n"/>
      <c r="F873" s="857" t="n"/>
      <c r="G873" s="858" t="n"/>
      <c r="H873" s="857" t="n"/>
      <c r="I873" s="857" t="n"/>
      <c r="J873" s="857" t="n"/>
      <c r="K873" s="857" t="n"/>
      <c r="L873" s="857" t="n"/>
      <c r="M873" s="857" t="n"/>
      <c r="N873" s="857" t="n"/>
      <c r="O873" s="845" t="n"/>
      <c r="P873" s="845" t="n"/>
      <c r="Q873" s="845" t="n"/>
      <c r="R873" s="845" t="n"/>
      <c r="S873" s="845" t="n"/>
      <c r="T873" s="845" t="n"/>
      <c r="U873" s="845" t="n"/>
      <c r="V873" s="845" t="n"/>
      <c r="W873" s="845" t="n"/>
      <c r="X873" s="845" t="n"/>
      <c r="Y873" s="845" t="n"/>
      <c r="Z873" s="845" t="n"/>
    </row>
    <row r="874">
      <c r="A874" s="845" t="n"/>
      <c r="B874" s="857" t="n"/>
      <c r="C874" s="857" t="n"/>
      <c r="D874" s="857" t="n"/>
      <c r="E874" s="857" t="n"/>
      <c r="F874" s="857" t="n"/>
      <c r="G874" s="858" t="n"/>
      <c r="H874" s="857" t="n"/>
      <c r="I874" s="857" t="n"/>
      <c r="J874" s="857" t="n"/>
      <c r="K874" s="857" t="n"/>
      <c r="L874" s="857" t="n"/>
      <c r="M874" s="857" t="n"/>
      <c r="N874" s="857" t="n"/>
      <c r="O874" s="845" t="n"/>
      <c r="P874" s="845" t="n"/>
      <c r="Q874" s="845" t="n"/>
      <c r="R874" s="845" t="n"/>
      <c r="S874" s="845" t="n"/>
      <c r="T874" s="845" t="n"/>
      <c r="U874" s="845" t="n"/>
      <c r="V874" s="845" t="n"/>
      <c r="W874" s="845" t="n"/>
      <c r="X874" s="845" t="n"/>
      <c r="Y874" s="845" t="n"/>
      <c r="Z874" s="845" t="n"/>
    </row>
    <row r="875">
      <c r="A875" s="845" t="n"/>
      <c r="B875" s="857" t="n"/>
      <c r="C875" s="857" t="n"/>
      <c r="D875" s="857" t="n"/>
      <c r="E875" s="857" t="n"/>
      <c r="F875" s="857" t="n"/>
      <c r="G875" s="858" t="n"/>
      <c r="H875" s="857" t="n"/>
      <c r="I875" s="857" t="n"/>
      <c r="J875" s="857" t="n"/>
      <c r="K875" s="857" t="n"/>
      <c r="L875" s="857" t="n"/>
      <c r="M875" s="857" t="n"/>
      <c r="N875" s="857" t="n"/>
      <c r="O875" s="845" t="n"/>
      <c r="P875" s="845" t="n"/>
      <c r="Q875" s="845" t="n"/>
      <c r="R875" s="845" t="n"/>
      <c r="S875" s="845" t="n"/>
      <c r="T875" s="845" t="n"/>
      <c r="U875" s="845" t="n"/>
      <c r="V875" s="845" t="n"/>
      <c r="W875" s="845" t="n"/>
      <c r="X875" s="845" t="n"/>
      <c r="Y875" s="845" t="n"/>
      <c r="Z875" s="845" t="n"/>
    </row>
    <row r="876">
      <c r="A876" s="845" t="n"/>
      <c r="B876" s="857" t="n"/>
      <c r="C876" s="857" t="n"/>
      <c r="D876" s="857" t="n"/>
      <c r="E876" s="857" t="n"/>
      <c r="F876" s="857" t="n"/>
      <c r="G876" s="858" t="n"/>
      <c r="H876" s="857" t="n"/>
      <c r="I876" s="857" t="n"/>
      <c r="J876" s="857" t="n"/>
      <c r="K876" s="857" t="n"/>
      <c r="L876" s="857" t="n"/>
      <c r="M876" s="857" t="n"/>
      <c r="N876" s="857" t="n"/>
      <c r="O876" s="845" t="n"/>
      <c r="P876" s="845" t="n"/>
      <c r="Q876" s="845" t="n"/>
      <c r="R876" s="845" t="n"/>
      <c r="S876" s="845" t="n"/>
      <c r="T876" s="845" t="n"/>
      <c r="U876" s="845" t="n"/>
      <c r="V876" s="845" t="n"/>
      <c r="W876" s="845" t="n"/>
      <c r="X876" s="845" t="n"/>
      <c r="Y876" s="845" t="n"/>
      <c r="Z876" s="845" t="n"/>
    </row>
    <row r="877">
      <c r="A877" s="845" t="n"/>
      <c r="B877" s="857" t="n"/>
      <c r="C877" s="857" t="n"/>
      <c r="D877" s="857" t="n"/>
      <c r="E877" s="857" t="n"/>
      <c r="F877" s="857" t="n"/>
      <c r="G877" s="858" t="n"/>
      <c r="H877" s="857" t="n"/>
      <c r="I877" s="857" t="n"/>
      <c r="J877" s="857" t="n"/>
      <c r="K877" s="857" t="n"/>
      <c r="L877" s="857" t="n"/>
      <c r="M877" s="857" t="n"/>
      <c r="N877" s="857" t="n"/>
      <c r="O877" s="845" t="n"/>
      <c r="P877" s="845" t="n"/>
      <c r="Q877" s="845" t="n"/>
      <c r="R877" s="845" t="n"/>
      <c r="S877" s="845" t="n"/>
      <c r="T877" s="845" t="n"/>
      <c r="U877" s="845" t="n"/>
      <c r="V877" s="845" t="n"/>
      <c r="W877" s="845" t="n"/>
      <c r="X877" s="845" t="n"/>
      <c r="Y877" s="845" t="n"/>
      <c r="Z877" s="845" t="n"/>
    </row>
    <row r="878">
      <c r="A878" s="845" t="n"/>
      <c r="B878" s="857" t="n"/>
      <c r="C878" s="857" t="n"/>
      <c r="D878" s="857" t="n"/>
      <c r="E878" s="857" t="n"/>
      <c r="F878" s="857" t="n"/>
      <c r="G878" s="858" t="n"/>
      <c r="H878" s="857" t="n"/>
      <c r="I878" s="857" t="n"/>
      <c r="J878" s="857" t="n"/>
      <c r="K878" s="857" t="n"/>
      <c r="L878" s="857" t="n"/>
      <c r="M878" s="857" t="n"/>
      <c r="N878" s="857" t="n"/>
      <c r="O878" s="845" t="n"/>
      <c r="P878" s="845" t="n"/>
      <c r="Q878" s="845" t="n"/>
      <c r="R878" s="845" t="n"/>
      <c r="S878" s="845" t="n"/>
      <c r="T878" s="845" t="n"/>
      <c r="U878" s="845" t="n"/>
      <c r="V878" s="845" t="n"/>
      <c r="W878" s="845" t="n"/>
      <c r="X878" s="845" t="n"/>
      <c r="Y878" s="845" t="n"/>
      <c r="Z878" s="845" t="n"/>
    </row>
    <row r="879">
      <c r="A879" s="845" t="n"/>
      <c r="B879" s="857" t="n"/>
      <c r="C879" s="857" t="n"/>
      <c r="D879" s="857" t="n"/>
      <c r="E879" s="857" t="n"/>
      <c r="F879" s="857" t="n"/>
      <c r="G879" s="858" t="n"/>
      <c r="H879" s="857" t="n"/>
      <c r="I879" s="857" t="n"/>
      <c r="J879" s="857" t="n"/>
      <c r="K879" s="857" t="n"/>
      <c r="L879" s="857" t="n"/>
      <c r="M879" s="857" t="n"/>
      <c r="N879" s="857" t="n"/>
      <c r="O879" s="845" t="n"/>
      <c r="P879" s="845" t="n"/>
      <c r="Q879" s="845" t="n"/>
      <c r="R879" s="845" t="n"/>
      <c r="S879" s="845" t="n"/>
      <c r="T879" s="845" t="n"/>
      <c r="U879" s="845" t="n"/>
      <c r="V879" s="845" t="n"/>
      <c r="W879" s="845" t="n"/>
      <c r="X879" s="845" t="n"/>
      <c r="Y879" s="845" t="n"/>
      <c r="Z879" s="845" t="n"/>
    </row>
    <row r="880">
      <c r="A880" s="845" t="n"/>
      <c r="B880" s="857" t="n"/>
      <c r="C880" s="857" t="n"/>
      <c r="D880" s="857" t="n"/>
      <c r="E880" s="857" t="n"/>
      <c r="F880" s="857" t="n"/>
      <c r="G880" s="858" t="n"/>
      <c r="H880" s="857" t="n"/>
      <c r="I880" s="857" t="n"/>
      <c r="J880" s="857" t="n"/>
      <c r="K880" s="857" t="n"/>
      <c r="L880" s="857" t="n"/>
      <c r="M880" s="857" t="n"/>
      <c r="N880" s="857" t="n"/>
      <c r="O880" s="845" t="n"/>
      <c r="P880" s="845" t="n"/>
      <c r="Q880" s="845" t="n"/>
      <c r="R880" s="845" t="n"/>
      <c r="S880" s="845" t="n"/>
      <c r="T880" s="845" t="n"/>
      <c r="U880" s="845" t="n"/>
      <c r="V880" s="845" t="n"/>
      <c r="W880" s="845" t="n"/>
      <c r="X880" s="845" t="n"/>
      <c r="Y880" s="845" t="n"/>
      <c r="Z880" s="845" t="n"/>
    </row>
    <row r="881">
      <c r="A881" s="845" t="n"/>
      <c r="B881" s="857" t="n"/>
      <c r="C881" s="857" t="n"/>
      <c r="D881" s="857" t="n"/>
      <c r="E881" s="857" t="n"/>
      <c r="F881" s="857" t="n"/>
      <c r="G881" s="858" t="n"/>
      <c r="H881" s="857" t="n"/>
      <c r="I881" s="857" t="n"/>
      <c r="J881" s="857" t="n"/>
      <c r="K881" s="857" t="n"/>
      <c r="L881" s="857" t="n"/>
      <c r="M881" s="857" t="n"/>
      <c r="N881" s="857" t="n"/>
      <c r="O881" s="845" t="n"/>
      <c r="P881" s="845" t="n"/>
      <c r="Q881" s="845" t="n"/>
      <c r="R881" s="845" t="n"/>
      <c r="S881" s="845" t="n"/>
      <c r="T881" s="845" t="n"/>
      <c r="U881" s="845" t="n"/>
      <c r="V881" s="845" t="n"/>
      <c r="W881" s="845" t="n"/>
      <c r="X881" s="845" t="n"/>
      <c r="Y881" s="845" t="n"/>
      <c r="Z881" s="845" t="n"/>
    </row>
    <row r="882">
      <c r="A882" s="845" t="n"/>
      <c r="B882" s="857" t="n"/>
      <c r="C882" s="857" t="n"/>
      <c r="D882" s="857" t="n"/>
      <c r="E882" s="857" t="n"/>
      <c r="F882" s="857" t="n"/>
      <c r="G882" s="858" t="n"/>
      <c r="H882" s="857" t="n"/>
      <c r="I882" s="857" t="n"/>
      <c r="J882" s="857" t="n"/>
      <c r="K882" s="857" t="n"/>
      <c r="L882" s="857" t="n"/>
      <c r="M882" s="857" t="n"/>
      <c r="N882" s="857" t="n"/>
      <c r="O882" s="845" t="n"/>
      <c r="P882" s="845" t="n"/>
      <c r="Q882" s="845" t="n"/>
      <c r="R882" s="845" t="n"/>
      <c r="S882" s="845" t="n"/>
      <c r="T882" s="845" t="n"/>
      <c r="U882" s="845" t="n"/>
      <c r="V882" s="845" t="n"/>
      <c r="W882" s="845" t="n"/>
      <c r="X882" s="845" t="n"/>
      <c r="Y882" s="845" t="n"/>
      <c r="Z882" s="845" t="n"/>
    </row>
    <row r="883">
      <c r="A883" s="845" t="n"/>
      <c r="B883" s="857" t="n"/>
      <c r="C883" s="857" t="n"/>
      <c r="D883" s="857" t="n"/>
      <c r="E883" s="857" t="n"/>
      <c r="F883" s="857" t="n"/>
      <c r="G883" s="858" t="n"/>
      <c r="H883" s="857" t="n"/>
      <c r="I883" s="857" t="n"/>
      <c r="J883" s="857" t="n"/>
      <c r="K883" s="857" t="n"/>
      <c r="L883" s="857" t="n"/>
      <c r="M883" s="857" t="n"/>
      <c r="N883" s="857" t="n"/>
      <c r="O883" s="845" t="n"/>
      <c r="P883" s="845" t="n"/>
      <c r="Q883" s="845" t="n"/>
      <c r="R883" s="845" t="n"/>
      <c r="S883" s="845" t="n"/>
      <c r="T883" s="845" t="n"/>
      <c r="U883" s="845" t="n"/>
      <c r="V883" s="845" t="n"/>
      <c r="W883" s="845" t="n"/>
      <c r="X883" s="845" t="n"/>
      <c r="Y883" s="845" t="n"/>
      <c r="Z883" s="845" t="n"/>
    </row>
    <row r="884">
      <c r="A884" s="845" t="n"/>
      <c r="B884" s="857" t="n"/>
      <c r="C884" s="857" t="n"/>
      <c r="D884" s="857" t="n"/>
      <c r="E884" s="857" t="n"/>
      <c r="F884" s="857" t="n"/>
      <c r="G884" s="858" t="n"/>
      <c r="H884" s="857" t="n"/>
      <c r="I884" s="857" t="n"/>
      <c r="J884" s="857" t="n"/>
      <c r="K884" s="857" t="n"/>
      <c r="L884" s="857" t="n"/>
      <c r="M884" s="857" t="n"/>
      <c r="N884" s="857" t="n"/>
      <c r="O884" s="845" t="n"/>
      <c r="P884" s="845" t="n"/>
      <c r="Q884" s="845" t="n"/>
      <c r="R884" s="845" t="n"/>
      <c r="S884" s="845" t="n"/>
      <c r="T884" s="845" t="n"/>
      <c r="U884" s="845" t="n"/>
      <c r="V884" s="845" t="n"/>
      <c r="W884" s="845" t="n"/>
      <c r="X884" s="845" t="n"/>
      <c r="Y884" s="845" t="n"/>
      <c r="Z884" s="845" t="n"/>
    </row>
    <row r="885">
      <c r="A885" s="845" t="n"/>
      <c r="B885" s="857" t="n"/>
      <c r="C885" s="857" t="n"/>
      <c r="D885" s="857" t="n"/>
      <c r="E885" s="857" t="n"/>
      <c r="F885" s="857" t="n"/>
      <c r="G885" s="858" t="n"/>
      <c r="H885" s="857" t="n"/>
      <c r="I885" s="857" t="n"/>
      <c r="J885" s="857" t="n"/>
      <c r="K885" s="857" t="n"/>
      <c r="L885" s="857" t="n"/>
      <c r="M885" s="857" t="n"/>
      <c r="N885" s="857" t="n"/>
      <c r="O885" s="845" t="n"/>
      <c r="P885" s="845" t="n"/>
      <c r="Q885" s="845" t="n"/>
      <c r="R885" s="845" t="n"/>
      <c r="S885" s="845" t="n"/>
      <c r="T885" s="845" t="n"/>
      <c r="U885" s="845" t="n"/>
      <c r="V885" s="845" t="n"/>
      <c r="W885" s="845" t="n"/>
      <c r="X885" s="845" t="n"/>
      <c r="Y885" s="845" t="n"/>
      <c r="Z885" s="845" t="n"/>
    </row>
    <row r="886">
      <c r="A886" s="845" t="n"/>
      <c r="B886" s="857" t="n"/>
      <c r="C886" s="857" t="n"/>
      <c r="D886" s="857" t="n"/>
      <c r="E886" s="857" t="n"/>
      <c r="F886" s="857" t="n"/>
      <c r="G886" s="858" t="n"/>
      <c r="H886" s="857" t="n"/>
      <c r="I886" s="857" t="n"/>
      <c r="J886" s="857" t="n"/>
      <c r="K886" s="857" t="n"/>
      <c r="L886" s="857" t="n"/>
      <c r="M886" s="857" t="n"/>
      <c r="N886" s="857" t="n"/>
      <c r="O886" s="845" t="n"/>
      <c r="P886" s="845" t="n"/>
      <c r="Q886" s="845" t="n"/>
      <c r="R886" s="845" t="n"/>
      <c r="S886" s="845" t="n"/>
      <c r="T886" s="845" t="n"/>
      <c r="U886" s="845" t="n"/>
      <c r="V886" s="845" t="n"/>
      <c r="W886" s="845" t="n"/>
      <c r="X886" s="845" t="n"/>
      <c r="Y886" s="845" t="n"/>
      <c r="Z886" s="845" t="n"/>
    </row>
    <row r="887">
      <c r="A887" s="845" t="n"/>
      <c r="B887" s="857" t="n"/>
      <c r="C887" s="857" t="n"/>
      <c r="D887" s="857" t="n"/>
      <c r="E887" s="857" t="n"/>
      <c r="F887" s="857" t="n"/>
      <c r="G887" s="858" t="n"/>
      <c r="H887" s="857" t="n"/>
      <c r="I887" s="857" t="n"/>
      <c r="J887" s="857" t="n"/>
      <c r="K887" s="857" t="n"/>
      <c r="L887" s="857" t="n"/>
      <c r="M887" s="857" t="n"/>
      <c r="N887" s="857" t="n"/>
      <c r="O887" s="845" t="n"/>
      <c r="P887" s="845" t="n"/>
      <c r="Q887" s="845" t="n"/>
      <c r="R887" s="845" t="n"/>
      <c r="S887" s="845" t="n"/>
      <c r="T887" s="845" t="n"/>
      <c r="U887" s="845" t="n"/>
      <c r="V887" s="845" t="n"/>
      <c r="W887" s="845" t="n"/>
      <c r="X887" s="845" t="n"/>
      <c r="Y887" s="845" t="n"/>
      <c r="Z887" s="845" t="n"/>
    </row>
    <row r="888">
      <c r="A888" s="845" t="n"/>
      <c r="B888" s="857" t="n"/>
      <c r="C888" s="857" t="n"/>
      <c r="D888" s="857" t="n"/>
      <c r="E888" s="857" t="n"/>
      <c r="F888" s="857" t="n"/>
      <c r="G888" s="858" t="n"/>
      <c r="H888" s="857" t="n"/>
      <c r="I888" s="857" t="n"/>
      <c r="J888" s="857" t="n"/>
      <c r="K888" s="857" t="n"/>
      <c r="L888" s="857" t="n"/>
      <c r="M888" s="857" t="n"/>
      <c r="N888" s="857" t="n"/>
      <c r="O888" s="845" t="n"/>
      <c r="P888" s="845" t="n"/>
      <c r="Q888" s="845" t="n"/>
      <c r="R888" s="845" t="n"/>
      <c r="S888" s="845" t="n"/>
      <c r="T888" s="845" t="n"/>
      <c r="U888" s="845" t="n"/>
      <c r="V888" s="845" t="n"/>
      <c r="W888" s="845" t="n"/>
      <c r="X888" s="845" t="n"/>
      <c r="Y888" s="845" t="n"/>
      <c r="Z888" s="845" t="n"/>
    </row>
    <row r="889">
      <c r="A889" s="845" t="n"/>
      <c r="B889" s="857" t="n"/>
      <c r="C889" s="857" t="n"/>
      <c r="D889" s="857" t="n"/>
      <c r="E889" s="857" t="n"/>
      <c r="F889" s="857" t="n"/>
      <c r="G889" s="858" t="n"/>
      <c r="H889" s="857" t="n"/>
      <c r="I889" s="857" t="n"/>
      <c r="J889" s="857" t="n"/>
      <c r="K889" s="857" t="n"/>
      <c r="L889" s="857" t="n"/>
      <c r="M889" s="857" t="n"/>
      <c r="N889" s="857" t="n"/>
      <c r="O889" s="845" t="n"/>
      <c r="P889" s="845" t="n"/>
      <c r="Q889" s="845" t="n"/>
      <c r="R889" s="845" t="n"/>
      <c r="S889" s="845" t="n"/>
      <c r="T889" s="845" t="n"/>
      <c r="U889" s="845" t="n"/>
      <c r="V889" s="845" t="n"/>
      <c r="W889" s="845" t="n"/>
      <c r="X889" s="845" t="n"/>
      <c r="Y889" s="845" t="n"/>
      <c r="Z889" s="845" t="n"/>
    </row>
    <row r="890">
      <c r="A890" s="845" t="n"/>
      <c r="B890" s="857" t="n"/>
      <c r="C890" s="857" t="n"/>
      <c r="D890" s="857" t="n"/>
      <c r="E890" s="857" t="n"/>
      <c r="F890" s="857" t="n"/>
      <c r="G890" s="858" t="n"/>
      <c r="H890" s="857" t="n"/>
      <c r="I890" s="857" t="n"/>
      <c r="J890" s="857" t="n"/>
      <c r="K890" s="857" t="n"/>
      <c r="L890" s="857" t="n"/>
      <c r="M890" s="857" t="n"/>
      <c r="N890" s="857" t="n"/>
      <c r="O890" s="845" t="n"/>
      <c r="P890" s="845" t="n"/>
      <c r="Q890" s="845" t="n"/>
      <c r="R890" s="845" t="n"/>
      <c r="S890" s="845" t="n"/>
      <c r="T890" s="845" t="n"/>
      <c r="U890" s="845" t="n"/>
      <c r="V890" s="845" t="n"/>
      <c r="W890" s="845" t="n"/>
      <c r="X890" s="845" t="n"/>
      <c r="Y890" s="845" t="n"/>
      <c r="Z890" s="845" t="n"/>
    </row>
    <row r="891">
      <c r="A891" s="845" t="n"/>
      <c r="B891" s="857" t="n"/>
      <c r="C891" s="857" t="n"/>
      <c r="D891" s="857" t="n"/>
      <c r="E891" s="857" t="n"/>
      <c r="F891" s="857" t="n"/>
      <c r="G891" s="858" t="n"/>
      <c r="H891" s="857" t="n"/>
      <c r="I891" s="857" t="n"/>
      <c r="J891" s="857" t="n"/>
      <c r="K891" s="857" t="n"/>
      <c r="L891" s="857" t="n"/>
      <c r="M891" s="857" t="n"/>
      <c r="N891" s="857" t="n"/>
      <c r="O891" s="845" t="n"/>
      <c r="P891" s="845" t="n"/>
      <c r="Q891" s="845" t="n"/>
      <c r="R891" s="845" t="n"/>
      <c r="S891" s="845" t="n"/>
      <c r="T891" s="845" t="n"/>
      <c r="U891" s="845" t="n"/>
      <c r="V891" s="845" t="n"/>
      <c r="W891" s="845" t="n"/>
      <c r="X891" s="845" t="n"/>
      <c r="Y891" s="845" t="n"/>
      <c r="Z891" s="845" t="n"/>
    </row>
    <row r="892">
      <c r="A892" s="845" t="n"/>
      <c r="B892" s="857" t="n"/>
      <c r="C892" s="857" t="n"/>
      <c r="D892" s="857" t="n"/>
      <c r="E892" s="857" t="n"/>
      <c r="F892" s="857" t="n"/>
      <c r="G892" s="858" t="n"/>
      <c r="H892" s="857" t="n"/>
      <c r="I892" s="857" t="n"/>
      <c r="J892" s="857" t="n"/>
      <c r="K892" s="857" t="n"/>
      <c r="L892" s="857" t="n"/>
      <c r="M892" s="857" t="n"/>
      <c r="N892" s="857" t="n"/>
      <c r="O892" s="845" t="n"/>
      <c r="P892" s="845" t="n"/>
      <c r="Q892" s="845" t="n"/>
      <c r="R892" s="845" t="n"/>
      <c r="S892" s="845" t="n"/>
      <c r="T892" s="845" t="n"/>
      <c r="U892" s="845" t="n"/>
      <c r="V892" s="845" t="n"/>
      <c r="W892" s="845" t="n"/>
      <c r="X892" s="845" t="n"/>
      <c r="Y892" s="845" t="n"/>
      <c r="Z892" s="845" t="n"/>
    </row>
    <row r="893">
      <c r="A893" s="845" t="n"/>
      <c r="B893" s="857" t="n"/>
      <c r="C893" s="857" t="n"/>
      <c r="D893" s="857" t="n"/>
      <c r="E893" s="857" t="n"/>
      <c r="F893" s="857" t="n"/>
      <c r="G893" s="858" t="n"/>
      <c r="H893" s="857" t="n"/>
      <c r="I893" s="857" t="n"/>
      <c r="J893" s="857" t="n"/>
      <c r="K893" s="857" t="n"/>
      <c r="L893" s="857" t="n"/>
      <c r="M893" s="857" t="n"/>
      <c r="N893" s="857" t="n"/>
      <c r="O893" s="845" t="n"/>
      <c r="P893" s="845" t="n"/>
      <c r="Q893" s="845" t="n"/>
      <c r="R893" s="845" t="n"/>
      <c r="S893" s="845" t="n"/>
      <c r="T893" s="845" t="n"/>
      <c r="U893" s="845" t="n"/>
      <c r="V893" s="845" t="n"/>
      <c r="W893" s="845" t="n"/>
      <c r="X893" s="845" t="n"/>
      <c r="Y893" s="845" t="n"/>
      <c r="Z893" s="845" t="n"/>
    </row>
    <row r="894">
      <c r="A894" s="845" t="n"/>
      <c r="B894" s="857" t="n"/>
      <c r="C894" s="857" t="n"/>
      <c r="D894" s="857" t="n"/>
      <c r="E894" s="857" t="n"/>
      <c r="F894" s="857" t="n"/>
      <c r="G894" s="858" t="n"/>
      <c r="H894" s="857" t="n"/>
      <c r="I894" s="857" t="n"/>
      <c r="J894" s="857" t="n"/>
      <c r="K894" s="857" t="n"/>
      <c r="L894" s="857" t="n"/>
      <c r="M894" s="857" t="n"/>
      <c r="N894" s="857" t="n"/>
      <c r="O894" s="845" t="n"/>
      <c r="P894" s="845" t="n"/>
      <c r="Q894" s="845" t="n"/>
      <c r="R894" s="845" t="n"/>
      <c r="S894" s="845" t="n"/>
      <c r="T894" s="845" t="n"/>
      <c r="U894" s="845" t="n"/>
      <c r="V894" s="845" t="n"/>
      <c r="W894" s="845" t="n"/>
      <c r="X894" s="845" t="n"/>
      <c r="Y894" s="845" t="n"/>
      <c r="Z894" s="845" t="n"/>
    </row>
    <row r="895">
      <c r="A895" s="845" t="n"/>
      <c r="B895" s="857" t="n"/>
      <c r="C895" s="857" t="n"/>
      <c r="D895" s="857" t="n"/>
      <c r="E895" s="857" t="n"/>
      <c r="F895" s="857" t="n"/>
      <c r="G895" s="858" t="n"/>
      <c r="H895" s="857" t="n"/>
      <c r="I895" s="857" t="n"/>
      <c r="J895" s="857" t="n"/>
      <c r="K895" s="857" t="n"/>
      <c r="L895" s="857" t="n"/>
      <c r="M895" s="857" t="n"/>
      <c r="N895" s="857" t="n"/>
      <c r="O895" s="845" t="n"/>
      <c r="P895" s="845" t="n"/>
      <c r="Q895" s="845" t="n"/>
      <c r="R895" s="845" t="n"/>
      <c r="S895" s="845" t="n"/>
      <c r="T895" s="845" t="n"/>
      <c r="U895" s="845" t="n"/>
      <c r="V895" s="845" t="n"/>
      <c r="W895" s="845" t="n"/>
      <c r="X895" s="845" t="n"/>
      <c r="Y895" s="845" t="n"/>
      <c r="Z895" s="845" t="n"/>
    </row>
    <row r="896">
      <c r="A896" s="845" t="n"/>
      <c r="B896" s="857" t="n"/>
      <c r="C896" s="857" t="n"/>
      <c r="D896" s="857" t="n"/>
      <c r="E896" s="857" t="n"/>
      <c r="F896" s="857" t="n"/>
      <c r="G896" s="858" t="n"/>
      <c r="H896" s="857" t="n"/>
      <c r="I896" s="857" t="n"/>
      <c r="J896" s="857" t="n"/>
      <c r="K896" s="857" t="n"/>
      <c r="L896" s="857" t="n"/>
      <c r="M896" s="857" t="n"/>
      <c r="N896" s="857" t="n"/>
      <c r="O896" s="845" t="n"/>
      <c r="P896" s="845" t="n"/>
      <c r="Q896" s="845" t="n"/>
      <c r="R896" s="845" t="n"/>
      <c r="S896" s="845" t="n"/>
      <c r="T896" s="845" t="n"/>
      <c r="U896" s="845" t="n"/>
      <c r="V896" s="845" t="n"/>
      <c r="W896" s="845" t="n"/>
      <c r="X896" s="845" t="n"/>
      <c r="Y896" s="845" t="n"/>
      <c r="Z896" s="845" t="n"/>
    </row>
    <row r="897">
      <c r="A897" s="845" t="n"/>
      <c r="B897" s="857" t="n"/>
      <c r="C897" s="857" t="n"/>
      <c r="D897" s="857" t="n"/>
      <c r="E897" s="857" t="n"/>
      <c r="F897" s="857" t="n"/>
      <c r="G897" s="858" t="n"/>
      <c r="H897" s="857" t="n"/>
      <c r="I897" s="857" t="n"/>
      <c r="J897" s="857" t="n"/>
      <c r="K897" s="857" t="n"/>
      <c r="L897" s="857" t="n"/>
      <c r="M897" s="857" t="n"/>
      <c r="N897" s="857" t="n"/>
      <c r="O897" s="845" t="n"/>
      <c r="P897" s="845" t="n"/>
      <c r="Q897" s="845" t="n"/>
      <c r="R897" s="845" t="n"/>
      <c r="S897" s="845" t="n"/>
      <c r="T897" s="845" t="n"/>
      <c r="U897" s="845" t="n"/>
      <c r="V897" s="845" t="n"/>
      <c r="W897" s="845" t="n"/>
      <c r="X897" s="845" t="n"/>
      <c r="Y897" s="845" t="n"/>
      <c r="Z897" s="845" t="n"/>
    </row>
    <row r="898">
      <c r="A898" s="845" t="n"/>
      <c r="B898" s="857" t="n"/>
      <c r="C898" s="857" t="n"/>
      <c r="D898" s="857" t="n"/>
      <c r="E898" s="857" t="n"/>
      <c r="F898" s="857" t="n"/>
      <c r="G898" s="858" t="n"/>
      <c r="H898" s="857" t="n"/>
      <c r="I898" s="857" t="n"/>
      <c r="J898" s="857" t="n"/>
      <c r="K898" s="857" t="n"/>
      <c r="L898" s="857" t="n"/>
      <c r="M898" s="857" t="n"/>
      <c r="N898" s="857" t="n"/>
      <c r="O898" s="845" t="n"/>
      <c r="P898" s="845" t="n"/>
      <c r="Q898" s="845" t="n"/>
      <c r="R898" s="845" t="n"/>
      <c r="S898" s="845" t="n"/>
      <c r="T898" s="845" t="n"/>
      <c r="U898" s="845" t="n"/>
      <c r="V898" s="845" t="n"/>
      <c r="W898" s="845" t="n"/>
      <c r="X898" s="845" t="n"/>
      <c r="Y898" s="845" t="n"/>
      <c r="Z898" s="845" t="n"/>
    </row>
    <row r="899">
      <c r="A899" s="845" t="n"/>
      <c r="B899" s="857" t="n"/>
      <c r="C899" s="857" t="n"/>
      <c r="D899" s="857" t="n"/>
      <c r="E899" s="857" t="n"/>
      <c r="F899" s="857" t="n"/>
      <c r="G899" s="858" t="n"/>
      <c r="H899" s="857" t="n"/>
      <c r="I899" s="857" t="n"/>
      <c r="J899" s="857" t="n"/>
      <c r="K899" s="857" t="n"/>
      <c r="L899" s="857" t="n"/>
      <c r="M899" s="857" t="n"/>
      <c r="N899" s="857" t="n"/>
      <c r="O899" s="845" t="n"/>
      <c r="P899" s="845" t="n"/>
      <c r="Q899" s="845" t="n"/>
      <c r="R899" s="845" t="n"/>
      <c r="S899" s="845" t="n"/>
      <c r="T899" s="845" t="n"/>
      <c r="U899" s="845" t="n"/>
      <c r="V899" s="845" t="n"/>
      <c r="W899" s="845" t="n"/>
      <c r="X899" s="845" t="n"/>
      <c r="Y899" s="845" t="n"/>
      <c r="Z899" s="845" t="n"/>
    </row>
    <row r="900">
      <c r="A900" s="845" t="n"/>
      <c r="B900" s="857" t="n"/>
      <c r="C900" s="857" t="n"/>
      <c r="D900" s="857" t="n"/>
      <c r="E900" s="857" t="n"/>
      <c r="F900" s="857" t="n"/>
      <c r="G900" s="858" t="n"/>
      <c r="H900" s="857" t="n"/>
      <c r="I900" s="857" t="n"/>
      <c r="J900" s="857" t="n"/>
      <c r="K900" s="857" t="n"/>
      <c r="L900" s="857" t="n"/>
      <c r="M900" s="857" t="n"/>
      <c r="N900" s="857" t="n"/>
      <c r="O900" s="845" t="n"/>
      <c r="P900" s="845" t="n"/>
      <c r="Q900" s="845" t="n"/>
      <c r="R900" s="845" t="n"/>
      <c r="S900" s="845" t="n"/>
      <c r="T900" s="845" t="n"/>
      <c r="U900" s="845" t="n"/>
      <c r="V900" s="845" t="n"/>
      <c r="W900" s="845" t="n"/>
      <c r="X900" s="845" t="n"/>
      <c r="Y900" s="845" t="n"/>
      <c r="Z900" s="845" t="n"/>
    </row>
    <row r="901">
      <c r="A901" s="845" t="n"/>
      <c r="B901" s="857" t="n"/>
      <c r="C901" s="857" t="n"/>
      <c r="D901" s="857" t="n"/>
      <c r="E901" s="857" t="n"/>
      <c r="F901" s="857" t="n"/>
      <c r="G901" s="858" t="n"/>
      <c r="H901" s="857" t="n"/>
      <c r="I901" s="857" t="n"/>
      <c r="J901" s="857" t="n"/>
      <c r="K901" s="857" t="n"/>
      <c r="L901" s="857" t="n"/>
      <c r="M901" s="857" t="n"/>
      <c r="N901" s="857" t="n"/>
      <c r="O901" s="845" t="n"/>
      <c r="P901" s="845" t="n"/>
      <c r="Q901" s="845" t="n"/>
      <c r="R901" s="845" t="n"/>
      <c r="S901" s="845" t="n"/>
      <c r="T901" s="845" t="n"/>
      <c r="U901" s="845" t="n"/>
      <c r="V901" s="845" t="n"/>
      <c r="W901" s="845" t="n"/>
      <c r="X901" s="845" t="n"/>
      <c r="Y901" s="845" t="n"/>
      <c r="Z901" s="845" t="n"/>
    </row>
    <row r="902">
      <c r="A902" s="845" t="n"/>
      <c r="B902" s="857" t="n"/>
      <c r="C902" s="857" t="n"/>
      <c r="D902" s="857" t="n"/>
      <c r="E902" s="857" t="n"/>
      <c r="F902" s="857" t="n"/>
      <c r="G902" s="858" t="n"/>
      <c r="H902" s="857" t="n"/>
      <c r="I902" s="857" t="n"/>
      <c r="J902" s="857" t="n"/>
      <c r="K902" s="857" t="n"/>
      <c r="L902" s="857" t="n"/>
      <c r="M902" s="857" t="n"/>
      <c r="N902" s="857" t="n"/>
      <c r="O902" s="845" t="n"/>
      <c r="P902" s="845" t="n"/>
      <c r="Q902" s="845" t="n"/>
      <c r="R902" s="845" t="n"/>
      <c r="S902" s="845" t="n"/>
      <c r="T902" s="845" t="n"/>
      <c r="U902" s="845" t="n"/>
      <c r="V902" s="845" t="n"/>
      <c r="W902" s="845" t="n"/>
      <c r="X902" s="845" t="n"/>
      <c r="Y902" s="845" t="n"/>
      <c r="Z902" s="845" t="n"/>
    </row>
    <row r="903">
      <c r="A903" s="845" t="n"/>
      <c r="B903" s="857" t="n"/>
      <c r="C903" s="857" t="n"/>
      <c r="D903" s="857" t="n"/>
      <c r="E903" s="857" t="n"/>
      <c r="F903" s="857" t="n"/>
      <c r="G903" s="858" t="n"/>
      <c r="H903" s="857" t="n"/>
      <c r="I903" s="857" t="n"/>
      <c r="J903" s="857" t="n"/>
      <c r="K903" s="857" t="n"/>
      <c r="L903" s="857" t="n"/>
      <c r="M903" s="857" t="n"/>
      <c r="N903" s="857" t="n"/>
      <c r="O903" s="845" t="n"/>
      <c r="P903" s="845" t="n"/>
      <c r="Q903" s="845" t="n"/>
      <c r="R903" s="845" t="n"/>
      <c r="S903" s="845" t="n"/>
      <c r="T903" s="845" t="n"/>
      <c r="U903" s="845" t="n"/>
      <c r="V903" s="845" t="n"/>
      <c r="W903" s="845" t="n"/>
      <c r="X903" s="845" t="n"/>
      <c r="Y903" s="845" t="n"/>
      <c r="Z903" s="845" t="n"/>
    </row>
    <row r="904">
      <c r="A904" s="845" t="n"/>
      <c r="B904" s="857" t="n"/>
      <c r="C904" s="857" t="n"/>
      <c r="D904" s="857" t="n"/>
      <c r="E904" s="857" t="n"/>
      <c r="F904" s="857" t="n"/>
      <c r="G904" s="858" t="n"/>
      <c r="H904" s="857" t="n"/>
      <c r="I904" s="857" t="n"/>
      <c r="J904" s="857" t="n"/>
      <c r="K904" s="857" t="n"/>
      <c r="L904" s="857" t="n"/>
      <c r="M904" s="857" t="n"/>
      <c r="N904" s="857" t="n"/>
      <c r="O904" s="845" t="n"/>
      <c r="P904" s="845" t="n"/>
      <c r="Q904" s="845" t="n"/>
      <c r="R904" s="845" t="n"/>
      <c r="S904" s="845" t="n"/>
      <c r="T904" s="845" t="n"/>
      <c r="U904" s="845" t="n"/>
      <c r="V904" s="845" t="n"/>
      <c r="W904" s="845" t="n"/>
      <c r="X904" s="845" t="n"/>
      <c r="Y904" s="845" t="n"/>
      <c r="Z904" s="845" t="n"/>
    </row>
    <row r="905">
      <c r="A905" s="845" t="n"/>
      <c r="B905" s="857" t="n"/>
      <c r="C905" s="857" t="n"/>
      <c r="D905" s="857" t="n"/>
      <c r="E905" s="857" t="n"/>
      <c r="F905" s="857" t="n"/>
      <c r="G905" s="858" t="n"/>
      <c r="H905" s="857" t="n"/>
      <c r="I905" s="857" t="n"/>
      <c r="J905" s="857" t="n"/>
      <c r="K905" s="857" t="n"/>
      <c r="L905" s="857" t="n"/>
      <c r="M905" s="857" t="n"/>
      <c r="N905" s="857" t="n"/>
      <c r="O905" s="845" t="n"/>
      <c r="P905" s="845" t="n"/>
      <c r="Q905" s="845" t="n"/>
      <c r="R905" s="845" t="n"/>
      <c r="S905" s="845" t="n"/>
      <c r="T905" s="845" t="n"/>
      <c r="U905" s="845" t="n"/>
      <c r="V905" s="845" t="n"/>
      <c r="W905" s="845" t="n"/>
      <c r="X905" s="845" t="n"/>
      <c r="Y905" s="845" t="n"/>
      <c r="Z905" s="845" t="n"/>
    </row>
    <row r="906">
      <c r="A906" s="845" t="n"/>
      <c r="B906" s="857" t="n"/>
      <c r="C906" s="857" t="n"/>
      <c r="D906" s="857" t="n"/>
      <c r="E906" s="857" t="n"/>
      <c r="F906" s="857" t="n"/>
      <c r="G906" s="858" t="n"/>
      <c r="H906" s="857" t="n"/>
      <c r="I906" s="857" t="n"/>
      <c r="J906" s="857" t="n"/>
      <c r="K906" s="857" t="n"/>
      <c r="L906" s="857" t="n"/>
      <c r="M906" s="857" t="n"/>
      <c r="N906" s="857" t="n"/>
      <c r="O906" s="845" t="n"/>
      <c r="P906" s="845" t="n"/>
      <c r="Q906" s="845" t="n"/>
      <c r="R906" s="845" t="n"/>
      <c r="S906" s="845" t="n"/>
      <c r="T906" s="845" t="n"/>
      <c r="U906" s="845" t="n"/>
      <c r="V906" s="845" t="n"/>
      <c r="W906" s="845" t="n"/>
      <c r="X906" s="845" t="n"/>
      <c r="Y906" s="845" t="n"/>
      <c r="Z906" s="845" t="n"/>
    </row>
    <row r="907">
      <c r="A907" s="845" t="n"/>
      <c r="B907" s="857" t="n"/>
      <c r="C907" s="857" t="n"/>
      <c r="D907" s="857" t="n"/>
      <c r="E907" s="857" t="n"/>
      <c r="F907" s="857" t="n"/>
      <c r="G907" s="858" t="n"/>
      <c r="H907" s="857" t="n"/>
      <c r="I907" s="857" t="n"/>
      <c r="J907" s="857" t="n"/>
      <c r="K907" s="857" t="n"/>
      <c r="L907" s="857" t="n"/>
      <c r="M907" s="857" t="n"/>
      <c r="N907" s="857" t="n"/>
      <c r="O907" s="845" t="n"/>
      <c r="P907" s="845" t="n"/>
      <c r="Q907" s="845" t="n"/>
      <c r="R907" s="845" t="n"/>
      <c r="S907" s="845" t="n"/>
      <c r="T907" s="845" t="n"/>
      <c r="U907" s="845" t="n"/>
      <c r="V907" s="845" t="n"/>
      <c r="W907" s="845" t="n"/>
      <c r="X907" s="845" t="n"/>
      <c r="Y907" s="845" t="n"/>
      <c r="Z907" s="845" t="n"/>
    </row>
    <row r="908">
      <c r="A908" s="845" t="n"/>
      <c r="B908" s="857" t="n"/>
      <c r="C908" s="857" t="n"/>
      <c r="D908" s="857" t="n"/>
      <c r="E908" s="857" t="n"/>
      <c r="F908" s="857" t="n"/>
      <c r="G908" s="858" t="n"/>
      <c r="H908" s="857" t="n"/>
      <c r="I908" s="857" t="n"/>
      <c r="J908" s="857" t="n"/>
      <c r="K908" s="857" t="n"/>
      <c r="L908" s="857" t="n"/>
      <c r="M908" s="857" t="n"/>
      <c r="N908" s="857" t="n"/>
      <c r="O908" s="845" t="n"/>
      <c r="P908" s="845" t="n"/>
      <c r="Q908" s="845" t="n"/>
      <c r="R908" s="845" t="n"/>
      <c r="S908" s="845" t="n"/>
      <c r="T908" s="845" t="n"/>
      <c r="U908" s="845" t="n"/>
      <c r="V908" s="845" t="n"/>
      <c r="W908" s="845" t="n"/>
      <c r="X908" s="845" t="n"/>
      <c r="Y908" s="845" t="n"/>
      <c r="Z908" s="845" t="n"/>
    </row>
    <row r="909">
      <c r="A909" s="845" t="n"/>
      <c r="B909" s="857" t="n"/>
      <c r="C909" s="857" t="n"/>
      <c r="D909" s="857" t="n"/>
      <c r="E909" s="857" t="n"/>
      <c r="F909" s="857" t="n"/>
      <c r="G909" s="858" t="n"/>
      <c r="H909" s="857" t="n"/>
      <c r="I909" s="857" t="n"/>
      <c r="J909" s="857" t="n"/>
      <c r="K909" s="857" t="n"/>
      <c r="L909" s="857" t="n"/>
      <c r="M909" s="857" t="n"/>
      <c r="N909" s="857" t="n"/>
      <c r="O909" s="845" t="n"/>
      <c r="P909" s="845" t="n"/>
      <c r="Q909" s="845" t="n"/>
      <c r="R909" s="845" t="n"/>
      <c r="S909" s="845" t="n"/>
      <c r="T909" s="845" t="n"/>
      <c r="U909" s="845" t="n"/>
      <c r="V909" s="845" t="n"/>
      <c r="W909" s="845" t="n"/>
      <c r="X909" s="845" t="n"/>
      <c r="Y909" s="845" t="n"/>
      <c r="Z909" s="845" t="n"/>
    </row>
    <row r="910">
      <c r="A910" s="845" t="n"/>
      <c r="B910" s="857" t="n"/>
      <c r="C910" s="857" t="n"/>
      <c r="D910" s="857" t="n"/>
      <c r="E910" s="857" t="n"/>
      <c r="F910" s="857" t="n"/>
      <c r="G910" s="858" t="n"/>
      <c r="H910" s="857" t="n"/>
      <c r="I910" s="857" t="n"/>
      <c r="J910" s="857" t="n"/>
      <c r="K910" s="857" t="n"/>
      <c r="L910" s="857" t="n"/>
      <c r="M910" s="857" t="n"/>
      <c r="N910" s="857" t="n"/>
      <c r="O910" s="845" t="n"/>
      <c r="P910" s="845" t="n"/>
      <c r="Q910" s="845" t="n"/>
      <c r="R910" s="845" t="n"/>
      <c r="S910" s="845" t="n"/>
      <c r="T910" s="845" t="n"/>
      <c r="U910" s="845" t="n"/>
      <c r="V910" s="845" t="n"/>
      <c r="W910" s="845" t="n"/>
      <c r="X910" s="845" t="n"/>
      <c r="Y910" s="845" t="n"/>
      <c r="Z910" s="845" t="n"/>
    </row>
    <row r="911">
      <c r="A911" s="845" t="n"/>
      <c r="B911" s="857" t="n"/>
      <c r="C911" s="857" t="n"/>
      <c r="D911" s="857" t="n"/>
      <c r="E911" s="857" t="n"/>
      <c r="F911" s="857" t="n"/>
      <c r="G911" s="858" t="n"/>
      <c r="H911" s="857" t="n"/>
      <c r="I911" s="857" t="n"/>
      <c r="J911" s="857" t="n"/>
      <c r="K911" s="857" t="n"/>
      <c r="L911" s="857" t="n"/>
      <c r="M911" s="857" t="n"/>
      <c r="N911" s="857" t="n"/>
      <c r="O911" s="845" t="n"/>
      <c r="P911" s="845" t="n"/>
      <c r="Q911" s="845" t="n"/>
      <c r="R911" s="845" t="n"/>
      <c r="S911" s="845" t="n"/>
      <c r="T911" s="845" t="n"/>
      <c r="U911" s="845" t="n"/>
      <c r="V911" s="845" t="n"/>
      <c r="W911" s="845" t="n"/>
      <c r="X911" s="845" t="n"/>
      <c r="Y911" s="845" t="n"/>
      <c r="Z911" s="845" t="n"/>
    </row>
    <row r="912">
      <c r="A912" s="845" t="n"/>
      <c r="B912" s="857" t="n"/>
      <c r="C912" s="857" t="n"/>
      <c r="D912" s="857" t="n"/>
      <c r="E912" s="857" t="n"/>
      <c r="F912" s="857" t="n"/>
      <c r="G912" s="858" t="n"/>
      <c r="H912" s="857" t="n"/>
      <c r="I912" s="857" t="n"/>
      <c r="J912" s="857" t="n"/>
      <c r="K912" s="857" t="n"/>
      <c r="L912" s="857" t="n"/>
      <c r="M912" s="857" t="n"/>
      <c r="N912" s="857" t="n"/>
      <c r="O912" s="845" t="n"/>
      <c r="P912" s="845" t="n"/>
      <c r="Q912" s="845" t="n"/>
      <c r="R912" s="845" t="n"/>
      <c r="S912" s="845" t="n"/>
      <c r="T912" s="845" t="n"/>
      <c r="U912" s="845" t="n"/>
      <c r="V912" s="845" t="n"/>
      <c r="W912" s="845" t="n"/>
      <c r="X912" s="845" t="n"/>
      <c r="Y912" s="845" t="n"/>
      <c r="Z912" s="845" t="n"/>
    </row>
    <row r="913">
      <c r="A913" s="845" t="n"/>
      <c r="B913" s="857" t="n"/>
      <c r="C913" s="857" t="n"/>
      <c r="D913" s="857" t="n"/>
      <c r="E913" s="857" t="n"/>
      <c r="F913" s="857" t="n"/>
      <c r="G913" s="858" t="n"/>
      <c r="H913" s="857" t="n"/>
      <c r="I913" s="857" t="n"/>
      <c r="J913" s="857" t="n"/>
      <c r="K913" s="857" t="n"/>
      <c r="L913" s="857" t="n"/>
      <c r="M913" s="857" t="n"/>
      <c r="N913" s="857" t="n"/>
      <c r="O913" s="845" t="n"/>
      <c r="P913" s="845" t="n"/>
      <c r="Q913" s="845" t="n"/>
      <c r="R913" s="845" t="n"/>
      <c r="S913" s="845" t="n"/>
      <c r="T913" s="845" t="n"/>
      <c r="U913" s="845" t="n"/>
      <c r="V913" s="845" t="n"/>
      <c r="W913" s="845" t="n"/>
      <c r="X913" s="845" t="n"/>
      <c r="Y913" s="845" t="n"/>
      <c r="Z913" s="845" t="n"/>
    </row>
    <row r="914">
      <c r="A914" s="845" t="n"/>
      <c r="B914" s="857" t="n"/>
      <c r="C914" s="857" t="n"/>
      <c r="D914" s="857" t="n"/>
      <c r="E914" s="857" t="n"/>
      <c r="F914" s="857" t="n"/>
      <c r="G914" s="858" t="n"/>
      <c r="H914" s="857" t="n"/>
      <c r="I914" s="857" t="n"/>
      <c r="J914" s="857" t="n"/>
      <c r="K914" s="857" t="n"/>
      <c r="L914" s="857" t="n"/>
      <c r="M914" s="857" t="n"/>
      <c r="N914" s="857" t="n"/>
      <c r="O914" s="845" t="n"/>
      <c r="P914" s="845" t="n"/>
      <c r="Q914" s="845" t="n"/>
      <c r="R914" s="845" t="n"/>
      <c r="S914" s="845" t="n"/>
      <c r="T914" s="845" t="n"/>
      <c r="U914" s="845" t="n"/>
      <c r="V914" s="845" t="n"/>
      <c r="W914" s="845" t="n"/>
      <c r="X914" s="845" t="n"/>
      <c r="Y914" s="845" t="n"/>
      <c r="Z914" s="845" t="n"/>
    </row>
    <row r="915">
      <c r="A915" s="845" t="n"/>
      <c r="B915" s="857" t="n"/>
      <c r="C915" s="857" t="n"/>
      <c r="D915" s="857" t="n"/>
      <c r="E915" s="857" t="n"/>
      <c r="F915" s="857" t="n"/>
      <c r="G915" s="858" t="n"/>
      <c r="H915" s="857" t="n"/>
      <c r="I915" s="857" t="n"/>
      <c r="J915" s="857" t="n"/>
      <c r="K915" s="857" t="n"/>
      <c r="L915" s="857" t="n"/>
      <c r="M915" s="857" t="n"/>
      <c r="N915" s="857" t="n"/>
      <c r="O915" s="845" t="n"/>
      <c r="P915" s="845" t="n"/>
      <c r="Q915" s="845" t="n"/>
      <c r="R915" s="845" t="n"/>
      <c r="S915" s="845" t="n"/>
      <c r="T915" s="845" t="n"/>
      <c r="U915" s="845" t="n"/>
      <c r="V915" s="845" t="n"/>
      <c r="W915" s="845" t="n"/>
      <c r="X915" s="845" t="n"/>
      <c r="Y915" s="845" t="n"/>
      <c r="Z915" s="845" t="n"/>
    </row>
    <row r="916">
      <c r="A916" s="845" t="n"/>
      <c r="B916" s="857" t="n"/>
      <c r="C916" s="857" t="n"/>
      <c r="D916" s="857" t="n"/>
      <c r="E916" s="857" t="n"/>
      <c r="F916" s="857" t="n"/>
      <c r="G916" s="858" t="n"/>
      <c r="H916" s="857" t="n"/>
      <c r="I916" s="857" t="n"/>
      <c r="J916" s="857" t="n"/>
      <c r="K916" s="857" t="n"/>
      <c r="L916" s="857" t="n"/>
      <c r="M916" s="857" t="n"/>
      <c r="N916" s="857" t="n"/>
      <c r="O916" s="845" t="n"/>
      <c r="P916" s="845" t="n"/>
      <c r="Q916" s="845" t="n"/>
      <c r="R916" s="845" t="n"/>
      <c r="S916" s="845" t="n"/>
      <c r="T916" s="845" t="n"/>
      <c r="U916" s="845" t="n"/>
      <c r="V916" s="845" t="n"/>
      <c r="W916" s="845" t="n"/>
      <c r="X916" s="845" t="n"/>
      <c r="Y916" s="845" t="n"/>
      <c r="Z916" s="845" t="n"/>
    </row>
    <row r="917">
      <c r="A917" s="845" t="n"/>
      <c r="B917" s="857" t="n"/>
      <c r="C917" s="857" t="n"/>
      <c r="D917" s="857" t="n"/>
      <c r="E917" s="857" t="n"/>
      <c r="F917" s="857" t="n"/>
      <c r="G917" s="858" t="n"/>
      <c r="H917" s="857" t="n"/>
      <c r="I917" s="857" t="n"/>
      <c r="J917" s="857" t="n"/>
      <c r="K917" s="857" t="n"/>
      <c r="L917" s="857" t="n"/>
      <c r="M917" s="857" t="n"/>
      <c r="N917" s="857" t="n"/>
      <c r="O917" s="845" t="n"/>
      <c r="P917" s="845" t="n"/>
      <c r="Q917" s="845" t="n"/>
      <c r="R917" s="845" t="n"/>
      <c r="S917" s="845" t="n"/>
      <c r="T917" s="845" t="n"/>
      <c r="U917" s="845" t="n"/>
      <c r="V917" s="845" t="n"/>
      <c r="W917" s="845" t="n"/>
      <c r="X917" s="845" t="n"/>
      <c r="Y917" s="845" t="n"/>
      <c r="Z917" s="845" t="n"/>
    </row>
    <row r="918">
      <c r="A918" s="845" t="n"/>
      <c r="B918" s="857" t="n"/>
      <c r="C918" s="857" t="n"/>
      <c r="D918" s="857" t="n"/>
      <c r="E918" s="857" t="n"/>
      <c r="F918" s="857" t="n"/>
      <c r="G918" s="858" t="n"/>
      <c r="H918" s="857" t="n"/>
      <c r="I918" s="857" t="n"/>
      <c r="J918" s="857" t="n"/>
      <c r="K918" s="857" t="n"/>
      <c r="L918" s="857" t="n"/>
      <c r="M918" s="857" t="n"/>
      <c r="N918" s="857" t="n"/>
      <c r="O918" s="845" t="n"/>
      <c r="P918" s="845" t="n"/>
      <c r="Q918" s="845" t="n"/>
      <c r="R918" s="845" t="n"/>
      <c r="S918" s="845" t="n"/>
      <c r="T918" s="845" t="n"/>
      <c r="U918" s="845" t="n"/>
      <c r="V918" s="845" t="n"/>
      <c r="W918" s="845" t="n"/>
      <c r="X918" s="845" t="n"/>
      <c r="Y918" s="845" t="n"/>
      <c r="Z918" s="845" t="n"/>
    </row>
    <row r="919">
      <c r="A919" s="845" t="n"/>
      <c r="B919" s="857" t="n"/>
      <c r="C919" s="857" t="n"/>
      <c r="D919" s="857" t="n"/>
      <c r="E919" s="857" t="n"/>
      <c r="F919" s="857" t="n"/>
      <c r="G919" s="858" t="n"/>
      <c r="H919" s="857" t="n"/>
      <c r="I919" s="857" t="n"/>
      <c r="J919" s="857" t="n"/>
      <c r="K919" s="857" t="n"/>
      <c r="L919" s="857" t="n"/>
      <c r="M919" s="857" t="n"/>
      <c r="N919" s="857" t="n"/>
      <c r="O919" s="845" t="n"/>
      <c r="P919" s="845" t="n"/>
      <c r="Q919" s="845" t="n"/>
      <c r="R919" s="845" t="n"/>
      <c r="S919" s="845" t="n"/>
      <c r="T919" s="845" t="n"/>
      <c r="U919" s="845" t="n"/>
      <c r="V919" s="845" t="n"/>
      <c r="W919" s="845" t="n"/>
      <c r="X919" s="845" t="n"/>
      <c r="Y919" s="845" t="n"/>
      <c r="Z919" s="845" t="n"/>
    </row>
    <row r="920">
      <c r="A920" s="845" t="n"/>
      <c r="B920" s="857" t="n"/>
      <c r="C920" s="857" t="n"/>
      <c r="D920" s="857" t="n"/>
      <c r="E920" s="857" t="n"/>
      <c r="F920" s="857" t="n"/>
      <c r="G920" s="858" t="n"/>
      <c r="H920" s="857" t="n"/>
      <c r="I920" s="857" t="n"/>
      <c r="J920" s="857" t="n"/>
      <c r="K920" s="857" t="n"/>
      <c r="L920" s="857" t="n"/>
      <c r="M920" s="857" t="n"/>
      <c r="N920" s="857" t="n"/>
      <c r="O920" s="845" t="n"/>
      <c r="P920" s="845" t="n"/>
      <c r="Q920" s="845" t="n"/>
      <c r="R920" s="845" t="n"/>
      <c r="S920" s="845" t="n"/>
      <c r="T920" s="845" t="n"/>
      <c r="U920" s="845" t="n"/>
      <c r="V920" s="845" t="n"/>
      <c r="W920" s="845" t="n"/>
      <c r="X920" s="845" t="n"/>
      <c r="Y920" s="845" t="n"/>
      <c r="Z920" s="845" t="n"/>
    </row>
    <row r="921">
      <c r="A921" s="845" t="n"/>
      <c r="B921" s="857" t="n"/>
      <c r="C921" s="857" t="n"/>
      <c r="D921" s="857" t="n"/>
      <c r="E921" s="857" t="n"/>
      <c r="F921" s="857" t="n"/>
      <c r="G921" s="858" t="n"/>
      <c r="H921" s="857" t="n"/>
      <c r="I921" s="857" t="n"/>
      <c r="J921" s="857" t="n"/>
      <c r="K921" s="857" t="n"/>
      <c r="L921" s="857" t="n"/>
      <c r="M921" s="857" t="n"/>
      <c r="N921" s="857" t="n"/>
      <c r="O921" s="845" t="n"/>
      <c r="P921" s="845" t="n"/>
      <c r="Q921" s="845" t="n"/>
      <c r="R921" s="845" t="n"/>
      <c r="S921" s="845" t="n"/>
      <c r="T921" s="845" t="n"/>
      <c r="U921" s="845" t="n"/>
      <c r="V921" s="845" t="n"/>
      <c r="W921" s="845" t="n"/>
      <c r="X921" s="845" t="n"/>
      <c r="Y921" s="845" t="n"/>
      <c r="Z921" s="845" t="n"/>
    </row>
    <row r="922">
      <c r="A922" s="845" t="n"/>
      <c r="B922" s="857" t="n"/>
      <c r="C922" s="857" t="n"/>
      <c r="D922" s="857" t="n"/>
      <c r="E922" s="857" t="n"/>
      <c r="F922" s="857" t="n"/>
      <c r="G922" s="858" t="n"/>
      <c r="H922" s="857" t="n"/>
      <c r="I922" s="857" t="n"/>
      <c r="J922" s="857" t="n"/>
      <c r="K922" s="857" t="n"/>
      <c r="L922" s="857" t="n"/>
      <c r="M922" s="857" t="n"/>
      <c r="N922" s="857" t="n"/>
      <c r="O922" s="845" t="n"/>
      <c r="P922" s="845" t="n"/>
      <c r="Q922" s="845" t="n"/>
      <c r="R922" s="845" t="n"/>
      <c r="S922" s="845" t="n"/>
      <c r="T922" s="845" t="n"/>
      <c r="U922" s="845" t="n"/>
      <c r="V922" s="845" t="n"/>
      <c r="W922" s="845" t="n"/>
      <c r="X922" s="845" t="n"/>
      <c r="Y922" s="845" t="n"/>
      <c r="Z922" s="845" t="n"/>
    </row>
    <row r="923">
      <c r="A923" s="845" t="n"/>
      <c r="B923" s="857" t="n"/>
      <c r="C923" s="857" t="n"/>
      <c r="D923" s="857" t="n"/>
      <c r="E923" s="857" t="n"/>
      <c r="F923" s="857" t="n"/>
      <c r="G923" s="858" t="n"/>
      <c r="H923" s="857" t="n"/>
      <c r="I923" s="857" t="n"/>
      <c r="J923" s="857" t="n"/>
      <c r="K923" s="857" t="n"/>
      <c r="L923" s="857" t="n"/>
      <c r="M923" s="857" t="n"/>
      <c r="N923" s="857" t="n"/>
      <c r="O923" s="845" t="n"/>
      <c r="P923" s="845" t="n"/>
      <c r="Q923" s="845" t="n"/>
      <c r="R923" s="845" t="n"/>
      <c r="S923" s="845" t="n"/>
      <c r="T923" s="845" t="n"/>
      <c r="U923" s="845" t="n"/>
      <c r="V923" s="845" t="n"/>
      <c r="W923" s="845" t="n"/>
      <c r="X923" s="845" t="n"/>
      <c r="Y923" s="845" t="n"/>
      <c r="Z923" s="845" t="n"/>
    </row>
    <row r="924">
      <c r="A924" s="845" t="n"/>
      <c r="B924" s="857" t="n"/>
      <c r="C924" s="857" t="n"/>
      <c r="D924" s="857" t="n"/>
      <c r="E924" s="857" t="n"/>
      <c r="F924" s="857" t="n"/>
      <c r="G924" s="858" t="n"/>
      <c r="H924" s="857" t="n"/>
      <c r="I924" s="857" t="n"/>
      <c r="J924" s="857" t="n"/>
      <c r="K924" s="857" t="n"/>
      <c r="L924" s="857" t="n"/>
      <c r="M924" s="857" t="n"/>
      <c r="N924" s="857" t="n"/>
      <c r="O924" s="845" t="n"/>
      <c r="P924" s="845" t="n"/>
      <c r="Q924" s="845" t="n"/>
      <c r="R924" s="845" t="n"/>
      <c r="S924" s="845" t="n"/>
      <c r="T924" s="845" t="n"/>
      <c r="U924" s="845" t="n"/>
      <c r="V924" s="845" t="n"/>
      <c r="W924" s="845" t="n"/>
      <c r="X924" s="845" t="n"/>
      <c r="Y924" s="845" t="n"/>
      <c r="Z924" s="845" t="n"/>
    </row>
    <row r="925">
      <c r="A925" s="845" t="n"/>
      <c r="B925" s="857" t="n"/>
      <c r="C925" s="857" t="n"/>
      <c r="D925" s="857" t="n"/>
      <c r="E925" s="857" t="n"/>
      <c r="F925" s="857" t="n"/>
      <c r="G925" s="858" t="n"/>
      <c r="H925" s="857" t="n"/>
      <c r="I925" s="857" t="n"/>
      <c r="J925" s="857" t="n"/>
      <c r="K925" s="857" t="n"/>
      <c r="L925" s="857" t="n"/>
      <c r="M925" s="857" t="n"/>
      <c r="N925" s="857" t="n"/>
      <c r="O925" s="845" t="n"/>
      <c r="P925" s="845" t="n"/>
      <c r="Q925" s="845" t="n"/>
      <c r="R925" s="845" t="n"/>
      <c r="S925" s="845" t="n"/>
      <c r="T925" s="845" t="n"/>
      <c r="U925" s="845" t="n"/>
      <c r="V925" s="845" t="n"/>
      <c r="W925" s="845" t="n"/>
      <c r="X925" s="845" t="n"/>
      <c r="Y925" s="845" t="n"/>
      <c r="Z925" s="845" t="n"/>
    </row>
    <row r="926">
      <c r="A926" s="845" t="n"/>
      <c r="B926" s="857" t="n"/>
      <c r="C926" s="857" t="n"/>
      <c r="D926" s="857" t="n"/>
      <c r="E926" s="857" t="n"/>
      <c r="F926" s="857" t="n"/>
      <c r="G926" s="858" t="n"/>
      <c r="H926" s="857" t="n"/>
      <c r="I926" s="857" t="n"/>
      <c r="J926" s="857" t="n"/>
      <c r="K926" s="857" t="n"/>
      <c r="L926" s="857" t="n"/>
      <c r="M926" s="857" t="n"/>
      <c r="N926" s="857" t="n"/>
      <c r="O926" s="845" t="n"/>
      <c r="P926" s="845" t="n"/>
      <c r="Q926" s="845" t="n"/>
      <c r="R926" s="845" t="n"/>
      <c r="S926" s="845" t="n"/>
      <c r="T926" s="845" t="n"/>
      <c r="U926" s="845" t="n"/>
      <c r="V926" s="845" t="n"/>
      <c r="W926" s="845" t="n"/>
      <c r="X926" s="845" t="n"/>
      <c r="Y926" s="845" t="n"/>
      <c r="Z926" s="845" t="n"/>
    </row>
    <row r="927">
      <c r="A927" s="845" t="n"/>
      <c r="B927" s="857" t="n"/>
      <c r="C927" s="857" t="n"/>
      <c r="D927" s="857" t="n"/>
      <c r="E927" s="857" t="n"/>
      <c r="F927" s="857" t="n"/>
      <c r="G927" s="858" t="n"/>
      <c r="H927" s="857" t="n"/>
      <c r="I927" s="857" t="n"/>
      <c r="J927" s="857" t="n"/>
      <c r="K927" s="857" t="n"/>
      <c r="L927" s="857" t="n"/>
      <c r="M927" s="857" t="n"/>
      <c r="N927" s="857" t="n"/>
      <c r="O927" s="845" t="n"/>
      <c r="P927" s="845" t="n"/>
      <c r="Q927" s="845" t="n"/>
      <c r="R927" s="845" t="n"/>
      <c r="S927" s="845" t="n"/>
      <c r="T927" s="845" t="n"/>
      <c r="U927" s="845" t="n"/>
      <c r="V927" s="845" t="n"/>
      <c r="W927" s="845" t="n"/>
      <c r="X927" s="845" t="n"/>
      <c r="Y927" s="845" t="n"/>
      <c r="Z927" s="845" t="n"/>
    </row>
    <row r="928">
      <c r="A928" s="845" t="n"/>
      <c r="B928" s="857" t="n"/>
      <c r="C928" s="857" t="n"/>
      <c r="D928" s="857" t="n"/>
      <c r="E928" s="857" t="n"/>
      <c r="F928" s="857" t="n"/>
      <c r="G928" s="858" t="n"/>
      <c r="H928" s="857" t="n"/>
      <c r="I928" s="857" t="n"/>
      <c r="J928" s="857" t="n"/>
      <c r="K928" s="857" t="n"/>
      <c r="L928" s="857" t="n"/>
      <c r="M928" s="857" t="n"/>
      <c r="N928" s="857" t="n"/>
      <c r="O928" s="845" t="n"/>
      <c r="P928" s="845" t="n"/>
      <c r="Q928" s="845" t="n"/>
      <c r="R928" s="845" t="n"/>
      <c r="S928" s="845" t="n"/>
      <c r="T928" s="845" t="n"/>
      <c r="U928" s="845" t="n"/>
      <c r="V928" s="845" t="n"/>
      <c r="W928" s="845" t="n"/>
      <c r="X928" s="845" t="n"/>
      <c r="Y928" s="845" t="n"/>
      <c r="Z928" s="845" t="n"/>
    </row>
    <row r="929">
      <c r="A929" s="845" t="n"/>
      <c r="B929" s="857" t="n"/>
      <c r="C929" s="857" t="n"/>
      <c r="D929" s="857" t="n"/>
      <c r="E929" s="857" t="n"/>
      <c r="F929" s="857" t="n"/>
      <c r="G929" s="858" t="n"/>
      <c r="H929" s="857" t="n"/>
      <c r="I929" s="857" t="n"/>
      <c r="J929" s="857" t="n"/>
      <c r="K929" s="857" t="n"/>
      <c r="L929" s="857" t="n"/>
      <c r="M929" s="857" t="n"/>
      <c r="N929" s="857" t="n"/>
      <c r="O929" s="845" t="n"/>
      <c r="P929" s="845" t="n"/>
      <c r="Q929" s="845" t="n"/>
      <c r="R929" s="845" t="n"/>
      <c r="S929" s="845" t="n"/>
      <c r="T929" s="845" t="n"/>
      <c r="U929" s="845" t="n"/>
      <c r="V929" s="845" t="n"/>
      <c r="W929" s="845" t="n"/>
      <c r="X929" s="845" t="n"/>
      <c r="Y929" s="845" t="n"/>
      <c r="Z929" s="845" t="n"/>
    </row>
    <row r="930">
      <c r="A930" s="845" t="n"/>
      <c r="B930" s="857" t="n"/>
      <c r="C930" s="857" t="n"/>
      <c r="D930" s="857" t="n"/>
      <c r="E930" s="857" t="n"/>
      <c r="F930" s="857" t="n"/>
      <c r="G930" s="858" t="n"/>
      <c r="H930" s="857" t="n"/>
      <c r="I930" s="857" t="n"/>
      <c r="J930" s="857" t="n"/>
      <c r="K930" s="857" t="n"/>
      <c r="L930" s="857" t="n"/>
      <c r="M930" s="857" t="n"/>
      <c r="N930" s="857" t="n"/>
      <c r="O930" s="845" t="n"/>
      <c r="P930" s="845" t="n"/>
      <c r="Q930" s="845" t="n"/>
      <c r="R930" s="845" t="n"/>
      <c r="S930" s="845" t="n"/>
      <c r="T930" s="845" t="n"/>
      <c r="U930" s="845" t="n"/>
      <c r="V930" s="845" t="n"/>
      <c r="W930" s="845" t="n"/>
      <c r="X930" s="845" t="n"/>
      <c r="Y930" s="845" t="n"/>
      <c r="Z930" s="845" t="n"/>
    </row>
    <row r="931">
      <c r="A931" s="845" t="n"/>
      <c r="B931" s="857" t="n"/>
      <c r="C931" s="857" t="n"/>
      <c r="D931" s="857" t="n"/>
      <c r="E931" s="857" t="n"/>
      <c r="F931" s="857" t="n"/>
      <c r="G931" s="858" t="n"/>
      <c r="H931" s="857" t="n"/>
      <c r="I931" s="857" t="n"/>
      <c r="J931" s="857" t="n"/>
      <c r="K931" s="857" t="n"/>
      <c r="L931" s="857" t="n"/>
      <c r="M931" s="857" t="n"/>
      <c r="N931" s="857" t="n"/>
      <c r="O931" s="845" t="n"/>
      <c r="P931" s="845" t="n"/>
      <c r="Q931" s="845" t="n"/>
      <c r="R931" s="845" t="n"/>
      <c r="S931" s="845" t="n"/>
      <c r="T931" s="845" t="n"/>
      <c r="U931" s="845" t="n"/>
      <c r="V931" s="845" t="n"/>
      <c r="W931" s="845" t="n"/>
      <c r="X931" s="845" t="n"/>
      <c r="Y931" s="845" t="n"/>
      <c r="Z931" s="845" t="n"/>
    </row>
    <row r="932">
      <c r="A932" s="845" t="n"/>
      <c r="B932" s="857" t="n"/>
      <c r="C932" s="857" t="n"/>
      <c r="D932" s="857" t="n"/>
      <c r="E932" s="857" t="n"/>
      <c r="F932" s="857" t="n"/>
      <c r="G932" s="858" t="n"/>
      <c r="H932" s="857" t="n"/>
      <c r="I932" s="857" t="n"/>
      <c r="J932" s="857" t="n"/>
      <c r="K932" s="857" t="n"/>
      <c r="L932" s="857" t="n"/>
      <c r="M932" s="857" t="n"/>
      <c r="N932" s="857" t="n"/>
      <c r="O932" s="845" t="n"/>
      <c r="P932" s="845" t="n"/>
      <c r="Q932" s="845" t="n"/>
      <c r="R932" s="845" t="n"/>
      <c r="S932" s="845" t="n"/>
      <c r="T932" s="845" t="n"/>
      <c r="U932" s="845" t="n"/>
      <c r="V932" s="845" t="n"/>
      <c r="W932" s="845" t="n"/>
      <c r="X932" s="845" t="n"/>
      <c r="Y932" s="845" t="n"/>
      <c r="Z932" s="845" t="n"/>
    </row>
    <row r="933">
      <c r="A933" s="845" t="n"/>
      <c r="B933" s="857" t="n"/>
      <c r="C933" s="857" t="n"/>
      <c r="D933" s="857" t="n"/>
      <c r="E933" s="857" t="n"/>
      <c r="F933" s="857" t="n"/>
      <c r="G933" s="858" t="n"/>
      <c r="H933" s="857" t="n"/>
      <c r="I933" s="857" t="n"/>
      <c r="J933" s="857" t="n"/>
      <c r="K933" s="857" t="n"/>
      <c r="L933" s="857" t="n"/>
      <c r="M933" s="857" t="n"/>
      <c r="N933" s="857" t="n"/>
      <c r="O933" s="845" t="n"/>
      <c r="P933" s="845" t="n"/>
      <c r="Q933" s="845" t="n"/>
      <c r="R933" s="845" t="n"/>
      <c r="S933" s="845" t="n"/>
      <c r="T933" s="845" t="n"/>
      <c r="U933" s="845" t="n"/>
      <c r="V933" s="845" t="n"/>
      <c r="W933" s="845" t="n"/>
      <c r="X933" s="845" t="n"/>
      <c r="Y933" s="845" t="n"/>
      <c r="Z933" s="845" t="n"/>
    </row>
    <row r="934">
      <c r="A934" s="845" t="n"/>
      <c r="B934" s="857" t="n"/>
      <c r="C934" s="857" t="n"/>
      <c r="D934" s="857" t="n"/>
      <c r="E934" s="857" t="n"/>
      <c r="F934" s="857" t="n"/>
      <c r="G934" s="858" t="n"/>
      <c r="H934" s="857" t="n"/>
      <c r="I934" s="857" t="n"/>
      <c r="J934" s="857" t="n"/>
      <c r="K934" s="857" t="n"/>
      <c r="L934" s="857" t="n"/>
      <c r="M934" s="857" t="n"/>
      <c r="N934" s="857" t="n"/>
      <c r="O934" s="845" t="n"/>
      <c r="P934" s="845" t="n"/>
      <c r="Q934" s="845" t="n"/>
      <c r="R934" s="845" t="n"/>
      <c r="S934" s="845" t="n"/>
      <c r="T934" s="845" t="n"/>
      <c r="U934" s="845" t="n"/>
      <c r="V934" s="845" t="n"/>
      <c r="W934" s="845" t="n"/>
      <c r="X934" s="845" t="n"/>
      <c r="Y934" s="845" t="n"/>
      <c r="Z934" s="845" t="n"/>
    </row>
    <row r="935">
      <c r="A935" s="845" t="n"/>
      <c r="B935" s="857" t="n"/>
      <c r="C935" s="857" t="n"/>
      <c r="D935" s="857" t="n"/>
      <c r="E935" s="857" t="n"/>
      <c r="F935" s="857" t="n"/>
      <c r="G935" s="858" t="n"/>
      <c r="H935" s="857" t="n"/>
      <c r="I935" s="857" t="n"/>
      <c r="J935" s="857" t="n"/>
      <c r="K935" s="857" t="n"/>
      <c r="L935" s="857" t="n"/>
      <c r="M935" s="857" t="n"/>
      <c r="N935" s="857" t="n"/>
      <c r="O935" s="845" t="n"/>
      <c r="P935" s="845" t="n"/>
      <c r="Q935" s="845" t="n"/>
      <c r="R935" s="845" t="n"/>
      <c r="S935" s="845" t="n"/>
      <c r="T935" s="845" t="n"/>
      <c r="U935" s="845" t="n"/>
      <c r="V935" s="845" t="n"/>
      <c r="W935" s="845" t="n"/>
      <c r="X935" s="845" t="n"/>
      <c r="Y935" s="845" t="n"/>
      <c r="Z935" s="845" t="n"/>
    </row>
    <row r="936">
      <c r="A936" s="845" t="n"/>
      <c r="B936" s="857" t="n"/>
      <c r="C936" s="857" t="n"/>
      <c r="D936" s="857" t="n"/>
      <c r="E936" s="857" t="n"/>
      <c r="F936" s="857" t="n"/>
      <c r="G936" s="858" t="n"/>
      <c r="H936" s="857" t="n"/>
      <c r="I936" s="857" t="n"/>
      <c r="J936" s="857" t="n"/>
      <c r="K936" s="857" t="n"/>
      <c r="L936" s="857" t="n"/>
      <c r="M936" s="857" t="n"/>
      <c r="N936" s="857" t="n"/>
      <c r="O936" s="845" t="n"/>
      <c r="P936" s="845" t="n"/>
      <c r="Q936" s="845" t="n"/>
      <c r="R936" s="845" t="n"/>
      <c r="S936" s="845" t="n"/>
      <c r="T936" s="845" t="n"/>
      <c r="U936" s="845" t="n"/>
      <c r="V936" s="845" t="n"/>
      <c r="W936" s="845" t="n"/>
      <c r="X936" s="845" t="n"/>
      <c r="Y936" s="845" t="n"/>
      <c r="Z936" s="845" t="n"/>
    </row>
    <row r="937">
      <c r="A937" s="845" t="n"/>
      <c r="B937" s="857" t="n"/>
      <c r="C937" s="857" t="n"/>
      <c r="D937" s="857" t="n"/>
      <c r="E937" s="857" t="n"/>
      <c r="F937" s="857" t="n"/>
      <c r="G937" s="858" t="n"/>
      <c r="H937" s="857" t="n"/>
      <c r="I937" s="857" t="n"/>
      <c r="J937" s="857" t="n"/>
      <c r="K937" s="857" t="n"/>
      <c r="L937" s="857" t="n"/>
      <c r="M937" s="857" t="n"/>
      <c r="N937" s="857" t="n"/>
      <c r="O937" s="845" t="n"/>
      <c r="P937" s="845" t="n"/>
      <c r="Q937" s="845" t="n"/>
      <c r="R937" s="845" t="n"/>
      <c r="S937" s="845" t="n"/>
      <c r="T937" s="845" t="n"/>
      <c r="U937" s="845" t="n"/>
      <c r="V937" s="845" t="n"/>
      <c r="W937" s="845" t="n"/>
      <c r="X937" s="845" t="n"/>
      <c r="Y937" s="845" t="n"/>
      <c r="Z937" s="845" t="n"/>
    </row>
    <row r="938">
      <c r="A938" s="845" t="n"/>
      <c r="B938" s="857" t="n"/>
      <c r="C938" s="857" t="n"/>
      <c r="D938" s="857" t="n"/>
      <c r="E938" s="857" t="n"/>
      <c r="F938" s="857" t="n"/>
      <c r="G938" s="858" t="n"/>
      <c r="H938" s="857" t="n"/>
      <c r="I938" s="857" t="n"/>
      <c r="J938" s="857" t="n"/>
      <c r="K938" s="857" t="n"/>
      <c r="L938" s="857" t="n"/>
      <c r="M938" s="857" t="n"/>
      <c r="N938" s="857" t="n"/>
      <c r="O938" s="845" t="n"/>
      <c r="P938" s="845" t="n"/>
      <c r="Q938" s="845" t="n"/>
      <c r="R938" s="845" t="n"/>
      <c r="S938" s="845" t="n"/>
      <c r="T938" s="845" t="n"/>
      <c r="U938" s="845" t="n"/>
      <c r="V938" s="845" t="n"/>
      <c r="W938" s="845" t="n"/>
      <c r="X938" s="845" t="n"/>
      <c r="Y938" s="845" t="n"/>
      <c r="Z938" s="845" t="n"/>
    </row>
    <row r="939">
      <c r="A939" s="845" t="n"/>
      <c r="B939" s="857" t="n"/>
      <c r="C939" s="857" t="n"/>
      <c r="D939" s="857" t="n"/>
      <c r="E939" s="857" t="n"/>
      <c r="F939" s="857" t="n"/>
      <c r="G939" s="858" t="n"/>
      <c r="H939" s="857" t="n"/>
      <c r="I939" s="857" t="n"/>
      <c r="J939" s="857" t="n"/>
      <c r="K939" s="857" t="n"/>
      <c r="L939" s="857" t="n"/>
      <c r="M939" s="857" t="n"/>
      <c r="N939" s="857" t="n"/>
      <c r="O939" s="845" t="n"/>
      <c r="P939" s="845" t="n"/>
      <c r="Q939" s="845" t="n"/>
      <c r="R939" s="845" t="n"/>
      <c r="S939" s="845" t="n"/>
      <c r="T939" s="845" t="n"/>
      <c r="U939" s="845" t="n"/>
      <c r="V939" s="845" t="n"/>
      <c r="W939" s="845" t="n"/>
      <c r="X939" s="845" t="n"/>
      <c r="Y939" s="845" t="n"/>
      <c r="Z939" s="845" t="n"/>
    </row>
    <row r="940">
      <c r="A940" s="845" t="n"/>
      <c r="B940" s="857" t="n"/>
      <c r="C940" s="857" t="n"/>
      <c r="D940" s="857" t="n"/>
      <c r="E940" s="857" t="n"/>
      <c r="F940" s="857" t="n"/>
      <c r="G940" s="858" t="n"/>
      <c r="H940" s="857" t="n"/>
      <c r="I940" s="857" t="n"/>
      <c r="J940" s="857" t="n"/>
      <c r="K940" s="857" t="n"/>
      <c r="L940" s="857" t="n"/>
      <c r="M940" s="857" t="n"/>
      <c r="N940" s="857" t="n"/>
      <c r="O940" s="845" t="n"/>
      <c r="P940" s="845" t="n"/>
      <c r="Q940" s="845" t="n"/>
      <c r="R940" s="845" t="n"/>
      <c r="S940" s="845" t="n"/>
      <c r="T940" s="845" t="n"/>
      <c r="U940" s="845" t="n"/>
      <c r="V940" s="845" t="n"/>
      <c r="W940" s="845" t="n"/>
      <c r="X940" s="845" t="n"/>
      <c r="Y940" s="845" t="n"/>
      <c r="Z940" s="845" t="n"/>
    </row>
    <row r="941">
      <c r="A941" s="845" t="n"/>
      <c r="B941" s="857" t="n"/>
      <c r="C941" s="857" t="n"/>
      <c r="D941" s="857" t="n"/>
      <c r="E941" s="857" t="n"/>
      <c r="F941" s="857" t="n"/>
      <c r="G941" s="858" t="n"/>
      <c r="H941" s="857" t="n"/>
      <c r="I941" s="857" t="n"/>
      <c r="J941" s="857" t="n"/>
      <c r="K941" s="857" t="n"/>
      <c r="L941" s="857" t="n"/>
      <c r="M941" s="857" t="n"/>
      <c r="N941" s="857" t="n"/>
      <c r="O941" s="845" t="n"/>
      <c r="P941" s="845" t="n"/>
      <c r="Q941" s="845" t="n"/>
      <c r="R941" s="845" t="n"/>
      <c r="S941" s="845" t="n"/>
      <c r="T941" s="845" t="n"/>
      <c r="U941" s="845" t="n"/>
      <c r="V941" s="845" t="n"/>
      <c r="W941" s="845" t="n"/>
      <c r="X941" s="845" t="n"/>
      <c r="Y941" s="845" t="n"/>
      <c r="Z941" s="845" t="n"/>
    </row>
    <row r="942">
      <c r="A942" s="845" t="n"/>
      <c r="B942" s="857" t="n"/>
      <c r="C942" s="857" t="n"/>
      <c r="D942" s="857" t="n"/>
      <c r="E942" s="857" t="n"/>
      <c r="F942" s="857" t="n"/>
      <c r="G942" s="858" t="n"/>
      <c r="H942" s="857" t="n"/>
      <c r="I942" s="857" t="n"/>
      <c r="J942" s="857" t="n"/>
      <c r="K942" s="857" t="n"/>
      <c r="L942" s="857" t="n"/>
      <c r="M942" s="857" t="n"/>
      <c r="N942" s="857" t="n"/>
      <c r="O942" s="845" t="n"/>
      <c r="P942" s="845" t="n"/>
      <c r="Q942" s="845" t="n"/>
      <c r="R942" s="845" t="n"/>
      <c r="S942" s="845" t="n"/>
      <c r="T942" s="845" t="n"/>
      <c r="U942" s="845" t="n"/>
      <c r="V942" s="845" t="n"/>
      <c r="W942" s="845" t="n"/>
      <c r="X942" s="845" t="n"/>
      <c r="Y942" s="845" t="n"/>
      <c r="Z942" s="845" t="n"/>
    </row>
    <row r="943">
      <c r="A943" s="845" t="n"/>
      <c r="B943" s="857" t="n"/>
      <c r="C943" s="857" t="n"/>
      <c r="D943" s="857" t="n"/>
      <c r="E943" s="857" t="n"/>
      <c r="F943" s="857" t="n"/>
      <c r="G943" s="858" t="n"/>
      <c r="H943" s="857" t="n"/>
      <c r="I943" s="857" t="n"/>
      <c r="J943" s="857" t="n"/>
      <c r="K943" s="857" t="n"/>
      <c r="L943" s="857" t="n"/>
      <c r="M943" s="857" t="n"/>
      <c r="N943" s="857" t="n"/>
      <c r="O943" s="845" t="n"/>
      <c r="P943" s="845" t="n"/>
      <c r="Q943" s="845" t="n"/>
      <c r="R943" s="845" t="n"/>
      <c r="S943" s="845" t="n"/>
      <c r="T943" s="845" t="n"/>
      <c r="U943" s="845" t="n"/>
      <c r="V943" s="845" t="n"/>
      <c r="W943" s="845" t="n"/>
      <c r="X943" s="845" t="n"/>
      <c r="Y943" s="845" t="n"/>
      <c r="Z943" s="845" t="n"/>
    </row>
    <row r="944">
      <c r="A944" s="845" t="n"/>
      <c r="B944" s="857" t="n"/>
      <c r="C944" s="857" t="n"/>
      <c r="D944" s="857" t="n"/>
      <c r="E944" s="857" t="n"/>
      <c r="F944" s="857" t="n"/>
      <c r="G944" s="858" t="n"/>
      <c r="H944" s="857" t="n"/>
      <c r="I944" s="857" t="n"/>
      <c r="J944" s="857" t="n"/>
      <c r="K944" s="857" t="n"/>
      <c r="L944" s="857" t="n"/>
      <c r="M944" s="857" t="n"/>
      <c r="N944" s="857" t="n"/>
      <c r="O944" s="845" t="n"/>
      <c r="P944" s="845" t="n"/>
      <c r="Q944" s="845" t="n"/>
      <c r="R944" s="845" t="n"/>
      <c r="S944" s="845" t="n"/>
      <c r="T944" s="845" t="n"/>
      <c r="U944" s="845" t="n"/>
      <c r="V944" s="845" t="n"/>
      <c r="W944" s="845" t="n"/>
      <c r="X944" s="845" t="n"/>
      <c r="Y944" s="845" t="n"/>
      <c r="Z944" s="845" t="n"/>
    </row>
    <row r="945">
      <c r="A945" s="845" t="n"/>
      <c r="B945" s="857" t="n"/>
      <c r="C945" s="857" t="n"/>
      <c r="D945" s="857" t="n"/>
      <c r="E945" s="857" t="n"/>
      <c r="F945" s="857" t="n"/>
      <c r="G945" s="858" t="n"/>
      <c r="H945" s="857" t="n"/>
      <c r="I945" s="857" t="n"/>
      <c r="J945" s="857" t="n"/>
      <c r="K945" s="857" t="n"/>
      <c r="L945" s="857" t="n"/>
      <c r="M945" s="857" t="n"/>
      <c r="N945" s="857" t="n"/>
      <c r="O945" s="845" t="n"/>
      <c r="P945" s="845" t="n"/>
      <c r="Q945" s="845" t="n"/>
      <c r="R945" s="845" t="n"/>
      <c r="S945" s="845" t="n"/>
      <c r="T945" s="845" t="n"/>
      <c r="U945" s="845" t="n"/>
      <c r="V945" s="845" t="n"/>
      <c r="W945" s="845" t="n"/>
      <c r="X945" s="845" t="n"/>
      <c r="Y945" s="845" t="n"/>
      <c r="Z945" s="845" t="n"/>
    </row>
    <row r="946">
      <c r="A946" s="845" t="n"/>
      <c r="B946" s="857" t="n"/>
      <c r="C946" s="857" t="n"/>
      <c r="D946" s="857" t="n"/>
      <c r="E946" s="857" t="n"/>
      <c r="F946" s="857" t="n"/>
      <c r="G946" s="858" t="n"/>
      <c r="H946" s="857" t="n"/>
      <c r="I946" s="857" t="n"/>
      <c r="J946" s="857" t="n"/>
      <c r="K946" s="857" t="n"/>
      <c r="L946" s="857" t="n"/>
      <c r="M946" s="857" t="n"/>
      <c r="N946" s="857" t="n"/>
      <c r="O946" s="845" t="n"/>
      <c r="P946" s="845" t="n"/>
      <c r="Q946" s="845" t="n"/>
      <c r="R946" s="845" t="n"/>
      <c r="S946" s="845" t="n"/>
      <c r="T946" s="845" t="n"/>
      <c r="U946" s="845" t="n"/>
      <c r="V946" s="845" t="n"/>
      <c r="W946" s="845" t="n"/>
      <c r="X946" s="845" t="n"/>
      <c r="Y946" s="845" t="n"/>
      <c r="Z946" s="845" t="n"/>
    </row>
    <row r="947">
      <c r="A947" s="845" t="n"/>
      <c r="B947" s="857" t="n"/>
      <c r="C947" s="857" t="n"/>
      <c r="D947" s="857" t="n"/>
      <c r="E947" s="857" t="n"/>
      <c r="F947" s="857" t="n"/>
      <c r="G947" s="858" t="n"/>
      <c r="H947" s="857" t="n"/>
      <c r="I947" s="857" t="n"/>
      <c r="J947" s="857" t="n"/>
      <c r="K947" s="857" t="n"/>
      <c r="L947" s="857" t="n"/>
      <c r="M947" s="857" t="n"/>
      <c r="N947" s="857" t="n"/>
      <c r="O947" s="845" t="n"/>
      <c r="P947" s="845" t="n"/>
      <c r="Q947" s="845" t="n"/>
      <c r="R947" s="845" t="n"/>
      <c r="S947" s="845" t="n"/>
      <c r="T947" s="845" t="n"/>
      <c r="U947" s="845" t="n"/>
      <c r="V947" s="845" t="n"/>
      <c r="W947" s="845" t="n"/>
      <c r="X947" s="845" t="n"/>
      <c r="Y947" s="845" t="n"/>
      <c r="Z947" s="845" t="n"/>
    </row>
    <row r="948">
      <c r="A948" s="845" t="n"/>
      <c r="B948" s="857" t="n"/>
      <c r="C948" s="857" t="n"/>
      <c r="D948" s="857" t="n"/>
      <c r="E948" s="857" t="n"/>
      <c r="F948" s="857" t="n"/>
      <c r="G948" s="858" t="n"/>
      <c r="H948" s="857" t="n"/>
      <c r="I948" s="857" t="n"/>
      <c r="J948" s="857" t="n"/>
      <c r="K948" s="857" t="n"/>
      <c r="L948" s="857" t="n"/>
      <c r="M948" s="857" t="n"/>
      <c r="N948" s="857" t="n"/>
      <c r="O948" s="845" t="n"/>
      <c r="P948" s="845" t="n"/>
      <c r="Q948" s="845" t="n"/>
      <c r="R948" s="845" t="n"/>
      <c r="S948" s="845" t="n"/>
      <c r="T948" s="845" t="n"/>
      <c r="U948" s="845" t="n"/>
      <c r="V948" s="845" t="n"/>
      <c r="W948" s="845" t="n"/>
      <c r="X948" s="845" t="n"/>
      <c r="Y948" s="845" t="n"/>
      <c r="Z948" s="845" t="n"/>
    </row>
    <row r="949">
      <c r="A949" s="845" t="n"/>
      <c r="B949" s="857" t="n"/>
      <c r="C949" s="857" t="n"/>
      <c r="D949" s="857" t="n"/>
      <c r="E949" s="857" t="n"/>
      <c r="F949" s="857" t="n"/>
      <c r="G949" s="858" t="n"/>
      <c r="H949" s="857" t="n"/>
      <c r="I949" s="857" t="n"/>
      <c r="J949" s="857" t="n"/>
      <c r="K949" s="857" t="n"/>
      <c r="L949" s="857" t="n"/>
      <c r="M949" s="857" t="n"/>
      <c r="N949" s="857" t="n"/>
      <c r="O949" s="845" t="n"/>
      <c r="P949" s="845" t="n"/>
      <c r="Q949" s="845" t="n"/>
      <c r="R949" s="845" t="n"/>
      <c r="S949" s="845" t="n"/>
      <c r="T949" s="845" t="n"/>
      <c r="U949" s="845" t="n"/>
      <c r="V949" s="845" t="n"/>
      <c r="W949" s="845" t="n"/>
      <c r="X949" s="845" t="n"/>
      <c r="Y949" s="845" t="n"/>
      <c r="Z949" s="845" t="n"/>
    </row>
    <row r="950">
      <c r="A950" s="845" t="n"/>
      <c r="B950" s="857" t="n"/>
      <c r="C950" s="857" t="n"/>
      <c r="D950" s="857" t="n"/>
      <c r="E950" s="857" t="n"/>
      <c r="F950" s="857" t="n"/>
      <c r="G950" s="858" t="n"/>
      <c r="H950" s="857" t="n"/>
      <c r="I950" s="857" t="n"/>
      <c r="J950" s="857" t="n"/>
      <c r="K950" s="857" t="n"/>
      <c r="L950" s="857" t="n"/>
      <c r="M950" s="857" t="n"/>
      <c r="N950" s="857" t="n"/>
      <c r="O950" s="845" t="n"/>
      <c r="P950" s="845" t="n"/>
      <c r="Q950" s="845" t="n"/>
      <c r="R950" s="845" t="n"/>
      <c r="S950" s="845" t="n"/>
      <c r="T950" s="845" t="n"/>
      <c r="U950" s="845" t="n"/>
      <c r="V950" s="845" t="n"/>
      <c r="W950" s="845" t="n"/>
      <c r="X950" s="845" t="n"/>
      <c r="Y950" s="845" t="n"/>
      <c r="Z950" s="845" t="n"/>
    </row>
    <row r="951">
      <c r="A951" s="845" t="n"/>
      <c r="B951" s="857" t="n"/>
      <c r="C951" s="857" t="n"/>
      <c r="D951" s="857" t="n"/>
      <c r="E951" s="857" t="n"/>
      <c r="F951" s="857" t="n"/>
      <c r="G951" s="858" t="n"/>
      <c r="H951" s="857" t="n"/>
      <c r="I951" s="857" t="n"/>
      <c r="J951" s="857" t="n"/>
      <c r="K951" s="857" t="n"/>
      <c r="L951" s="857" t="n"/>
      <c r="M951" s="857" t="n"/>
      <c r="N951" s="857" t="n"/>
      <c r="O951" s="845" t="n"/>
      <c r="P951" s="845" t="n"/>
      <c r="Q951" s="845" t="n"/>
      <c r="R951" s="845" t="n"/>
      <c r="S951" s="845" t="n"/>
      <c r="T951" s="845" t="n"/>
      <c r="U951" s="845" t="n"/>
      <c r="V951" s="845" t="n"/>
      <c r="W951" s="845" t="n"/>
      <c r="X951" s="845" t="n"/>
      <c r="Y951" s="845" t="n"/>
      <c r="Z951" s="845" t="n"/>
    </row>
    <row r="952">
      <c r="A952" s="845" t="n"/>
      <c r="B952" s="857" t="n"/>
      <c r="C952" s="857" t="n"/>
      <c r="D952" s="857" t="n"/>
      <c r="E952" s="857" t="n"/>
      <c r="F952" s="857" t="n"/>
      <c r="G952" s="858" t="n"/>
      <c r="H952" s="857" t="n"/>
      <c r="I952" s="857" t="n"/>
      <c r="J952" s="857" t="n"/>
      <c r="K952" s="857" t="n"/>
      <c r="L952" s="857" t="n"/>
      <c r="M952" s="857" t="n"/>
      <c r="N952" s="857" t="n"/>
      <c r="O952" s="845" t="n"/>
      <c r="P952" s="845" t="n"/>
      <c r="Q952" s="845" t="n"/>
      <c r="R952" s="845" t="n"/>
      <c r="S952" s="845" t="n"/>
      <c r="T952" s="845" t="n"/>
      <c r="U952" s="845" t="n"/>
      <c r="V952" s="845" t="n"/>
      <c r="W952" s="845" t="n"/>
      <c r="X952" s="845" t="n"/>
      <c r="Y952" s="845" t="n"/>
      <c r="Z952" s="845" t="n"/>
    </row>
    <row r="953">
      <c r="A953" s="845" t="n"/>
      <c r="B953" s="857" t="n"/>
      <c r="C953" s="857" t="n"/>
      <c r="D953" s="857" t="n"/>
      <c r="E953" s="857" t="n"/>
      <c r="F953" s="857" t="n"/>
      <c r="G953" s="858" t="n"/>
      <c r="H953" s="857" t="n"/>
      <c r="I953" s="857" t="n"/>
      <c r="J953" s="857" t="n"/>
      <c r="K953" s="857" t="n"/>
      <c r="L953" s="857" t="n"/>
      <c r="M953" s="857" t="n"/>
      <c r="N953" s="857" t="n"/>
      <c r="O953" s="845" t="n"/>
      <c r="P953" s="845" t="n"/>
      <c r="Q953" s="845" t="n"/>
      <c r="R953" s="845" t="n"/>
      <c r="S953" s="845" t="n"/>
      <c r="T953" s="845" t="n"/>
      <c r="U953" s="845" t="n"/>
      <c r="V953" s="845" t="n"/>
      <c r="W953" s="845" t="n"/>
      <c r="X953" s="845" t="n"/>
      <c r="Y953" s="845" t="n"/>
      <c r="Z953" s="845" t="n"/>
    </row>
    <row r="954">
      <c r="A954" s="845" t="n"/>
      <c r="B954" s="857" t="n"/>
      <c r="C954" s="857" t="n"/>
      <c r="D954" s="857" t="n"/>
      <c r="E954" s="857" t="n"/>
      <c r="F954" s="857" t="n"/>
      <c r="G954" s="858" t="n"/>
      <c r="H954" s="857" t="n"/>
      <c r="I954" s="857" t="n"/>
      <c r="J954" s="857" t="n"/>
      <c r="K954" s="857" t="n"/>
      <c r="L954" s="857" t="n"/>
      <c r="M954" s="857" t="n"/>
      <c r="N954" s="857" t="n"/>
      <c r="O954" s="845" t="n"/>
      <c r="P954" s="845" t="n"/>
      <c r="Q954" s="845" t="n"/>
      <c r="R954" s="845" t="n"/>
      <c r="S954" s="845" t="n"/>
      <c r="T954" s="845" t="n"/>
      <c r="U954" s="845" t="n"/>
      <c r="V954" s="845" t="n"/>
      <c r="W954" s="845" t="n"/>
      <c r="X954" s="845" t="n"/>
      <c r="Y954" s="845" t="n"/>
      <c r="Z954" s="845" t="n"/>
    </row>
    <row r="955">
      <c r="A955" s="845" t="n"/>
      <c r="B955" s="857" t="n"/>
      <c r="C955" s="857" t="n"/>
      <c r="D955" s="857" t="n"/>
      <c r="E955" s="857" t="n"/>
      <c r="F955" s="857" t="n"/>
      <c r="G955" s="858" t="n"/>
      <c r="H955" s="857" t="n"/>
      <c r="I955" s="857" t="n"/>
      <c r="J955" s="857" t="n"/>
      <c r="K955" s="857" t="n"/>
      <c r="L955" s="857" t="n"/>
      <c r="M955" s="857" t="n"/>
      <c r="N955" s="857" t="n"/>
      <c r="O955" s="845" t="n"/>
      <c r="P955" s="845" t="n"/>
      <c r="Q955" s="845" t="n"/>
      <c r="R955" s="845" t="n"/>
      <c r="S955" s="845" t="n"/>
      <c r="T955" s="845" t="n"/>
      <c r="U955" s="845" t="n"/>
      <c r="V955" s="845" t="n"/>
      <c r="W955" s="845" t="n"/>
      <c r="X955" s="845" t="n"/>
      <c r="Y955" s="845" t="n"/>
      <c r="Z955" s="845" t="n"/>
    </row>
    <row r="956">
      <c r="A956" s="845" t="n"/>
      <c r="B956" s="857" t="n"/>
      <c r="C956" s="857" t="n"/>
      <c r="D956" s="857" t="n"/>
      <c r="E956" s="857" t="n"/>
      <c r="F956" s="857" t="n"/>
      <c r="G956" s="858" t="n"/>
      <c r="H956" s="857" t="n"/>
      <c r="I956" s="857" t="n"/>
      <c r="J956" s="857" t="n"/>
      <c r="K956" s="857" t="n"/>
      <c r="L956" s="857" t="n"/>
      <c r="M956" s="857" t="n"/>
      <c r="N956" s="857" t="n"/>
      <c r="O956" s="845" t="n"/>
      <c r="P956" s="845" t="n"/>
      <c r="Q956" s="845" t="n"/>
      <c r="R956" s="845" t="n"/>
      <c r="S956" s="845" t="n"/>
      <c r="T956" s="845" t="n"/>
      <c r="U956" s="845" t="n"/>
      <c r="V956" s="845" t="n"/>
      <c r="W956" s="845" t="n"/>
      <c r="X956" s="845" t="n"/>
      <c r="Y956" s="845" t="n"/>
      <c r="Z956" s="845" t="n"/>
    </row>
    <row r="957">
      <c r="A957" s="845" t="n"/>
      <c r="B957" s="857" t="n"/>
      <c r="C957" s="857" t="n"/>
      <c r="D957" s="857" t="n"/>
      <c r="E957" s="857" t="n"/>
      <c r="F957" s="857" t="n"/>
      <c r="G957" s="858" t="n"/>
      <c r="H957" s="857" t="n"/>
      <c r="I957" s="857" t="n"/>
      <c r="J957" s="857" t="n"/>
      <c r="K957" s="857" t="n"/>
      <c r="L957" s="857" t="n"/>
      <c r="M957" s="857" t="n"/>
      <c r="N957" s="857" t="n"/>
      <c r="O957" s="845" t="n"/>
      <c r="P957" s="845" t="n"/>
      <c r="Q957" s="845" t="n"/>
      <c r="R957" s="845" t="n"/>
      <c r="S957" s="845" t="n"/>
      <c r="T957" s="845" t="n"/>
      <c r="U957" s="845" t="n"/>
      <c r="V957" s="845" t="n"/>
      <c r="W957" s="845" t="n"/>
      <c r="X957" s="845" t="n"/>
      <c r="Y957" s="845" t="n"/>
      <c r="Z957" s="845" t="n"/>
    </row>
    <row r="958">
      <c r="A958" s="845" t="n"/>
      <c r="B958" s="857" t="n"/>
      <c r="C958" s="857" t="n"/>
      <c r="D958" s="857" t="n"/>
      <c r="E958" s="857" t="n"/>
      <c r="F958" s="857" t="n"/>
      <c r="G958" s="858" t="n"/>
      <c r="H958" s="857" t="n"/>
      <c r="I958" s="857" t="n"/>
      <c r="J958" s="857" t="n"/>
      <c r="K958" s="857" t="n"/>
      <c r="L958" s="857" t="n"/>
      <c r="M958" s="857" t="n"/>
      <c r="N958" s="857" t="n"/>
      <c r="O958" s="845" t="n"/>
      <c r="P958" s="845" t="n"/>
      <c r="Q958" s="845" t="n"/>
      <c r="R958" s="845" t="n"/>
      <c r="S958" s="845" t="n"/>
      <c r="T958" s="845" t="n"/>
      <c r="U958" s="845" t="n"/>
      <c r="V958" s="845" t="n"/>
      <c r="W958" s="845" t="n"/>
      <c r="X958" s="845" t="n"/>
      <c r="Y958" s="845" t="n"/>
      <c r="Z958" s="845" t="n"/>
    </row>
    <row r="959">
      <c r="A959" s="845" t="n"/>
      <c r="B959" s="857" t="n"/>
      <c r="C959" s="857" t="n"/>
      <c r="D959" s="857" t="n"/>
      <c r="E959" s="857" t="n"/>
      <c r="F959" s="857" t="n"/>
      <c r="G959" s="858" t="n"/>
      <c r="H959" s="857" t="n"/>
      <c r="I959" s="857" t="n"/>
      <c r="J959" s="857" t="n"/>
      <c r="K959" s="857" t="n"/>
      <c r="L959" s="857" t="n"/>
      <c r="M959" s="857" t="n"/>
      <c r="N959" s="857" t="n"/>
      <c r="O959" s="845" t="n"/>
      <c r="P959" s="845" t="n"/>
      <c r="Q959" s="845" t="n"/>
      <c r="R959" s="845" t="n"/>
      <c r="S959" s="845" t="n"/>
      <c r="T959" s="845" t="n"/>
      <c r="U959" s="845" t="n"/>
      <c r="V959" s="845" t="n"/>
      <c r="W959" s="845" t="n"/>
      <c r="X959" s="845" t="n"/>
      <c r="Y959" s="845" t="n"/>
      <c r="Z959" s="845" t="n"/>
    </row>
    <row r="960">
      <c r="A960" s="845" t="n"/>
      <c r="B960" s="857" t="n"/>
      <c r="C960" s="857" t="n"/>
      <c r="D960" s="857" t="n"/>
      <c r="E960" s="857" t="n"/>
      <c r="F960" s="857" t="n"/>
      <c r="G960" s="858" t="n"/>
      <c r="H960" s="857" t="n"/>
      <c r="I960" s="857" t="n"/>
      <c r="J960" s="857" t="n"/>
      <c r="K960" s="857" t="n"/>
      <c r="L960" s="857" t="n"/>
      <c r="M960" s="857" t="n"/>
      <c r="N960" s="857" t="n"/>
      <c r="O960" s="845" t="n"/>
      <c r="P960" s="845" t="n"/>
      <c r="Q960" s="845" t="n"/>
      <c r="R960" s="845" t="n"/>
      <c r="S960" s="845" t="n"/>
      <c r="T960" s="845" t="n"/>
      <c r="U960" s="845" t="n"/>
      <c r="V960" s="845" t="n"/>
      <c r="W960" s="845" t="n"/>
      <c r="X960" s="845" t="n"/>
      <c r="Y960" s="845" t="n"/>
      <c r="Z960" s="845" t="n"/>
    </row>
    <row r="961">
      <c r="A961" s="845" t="n"/>
      <c r="B961" s="857" t="n"/>
      <c r="C961" s="857" t="n"/>
      <c r="D961" s="857" t="n"/>
      <c r="E961" s="857" t="n"/>
      <c r="F961" s="857" t="n"/>
      <c r="G961" s="858" t="n"/>
      <c r="H961" s="857" t="n"/>
      <c r="I961" s="857" t="n"/>
      <c r="J961" s="857" t="n"/>
      <c r="K961" s="857" t="n"/>
      <c r="L961" s="857" t="n"/>
      <c r="M961" s="857" t="n"/>
      <c r="N961" s="857" t="n"/>
      <c r="O961" s="845" t="n"/>
      <c r="P961" s="845" t="n"/>
      <c r="Q961" s="845" t="n"/>
      <c r="R961" s="845" t="n"/>
      <c r="S961" s="845" t="n"/>
      <c r="T961" s="845" t="n"/>
      <c r="U961" s="845" t="n"/>
      <c r="V961" s="845" t="n"/>
      <c r="W961" s="845" t="n"/>
      <c r="X961" s="845" t="n"/>
      <c r="Y961" s="845" t="n"/>
      <c r="Z961" s="845" t="n"/>
    </row>
    <row r="962">
      <c r="A962" s="845" t="n"/>
      <c r="B962" s="857" t="n"/>
      <c r="C962" s="857" t="n"/>
      <c r="D962" s="857" t="n"/>
      <c r="E962" s="857" t="n"/>
      <c r="F962" s="857" t="n"/>
      <c r="G962" s="858" t="n"/>
      <c r="H962" s="857" t="n"/>
      <c r="I962" s="857" t="n"/>
      <c r="J962" s="857" t="n"/>
      <c r="K962" s="857" t="n"/>
      <c r="L962" s="857" t="n"/>
      <c r="M962" s="857" t="n"/>
      <c r="N962" s="857" t="n"/>
      <c r="O962" s="845" t="n"/>
      <c r="P962" s="845" t="n"/>
      <c r="Q962" s="845" t="n"/>
      <c r="R962" s="845" t="n"/>
      <c r="S962" s="845" t="n"/>
      <c r="T962" s="845" t="n"/>
      <c r="U962" s="845" t="n"/>
      <c r="V962" s="845" t="n"/>
      <c r="W962" s="845" t="n"/>
      <c r="X962" s="845" t="n"/>
      <c r="Y962" s="845" t="n"/>
      <c r="Z962" s="845" t="n"/>
    </row>
    <row r="963">
      <c r="A963" s="845" t="n"/>
      <c r="B963" s="857" t="n"/>
      <c r="C963" s="857" t="n"/>
      <c r="D963" s="857" t="n"/>
      <c r="E963" s="857" t="n"/>
      <c r="F963" s="857" t="n"/>
      <c r="G963" s="858" t="n"/>
      <c r="H963" s="857" t="n"/>
      <c r="I963" s="857" t="n"/>
      <c r="J963" s="857" t="n"/>
      <c r="K963" s="857" t="n"/>
      <c r="L963" s="857" t="n"/>
      <c r="M963" s="857" t="n"/>
      <c r="N963" s="857" t="n"/>
      <c r="O963" s="845" t="n"/>
      <c r="P963" s="845" t="n"/>
      <c r="Q963" s="845" t="n"/>
      <c r="R963" s="845" t="n"/>
      <c r="S963" s="845" t="n"/>
      <c r="T963" s="845" t="n"/>
      <c r="U963" s="845" t="n"/>
      <c r="V963" s="845" t="n"/>
      <c r="W963" s="845" t="n"/>
      <c r="X963" s="845" t="n"/>
      <c r="Y963" s="845" t="n"/>
      <c r="Z963" s="845" t="n"/>
    </row>
    <row r="964">
      <c r="A964" s="845" t="n"/>
      <c r="B964" s="857" t="n"/>
      <c r="C964" s="857" t="n"/>
      <c r="D964" s="857" t="n"/>
      <c r="E964" s="857" t="n"/>
      <c r="F964" s="857" t="n"/>
      <c r="G964" s="858" t="n"/>
      <c r="H964" s="857" t="n"/>
      <c r="I964" s="857" t="n"/>
      <c r="J964" s="857" t="n"/>
      <c r="K964" s="857" t="n"/>
      <c r="L964" s="857" t="n"/>
      <c r="M964" s="857" t="n"/>
      <c r="N964" s="857" t="n"/>
      <c r="O964" s="845" t="n"/>
      <c r="P964" s="845" t="n"/>
      <c r="Q964" s="845" t="n"/>
      <c r="R964" s="845" t="n"/>
      <c r="S964" s="845" t="n"/>
      <c r="T964" s="845" t="n"/>
      <c r="U964" s="845" t="n"/>
      <c r="V964" s="845" t="n"/>
      <c r="W964" s="845" t="n"/>
      <c r="X964" s="845" t="n"/>
      <c r="Y964" s="845" t="n"/>
      <c r="Z964" s="845" t="n"/>
    </row>
    <row r="965">
      <c r="A965" s="845" t="n"/>
      <c r="B965" s="857" t="n"/>
      <c r="C965" s="857" t="n"/>
      <c r="D965" s="857" t="n"/>
      <c r="E965" s="857" t="n"/>
      <c r="F965" s="857" t="n"/>
      <c r="G965" s="858" t="n"/>
      <c r="H965" s="857" t="n"/>
      <c r="I965" s="857" t="n"/>
      <c r="J965" s="857" t="n"/>
      <c r="K965" s="857" t="n"/>
      <c r="L965" s="857" t="n"/>
      <c r="M965" s="857" t="n"/>
      <c r="N965" s="857" t="n"/>
      <c r="O965" s="845" t="n"/>
      <c r="P965" s="845" t="n"/>
      <c r="Q965" s="845" t="n"/>
      <c r="R965" s="845" t="n"/>
      <c r="S965" s="845" t="n"/>
      <c r="T965" s="845" t="n"/>
      <c r="U965" s="845" t="n"/>
      <c r="V965" s="845" t="n"/>
      <c r="W965" s="845" t="n"/>
      <c r="X965" s="845" t="n"/>
      <c r="Y965" s="845" t="n"/>
      <c r="Z965" s="845" t="n"/>
    </row>
    <row r="966">
      <c r="A966" s="845" t="n"/>
      <c r="B966" s="857" t="n"/>
      <c r="C966" s="857" t="n"/>
      <c r="D966" s="857" t="n"/>
      <c r="E966" s="857" t="n"/>
      <c r="F966" s="857" t="n"/>
      <c r="G966" s="858" t="n"/>
      <c r="H966" s="857" t="n"/>
      <c r="I966" s="857" t="n"/>
      <c r="J966" s="857" t="n"/>
      <c r="K966" s="857" t="n"/>
      <c r="L966" s="857" t="n"/>
      <c r="M966" s="857" t="n"/>
      <c r="N966" s="857" t="n"/>
      <c r="O966" s="845" t="n"/>
      <c r="P966" s="845" t="n"/>
      <c r="Q966" s="845" t="n"/>
      <c r="R966" s="845" t="n"/>
      <c r="S966" s="845" t="n"/>
      <c r="T966" s="845" t="n"/>
      <c r="U966" s="845" t="n"/>
      <c r="V966" s="845" t="n"/>
      <c r="W966" s="845" t="n"/>
      <c r="X966" s="845" t="n"/>
      <c r="Y966" s="845" t="n"/>
      <c r="Z966" s="845" t="n"/>
    </row>
    <row r="967">
      <c r="A967" s="845" t="n"/>
      <c r="B967" s="857" t="n"/>
      <c r="C967" s="857" t="n"/>
      <c r="D967" s="857" t="n"/>
      <c r="E967" s="857" t="n"/>
      <c r="F967" s="857" t="n"/>
      <c r="G967" s="858" t="n"/>
      <c r="H967" s="857" t="n"/>
      <c r="I967" s="857" t="n"/>
      <c r="J967" s="857" t="n"/>
      <c r="K967" s="857" t="n"/>
      <c r="L967" s="857" t="n"/>
      <c r="M967" s="857" t="n"/>
      <c r="N967" s="857" t="n"/>
      <c r="O967" s="845" t="n"/>
      <c r="P967" s="845" t="n"/>
      <c r="Q967" s="845" t="n"/>
      <c r="R967" s="845" t="n"/>
      <c r="S967" s="845" t="n"/>
      <c r="T967" s="845" t="n"/>
      <c r="U967" s="845" t="n"/>
      <c r="V967" s="845" t="n"/>
      <c r="W967" s="845" t="n"/>
      <c r="X967" s="845" t="n"/>
      <c r="Y967" s="845" t="n"/>
      <c r="Z967" s="845" t="n"/>
    </row>
    <row r="968">
      <c r="A968" s="845" t="n"/>
      <c r="B968" s="857" t="n"/>
      <c r="C968" s="857" t="n"/>
      <c r="D968" s="857" t="n"/>
      <c r="E968" s="857" t="n"/>
      <c r="F968" s="857" t="n"/>
      <c r="G968" s="858" t="n"/>
      <c r="H968" s="857" t="n"/>
      <c r="I968" s="857" t="n"/>
      <c r="J968" s="857" t="n"/>
      <c r="K968" s="857" t="n"/>
      <c r="L968" s="857" t="n"/>
      <c r="M968" s="857" t="n"/>
      <c r="N968" s="857" t="n"/>
      <c r="O968" s="845" t="n"/>
      <c r="P968" s="845" t="n"/>
      <c r="Q968" s="845" t="n"/>
      <c r="R968" s="845" t="n"/>
      <c r="S968" s="845" t="n"/>
      <c r="T968" s="845" t="n"/>
      <c r="U968" s="845" t="n"/>
      <c r="V968" s="845" t="n"/>
      <c r="W968" s="845" t="n"/>
      <c r="X968" s="845" t="n"/>
      <c r="Y968" s="845" t="n"/>
      <c r="Z968" s="845" t="n"/>
    </row>
    <row r="969">
      <c r="A969" s="845" t="n"/>
      <c r="B969" s="857" t="n"/>
      <c r="C969" s="857" t="n"/>
      <c r="D969" s="857" t="n"/>
      <c r="E969" s="857" t="n"/>
      <c r="F969" s="857" t="n"/>
      <c r="G969" s="858" t="n"/>
      <c r="H969" s="857" t="n"/>
      <c r="I969" s="857" t="n"/>
      <c r="J969" s="857" t="n"/>
      <c r="K969" s="857" t="n"/>
      <c r="L969" s="857" t="n"/>
      <c r="M969" s="857" t="n"/>
      <c r="N969" s="857" t="n"/>
      <c r="O969" s="845" t="n"/>
      <c r="P969" s="845" t="n"/>
      <c r="Q969" s="845" t="n"/>
      <c r="R969" s="845" t="n"/>
      <c r="S969" s="845" t="n"/>
      <c r="T969" s="845" t="n"/>
      <c r="U969" s="845" t="n"/>
      <c r="V969" s="845" t="n"/>
      <c r="W969" s="845" t="n"/>
      <c r="X969" s="845" t="n"/>
      <c r="Y969" s="845" t="n"/>
      <c r="Z969" s="845" t="n"/>
    </row>
    <row r="970">
      <c r="A970" s="845" t="n"/>
      <c r="B970" s="857" t="n"/>
      <c r="C970" s="857" t="n"/>
      <c r="D970" s="857" t="n"/>
      <c r="E970" s="857" t="n"/>
      <c r="F970" s="857" t="n"/>
      <c r="G970" s="858" t="n"/>
      <c r="H970" s="857" t="n"/>
      <c r="I970" s="857" t="n"/>
      <c r="J970" s="857" t="n"/>
      <c r="K970" s="857" t="n"/>
      <c r="L970" s="857" t="n"/>
      <c r="M970" s="857" t="n"/>
      <c r="N970" s="857" t="n"/>
      <c r="O970" s="845" t="n"/>
      <c r="P970" s="845" t="n"/>
      <c r="Q970" s="845" t="n"/>
      <c r="R970" s="845" t="n"/>
      <c r="S970" s="845" t="n"/>
      <c r="T970" s="845" t="n"/>
      <c r="U970" s="845" t="n"/>
      <c r="V970" s="845" t="n"/>
      <c r="W970" s="845" t="n"/>
      <c r="X970" s="845" t="n"/>
      <c r="Y970" s="845" t="n"/>
      <c r="Z970" s="845" t="n"/>
    </row>
    <row r="971">
      <c r="A971" s="845" t="n"/>
      <c r="B971" s="857" t="n"/>
      <c r="C971" s="857" t="n"/>
      <c r="D971" s="857" t="n"/>
      <c r="E971" s="857" t="n"/>
      <c r="F971" s="857" t="n"/>
      <c r="G971" s="858" t="n"/>
      <c r="H971" s="857" t="n"/>
      <c r="I971" s="857" t="n"/>
      <c r="J971" s="857" t="n"/>
      <c r="K971" s="857" t="n"/>
      <c r="L971" s="857" t="n"/>
      <c r="M971" s="857" t="n"/>
      <c r="N971" s="857" t="n"/>
      <c r="O971" s="845" t="n"/>
      <c r="P971" s="845" t="n"/>
      <c r="Q971" s="845" t="n"/>
      <c r="R971" s="845" t="n"/>
      <c r="S971" s="845" t="n"/>
      <c r="T971" s="845" t="n"/>
      <c r="U971" s="845" t="n"/>
      <c r="V971" s="845" t="n"/>
      <c r="W971" s="845" t="n"/>
      <c r="X971" s="845" t="n"/>
      <c r="Y971" s="845" t="n"/>
      <c r="Z971" s="845" t="n"/>
    </row>
    <row r="972">
      <c r="A972" s="845" t="n"/>
      <c r="B972" s="857" t="n"/>
      <c r="C972" s="857" t="n"/>
      <c r="D972" s="857" t="n"/>
      <c r="E972" s="857" t="n"/>
      <c r="F972" s="857" t="n"/>
      <c r="G972" s="858" t="n"/>
      <c r="H972" s="857" t="n"/>
      <c r="I972" s="857" t="n"/>
      <c r="J972" s="857" t="n"/>
      <c r="K972" s="857" t="n"/>
      <c r="L972" s="857" t="n"/>
      <c r="M972" s="857" t="n"/>
      <c r="N972" s="857" t="n"/>
      <c r="O972" s="845" t="n"/>
      <c r="P972" s="845" t="n"/>
      <c r="Q972" s="845" t="n"/>
      <c r="R972" s="845" t="n"/>
      <c r="S972" s="845" t="n"/>
      <c r="T972" s="845" t="n"/>
      <c r="U972" s="845" t="n"/>
      <c r="V972" s="845" t="n"/>
      <c r="W972" s="845" t="n"/>
      <c r="X972" s="845" t="n"/>
      <c r="Y972" s="845" t="n"/>
      <c r="Z972" s="845" t="n"/>
    </row>
    <row r="973">
      <c r="A973" s="845" t="n"/>
      <c r="B973" s="857" t="n"/>
      <c r="C973" s="857" t="n"/>
      <c r="D973" s="857" t="n"/>
      <c r="E973" s="857" t="n"/>
      <c r="F973" s="857" t="n"/>
      <c r="G973" s="858" t="n"/>
      <c r="H973" s="857" t="n"/>
      <c r="I973" s="857" t="n"/>
      <c r="J973" s="857" t="n"/>
      <c r="K973" s="857" t="n"/>
      <c r="L973" s="857" t="n"/>
      <c r="M973" s="857" t="n"/>
      <c r="N973" s="857" t="n"/>
      <c r="O973" s="845" t="n"/>
      <c r="P973" s="845" t="n"/>
      <c r="Q973" s="845" t="n"/>
      <c r="R973" s="845" t="n"/>
      <c r="S973" s="845" t="n"/>
      <c r="T973" s="845" t="n"/>
      <c r="U973" s="845" t="n"/>
      <c r="V973" s="845" t="n"/>
      <c r="W973" s="845" t="n"/>
      <c r="X973" s="845" t="n"/>
      <c r="Y973" s="845" t="n"/>
      <c r="Z973" s="845" t="n"/>
    </row>
    <row r="974">
      <c r="A974" s="845" t="n"/>
      <c r="B974" s="857" t="n"/>
      <c r="C974" s="857" t="n"/>
      <c r="D974" s="857" t="n"/>
      <c r="E974" s="857" t="n"/>
      <c r="F974" s="857" t="n"/>
      <c r="G974" s="858" t="n"/>
      <c r="H974" s="857" t="n"/>
      <c r="I974" s="857" t="n"/>
      <c r="J974" s="857" t="n"/>
      <c r="K974" s="857" t="n"/>
      <c r="L974" s="857" t="n"/>
      <c r="M974" s="857" t="n"/>
      <c r="N974" s="857" t="n"/>
      <c r="O974" s="845" t="n"/>
      <c r="P974" s="845" t="n"/>
      <c r="Q974" s="845" t="n"/>
      <c r="R974" s="845" t="n"/>
      <c r="S974" s="845" t="n"/>
      <c r="T974" s="845" t="n"/>
      <c r="U974" s="845" t="n"/>
      <c r="V974" s="845" t="n"/>
      <c r="W974" s="845" t="n"/>
      <c r="X974" s="845" t="n"/>
      <c r="Y974" s="845" t="n"/>
      <c r="Z974" s="845" t="n"/>
    </row>
    <row r="975">
      <c r="A975" s="845" t="n"/>
      <c r="B975" s="857" t="n"/>
      <c r="C975" s="857" t="n"/>
      <c r="D975" s="857" t="n"/>
      <c r="E975" s="857" t="n"/>
      <c r="F975" s="857" t="n"/>
      <c r="G975" s="858" t="n"/>
      <c r="H975" s="857" t="n"/>
      <c r="I975" s="857" t="n"/>
      <c r="J975" s="857" t="n"/>
      <c r="K975" s="857" t="n"/>
      <c r="L975" s="857" t="n"/>
      <c r="M975" s="857" t="n"/>
      <c r="N975" s="857" t="n"/>
      <c r="O975" s="845" t="n"/>
      <c r="P975" s="845" t="n"/>
      <c r="Q975" s="845" t="n"/>
      <c r="R975" s="845" t="n"/>
      <c r="S975" s="845" t="n"/>
      <c r="T975" s="845" t="n"/>
      <c r="U975" s="845" t="n"/>
      <c r="V975" s="845" t="n"/>
      <c r="W975" s="845" t="n"/>
      <c r="X975" s="845" t="n"/>
      <c r="Y975" s="845" t="n"/>
      <c r="Z975" s="845" t="n"/>
    </row>
    <row r="976">
      <c r="A976" s="845" t="n"/>
      <c r="B976" s="857" t="n"/>
      <c r="C976" s="857" t="n"/>
      <c r="D976" s="857" t="n"/>
      <c r="E976" s="857" t="n"/>
      <c r="F976" s="857" t="n"/>
      <c r="G976" s="858" t="n"/>
      <c r="H976" s="857" t="n"/>
      <c r="I976" s="857" t="n"/>
      <c r="J976" s="857" t="n"/>
      <c r="K976" s="857" t="n"/>
      <c r="L976" s="857" t="n"/>
      <c r="M976" s="857" t="n"/>
      <c r="N976" s="857" t="n"/>
      <c r="O976" s="845" t="n"/>
      <c r="P976" s="845" t="n"/>
      <c r="Q976" s="845" t="n"/>
      <c r="R976" s="845" t="n"/>
      <c r="S976" s="845" t="n"/>
      <c r="T976" s="845" t="n"/>
      <c r="U976" s="845" t="n"/>
      <c r="V976" s="845" t="n"/>
      <c r="W976" s="845" t="n"/>
      <c r="X976" s="845" t="n"/>
      <c r="Y976" s="845" t="n"/>
      <c r="Z976" s="845" t="n"/>
    </row>
    <row r="977">
      <c r="A977" s="845" t="n"/>
      <c r="B977" s="857" t="n"/>
      <c r="C977" s="857" t="n"/>
      <c r="D977" s="857" t="n"/>
      <c r="E977" s="857" t="n"/>
      <c r="F977" s="857" t="n"/>
      <c r="G977" s="858" t="n"/>
      <c r="H977" s="857" t="n"/>
      <c r="I977" s="857" t="n"/>
      <c r="J977" s="857" t="n"/>
      <c r="K977" s="857" t="n"/>
      <c r="L977" s="857" t="n"/>
      <c r="M977" s="857" t="n"/>
      <c r="N977" s="857" t="n"/>
      <c r="O977" s="845" t="n"/>
      <c r="P977" s="845" t="n"/>
      <c r="Q977" s="845" t="n"/>
      <c r="R977" s="845" t="n"/>
      <c r="S977" s="845" t="n"/>
      <c r="T977" s="845" t="n"/>
      <c r="U977" s="845" t="n"/>
      <c r="V977" s="845" t="n"/>
      <c r="W977" s="845" t="n"/>
      <c r="X977" s="845" t="n"/>
      <c r="Y977" s="845" t="n"/>
      <c r="Z977" s="845" t="n"/>
    </row>
    <row r="978">
      <c r="A978" s="845" t="n"/>
      <c r="B978" s="857" t="n"/>
      <c r="C978" s="857" t="n"/>
      <c r="D978" s="857" t="n"/>
      <c r="E978" s="857" t="n"/>
      <c r="F978" s="857" t="n"/>
      <c r="G978" s="858" t="n"/>
      <c r="H978" s="857" t="n"/>
      <c r="I978" s="857" t="n"/>
      <c r="J978" s="857" t="n"/>
      <c r="K978" s="857" t="n"/>
      <c r="L978" s="857" t="n"/>
      <c r="M978" s="857" t="n"/>
      <c r="N978" s="857" t="n"/>
      <c r="O978" s="845" t="n"/>
      <c r="P978" s="845" t="n"/>
      <c r="Q978" s="845" t="n"/>
      <c r="R978" s="845" t="n"/>
      <c r="S978" s="845" t="n"/>
      <c r="T978" s="845" t="n"/>
      <c r="U978" s="845" t="n"/>
      <c r="V978" s="845" t="n"/>
      <c r="W978" s="845" t="n"/>
      <c r="X978" s="845" t="n"/>
      <c r="Y978" s="845" t="n"/>
      <c r="Z978" s="845" t="n"/>
    </row>
    <row r="979">
      <c r="A979" s="845" t="n"/>
      <c r="B979" s="857" t="n"/>
      <c r="C979" s="857" t="n"/>
      <c r="D979" s="857" t="n"/>
      <c r="E979" s="857" t="n"/>
      <c r="F979" s="857" t="n"/>
      <c r="G979" s="858" t="n"/>
      <c r="H979" s="857" t="n"/>
      <c r="I979" s="857" t="n"/>
      <c r="J979" s="857" t="n"/>
      <c r="K979" s="857" t="n"/>
      <c r="L979" s="857" t="n"/>
      <c r="M979" s="857" t="n"/>
      <c r="N979" s="857" t="n"/>
      <c r="O979" s="845" t="n"/>
      <c r="P979" s="845" t="n"/>
      <c r="Q979" s="845" t="n"/>
      <c r="R979" s="845" t="n"/>
      <c r="S979" s="845" t="n"/>
      <c r="T979" s="845" t="n"/>
      <c r="U979" s="845" t="n"/>
      <c r="V979" s="845" t="n"/>
      <c r="W979" s="845" t="n"/>
      <c r="X979" s="845" t="n"/>
      <c r="Y979" s="845" t="n"/>
      <c r="Z979" s="845" t="n"/>
    </row>
    <row r="980">
      <c r="A980" s="845" t="n"/>
      <c r="B980" s="857" t="n"/>
      <c r="C980" s="857" t="n"/>
      <c r="D980" s="857" t="n"/>
      <c r="E980" s="857" t="n"/>
      <c r="F980" s="857" t="n"/>
      <c r="G980" s="858" t="n"/>
      <c r="H980" s="857" t="n"/>
      <c r="I980" s="857" t="n"/>
      <c r="J980" s="857" t="n"/>
      <c r="K980" s="857" t="n"/>
      <c r="L980" s="857" t="n"/>
      <c r="M980" s="857" t="n"/>
      <c r="N980" s="857" t="n"/>
      <c r="O980" s="845" t="n"/>
      <c r="P980" s="845" t="n"/>
      <c r="Q980" s="845" t="n"/>
      <c r="R980" s="845" t="n"/>
      <c r="S980" s="845" t="n"/>
      <c r="T980" s="845" t="n"/>
      <c r="U980" s="845" t="n"/>
      <c r="V980" s="845" t="n"/>
      <c r="W980" s="845" t="n"/>
      <c r="X980" s="845" t="n"/>
      <c r="Y980" s="845" t="n"/>
      <c r="Z980" s="845" t="n"/>
    </row>
    <row r="981">
      <c r="A981" s="845" t="n"/>
      <c r="B981" s="857" t="n"/>
      <c r="C981" s="857" t="n"/>
      <c r="D981" s="857" t="n"/>
      <c r="E981" s="857" t="n"/>
      <c r="F981" s="857" t="n"/>
      <c r="G981" s="858" t="n"/>
      <c r="H981" s="857" t="n"/>
      <c r="I981" s="857" t="n"/>
      <c r="J981" s="857" t="n"/>
      <c r="K981" s="857" t="n"/>
      <c r="L981" s="857" t="n"/>
      <c r="M981" s="857" t="n"/>
      <c r="N981" s="857" t="n"/>
      <c r="O981" s="845" t="n"/>
      <c r="P981" s="845" t="n"/>
      <c r="Q981" s="845" t="n"/>
      <c r="R981" s="845" t="n"/>
      <c r="S981" s="845" t="n"/>
      <c r="T981" s="845" t="n"/>
      <c r="U981" s="845" t="n"/>
      <c r="V981" s="845" t="n"/>
      <c r="W981" s="845" t="n"/>
      <c r="X981" s="845" t="n"/>
      <c r="Y981" s="845" t="n"/>
      <c r="Z981" s="845" t="n"/>
    </row>
    <row r="982">
      <c r="A982" s="845" t="n"/>
      <c r="B982" s="857" t="n"/>
      <c r="C982" s="857" t="n"/>
      <c r="D982" s="857" t="n"/>
      <c r="E982" s="857" t="n"/>
      <c r="F982" s="857" t="n"/>
      <c r="G982" s="858" t="n"/>
      <c r="H982" s="857" t="n"/>
      <c r="I982" s="857" t="n"/>
      <c r="J982" s="857" t="n"/>
      <c r="K982" s="857" t="n"/>
      <c r="L982" s="857" t="n"/>
      <c r="M982" s="857" t="n"/>
      <c r="N982" s="857" t="n"/>
      <c r="O982" s="845" t="n"/>
      <c r="P982" s="845" t="n"/>
      <c r="Q982" s="845" t="n"/>
      <c r="R982" s="845" t="n"/>
      <c r="S982" s="845" t="n"/>
      <c r="T982" s="845" t="n"/>
      <c r="U982" s="845" t="n"/>
      <c r="V982" s="845" t="n"/>
      <c r="W982" s="845" t="n"/>
      <c r="X982" s="845" t="n"/>
      <c r="Y982" s="845" t="n"/>
      <c r="Z982" s="845" t="n"/>
    </row>
    <row r="983">
      <c r="A983" s="845" t="n"/>
      <c r="B983" s="857" t="n"/>
      <c r="C983" s="857" t="n"/>
      <c r="D983" s="857" t="n"/>
      <c r="E983" s="857" t="n"/>
      <c r="F983" s="857" t="n"/>
      <c r="G983" s="858" t="n"/>
      <c r="H983" s="857" t="n"/>
      <c r="I983" s="857" t="n"/>
      <c r="J983" s="857" t="n"/>
      <c r="K983" s="857" t="n"/>
      <c r="L983" s="857" t="n"/>
      <c r="M983" s="857" t="n"/>
      <c r="N983" s="857" t="n"/>
      <c r="O983" s="845" t="n"/>
      <c r="P983" s="845" t="n"/>
      <c r="Q983" s="845" t="n"/>
      <c r="R983" s="845" t="n"/>
      <c r="S983" s="845" t="n"/>
      <c r="T983" s="845" t="n"/>
      <c r="U983" s="845" t="n"/>
      <c r="V983" s="845" t="n"/>
      <c r="W983" s="845" t="n"/>
      <c r="X983" s="845" t="n"/>
      <c r="Y983" s="845" t="n"/>
      <c r="Z983" s="845" t="n"/>
    </row>
    <row r="984">
      <c r="A984" s="845" t="n"/>
      <c r="B984" s="857" t="n"/>
      <c r="C984" s="857" t="n"/>
      <c r="D984" s="857" t="n"/>
      <c r="E984" s="857" t="n"/>
      <c r="F984" s="857" t="n"/>
      <c r="G984" s="858" t="n"/>
      <c r="H984" s="857" t="n"/>
      <c r="I984" s="857" t="n"/>
      <c r="J984" s="857" t="n"/>
      <c r="K984" s="857" t="n"/>
      <c r="L984" s="857" t="n"/>
      <c r="M984" s="857" t="n"/>
      <c r="N984" s="857" t="n"/>
      <c r="O984" s="845" t="n"/>
      <c r="P984" s="845" t="n"/>
      <c r="Q984" s="845" t="n"/>
      <c r="R984" s="845" t="n"/>
      <c r="S984" s="845" t="n"/>
      <c r="T984" s="845" t="n"/>
      <c r="U984" s="845" t="n"/>
      <c r="V984" s="845" t="n"/>
      <c r="W984" s="845" t="n"/>
      <c r="X984" s="845" t="n"/>
      <c r="Y984" s="845" t="n"/>
      <c r="Z984" s="845" t="n"/>
    </row>
    <row r="985">
      <c r="A985" s="845" t="n"/>
      <c r="B985" s="857" t="n"/>
      <c r="C985" s="857" t="n"/>
      <c r="D985" s="857" t="n"/>
      <c r="E985" s="857" t="n"/>
      <c r="F985" s="857" t="n"/>
      <c r="G985" s="858" t="n"/>
      <c r="H985" s="857" t="n"/>
      <c r="I985" s="857" t="n"/>
      <c r="J985" s="857" t="n"/>
      <c r="K985" s="857" t="n"/>
      <c r="L985" s="857" t="n"/>
      <c r="M985" s="857" t="n"/>
      <c r="N985" s="857" t="n"/>
      <c r="O985" s="845" t="n"/>
      <c r="P985" s="845" t="n"/>
      <c r="Q985" s="845" t="n"/>
      <c r="R985" s="845" t="n"/>
      <c r="S985" s="845" t="n"/>
      <c r="T985" s="845" t="n"/>
      <c r="U985" s="845" t="n"/>
      <c r="V985" s="845" t="n"/>
      <c r="W985" s="845" t="n"/>
      <c r="X985" s="845" t="n"/>
      <c r="Y985" s="845" t="n"/>
      <c r="Z985" s="845" t="n"/>
    </row>
    <row r="986">
      <c r="A986" s="845" t="n"/>
      <c r="B986" s="857" t="n"/>
      <c r="C986" s="857" t="n"/>
      <c r="D986" s="857" t="n"/>
      <c r="E986" s="857" t="n"/>
      <c r="F986" s="857" t="n"/>
      <c r="G986" s="858" t="n"/>
      <c r="H986" s="857" t="n"/>
      <c r="I986" s="857" t="n"/>
      <c r="J986" s="857" t="n"/>
      <c r="K986" s="857" t="n"/>
      <c r="L986" s="857" t="n"/>
      <c r="M986" s="857" t="n"/>
      <c r="N986" s="857" t="n"/>
      <c r="O986" s="845" t="n"/>
      <c r="P986" s="845" t="n"/>
      <c r="Q986" s="845" t="n"/>
      <c r="R986" s="845" t="n"/>
      <c r="S986" s="845" t="n"/>
      <c r="T986" s="845" t="n"/>
      <c r="U986" s="845" t="n"/>
      <c r="V986" s="845" t="n"/>
      <c r="W986" s="845" t="n"/>
      <c r="X986" s="845" t="n"/>
      <c r="Y986" s="845" t="n"/>
      <c r="Z986" s="845" t="n"/>
    </row>
    <row r="987">
      <c r="A987" s="845" t="n"/>
      <c r="B987" s="857" t="n"/>
      <c r="C987" s="857" t="n"/>
      <c r="D987" s="857" t="n"/>
      <c r="E987" s="857" t="n"/>
      <c r="F987" s="857" t="n"/>
      <c r="G987" s="858" t="n"/>
      <c r="H987" s="857" t="n"/>
      <c r="I987" s="857" t="n"/>
      <c r="J987" s="857" t="n"/>
      <c r="K987" s="857" t="n"/>
      <c r="L987" s="857" t="n"/>
      <c r="M987" s="857" t="n"/>
      <c r="N987" s="857" t="n"/>
      <c r="O987" s="845" t="n"/>
      <c r="P987" s="845" t="n"/>
      <c r="Q987" s="845" t="n"/>
      <c r="R987" s="845" t="n"/>
      <c r="S987" s="845" t="n"/>
      <c r="T987" s="845" t="n"/>
      <c r="U987" s="845" t="n"/>
      <c r="V987" s="845" t="n"/>
      <c r="W987" s="845" t="n"/>
      <c r="X987" s="845" t="n"/>
      <c r="Y987" s="845" t="n"/>
      <c r="Z987" s="845" t="n"/>
    </row>
    <row r="988">
      <c r="A988" s="845" t="n"/>
      <c r="B988" s="857" t="n"/>
      <c r="C988" s="857" t="n"/>
      <c r="D988" s="857" t="n"/>
      <c r="E988" s="857" t="n"/>
      <c r="F988" s="857" t="n"/>
      <c r="G988" s="858" t="n"/>
      <c r="H988" s="857" t="n"/>
      <c r="I988" s="857" t="n"/>
      <c r="J988" s="857" t="n"/>
      <c r="K988" s="857" t="n"/>
      <c r="L988" s="857" t="n"/>
      <c r="M988" s="857" t="n"/>
      <c r="N988" s="857" t="n"/>
      <c r="O988" s="845" t="n"/>
      <c r="P988" s="845" t="n"/>
      <c r="Q988" s="845" t="n"/>
      <c r="R988" s="845" t="n"/>
      <c r="S988" s="845" t="n"/>
      <c r="T988" s="845" t="n"/>
      <c r="U988" s="845" t="n"/>
      <c r="V988" s="845" t="n"/>
      <c r="W988" s="845" t="n"/>
      <c r="X988" s="845" t="n"/>
      <c r="Y988" s="845" t="n"/>
      <c r="Z988" s="845" t="n"/>
    </row>
    <row r="989">
      <c r="A989" s="845" t="n"/>
      <c r="B989" s="857" t="n"/>
      <c r="C989" s="857" t="n"/>
      <c r="D989" s="857" t="n"/>
      <c r="E989" s="857" t="n"/>
      <c r="F989" s="857" t="n"/>
      <c r="G989" s="858" t="n"/>
      <c r="H989" s="857" t="n"/>
      <c r="I989" s="857" t="n"/>
      <c r="J989" s="857" t="n"/>
      <c r="K989" s="857" t="n"/>
      <c r="L989" s="857" t="n"/>
      <c r="M989" s="857" t="n"/>
      <c r="N989" s="857" t="n"/>
      <c r="O989" s="845" t="n"/>
      <c r="P989" s="845" t="n"/>
      <c r="Q989" s="845" t="n"/>
      <c r="R989" s="845" t="n"/>
      <c r="S989" s="845" t="n"/>
      <c r="T989" s="845" t="n"/>
      <c r="U989" s="845" t="n"/>
      <c r="V989" s="845" t="n"/>
      <c r="W989" s="845" t="n"/>
      <c r="X989" s="845" t="n"/>
      <c r="Y989" s="845" t="n"/>
      <c r="Z989" s="845" t="n"/>
    </row>
    <row r="990">
      <c r="A990" s="845" t="n"/>
      <c r="B990" s="857" t="n"/>
      <c r="C990" s="857" t="n"/>
      <c r="D990" s="857" t="n"/>
      <c r="E990" s="857" t="n"/>
      <c r="F990" s="857" t="n"/>
      <c r="G990" s="858" t="n"/>
      <c r="H990" s="857" t="n"/>
      <c r="I990" s="857" t="n"/>
      <c r="J990" s="857" t="n"/>
      <c r="K990" s="857" t="n"/>
      <c r="L990" s="857" t="n"/>
      <c r="M990" s="857" t="n"/>
      <c r="N990" s="857" t="n"/>
      <c r="O990" s="845" t="n"/>
      <c r="P990" s="845" t="n"/>
      <c r="Q990" s="845" t="n"/>
      <c r="R990" s="845" t="n"/>
      <c r="S990" s="845" t="n"/>
      <c r="T990" s="845" t="n"/>
      <c r="U990" s="845" t="n"/>
      <c r="V990" s="845" t="n"/>
      <c r="W990" s="845" t="n"/>
      <c r="X990" s="845" t="n"/>
      <c r="Y990" s="845" t="n"/>
      <c r="Z990" s="845" t="n"/>
    </row>
    <row r="991">
      <c r="A991" s="845" t="n"/>
      <c r="B991" s="857" t="n"/>
      <c r="C991" s="857" t="n"/>
      <c r="D991" s="857" t="n"/>
      <c r="E991" s="857" t="n"/>
      <c r="F991" s="857" t="n"/>
      <c r="G991" s="858" t="n"/>
      <c r="H991" s="857" t="n"/>
      <c r="I991" s="857" t="n"/>
      <c r="J991" s="857" t="n"/>
      <c r="K991" s="857" t="n"/>
      <c r="L991" s="857" t="n"/>
      <c r="M991" s="857" t="n"/>
      <c r="N991" s="857" t="n"/>
      <c r="O991" s="845" t="n"/>
      <c r="P991" s="845" t="n"/>
      <c r="Q991" s="845" t="n"/>
      <c r="R991" s="845" t="n"/>
      <c r="S991" s="845" t="n"/>
      <c r="T991" s="845" t="n"/>
      <c r="U991" s="845" t="n"/>
      <c r="V991" s="845" t="n"/>
      <c r="W991" s="845" t="n"/>
      <c r="X991" s="845" t="n"/>
      <c r="Y991" s="845" t="n"/>
      <c r="Z991" s="845" t="n"/>
    </row>
    <row r="992">
      <c r="A992" s="845" t="n"/>
      <c r="B992" s="857" t="n"/>
      <c r="C992" s="857" t="n"/>
      <c r="D992" s="857" t="n"/>
      <c r="E992" s="857" t="n"/>
      <c r="F992" s="857" t="n"/>
      <c r="G992" s="858" t="n"/>
      <c r="H992" s="857" t="n"/>
      <c r="I992" s="857" t="n"/>
      <c r="J992" s="857" t="n"/>
      <c r="K992" s="857" t="n"/>
      <c r="L992" s="857" t="n"/>
      <c r="M992" s="857" t="n"/>
      <c r="N992" s="857" t="n"/>
      <c r="O992" s="845" t="n"/>
      <c r="P992" s="845" t="n"/>
      <c r="Q992" s="845" t="n"/>
      <c r="R992" s="845" t="n"/>
      <c r="S992" s="845" t="n"/>
      <c r="T992" s="845" t="n"/>
      <c r="U992" s="845" t="n"/>
      <c r="V992" s="845" t="n"/>
      <c r="W992" s="845" t="n"/>
      <c r="X992" s="845" t="n"/>
      <c r="Y992" s="845" t="n"/>
      <c r="Z992" s="845" t="n"/>
    </row>
    <row r="993">
      <c r="A993" s="845" t="n"/>
      <c r="B993" s="857" t="n"/>
      <c r="C993" s="857" t="n"/>
      <c r="D993" s="857" t="n"/>
      <c r="E993" s="857" t="n"/>
      <c r="F993" s="857" t="n"/>
      <c r="G993" s="858" t="n"/>
      <c r="H993" s="857" t="n"/>
      <c r="I993" s="857" t="n"/>
      <c r="J993" s="857" t="n"/>
      <c r="K993" s="857" t="n"/>
      <c r="L993" s="857" t="n"/>
      <c r="M993" s="857" t="n"/>
      <c r="N993" s="857" t="n"/>
      <c r="O993" s="845" t="n"/>
      <c r="P993" s="845" t="n"/>
      <c r="Q993" s="845" t="n"/>
      <c r="R993" s="845" t="n"/>
      <c r="S993" s="845" t="n"/>
      <c r="T993" s="845" t="n"/>
      <c r="U993" s="845" t="n"/>
      <c r="V993" s="845" t="n"/>
      <c r="W993" s="845" t="n"/>
      <c r="X993" s="845" t="n"/>
      <c r="Y993" s="845" t="n"/>
      <c r="Z993" s="845" t="n"/>
    </row>
    <row r="994">
      <c r="A994" s="845" t="n"/>
      <c r="B994" s="857" t="n"/>
      <c r="C994" s="857" t="n"/>
      <c r="D994" s="857" t="n"/>
      <c r="E994" s="857" t="n"/>
      <c r="F994" s="857" t="n"/>
      <c r="G994" s="858" t="n"/>
      <c r="H994" s="857" t="n"/>
      <c r="I994" s="857" t="n"/>
      <c r="J994" s="857" t="n"/>
      <c r="K994" s="857" t="n"/>
      <c r="L994" s="857" t="n"/>
      <c r="M994" s="857" t="n"/>
      <c r="N994" s="857" t="n"/>
      <c r="O994" s="845" t="n"/>
      <c r="P994" s="845" t="n"/>
      <c r="Q994" s="845" t="n"/>
      <c r="R994" s="845" t="n"/>
      <c r="S994" s="845" t="n"/>
      <c r="T994" s="845" t="n"/>
      <c r="U994" s="845" t="n"/>
      <c r="V994" s="845" t="n"/>
      <c r="W994" s="845" t="n"/>
      <c r="X994" s="845" t="n"/>
      <c r="Y994" s="845" t="n"/>
      <c r="Z994" s="845" t="n"/>
    </row>
    <row r="995">
      <c r="A995" s="845" t="n"/>
      <c r="B995" s="857" t="n"/>
      <c r="C995" s="857" t="n"/>
      <c r="D995" s="857" t="n"/>
      <c r="E995" s="857" t="n"/>
      <c r="F995" s="857" t="n"/>
      <c r="G995" s="858" t="n"/>
      <c r="H995" s="857" t="n"/>
      <c r="I995" s="857" t="n"/>
      <c r="J995" s="857" t="n"/>
      <c r="K995" s="857" t="n"/>
      <c r="L995" s="857" t="n"/>
      <c r="M995" s="857" t="n"/>
      <c r="N995" s="857" t="n"/>
      <c r="O995" s="845" t="n"/>
      <c r="P995" s="845" t="n"/>
      <c r="Q995" s="845" t="n"/>
      <c r="R995" s="845" t="n"/>
      <c r="S995" s="845" t="n"/>
      <c r="T995" s="845" t="n"/>
      <c r="U995" s="845" t="n"/>
      <c r="V995" s="845" t="n"/>
      <c r="W995" s="845" t="n"/>
      <c r="X995" s="845" t="n"/>
      <c r="Y995" s="845" t="n"/>
      <c r="Z995" s="845" t="n"/>
    </row>
    <row r="996">
      <c r="A996" s="845" t="n"/>
      <c r="B996" s="857" t="n"/>
      <c r="C996" s="857" t="n"/>
      <c r="D996" s="857" t="n"/>
      <c r="E996" s="857" t="n"/>
      <c r="F996" s="857" t="n"/>
      <c r="G996" s="858" t="n"/>
      <c r="H996" s="857" t="n"/>
      <c r="I996" s="857" t="n"/>
      <c r="J996" s="857" t="n"/>
      <c r="K996" s="857" t="n"/>
      <c r="L996" s="857" t="n"/>
      <c r="M996" s="857" t="n"/>
      <c r="N996" s="857" t="n"/>
      <c r="O996" s="845" t="n"/>
      <c r="P996" s="845" t="n"/>
      <c r="Q996" s="845" t="n"/>
      <c r="R996" s="845" t="n"/>
      <c r="S996" s="845" t="n"/>
      <c r="T996" s="845" t="n"/>
      <c r="U996" s="845" t="n"/>
      <c r="V996" s="845" t="n"/>
      <c r="W996" s="845" t="n"/>
      <c r="X996" s="845" t="n"/>
      <c r="Y996" s="845" t="n"/>
      <c r="Z996" s="845" t="n"/>
    </row>
    <row r="997">
      <c r="A997" s="845" t="n"/>
      <c r="B997" s="857" t="n"/>
      <c r="C997" s="857" t="n"/>
      <c r="D997" s="857" t="n"/>
      <c r="E997" s="857" t="n"/>
      <c r="F997" s="857" t="n"/>
      <c r="G997" s="858" t="n"/>
      <c r="H997" s="857" t="n"/>
      <c r="I997" s="857" t="n"/>
      <c r="J997" s="857" t="n"/>
      <c r="K997" s="857" t="n"/>
      <c r="L997" s="857" t="n"/>
      <c r="M997" s="857" t="n"/>
      <c r="N997" s="857" t="n"/>
      <c r="O997" s="845" t="n"/>
      <c r="P997" s="845" t="n"/>
      <c r="Q997" s="845" t="n"/>
      <c r="R997" s="845" t="n"/>
      <c r="S997" s="845" t="n"/>
      <c r="T997" s="845" t="n"/>
      <c r="U997" s="845" t="n"/>
      <c r="V997" s="845" t="n"/>
      <c r="W997" s="845" t="n"/>
      <c r="X997" s="845" t="n"/>
      <c r="Y997" s="845" t="n"/>
      <c r="Z997" s="845" t="n"/>
    </row>
    <row r="998">
      <c r="A998" s="845" t="n"/>
      <c r="B998" s="857" t="n"/>
      <c r="C998" s="857" t="n"/>
      <c r="D998" s="857" t="n"/>
      <c r="E998" s="857" t="n"/>
      <c r="F998" s="857" t="n"/>
      <c r="G998" s="858" t="n"/>
      <c r="H998" s="857" t="n"/>
      <c r="I998" s="857" t="n"/>
      <c r="J998" s="857" t="n"/>
      <c r="K998" s="857" t="n"/>
      <c r="L998" s="857" t="n"/>
      <c r="M998" s="857" t="n"/>
      <c r="N998" s="857" t="n"/>
      <c r="O998" s="845" t="n"/>
      <c r="P998" s="845" t="n"/>
      <c r="Q998" s="845" t="n"/>
      <c r="R998" s="845" t="n"/>
      <c r="S998" s="845" t="n"/>
      <c r="T998" s="845" t="n"/>
      <c r="U998" s="845" t="n"/>
      <c r="V998" s="845" t="n"/>
      <c r="W998" s="845" t="n"/>
      <c r="X998" s="845" t="n"/>
      <c r="Y998" s="845" t="n"/>
      <c r="Z998" s="845" t="n"/>
    </row>
    <row r="999">
      <c r="A999" s="845" t="n"/>
      <c r="B999" s="857" t="n"/>
      <c r="C999" s="857" t="n"/>
      <c r="D999" s="857" t="n"/>
      <c r="E999" s="857" t="n"/>
      <c r="F999" s="857" t="n"/>
      <c r="G999" s="858" t="n"/>
      <c r="H999" s="857" t="n"/>
      <c r="I999" s="857" t="n"/>
      <c r="J999" s="857" t="n"/>
      <c r="K999" s="857" t="n"/>
      <c r="L999" s="857" t="n"/>
      <c r="M999" s="857" t="n"/>
      <c r="N999" s="857" t="n"/>
      <c r="O999" s="845" t="n"/>
      <c r="P999" s="845" t="n"/>
      <c r="Q999" s="845" t="n"/>
      <c r="R999" s="845" t="n"/>
      <c r="S999" s="845" t="n"/>
      <c r="T999" s="845" t="n"/>
      <c r="U999" s="845" t="n"/>
      <c r="V999" s="845" t="n"/>
      <c r="W999" s="845" t="n"/>
      <c r="X999" s="845" t="n"/>
      <c r="Y999" s="845" t="n"/>
      <c r="Z999" s="845" t="n"/>
    </row>
    <row r="1000">
      <c r="A1000" s="845" t="n"/>
      <c r="B1000" s="857" t="n"/>
      <c r="C1000" s="857" t="n"/>
      <c r="D1000" s="857" t="n"/>
      <c r="E1000" s="857" t="n"/>
      <c r="F1000" s="857" t="n"/>
      <c r="G1000" s="858" t="n"/>
      <c r="H1000" s="857" t="n"/>
      <c r="I1000" s="857" t="n"/>
      <c r="J1000" s="857" t="n"/>
      <c r="K1000" s="857" t="n"/>
      <c r="L1000" s="857" t="n"/>
      <c r="M1000" s="857" t="n"/>
      <c r="N1000" s="857" t="n"/>
      <c r="O1000" s="845" t="n"/>
      <c r="P1000" s="845" t="n"/>
      <c r="Q1000" s="845" t="n"/>
      <c r="R1000" s="845" t="n"/>
      <c r="S1000" s="845" t="n"/>
      <c r="T1000" s="845" t="n"/>
      <c r="U1000" s="845" t="n"/>
      <c r="V1000" s="845" t="n"/>
      <c r="W1000" s="845" t="n"/>
      <c r="X1000" s="845" t="n"/>
      <c r="Y1000" s="845" t="n"/>
      <c r="Z1000" s="845" t="n"/>
    </row>
    <row r="1001">
      <c r="A1001" s="845" t="n"/>
      <c r="B1001" s="857" t="n"/>
      <c r="C1001" s="857" t="n"/>
      <c r="D1001" s="857" t="n"/>
      <c r="E1001" s="857" t="n"/>
      <c r="F1001" s="857" t="n"/>
      <c r="G1001" s="858" t="n"/>
      <c r="H1001" s="857" t="n"/>
      <c r="I1001" s="857" t="n"/>
      <c r="J1001" s="857" t="n"/>
      <c r="K1001" s="857" t="n"/>
      <c r="L1001" s="857" t="n"/>
      <c r="M1001" s="857" t="n"/>
      <c r="N1001" s="857" t="n"/>
      <c r="O1001" s="845" t="n"/>
      <c r="P1001" s="845" t="n"/>
      <c r="Q1001" s="845" t="n"/>
      <c r="R1001" s="845" t="n"/>
      <c r="S1001" s="845" t="n"/>
      <c r="T1001" s="845" t="n"/>
      <c r="U1001" s="845" t="n"/>
      <c r="V1001" s="845" t="n"/>
      <c r="W1001" s="845" t="n"/>
      <c r="X1001" s="845" t="n"/>
      <c r="Y1001" s="845" t="n"/>
      <c r="Z1001" s="845" t="n"/>
    </row>
    <row r="1002">
      <c r="A1002" s="845" t="n"/>
      <c r="B1002" s="857" t="n"/>
      <c r="C1002" s="857" t="n"/>
      <c r="D1002" s="857" t="n"/>
      <c r="E1002" s="857" t="n"/>
      <c r="F1002" s="857" t="n"/>
      <c r="G1002" s="858" t="n"/>
      <c r="H1002" s="857" t="n"/>
      <c r="I1002" s="857" t="n"/>
      <c r="J1002" s="857" t="n"/>
      <c r="K1002" s="857" t="n"/>
      <c r="L1002" s="857" t="n"/>
      <c r="M1002" s="857" t="n"/>
      <c r="N1002" s="857" t="n"/>
      <c r="O1002" s="845" t="n"/>
      <c r="P1002" s="845" t="n"/>
      <c r="Q1002" s="845" t="n"/>
      <c r="R1002" s="845" t="n"/>
      <c r="S1002" s="845" t="n"/>
      <c r="T1002" s="845" t="n"/>
      <c r="U1002" s="845" t="n"/>
      <c r="V1002" s="845" t="n"/>
      <c r="W1002" s="845" t="n"/>
      <c r="X1002" s="845" t="n"/>
      <c r="Y1002" s="845" t="n"/>
      <c r="Z1002" s="845" t="n"/>
    </row>
  </sheetData>
  <mergeCells count="8">
    <mergeCell ref="N1:N3"/>
    <mergeCell ref="A1:A3"/>
    <mergeCell ref="H2:L2"/>
    <mergeCell ref="H1:M1"/>
    <mergeCell ref="B2:F2"/>
    <mergeCell ref="B1:G1"/>
    <mergeCell ref="M2:M3"/>
    <mergeCell ref="G2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C9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640625" defaultRowHeight="15.75" customHeight="1"/>
  <cols>
    <col width="20.33203125" customWidth="1" style="1127" min="1" max="1"/>
    <col hidden="1" outlineLevel="2" width="12.6640625" customWidth="1" style="1127" min="3" max="10"/>
    <col outlineLevel="2" width="12.6640625" customWidth="1" style="1127" min="11" max="22"/>
    <col outlineLevel="1" width="12.6640625" customWidth="1" style="1127" min="23" max="52"/>
  </cols>
  <sheetData>
    <row r="1">
      <c r="A1" s="773" t="n"/>
      <c r="B1" s="773" t="n"/>
      <c r="C1" s="773" t="n"/>
      <c r="D1" s="773" t="n"/>
      <c r="E1" s="773" t="n"/>
      <c r="F1" s="773" t="n"/>
      <c r="G1" s="779" t="n"/>
      <c r="H1" s="779" t="n"/>
      <c r="I1" s="779" t="n"/>
      <c r="J1" s="779" t="n"/>
      <c r="K1" s="1229" t="n">
        <v>46143</v>
      </c>
      <c r="L1" s="1225" t="n"/>
      <c r="M1" s="579" t="n">
        <v>46146</v>
      </c>
      <c r="N1" s="1225" t="n"/>
      <c r="O1" s="579" t="n">
        <v>46147</v>
      </c>
      <c r="P1" s="1225" t="n"/>
      <c r="Q1" s="579" t="n">
        <v>46148</v>
      </c>
      <c r="R1" s="1225" t="n"/>
      <c r="S1" s="579" t="n">
        <v>46149</v>
      </c>
      <c r="T1" s="1225" t="n"/>
      <c r="U1" s="579" t="n">
        <v>46150</v>
      </c>
      <c r="V1" s="1225" t="n"/>
      <c r="W1" s="579" t="n">
        <v>46153</v>
      </c>
      <c r="X1" s="1225" t="n"/>
      <c r="Y1" s="579" t="n">
        <v>46154</v>
      </c>
      <c r="Z1" s="1225" t="n"/>
      <c r="AA1" s="579" t="n">
        <v>46155</v>
      </c>
      <c r="AB1" s="1225" t="n"/>
      <c r="AC1" s="579" t="n">
        <v>46156</v>
      </c>
      <c r="AD1" s="1225" t="n"/>
      <c r="AE1" s="579" t="n">
        <v>46157</v>
      </c>
      <c r="AF1" s="1225" t="n"/>
      <c r="AG1" s="579" t="n">
        <v>46160</v>
      </c>
      <c r="AH1" s="1225" t="n"/>
      <c r="AI1" s="579" t="n">
        <v>46161</v>
      </c>
      <c r="AJ1" s="1225" t="n"/>
      <c r="AK1" s="579" t="n">
        <v>46162</v>
      </c>
      <c r="AL1" s="1225" t="n"/>
      <c r="AM1" s="579" t="n">
        <v>46163</v>
      </c>
      <c r="AN1" s="1225" t="n"/>
      <c r="AO1" s="579" t="n">
        <v>46164</v>
      </c>
      <c r="AP1" s="1225" t="n"/>
      <c r="AQ1" s="579" t="n">
        <v>46167</v>
      </c>
      <c r="AR1" s="1225" t="n"/>
      <c r="AS1" s="579" t="n">
        <v>46168</v>
      </c>
      <c r="AT1" s="1225" t="n"/>
      <c r="AU1" s="579" t="n">
        <v>46169</v>
      </c>
      <c r="AV1" s="1225" t="n"/>
      <c r="AW1" s="579" t="n">
        <v>46170</v>
      </c>
      <c r="AX1" s="1225" t="n"/>
      <c r="AY1" s="579" t="n">
        <v>46171</v>
      </c>
      <c r="AZ1" s="1225" t="n"/>
      <c r="BA1" s="581" t="n"/>
      <c r="BB1" s="582" t="n"/>
      <c r="BC1" s="583" t="n"/>
    </row>
    <row r="2">
      <c r="A2" s="584" t="n"/>
      <c r="B2" s="584" t="n"/>
      <c r="C2" s="842" t="n"/>
      <c r="D2" s="842" t="n"/>
      <c r="E2" s="584" t="n"/>
      <c r="F2" s="584" t="n"/>
      <c r="G2" s="1226" t="n"/>
      <c r="I2" s="1226" t="n"/>
      <c r="K2" s="1227" t="inlineStr">
        <is>
          <t>пятница</t>
        </is>
      </c>
      <c r="M2" s="1227" t="inlineStr">
        <is>
          <t>понедельник</t>
        </is>
      </c>
      <c r="O2" s="1227" t="inlineStr">
        <is>
          <t>вторник</t>
        </is>
      </c>
      <c r="Q2" s="1227" t="inlineStr">
        <is>
          <t>среда</t>
        </is>
      </c>
      <c r="S2" s="1227" t="inlineStr">
        <is>
          <t>четверг</t>
        </is>
      </c>
      <c r="U2" s="1227" t="inlineStr">
        <is>
          <t>пятница</t>
        </is>
      </c>
      <c r="W2" s="1227" t="inlineStr">
        <is>
          <t>понедельник</t>
        </is>
      </c>
      <c r="Y2" s="1227" t="inlineStr">
        <is>
          <t>вторник</t>
        </is>
      </c>
      <c r="AA2" s="1227" t="inlineStr">
        <is>
          <t>среда</t>
        </is>
      </c>
      <c r="AC2" s="1227" t="inlineStr">
        <is>
          <t>четверг</t>
        </is>
      </c>
      <c r="AE2" s="1227" t="inlineStr">
        <is>
          <t>пятница</t>
        </is>
      </c>
      <c r="AG2" s="1227" t="inlineStr">
        <is>
          <t>понедельник</t>
        </is>
      </c>
      <c r="AI2" s="1227" t="inlineStr">
        <is>
          <t>вторник</t>
        </is>
      </c>
      <c r="AK2" s="1227" t="inlineStr">
        <is>
          <t>среда</t>
        </is>
      </c>
      <c r="AM2" s="1227" t="inlineStr">
        <is>
          <t>четверг</t>
        </is>
      </c>
      <c r="AO2" s="1227" t="inlineStr">
        <is>
          <t>пятница</t>
        </is>
      </c>
      <c r="AQ2" s="1227" t="inlineStr">
        <is>
          <t>понедельник</t>
        </is>
      </c>
      <c r="AS2" s="1227" t="inlineStr">
        <is>
          <t>вторник</t>
        </is>
      </c>
      <c r="AU2" s="1227" t="inlineStr">
        <is>
          <t>среда</t>
        </is>
      </c>
      <c r="AW2" s="1227" t="inlineStr">
        <is>
          <t>четверг</t>
        </is>
      </c>
      <c r="AY2" s="1227" t="inlineStr">
        <is>
          <t>пятница</t>
        </is>
      </c>
      <c r="BA2" s="587" t="inlineStr">
        <is>
          <t>прирост 18% к факту апреля</t>
        </is>
      </c>
      <c r="BB2" s="588" t="n"/>
      <c r="BC2" s="589" t="n"/>
    </row>
    <row r="3">
      <c r="A3" s="590" t="n"/>
      <c r="B3" s="591" t="n"/>
      <c r="C3" s="1228" t="n"/>
      <c r="D3" s="1225" t="n"/>
      <c r="E3" s="1228" t="n"/>
      <c r="F3" s="1225" t="n"/>
      <c r="G3" s="1229" t="n"/>
      <c r="H3" s="1225" t="n"/>
      <c r="I3" s="1229" t="n"/>
      <c r="J3" s="1225" t="n"/>
      <c r="K3" s="1229" t="n">
        <v>46143</v>
      </c>
      <c r="L3" s="1225" t="n"/>
      <c r="M3" s="579" t="n">
        <v>46146</v>
      </c>
      <c r="N3" s="1225" t="n"/>
      <c r="O3" s="579" t="n">
        <v>46147</v>
      </c>
      <c r="P3" s="1225" t="n"/>
      <c r="Q3" s="579" t="n">
        <v>46148</v>
      </c>
      <c r="R3" s="1225" t="n"/>
      <c r="S3" s="579" t="n">
        <v>46149</v>
      </c>
      <c r="T3" s="1225" t="n"/>
      <c r="U3" s="579" t="n">
        <v>46150</v>
      </c>
      <c r="V3" s="1225" t="n"/>
      <c r="W3" s="579" t="n">
        <v>46153</v>
      </c>
      <c r="X3" s="1225" t="n"/>
      <c r="Y3" s="579" t="n">
        <v>46154</v>
      </c>
      <c r="Z3" s="1225" t="n"/>
      <c r="AA3" s="579" t="n">
        <v>46155</v>
      </c>
      <c r="AB3" s="1225" t="n"/>
      <c r="AC3" s="579" t="n">
        <v>46156</v>
      </c>
      <c r="AD3" s="1225" t="n"/>
      <c r="AE3" s="579" t="n">
        <v>46157</v>
      </c>
      <c r="AF3" s="1225" t="n"/>
      <c r="AG3" s="579" t="n">
        <v>46160</v>
      </c>
      <c r="AH3" s="1225" t="n"/>
      <c r="AI3" s="579" t="n">
        <v>46161</v>
      </c>
      <c r="AJ3" s="1225" t="n"/>
      <c r="AK3" s="579" t="n">
        <v>46162</v>
      </c>
      <c r="AL3" s="1225" t="n"/>
      <c r="AM3" s="579" t="n">
        <v>46163</v>
      </c>
      <c r="AN3" s="1225" t="n"/>
      <c r="AO3" s="579" t="n">
        <v>46164</v>
      </c>
      <c r="AP3" s="1225" t="n"/>
      <c r="AQ3" s="579" t="n">
        <v>46167</v>
      </c>
      <c r="AR3" s="1225" t="n"/>
      <c r="AS3" s="579" t="n">
        <v>46168</v>
      </c>
      <c r="AT3" s="1225" t="n"/>
      <c r="AU3" s="579" t="n">
        <v>46169</v>
      </c>
      <c r="AV3" s="1225" t="n"/>
      <c r="AW3" s="579" t="n">
        <v>46170</v>
      </c>
      <c r="AX3" s="1225" t="n"/>
      <c r="AY3" s="579" t="n">
        <v>46171</v>
      </c>
      <c r="AZ3" s="1225" t="n"/>
      <c r="BA3" s="1212" t="inlineStr">
        <is>
          <t xml:space="preserve">Итого план </t>
        </is>
      </c>
      <c r="BB3" s="1213" t="inlineStr">
        <is>
          <t xml:space="preserve">Итого факт </t>
        </is>
      </c>
      <c r="BC3" s="1214" t="inlineStr">
        <is>
          <t>Отклонение</t>
        </is>
      </c>
    </row>
    <row r="4">
      <c r="A4" s="590" t="n"/>
      <c r="B4" s="591" t="n"/>
      <c r="C4" s="593" t="inlineStr">
        <is>
          <t>План</t>
        </is>
      </c>
      <c r="D4" s="780" t="inlineStr">
        <is>
          <t>Факт</t>
        </is>
      </c>
      <c r="E4" s="593" t="inlineStr">
        <is>
          <t>План</t>
        </is>
      </c>
      <c r="F4" s="780" t="inlineStr">
        <is>
          <t>Факт</t>
        </is>
      </c>
      <c r="G4" s="593" t="inlineStr">
        <is>
          <t>План</t>
        </is>
      </c>
      <c r="H4" s="780" t="inlineStr">
        <is>
          <t>Факт</t>
        </is>
      </c>
      <c r="I4" s="593" t="inlineStr">
        <is>
          <t>План</t>
        </is>
      </c>
      <c r="J4" s="780" t="inlineStr">
        <is>
          <t>Факт</t>
        </is>
      </c>
      <c r="K4" s="593" t="inlineStr">
        <is>
          <t>План</t>
        </is>
      </c>
      <c r="L4" s="780" t="inlineStr">
        <is>
          <t>Факт</t>
        </is>
      </c>
      <c r="M4" s="593" t="inlineStr">
        <is>
          <t>План</t>
        </is>
      </c>
      <c r="N4" s="780" t="inlineStr">
        <is>
          <t>Факт</t>
        </is>
      </c>
      <c r="O4" s="593" t="inlineStr">
        <is>
          <t>План</t>
        </is>
      </c>
      <c r="P4" s="780" t="inlineStr">
        <is>
          <t>Факт</t>
        </is>
      </c>
      <c r="Q4" s="593" t="inlineStr">
        <is>
          <t>План</t>
        </is>
      </c>
      <c r="R4" s="780" t="inlineStr">
        <is>
          <t>Факт</t>
        </is>
      </c>
      <c r="S4" s="593" t="inlineStr">
        <is>
          <t>План</t>
        </is>
      </c>
      <c r="T4" s="780" t="inlineStr">
        <is>
          <t>Факт</t>
        </is>
      </c>
      <c r="U4" s="593" t="inlineStr">
        <is>
          <t>План</t>
        </is>
      </c>
      <c r="V4" s="780" t="inlineStr">
        <is>
          <t>Факт</t>
        </is>
      </c>
      <c r="W4" s="593" t="inlineStr">
        <is>
          <t>План</t>
        </is>
      </c>
      <c r="X4" s="780" t="inlineStr">
        <is>
          <t>Факт</t>
        </is>
      </c>
      <c r="Y4" s="593" t="inlineStr">
        <is>
          <t>План</t>
        </is>
      </c>
      <c r="Z4" s="780" t="inlineStr">
        <is>
          <t>Факт</t>
        </is>
      </c>
      <c r="AA4" s="593" t="inlineStr">
        <is>
          <t>План</t>
        </is>
      </c>
      <c r="AB4" s="780" t="inlineStr">
        <is>
          <t>Факт</t>
        </is>
      </c>
      <c r="AC4" s="593" t="inlineStr">
        <is>
          <t>План</t>
        </is>
      </c>
      <c r="AD4" s="780" t="inlineStr">
        <is>
          <t>Факт</t>
        </is>
      </c>
      <c r="AE4" s="593" t="inlineStr">
        <is>
          <t>План</t>
        </is>
      </c>
      <c r="AF4" s="780" t="inlineStr">
        <is>
          <t>Факт</t>
        </is>
      </c>
      <c r="AG4" s="593" t="inlineStr">
        <is>
          <t>План</t>
        </is>
      </c>
      <c r="AH4" s="780" t="inlineStr">
        <is>
          <t>Факт</t>
        </is>
      </c>
      <c r="AI4" s="593" t="inlineStr">
        <is>
          <t>План</t>
        </is>
      </c>
      <c r="AJ4" s="780" t="inlineStr">
        <is>
          <t>Факт</t>
        </is>
      </c>
      <c r="AK4" s="593" t="inlineStr">
        <is>
          <t>План</t>
        </is>
      </c>
      <c r="AL4" s="780" t="inlineStr">
        <is>
          <t>Факт</t>
        </is>
      </c>
      <c r="AM4" s="593" t="inlineStr">
        <is>
          <t>План</t>
        </is>
      </c>
      <c r="AN4" s="780" t="inlineStr">
        <is>
          <t>Факт</t>
        </is>
      </c>
      <c r="AO4" s="593" t="inlineStr">
        <is>
          <t>План</t>
        </is>
      </c>
      <c r="AP4" s="780" t="inlineStr">
        <is>
          <t>Факт</t>
        </is>
      </c>
      <c r="AQ4" s="594" t="n"/>
      <c r="AR4" s="781" t="n"/>
      <c r="AS4" s="594" t="n"/>
      <c r="AT4" s="781" t="n"/>
      <c r="AU4" s="594" t="n"/>
      <c r="AV4" s="781" t="n"/>
      <c r="AW4" s="594" t="n"/>
      <c r="AX4" s="781" t="n"/>
      <c r="AY4" s="594" t="n"/>
      <c r="AZ4" s="781" t="n"/>
      <c r="BA4" s="1215" t="n"/>
      <c r="BB4" s="1216" t="n"/>
      <c r="BC4" s="1217" t="n"/>
    </row>
    <row r="5">
      <c r="A5" s="596" t="inlineStr">
        <is>
          <t>Остаток на начало по Банку</t>
        </is>
      </c>
      <c r="B5" s="597" t="n"/>
      <c r="C5" s="783" t="n">
        <v>3140328</v>
      </c>
      <c r="D5" s="784">
        <f>C5</f>
        <v/>
      </c>
      <c r="E5" s="783">
        <f>C81</f>
        <v/>
      </c>
      <c r="F5" s="784">
        <f>D81</f>
        <v/>
      </c>
      <c r="G5" s="783">
        <f>E81</f>
        <v/>
      </c>
      <c r="H5" s="784">
        <f>3139916</f>
        <v/>
      </c>
      <c r="I5" s="783">
        <f>G81</f>
        <v/>
      </c>
      <c r="J5" s="784">
        <f>H81</f>
        <v/>
      </c>
      <c r="K5" s="783" t="n">
        <v>0</v>
      </c>
      <c r="L5" s="784" t="n">
        <v>0</v>
      </c>
      <c r="M5" s="783">
        <f>K81</f>
        <v/>
      </c>
      <c r="N5" s="784">
        <f>L81</f>
        <v/>
      </c>
      <c r="O5" s="783">
        <f>M81</f>
        <v/>
      </c>
      <c r="P5" s="784">
        <f>N81</f>
        <v/>
      </c>
      <c r="Q5" s="783">
        <f>O81</f>
        <v/>
      </c>
      <c r="R5" s="784">
        <f>P81</f>
        <v/>
      </c>
      <c r="S5" s="783">
        <f>Q81</f>
        <v/>
      </c>
      <c r="T5" s="784">
        <f>R81</f>
        <v/>
      </c>
      <c r="U5" s="783">
        <f>S81</f>
        <v/>
      </c>
      <c r="V5" s="784">
        <f>T81</f>
        <v/>
      </c>
      <c r="W5" s="645">
        <f>U81</f>
        <v/>
      </c>
      <c r="X5" s="784">
        <f>V81</f>
        <v/>
      </c>
      <c r="Y5" s="783">
        <f>W81</f>
        <v/>
      </c>
      <c r="Z5" s="784">
        <f>X81</f>
        <v/>
      </c>
      <c r="AA5" s="783">
        <f>Y81</f>
        <v/>
      </c>
      <c r="AB5" s="784">
        <f>Z81</f>
        <v/>
      </c>
      <c r="AC5" s="783">
        <f>AA81</f>
        <v/>
      </c>
      <c r="AD5" s="784">
        <f>AB81</f>
        <v/>
      </c>
      <c r="AE5" s="783">
        <f>AC81</f>
        <v/>
      </c>
      <c r="AF5" s="784">
        <f>AD81</f>
        <v/>
      </c>
      <c r="AG5" s="645">
        <f>AE81</f>
        <v/>
      </c>
      <c r="AH5" s="784">
        <f>AF81</f>
        <v/>
      </c>
      <c r="AI5" s="783">
        <f>AG81</f>
        <v/>
      </c>
      <c r="AJ5" s="784">
        <f>AH81</f>
        <v/>
      </c>
      <c r="AK5" s="783">
        <f>AI81</f>
        <v/>
      </c>
      <c r="AL5" s="784">
        <f>AJ81</f>
        <v/>
      </c>
      <c r="AM5" s="783">
        <f>AK81</f>
        <v/>
      </c>
      <c r="AN5" s="785">
        <f>AL81</f>
        <v/>
      </c>
      <c r="AO5" s="783">
        <f>AM81</f>
        <v/>
      </c>
      <c r="AP5" s="786">
        <f>AN81</f>
        <v/>
      </c>
      <c r="AQ5" s="787">
        <f>AO81</f>
        <v/>
      </c>
      <c r="AR5" s="784">
        <f>AP81</f>
        <v/>
      </c>
      <c r="AS5" s="783">
        <f>AQ81</f>
        <v/>
      </c>
      <c r="AT5" s="784">
        <f>AR81</f>
        <v/>
      </c>
      <c r="AU5" s="783">
        <f>AS81</f>
        <v/>
      </c>
      <c r="AV5" s="784">
        <f>AT81</f>
        <v/>
      </c>
      <c r="AW5" s="783">
        <f>AU81</f>
        <v/>
      </c>
      <c r="AX5" s="784">
        <f>AV81</f>
        <v/>
      </c>
      <c r="AY5" s="783">
        <f>AW81</f>
        <v/>
      </c>
      <c r="AZ5" s="784">
        <f>AX81</f>
        <v/>
      </c>
      <c r="BA5" s="600">
        <f>C5</f>
        <v/>
      </c>
      <c r="BB5" s="601">
        <f>BA5</f>
        <v/>
      </c>
      <c r="BC5" s="602">
        <f>BB5-BA5</f>
        <v/>
      </c>
    </row>
    <row r="6">
      <c r="A6" s="603" t="inlineStr">
        <is>
          <t>Остаток на начало по Кассе</t>
        </is>
      </c>
      <c r="B6" s="597" t="n"/>
      <c r="C6" s="783" t="n">
        <v>917728</v>
      </c>
      <c r="D6" s="784">
        <f>C6</f>
        <v/>
      </c>
      <c r="E6" s="783">
        <f>C82</f>
        <v/>
      </c>
      <c r="F6" s="784">
        <f>D82</f>
        <v/>
      </c>
      <c r="G6" s="783">
        <f>E82</f>
        <v/>
      </c>
      <c r="H6" s="784">
        <f>F82+62744</f>
        <v/>
      </c>
      <c r="I6" s="783">
        <f>G82</f>
        <v/>
      </c>
      <c r="J6" s="784">
        <f>H82</f>
        <v/>
      </c>
      <c r="K6" s="783" t="n">
        <v>0</v>
      </c>
      <c r="L6" s="784" t="n">
        <v>0</v>
      </c>
      <c r="M6" s="783">
        <f>K82</f>
        <v/>
      </c>
      <c r="N6" s="784">
        <f>L82</f>
        <v/>
      </c>
      <c r="O6" s="783">
        <f>M82</f>
        <v/>
      </c>
      <c r="P6" s="784">
        <f>N82</f>
        <v/>
      </c>
      <c r="Q6" s="783">
        <f>O82</f>
        <v/>
      </c>
      <c r="R6" s="784">
        <f>P82</f>
        <v/>
      </c>
      <c r="S6" s="783">
        <f>Q82</f>
        <v/>
      </c>
      <c r="T6" s="784">
        <f>R82</f>
        <v/>
      </c>
      <c r="U6" s="783">
        <f>S82</f>
        <v/>
      </c>
      <c r="V6" s="784">
        <f>T82</f>
        <v/>
      </c>
      <c r="W6" s="645">
        <f>U82</f>
        <v/>
      </c>
      <c r="X6" s="784">
        <f>V82</f>
        <v/>
      </c>
      <c r="Y6" s="783">
        <f>W82</f>
        <v/>
      </c>
      <c r="Z6" s="784">
        <f>X82</f>
        <v/>
      </c>
      <c r="AA6" s="783">
        <f>Y82</f>
        <v/>
      </c>
      <c r="AB6" s="784">
        <f>Z82</f>
        <v/>
      </c>
      <c r="AC6" s="783">
        <f>AA82</f>
        <v/>
      </c>
      <c r="AD6" s="784">
        <f>AB82</f>
        <v/>
      </c>
      <c r="AE6" s="783">
        <f>AC82</f>
        <v/>
      </c>
      <c r="AF6" s="784">
        <f>AD82</f>
        <v/>
      </c>
      <c r="AG6" s="645">
        <f>AE82</f>
        <v/>
      </c>
      <c r="AH6" s="784">
        <f>AF82</f>
        <v/>
      </c>
      <c r="AI6" s="783">
        <f>AG82</f>
        <v/>
      </c>
      <c r="AJ6" s="784">
        <f>AH82</f>
        <v/>
      </c>
      <c r="AK6" s="783">
        <f>AI82</f>
        <v/>
      </c>
      <c r="AL6" s="784">
        <f>AJ82</f>
        <v/>
      </c>
      <c r="AM6" s="783">
        <f>AK82</f>
        <v/>
      </c>
      <c r="AN6" s="785">
        <f>AL82</f>
        <v/>
      </c>
      <c r="AO6" s="783">
        <f>AM82</f>
        <v/>
      </c>
      <c r="AP6" s="786">
        <f>AN82</f>
        <v/>
      </c>
      <c r="AQ6" s="787">
        <f>AO82</f>
        <v/>
      </c>
      <c r="AR6" s="784">
        <f>AP82</f>
        <v/>
      </c>
      <c r="AS6" s="783">
        <f>AQ82</f>
        <v/>
      </c>
      <c r="AT6" s="784">
        <f>AR82</f>
        <v/>
      </c>
      <c r="AU6" s="783">
        <f>AS82</f>
        <v/>
      </c>
      <c r="AV6" s="784">
        <f>AT82</f>
        <v/>
      </c>
      <c r="AW6" s="783">
        <f>AU82</f>
        <v/>
      </c>
      <c r="AX6" s="784">
        <f>AV82</f>
        <v/>
      </c>
      <c r="AY6" s="783">
        <f>AW82</f>
        <v/>
      </c>
      <c r="AZ6" s="784">
        <f>AX82</f>
        <v/>
      </c>
      <c r="BA6" s="600">
        <f>C6</f>
        <v/>
      </c>
      <c r="BB6" s="601">
        <f>BA6</f>
        <v/>
      </c>
      <c r="BC6" s="602">
        <f>BB6-BA6</f>
        <v/>
      </c>
    </row>
    <row r="7">
      <c r="A7" s="591" t="inlineStr">
        <is>
          <t>Прочие</t>
        </is>
      </c>
      <c r="B7" s="604" t="inlineStr">
        <is>
          <t>Приход</t>
        </is>
      </c>
      <c r="C7" s="680" t="n"/>
      <c r="D7" s="798" t="n"/>
      <c r="E7" s="680" t="n"/>
      <c r="F7" s="796" t="n"/>
      <c r="G7" s="607" t="n">
        <v>1000000</v>
      </c>
      <c r="H7" s="790" t="n"/>
      <c r="I7" s="680" t="n"/>
      <c r="J7" s="1059" t="n"/>
      <c r="K7" s="680" t="n"/>
      <c r="L7" s="796" t="n"/>
      <c r="M7" s="615" t="n">
        <v>1000000</v>
      </c>
      <c r="N7" s="798" t="n"/>
      <c r="O7" s="615" t="n"/>
      <c r="P7" s="796" t="n"/>
      <c r="Q7" s="615" t="n">
        <v>1000000</v>
      </c>
      <c r="R7" s="796" t="n"/>
      <c r="S7" s="615" t="n"/>
      <c r="T7" s="796" t="n"/>
      <c r="U7" s="615" t="n">
        <v>1000000</v>
      </c>
      <c r="V7" s="796" t="n"/>
      <c r="W7" s="615" t="n">
        <v>1000000</v>
      </c>
      <c r="X7" s="798" t="n"/>
      <c r="Y7" s="615" t="n"/>
      <c r="Z7" s="796" t="n"/>
      <c r="AA7" s="615" t="n">
        <v>1000000</v>
      </c>
      <c r="AB7" s="796" t="n"/>
      <c r="AC7" s="615" t="n"/>
      <c r="AD7" s="796" t="n"/>
      <c r="AE7" s="615" t="n">
        <v>1000000</v>
      </c>
      <c r="AF7" s="796" t="n"/>
      <c r="AG7" s="615" t="n">
        <v>1000000</v>
      </c>
      <c r="AH7" s="798" t="n"/>
      <c r="AI7" s="615" t="n"/>
      <c r="AJ7" s="796" t="n"/>
      <c r="AK7" s="615" t="n">
        <v>1000000</v>
      </c>
      <c r="AL7" s="796" t="n"/>
      <c r="AM7" s="615" t="n"/>
      <c r="AN7" s="796" t="n"/>
      <c r="AO7" s="615" t="n">
        <v>1000000</v>
      </c>
      <c r="AP7" s="796" t="n"/>
      <c r="AQ7" s="615" t="n">
        <v>1000000</v>
      </c>
      <c r="AR7" s="798" t="n"/>
      <c r="AS7" s="615" t="n"/>
      <c r="AT7" s="796" t="n"/>
      <c r="AU7" s="615" t="n">
        <v>1000000</v>
      </c>
      <c r="AV7" s="796" t="n"/>
      <c r="AW7" s="615" t="n"/>
      <c r="AX7" s="796" t="n"/>
      <c r="AY7" s="615" t="n">
        <v>1000000</v>
      </c>
      <c r="AZ7" s="796" t="n"/>
      <c r="BA7" s="608">
        <f>K7+M7+O7+Q7+S7+U7+W7+Y7+AA7+AC7+AE7+AG7+AI7+AK7+AM7+AO7+AQ7+AS7+AU7+AW7+AY7</f>
        <v/>
      </c>
      <c r="BB7" s="608">
        <f>L7+N7+P7+R7+T7+V7+X7+Z7+AB7+AD7+AF7+AH7+AJ7+AL7+AN7+AP7+AR7+AT7+AV7+AX7+AZ7</f>
        <v/>
      </c>
      <c r="BC7" s="602">
        <f>BA7-BB7</f>
        <v/>
      </c>
    </row>
    <row r="8">
      <c r="A8" s="591" t="inlineStr">
        <is>
          <t>Б1, Б2, Б5</t>
        </is>
      </c>
      <c r="B8" s="604" t="inlineStr">
        <is>
          <t>Приход</t>
        </is>
      </c>
      <c r="C8" s="680" t="n"/>
      <c r="D8" s="798" t="n"/>
      <c r="E8" s="680" t="n"/>
      <c r="F8" s="796" t="n"/>
      <c r="G8" s="680" t="n"/>
      <c r="H8" s="796" t="n"/>
      <c r="I8" s="680" t="n"/>
      <c r="J8" s="790" t="n"/>
      <c r="K8" s="615" t="n">
        <v>1000000</v>
      </c>
      <c r="L8" s="790" t="n"/>
      <c r="M8" s="680" t="n"/>
      <c r="N8" s="793" t="n"/>
      <c r="O8" s="615" t="n">
        <v>1000000</v>
      </c>
      <c r="P8" s="801" t="n"/>
      <c r="Q8" s="615" t="n">
        <v>1000000</v>
      </c>
      <c r="R8" s="799" t="n"/>
      <c r="S8" s="615" t="n">
        <v>1000000</v>
      </c>
      <c r="T8" s="796" t="n"/>
      <c r="U8" s="615" t="n">
        <v>1000000</v>
      </c>
      <c r="V8" s="796" t="n"/>
      <c r="W8" s="680" t="n"/>
      <c r="X8" s="798" t="n"/>
      <c r="Y8" s="615" t="n">
        <v>1000000</v>
      </c>
      <c r="Z8" s="796" t="n"/>
      <c r="AA8" s="680" t="n"/>
      <c r="AB8" s="796" t="n"/>
      <c r="AC8" s="615" t="n">
        <v>1000000</v>
      </c>
      <c r="AD8" s="796" t="n"/>
      <c r="AE8" s="615" t="n">
        <v>1000000</v>
      </c>
      <c r="AF8" s="796" t="n"/>
      <c r="AG8" s="680" t="n"/>
      <c r="AH8" s="798" t="n"/>
      <c r="AI8" s="615" t="n">
        <v>1000000</v>
      </c>
      <c r="AJ8" s="796" t="n"/>
      <c r="AK8" s="680" t="n"/>
      <c r="AL8" s="796" t="n"/>
      <c r="AM8" s="615" t="n">
        <v>1000000</v>
      </c>
      <c r="AN8" s="796" t="n"/>
      <c r="AO8" s="615" t="n">
        <v>1000000</v>
      </c>
      <c r="AP8" s="796" t="n"/>
      <c r="AQ8" s="680" t="n"/>
      <c r="AR8" s="798" t="n"/>
      <c r="AS8" s="615" t="n">
        <v>1000000</v>
      </c>
      <c r="AT8" s="796" t="n"/>
      <c r="AU8" s="615" t="n">
        <v>1000000</v>
      </c>
      <c r="AV8" s="796" t="n"/>
      <c r="AW8" s="615" t="n">
        <v>1000000</v>
      </c>
      <c r="AX8" s="796" t="n"/>
      <c r="AY8" s="607" t="n"/>
      <c r="AZ8" s="796" t="n"/>
      <c r="BA8" s="608">
        <f>K8+M8+O8+Q8+S8+U8+W8+Y8+AA8+AC8+AE8+AG8+AI8+AK8+AM8+AO8+AQ8+AS8+AU8+AW8+AY8</f>
        <v/>
      </c>
      <c r="BB8" s="608">
        <f>L8+N8+P8+R8+T8+V8+X8+Z8+AB8+AD8+AF8+AH8+AJ8+AL8+AN8+AP8+AR8+AT8+AV8+AX8+AZ8</f>
        <v/>
      </c>
      <c r="BC8" s="602">
        <f>BA8-BB8</f>
        <v/>
      </c>
    </row>
    <row r="9">
      <c r="A9" s="591" t="inlineStr">
        <is>
          <t>Яндекс</t>
        </is>
      </c>
      <c r="B9" s="604" t="inlineStr">
        <is>
          <t>Приход</t>
        </is>
      </c>
      <c r="C9" s="680" t="n"/>
      <c r="D9" s="798" t="n"/>
      <c r="E9" s="680" t="n"/>
      <c r="F9" s="796" t="n"/>
      <c r="G9" s="680" t="n"/>
      <c r="H9" s="796" t="n"/>
      <c r="I9" s="615" t="n">
        <v>6000000</v>
      </c>
      <c r="J9" s="797" t="n"/>
      <c r="K9" s="680" t="n"/>
      <c r="L9" s="796" t="n"/>
      <c r="M9" s="680" t="n"/>
      <c r="N9" s="798" t="n"/>
      <c r="O9" s="615" t="n">
        <v>6000000</v>
      </c>
      <c r="P9" s="801" t="n"/>
      <c r="Q9" s="680" t="n"/>
      <c r="R9" s="799" t="n"/>
      <c r="S9" s="615" t="n">
        <v>10000000</v>
      </c>
      <c r="T9" s="796" t="n"/>
      <c r="U9" s="680" t="n"/>
      <c r="V9" s="796" t="n"/>
      <c r="W9" s="680" t="n"/>
      <c r="X9" s="798" t="n"/>
      <c r="Y9" s="615" t="n">
        <v>6000000</v>
      </c>
      <c r="Z9" s="796" t="n"/>
      <c r="AA9" s="680" t="n"/>
      <c r="AB9" s="796" t="n"/>
      <c r="AC9" s="615" t="n">
        <v>10000000</v>
      </c>
      <c r="AD9" s="796" t="n"/>
      <c r="AE9" s="680" t="n"/>
      <c r="AF9" s="796" t="n"/>
      <c r="AG9" s="680" t="n"/>
      <c r="AH9" s="798" t="n"/>
      <c r="AI9" s="615" t="n">
        <v>6000000</v>
      </c>
      <c r="AJ9" s="796" t="n"/>
      <c r="AK9" s="680" t="n"/>
      <c r="AL9" s="796" t="n"/>
      <c r="AM9" s="615" t="n">
        <v>10000000</v>
      </c>
      <c r="AN9" s="796" t="n"/>
      <c r="AO9" s="680" t="n"/>
      <c r="AP9" s="796" t="n"/>
      <c r="AQ9" s="680" t="n"/>
      <c r="AR9" s="798" t="n"/>
      <c r="AS9" s="615" t="n">
        <v>9000000</v>
      </c>
      <c r="AT9" s="796" t="n"/>
      <c r="AU9" s="680" t="n"/>
      <c r="AV9" s="796" t="n"/>
      <c r="AW9" s="615" t="n">
        <v>10000000</v>
      </c>
      <c r="AX9" s="796" t="n"/>
      <c r="AY9" s="680" t="n"/>
      <c r="AZ9" s="796" t="n"/>
      <c r="BA9" s="608">
        <f>K9+M9+O9+Q9+S9+U9+W9+Y9+AA9+AC9+AE9+AG9+AI9+AK9+AM9+AO9+AQ9+AS9+AU9+AW9+AY9</f>
        <v/>
      </c>
      <c r="BB9" s="608">
        <f>L9+N9+P9+R9+T9+V9+X9+Z9+AB9+AD9+AF9+AH9+AJ9+AL9+AN9+AP9+AR9+AT9+AV9+AX9+AZ9</f>
        <v/>
      </c>
      <c r="BC9" s="602">
        <f>BA9-BB9</f>
        <v/>
      </c>
    </row>
    <row r="10">
      <c r="A10" s="591" t="inlineStr">
        <is>
          <t>Май Март</t>
        </is>
      </c>
      <c r="B10" s="604" t="inlineStr">
        <is>
          <t>Приход</t>
        </is>
      </c>
      <c r="C10" s="680" t="n"/>
      <c r="D10" s="798" t="n"/>
      <c r="E10" s="680" t="n"/>
      <c r="F10" s="796" t="n"/>
      <c r="G10" s="615" t="n">
        <v>1000000</v>
      </c>
      <c r="H10" s="796" t="n"/>
      <c r="I10" s="680" t="n"/>
      <c r="J10" s="790" t="n"/>
      <c r="K10" s="680" t="n"/>
      <c r="L10" s="796" t="n"/>
      <c r="M10" s="680" t="n"/>
      <c r="N10" s="798" t="n"/>
      <c r="O10" s="615" t="n">
        <v>2000000</v>
      </c>
      <c r="P10" s="796" t="n"/>
      <c r="Q10" s="680" t="n"/>
      <c r="R10" s="799" t="n"/>
      <c r="S10" s="615" t="n">
        <v>2000000</v>
      </c>
      <c r="T10" s="796" t="n"/>
      <c r="U10" s="680" t="n"/>
      <c r="V10" s="796" t="n"/>
      <c r="W10" s="680" t="n"/>
      <c r="X10" s="798" t="n"/>
      <c r="Y10" s="680" t="n"/>
      <c r="Z10" s="796" t="n"/>
      <c r="AA10" s="680" t="n"/>
      <c r="AB10" s="796" t="n"/>
      <c r="AC10" s="615" t="n">
        <v>2000000</v>
      </c>
      <c r="AD10" s="796" t="n"/>
      <c r="AE10" s="607" t="n"/>
      <c r="AF10" s="796" t="n"/>
      <c r="AG10" s="680" t="n"/>
      <c r="AH10" s="798" t="n"/>
      <c r="AI10" s="680" t="n"/>
      <c r="AJ10" s="796" t="n"/>
      <c r="AK10" s="607" t="n"/>
      <c r="AL10" s="796" t="n"/>
      <c r="AM10" s="615" t="n">
        <v>2000000</v>
      </c>
      <c r="AN10" s="796" t="n"/>
      <c r="AO10" s="680" t="n"/>
      <c r="AP10" s="796" t="n"/>
      <c r="AQ10" s="680" t="n"/>
      <c r="AR10" s="798" t="n"/>
      <c r="AS10" s="615" t="n">
        <v>2000000</v>
      </c>
      <c r="AT10" s="796" t="n"/>
      <c r="AU10" s="680" t="n"/>
      <c r="AV10" s="796" t="n"/>
      <c r="AW10" s="615" t="n">
        <v>2000000</v>
      </c>
      <c r="AX10" s="796" t="n"/>
      <c r="AY10" s="680" t="n"/>
      <c r="AZ10" s="796" t="n"/>
      <c r="BA10" s="608">
        <f>K10+M10+O10+Q10+S10+U10+W10+Y10+AA10+AC10+AE10+AG10+AI10+AK10+AM10+AO10+AQ10+AS10+AU10+AW10+AY10</f>
        <v/>
      </c>
      <c r="BB10" s="608">
        <f>L10+N10+P10+R10+T10+V10+X10+Z10+AB10+AD10+AF10+AH10+AJ10+AL10+AN10+AP10+AR10+AT10+AV10+AX10+AZ10</f>
        <v/>
      </c>
      <c r="BC10" s="602">
        <f>BA10-BB10</f>
        <v/>
      </c>
    </row>
    <row r="11">
      <c r="A11" s="591" t="inlineStr">
        <is>
          <t xml:space="preserve">7-Kaspi Банк </t>
        </is>
      </c>
      <c r="B11" s="604" t="inlineStr">
        <is>
          <t>Приход</t>
        </is>
      </c>
      <c r="C11" s="680" t="n"/>
      <c r="D11" s="798" t="n"/>
      <c r="E11" s="680" t="n"/>
      <c r="F11" s="796" t="n"/>
      <c r="G11" s="607" t="n">
        <v>1000000</v>
      </c>
      <c r="H11" s="790" t="n"/>
      <c r="I11" s="615" t="n">
        <v>1500000</v>
      </c>
      <c r="J11" s="790" t="n"/>
      <c r="K11" s="615" t="n">
        <v>1000000</v>
      </c>
      <c r="L11" s="790" t="n"/>
      <c r="M11" s="680" t="n"/>
      <c r="N11" s="798" t="n"/>
      <c r="O11" s="680" t="n"/>
      <c r="P11" s="801" t="n"/>
      <c r="Q11" s="615" t="n">
        <v>1000000</v>
      </c>
      <c r="R11" s="799" t="n"/>
      <c r="S11" s="615" t="n">
        <v>1000000</v>
      </c>
      <c r="T11" s="796" t="n"/>
      <c r="U11" s="615" t="n">
        <v>1000000</v>
      </c>
      <c r="V11" s="796" t="n"/>
      <c r="W11" s="615" t="n">
        <v>1000000</v>
      </c>
      <c r="X11" s="798" t="n"/>
      <c r="Y11" s="615" t="n">
        <v>1000000</v>
      </c>
      <c r="Z11" s="796" t="n"/>
      <c r="AA11" s="615" t="n">
        <v>1000000</v>
      </c>
      <c r="AB11" s="796" t="n"/>
      <c r="AC11" s="615" t="n">
        <v>1000000</v>
      </c>
      <c r="AD11" s="796" t="n"/>
      <c r="AE11" s="615" t="n">
        <v>1000000</v>
      </c>
      <c r="AF11" s="796" t="n"/>
      <c r="AG11" s="615" t="n">
        <v>1000000</v>
      </c>
      <c r="AH11" s="796" t="n"/>
      <c r="AI11" s="615" t="n">
        <v>1000000</v>
      </c>
      <c r="AJ11" s="796" t="n"/>
      <c r="AK11" s="615" t="n">
        <v>1000000</v>
      </c>
      <c r="AL11" s="796" t="n"/>
      <c r="AM11" s="615" t="n">
        <v>1000000</v>
      </c>
      <c r="AN11" s="796" t="n"/>
      <c r="AO11" s="615" t="n">
        <v>1000000</v>
      </c>
      <c r="AP11" s="796" t="n"/>
      <c r="AQ11" s="615" t="n">
        <v>1000000</v>
      </c>
      <c r="AR11" s="798" t="n"/>
      <c r="AS11" s="680" t="n"/>
      <c r="AT11" s="796" t="n"/>
      <c r="AU11" s="615" t="n">
        <v>1000000</v>
      </c>
      <c r="AV11" s="796" t="n"/>
      <c r="AW11" s="680" t="n"/>
      <c r="AX11" s="796" t="n"/>
      <c r="AY11" s="615" t="n">
        <v>1000000</v>
      </c>
      <c r="AZ11" s="796" t="n"/>
      <c r="BA11" s="859">
        <f>K11+M11+O11+Q11+S11+U11+W11+Y11+AA11+AC11+AE11+AG11+AI11+AK11+AM11+AO11+AQ11+AS11+AU11+AW11+AY11</f>
        <v/>
      </c>
      <c r="BB11" s="608">
        <f>L11+N11+P11+R11+T11+V11+X11+Z11+AB11+AD11+AF11+AH11+AJ11+AL11+AN11+AP11+AR11+AT11+AV11+AX11+AZ11</f>
        <v/>
      </c>
      <c r="BC11" s="602">
        <f>BA11-BB11</f>
        <v/>
      </c>
    </row>
    <row r="12">
      <c r="A12" s="591" t="inlineStr">
        <is>
          <t>Crave</t>
        </is>
      </c>
      <c r="B12" s="604" t="inlineStr">
        <is>
          <t>Приход</t>
        </is>
      </c>
      <c r="C12" s="680" t="n"/>
      <c r="D12" s="798" t="n"/>
      <c r="E12" s="680" t="n"/>
      <c r="F12" s="796" t="n"/>
      <c r="G12" s="680" t="n"/>
      <c r="H12" s="796" t="n"/>
      <c r="I12" s="680" t="n"/>
      <c r="J12" s="796" t="n"/>
      <c r="K12" s="680" t="n"/>
      <c r="L12" s="798" t="n"/>
      <c r="M12" s="615" t="n">
        <v>3000000</v>
      </c>
      <c r="N12" s="798" t="n"/>
      <c r="O12" s="680" t="n"/>
      <c r="P12" s="796" t="n"/>
      <c r="Q12" s="615" t="n">
        <v>3000000</v>
      </c>
      <c r="R12" s="796" t="n"/>
      <c r="S12" s="680" t="n"/>
      <c r="T12" s="796" t="n"/>
      <c r="U12" s="615" t="n">
        <v>3000000</v>
      </c>
      <c r="V12" s="796" t="n"/>
      <c r="W12" s="615" t="n">
        <v>3000000</v>
      </c>
      <c r="X12" s="798" t="n"/>
      <c r="Y12" s="680" t="n"/>
      <c r="Z12" s="796" t="n"/>
      <c r="AA12" s="615" t="n">
        <v>3000000</v>
      </c>
      <c r="AB12" s="796" t="n"/>
      <c r="AC12" s="680" t="n"/>
      <c r="AD12" s="796" t="n"/>
      <c r="AE12" s="615" t="n">
        <v>3000000</v>
      </c>
      <c r="AF12" s="796" t="n"/>
      <c r="AG12" s="615" t="n">
        <v>3000000</v>
      </c>
      <c r="AH12" s="798" t="n"/>
      <c r="AI12" s="680" t="n"/>
      <c r="AJ12" s="796" t="n"/>
      <c r="AK12" s="615" t="n">
        <v>3000000</v>
      </c>
      <c r="AL12" s="796" t="n"/>
      <c r="AM12" s="680" t="n"/>
      <c r="AN12" s="796" t="n"/>
      <c r="AO12" s="615" t="n">
        <v>3000000</v>
      </c>
      <c r="AP12" s="796" t="n"/>
      <c r="AQ12" s="615" t="n"/>
      <c r="AR12" s="798" t="n"/>
      <c r="AS12" s="680" t="n"/>
      <c r="AT12" s="796" t="n"/>
      <c r="AU12" s="615" t="n"/>
      <c r="AV12" s="796" t="n"/>
      <c r="AW12" s="680" t="n"/>
      <c r="AX12" s="796" t="n"/>
      <c r="AY12" s="615" t="n"/>
      <c r="AZ12" s="796" t="n"/>
      <c r="BA12" s="860">
        <f>K12+M12+O12+Q12+S12+U12+W12+Y12+AA12+AC12+AE12+AG12+AI12+AK12+AM12+AO12+AQ12+AS12+AU12+AW12+AY12</f>
        <v/>
      </c>
      <c r="BB12" s="608">
        <f>L12+N12+P12+R12+T12+V12+X12+Z12+AB12+AD12+AF12+AH12+AJ12+AL12+AN12+AP12+AR12+AT12+AV12+AX12+AZ12</f>
        <v/>
      </c>
      <c r="BC12" s="602">
        <f>BA12-BB12</f>
        <v/>
      </c>
    </row>
    <row r="13">
      <c r="A13" s="591" t="inlineStr">
        <is>
          <t>99-RP АЗС</t>
        </is>
      </c>
      <c r="B13" s="604" t="inlineStr">
        <is>
          <t>Приход</t>
        </is>
      </c>
      <c r="C13" s="680" t="n"/>
      <c r="D13" s="798" t="n"/>
      <c r="E13" s="680" t="n"/>
      <c r="F13" s="796" t="n"/>
      <c r="G13" s="680" t="n"/>
      <c r="H13" s="796" t="n"/>
      <c r="I13" s="607" t="n">
        <v>5000000</v>
      </c>
      <c r="J13" s="790" t="n"/>
      <c r="K13" s="680" t="n"/>
      <c r="L13" s="798" t="n"/>
      <c r="M13" s="680" t="n"/>
      <c r="N13" s="798" t="n"/>
      <c r="O13" s="680" t="n"/>
      <c r="P13" s="796" t="n"/>
      <c r="Q13" s="680" t="n"/>
      <c r="R13" s="799" t="n"/>
      <c r="S13" s="615" t="n">
        <v>8000000</v>
      </c>
      <c r="T13" s="796" t="n"/>
      <c r="U13" s="680" t="n"/>
      <c r="V13" s="796" t="n"/>
      <c r="W13" s="680" t="n"/>
      <c r="X13" s="798" t="n"/>
      <c r="Y13" s="680" t="n"/>
      <c r="Z13" s="796" t="n"/>
      <c r="AA13" s="680" t="n"/>
      <c r="AB13" s="796" t="n"/>
      <c r="AC13" s="615" t="n">
        <v>6000000</v>
      </c>
      <c r="AD13" s="796" t="n"/>
      <c r="AE13" s="680" t="n"/>
      <c r="AF13" s="796" t="n"/>
      <c r="AG13" s="680" t="n"/>
      <c r="AH13" s="798" t="n"/>
      <c r="AI13" s="680" t="n"/>
      <c r="AJ13" s="796" t="n"/>
      <c r="AK13" s="680" t="n"/>
      <c r="AL13" s="796" t="n"/>
      <c r="AM13" s="615" t="n">
        <v>6000000</v>
      </c>
      <c r="AN13" s="796" t="n"/>
      <c r="AO13" s="680" t="n"/>
      <c r="AP13" s="796" t="n"/>
      <c r="AQ13" s="680" t="n"/>
      <c r="AR13" s="798" t="n"/>
      <c r="AS13" s="680" t="n"/>
      <c r="AT13" s="796" t="n"/>
      <c r="AU13" s="680" t="n"/>
      <c r="AV13" s="796" t="n"/>
      <c r="AW13" s="615" t="n">
        <v>6000000</v>
      </c>
      <c r="AX13" s="796" t="n"/>
      <c r="AY13" s="680" t="n"/>
      <c r="AZ13" s="796" t="n"/>
      <c r="BA13" s="608">
        <f>K13+M13+O13+Q13+S13+U13+W13+Y13+AA13+AC13+AE13+AG13+AI13+AK13+AM13+AO13+AQ13+AS13+AU13+AW13+AY13</f>
        <v/>
      </c>
      <c r="BB13" s="608">
        <f>L13+N13+P13+R13+T13+V13+X13+Z13+AB13+AD13+AF13+AH13+AJ13+AL13+AN13+AP13+AR13+AT13+AV13+AX13+AZ13</f>
        <v/>
      </c>
      <c r="BC13" s="602">
        <f>BA13-BB13</f>
        <v/>
      </c>
    </row>
    <row r="14">
      <c r="A14" s="591" t="inlineStr">
        <is>
          <t>96- DSF покупатель</t>
        </is>
      </c>
      <c r="B14" s="604" t="inlineStr">
        <is>
          <t>Приход</t>
        </is>
      </c>
      <c r="C14" s="680" t="n"/>
      <c r="D14" s="798" t="n"/>
      <c r="E14" s="680" t="n"/>
      <c r="F14" s="796" t="n"/>
      <c r="G14" s="615" t="n">
        <v>5000000</v>
      </c>
      <c r="H14" s="790" t="n"/>
      <c r="I14" s="680" t="n"/>
      <c r="J14" s="796" t="n"/>
      <c r="K14" s="615" t="n">
        <v>1000000</v>
      </c>
      <c r="L14" s="861" t="n"/>
      <c r="M14" s="615" t="n">
        <v>4000000</v>
      </c>
      <c r="N14" s="798" t="n"/>
      <c r="O14" s="615" t="n">
        <v>4000000</v>
      </c>
      <c r="P14" s="800" t="n"/>
      <c r="Q14" s="680" t="n"/>
      <c r="R14" s="799" t="n"/>
      <c r="S14" s="680" t="n"/>
      <c r="T14" s="796" t="n"/>
      <c r="U14" s="680" t="n"/>
      <c r="V14" s="796" t="n"/>
      <c r="W14" s="680" t="n"/>
      <c r="X14" s="798" t="n"/>
      <c r="Y14" s="680" t="n"/>
      <c r="Z14" s="796" t="n"/>
      <c r="AA14" s="680" t="n"/>
      <c r="AB14" s="796" t="n"/>
      <c r="AC14" s="680" t="n"/>
      <c r="AD14" s="796" t="n"/>
      <c r="AE14" s="615" t="n">
        <v>2000000</v>
      </c>
      <c r="AF14" s="796" t="n"/>
      <c r="AG14" s="680" t="n"/>
      <c r="AH14" s="798" t="n"/>
      <c r="AI14" s="680" t="n"/>
      <c r="AJ14" s="796" t="n"/>
      <c r="AK14" s="680" t="n"/>
      <c r="AL14" s="796" t="n"/>
      <c r="AM14" s="607" t="n">
        <v>2000000</v>
      </c>
      <c r="AN14" s="796" t="n"/>
      <c r="AO14" s="680" t="n"/>
      <c r="AP14" s="796" t="n"/>
      <c r="AQ14" s="680" t="n"/>
      <c r="AR14" s="798" t="n"/>
      <c r="AS14" s="680" t="n"/>
      <c r="AT14" s="796" t="n"/>
      <c r="AU14" s="615" t="n">
        <v>1000000</v>
      </c>
      <c r="AV14" s="796" t="n"/>
      <c r="AW14" s="680" t="n"/>
      <c r="AX14" s="796" t="n"/>
      <c r="AY14" s="680" t="n"/>
      <c r="AZ14" s="796" t="n"/>
      <c r="BA14" s="608">
        <f>K14+M14+O14+Q14+S14+U14+W14+Y14+AA14+AC14+AE14+AG14+AI14+AK14+AM14+AO14+AQ14+AS14+AU14+AW14+AY14</f>
        <v/>
      </c>
      <c r="BB14" s="608">
        <f>L14+N14+P14+R14+T14+V14+X14+Z14+AB14+AD14+AF14+AH14+AJ14+AL14+AN14+AP14+AR14+AT14+AV14+AX14+AZ14</f>
        <v/>
      </c>
      <c r="BC14" s="602">
        <f>BA14-BB14</f>
        <v/>
      </c>
    </row>
    <row r="15">
      <c r="A15" s="591" t="inlineStr">
        <is>
          <t>85-ДФЗ дистрибьютер ФЗ</t>
        </is>
      </c>
      <c r="B15" s="604" t="inlineStr">
        <is>
          <t>Приход</t>
        </is>
      </c>
      <c r="C15" s="680" t="n"/>
      <c r="D15" s="798" t="n"/>
      <c r="E15" s="680" t="n"/>
      <c r="F15" s="796" t="n"/>
      <c r="G15" s="615" t="n">
        <v>2000000</v>
      </c>
      <c r="H15" s="796" t="n"/>
      <c r="I15" s="615" t="n">
        <v>2200000</v>
      </c>
      <c r="J15" s="790" t="n"/>
      <c r="K15" s="615" t="n">
        <v>2000000</v>
      </c>
      <c r="L15" s="861" t="n"/>
      <c r="M15" s="615" t="n">
        <v>11900000</v>
      </c>
      <c r="N15" s="793" t="n"/>
      <c r="O15" s="615" t="n">
        <v>4000000</v>
      </c>
      <c r="P15" s="801" t="n"/>
      <c r="Q15" s="615" t="n">
        <v>10000000</v>
      </c>
      <c r="R15" s="799" t="n"/>
      <c r="S15" s="615" t="n">
        <v>4000000</v>
      </c>
      <c r="T15" s="796" t="n"/>
      <c r="U15" s="615" t="n">
        <v>2000000</v>
      </c>
      <c r="V15" s="796" t="n"/>
      <c r="W15" s="615" t="n">
        <v>2000000</v>
      </c>
      <c r="X15" s="798" t="n"/>
      <c r="Y15" s="615" t="n">
        <v>2000000</v>
      </c>
      <c r="Z15" s="796" t="n"/>
      <c r="AA15" s="615" t="n">
        <v>10000000</v>
      </c>
      <c r="AB15" s="796" t="n"/>
      <c r="AC15" s="615" t="n">
        <v>4000000</v>
      </c>
      <c r="AD15" s="796" t="n"/>
      <c r="AE15" s="615" t="n">
        <v>2000000</v>
      </c>
      <c r="AF15" s="796" t="n"/>
      <c r="AG15" s="615" t="n">
        <v>4000000</v>
      </c>
      <c r="AH15" s="798" t="n"/>
      <c r="AI15" s="615" t="n">
        <v>1000000</v>
      </c>
      <c r="AJ15" s="796" t="n"/>
      <c r="AK15" s="615" t="n">
        <v>10000000</v>
      </c>
      <c r="AL15" s="796" t="n"/>
      <c r="AM15" s="615" t="n">
        <v>4000000</v>
      </c>
      <c r="AN15" s="796" t="n"/>
      <c r="AO15" s="615" t="n">
        <v>2000000</v>
      </c>
      <c r="AP15" s="796" t="n"/>
      <c r="AQ15" s="615" t="n">
        <v>2000000</v>
      </c>
      <c r="AR15" s="798" t="n"/>
      <c r="AS15" s="615" t="n">
        <v>5000000</v>
      </c>
      <c r="AT15" s="796" t="n"/>
      <c r="AU15" s="615" t="n">
        <v>10000000</v>
      </c>
      <c r="AV15" s="796" t="n"/>
      <c r="AW15" s="615" t="n">
        <v>4000000</v>
      </c>
      <c r="AX15" s="796" t="n"/>
      <c r="AY15" s="615" t="n">
        <v>4000000</v>
      </c>
      <c r="AZ15" s="796" t="n"/>
      <c r="BA15" s="608">
        <f>K15+M15+O15+Q15+S15+U15+W15+Y15+AA15+AC15+AE15+AG15+AI15+AK15+AM15+AO15+AQ15+AS15+AU15+AW15+AY15</f>
        <v/>
      </c>
      <c r="BB15" s="608">
        <f>L15+N15+P15+R15+T15+V15+X15+Z15+AB15+AD15+AF15+AH15+AJ15+AL15+AN15+AP15+AR15+AT15+AV15+AX15+AZ15</f>
        <v/>
      </c>
      <c r="BC15" s="602">
        <f>BA15-BB15</f>
        <v/>
      </c>
    </row>
    <row r="16">
      <c r="A16" s="591" t="inlineStr">
        <is>
          <t xml:space="preserve">110 АЗС №67 "Sinooil" </t>
        </is>
      </c>
      <c r="B16" s="604" t="inlineStr">
        <is>
          <t>Приход</t>
        </is>
      </c>
      <c r="C16" s="680" t="n"/>
      <c r="D16" s="798" t="n"/>
      <c r="E16" s="680" t="n"/>
      <c r="F16" s="796" t="n"/>
      <c r="G16" s="680" t="n"/>
      <c r="H16" s="796" t="n"/>
      <c r="I16" s="680" t="n"/>
      <c r="J16" s="790" t="n"/>
      <c r="K16" s="680" t="n"/>
      <c r="L16" s="798" t="n"/>
      <c r="M16" s="680" t="n"/>
      <c r="N16" s="798" t="n"/>
      <c r="O16" s="680" t="n"/>
      <c r="P16" s="801" t="n"/>
      <c r="Q16" s="680" t="n"/>
      <c r="R16" s="799" t="n"/>
      <c r="S16" s="680" t="n"/>
      <c r="T16" s="796" t="n"/>
      <c r="U16" s="615" t="n">
        <v>1000000</v>
      </c>
      <c r="V16" s="796" t="n"/>
      <c r="W16" s="680" t="n"/>
      <c r="X16" s="798" t="n"/>
      <c r="Y16" s="615" t="n">
        <v>1500000</v>
      </c>
      <c r="Z16" s="796" t="n"/>
      <c r="AA16" s="680" t="n"/>
      <c r="AB16" s="796" t="n"/>
      <c r="AC16" s="680" t="n"/>
      <c r="AD16" s="796" t="n"/>
      <c r="AE16" s="680" t="n"/>
      <c r="AF16" s="796" t="n"/>
      <c r="AG16" s="615" t="n">
        <v>1000000</v>
      </c>
      <c r="AH16" s="798" t="n"/>
      <c r="AI16" s="680" t="n"/>
      <c r="AJ16" s="796" t="n"/>
      <c r="AK16" s="680" t="n"/>
      <c r="AL16" s="796" t="n"/>
      <c r="AM16" s="680" t="n"/>
      <c r="AN16" s="796" t="n"/>
      <c r="AO16" s="680" t="n"/>
      <c r="AP16" s="796" t="n"/>
      <c r="AQ16" s="680" t="n"/>
      <c r="AR16" s="798" t="n"/>
      <c r="AS16" s="680" t="n"/>
      <c r="AT16" s="796" t="n"/>
      <c r="AU16" s="615" t="n">
        <v>2000000</v>
      </c>
      <c r="AV16" s="796" t="n"/>
      <c r="AW16" s="680" t="n"/>
      <c r="AX16" s="796" t="n"/>
      <c r="AY16" s="680" t="n"/>
      <c r="AZ16" s="796" t="n"/>
      <c r="BA16" s="608">
        <f>K16+M16+O16+Q16+S16+U16+W16+Y16+AA16+AC16+AE16+AG16+AI16+AK16+AM16+AO16+AQ16+AS16+AU16+AW16+AY16</f>
        <v/>
      </c>
      <c r="BB16" s="608">
        <f>L16+N16+P16+R16+T16+V16+X16+Z16+AB16+AD16+AF16+AH16+AJ16+AL16+AN16+AP16+AR16+AT16+AV16+AX16+AZ16</f>
        <v/>
      </c>
      <c r="BC16" s="602">
        <f>BA16-BB16</f>
        <v/>
      </c>
    </row>
    <row r="17">
      <c r="A17" s="591" t="inlineStr">
        <is>
          <t>100 ТУАР (шинлайн)</t>
        </is>
      </c>
      <c r="B17" s="604" t="inlineStr">
        <is>
          <t>Приход</t>
        </is>
      </c>
      <c r="C17" s="680" t="n"/>
      <c r="D17" s="798" t="n"/>
      <c r="E17" s="680" t="n"/>
      <c r="F17" s="796" t="n"/>
      <c r="G17" s="615" t="n">
        <v>150000</v>
      </c>
      <c r="H17" s="796" t="n"/>
      <c r="I17" s="680" t="n"/>
      <c r="J17" s="796" t="n"/>
      <c r="K17" s="680" t="n"/>
      <c r="L17" s="798" t="n"/>
      <c r="M17" s="680" t="n"/>
      <c r="N17" s="798" t="n"/>
      <c r="O17" s="680" t="n"/>
      <c r="P17" s="796" t="n"/>
      <c r="Q17" s="680" t="n"/>
      <c r="R17" s="799" t="n"/>
      <c r="S17" s="680" t="n"/>
      <c r="T17" s="796" t="n"/>
      <c r="U17" s="680" t="n"/>
      <c r="V17" s="796" t="n"/>
      <c r="W17" s="680" t="n"/>
      <c r="X17" s="798" t="n"/>
      <c r="Y17" s="680" t="n"/>
      <c r="Z17" s="796" t="n"/>
      <c r="AA17" s="680" t="n"/>
      <c r="AB17" s="796" t="n"/>
      <c r="AC17" s="680" t="n"/>
      <c r="AD17" s="796" t="n"/>
      <c r="AE17" s="680" t="n"/>
      <c r="AF17" s="796" t="n"/>
      <c r="AG17" s="680" t="n"/>
      <c r="AH17" s="798" t="n"/>
      <c r="AI17" s="680" t="n"/>
      <c r="AJ17" s="796" t="n"/>
      <c r="AK17" s="680" t="n"/>
      <c r="AL17" s="796" t="n"/>
      <c r="AM17" s="680" t="n"/>
      <c r="AN17" s="796" t="n"/>
      <c r="AO17" s="680" t="n"/>
      <c r="AP17" s="796" t="n"/>
      <c r="AQ17" s="680" t="n"/>
      <c r="AR17" s="798" t="n"/>
      <c r="AS17" s="680" t="n"/>
      <c r="AT17" s="796" t="n"/>
      <c r="AU17" s="680" t="n"/>
      <c r="AV17" s="796" t="n"/>
      <c r="AW17" s="680" t="n"/>
      <c r="AX17" s="796" t="n"/>
      <c r="AY17" s="680" t="n"/>
      <c r="AZ17" s="796" t="n"/>
      <c r="BA17" s="608">
        <f>K17+M17+O17+Q17+S17+U17+W17+Y17+AA17+AC17+AE17+AG17+AI17+AK17+AM17+AO17+AQ17+AS17+AU17+AW17+AY17</f>
        <v/>
      </c>
      <c r="BB17" s="608">
        <f>L17+N17+P17+R17+T17+V17+X17+Z17+AB17+AD17+AF17+AH17+AJ17+AL17+AN17+AP17+AR17+AT17+AV17+AX17+AZ17</f>
        <v/>
      </c>
      <c r="BC17" s="602">
        <f>BA17-BB17</f>
        <v/>
      </c>
    </row>
    <row r="18">
      <c r="A18" s="591" t="inlineStr">
        <is>
          <t>Даркстор Чоко</t>
        </is>
      </c>
      <c r="B18" s="604" t="inlineStr">
        <is>
          <t>Приход</t>
        </is>
      </c>
      <c r="C18" s="680" t="n"/>
      <c r="D18" s="798" t="n"/>
      <c r="E18" s="680" t="n"/>
      <c r="F18" s="796" t="n"/>
      <c r="G18" s="680" t="n"/>
      <c r="H18" s="796" t="n"/>
      <c r="I18" s="680" t="n"/>
      <c r="J18" s="796" t="n"/>
      <c r="K18" s="680" t="n"/>
      <c r="L18" s="796" t="n"/>
      <c r="M18" s="680" t="n"/>
      <c r="N18" s="798" t="n"/>
      <c r="O18" s="615" t="n">
        <v>600000</v>
      </c>
      <c r="P18" s="796" t="n"/>
      <c r="Q18" s="680" t="n"/>
      <c r="R18" s="799" t="n"/>
      <c r="S18" s="680" t="n"/>
      <c r="T18" s="796" t="n"/>
      <c r="U18" s="680" t="n"/>
      <c r="V18" s="796" t="n"/>
      <c r="W18" s="615" t="n">
        <v>500000</v>
      </c>
      <c r="X18" s="798" t="n"/>
      <c r="Y18" s="680" t="n"/>
      <c r="Z18" s="796" t="n"/>
      <c r="AA18" s="615" t="n">
        <v>500000</v>
      </c>
      <c r="AB18" s="796" t="n"/>
      <c r="AC18" s="680" t="n"/>
      <c r="AD18" s="796" t="n"/>
      <c r="AE18" s="680" t="n"/>
      <c r="AF18" s="796" t="n"/>
      <c r="AG18" s="680" t="n"/>
      <c r="AH18" s="798" t="n"/>
      <c r="AI18" s="680" t="n"/>
      <c r="AJ18" s="796" t="n"/>
      <c r="AK18" s="680" t="n"/>
      <c r="AL18" s="796" t="n"/>
      <c r="AM18" s="615" t="n">
        <v>650000</v>
      </c>
      <c r="AN18" s="796" t="n"/>
      <c r="AO18" s="680" t="n"/>
      <c r="AP18" s="796" t="n"/>
      <c r="AQ18" s="615" t="n">
        <v>150000</v>
      </c>
      <c r="AR18" s="798" t="n"/>
      <c r="AS18" s="680" t="n"/>
      <c r="AT18" s="796" t="n"/>
      <c r="AU18" s="615" t="n">
        <v>150000</v>
      </c>
      <c r="AV18" s="796" t="n"/>
      <c r="AW18" s="680" t="n"/>
      <c r="AX18" s="796" t="n"/>
      <c r="AY18" s="680" t="n"/>
      <c r="AZ18" s="796" t="n"/>
      <c r="BA18" s="862">
        <f>K18+M18+O18+Q18+S18+U18+W18+Y18+AA18+AC18+AE18+AG18+AI18+AK18+AM18+AO18+AQ18+AS18+AU18+AW18+AY18</f>
        <v/>
      </c>
      <c r="BB18" s="608">
        <f>L18+N18+P18+R18+T18+V18+X18+Z18+AB18+AD18+AF18+AH18+AJ18+AL18+AN18+AP18+AR18+AT18+AV18+AX18+AZ18</f>
        <v/>
      </c>
      <c r="BC18" s="602">
        <f>BA18-BB18</f>
        <v/>
      </c>
    </row>
    <row r="19">
      <c r="A19" s="591" t="inlineStr">
        <is>
          <t>Глово, Вольт</t>
        </is>
      </c>
      <c r="B19" s="604" t="inlineStr">
        <is>
          <t>Приход</t>
        </is>
      </c>
      <c r="C19" s="680" t="n"/>
      <c r="D19" s="798" t="n"/>
      <c r="E19" s="680" t="n"/>
      <c r="F19" s="796" t="n"/>
      <c r="G19" s="680" t="n"/>
      <c r="H19" s="796" t="n"/>
      <c r="I19" s="680" t="n"/>
      <c r="J19" s="802" t="n"/>
      <c r="K19" s="680" t="n"/>
      <c r="L19" s="796" t="n"/>
      <c r="M19" s="615" t="n">
        <v>100000</v>
      </c>
      <c r="N19" s="798" t="n"/>
      <c r="O19" s="615" t="n"/>
      <c r="P19" s="801" t="n"/>
      <c r="Q19" s="615" t="n">
        <v>200000</v>
      </c>
      <c r="R19" s="799" t="n"/>
      <c r="S19" s="615" t="n">
        <v>200000</v>
      </c>
      <c r="T19" s="796" t="n"/>
      <c r="U19" s="615" t="n">
        <v>100000</v>
      </c>
      <c r="V19" s="796" t="n"/>
      <c r="W19" s="680" t="n"/>
      <c r="X19" s="798" t="n"/>
      <c r="Y19" s="615" t="n">
        <v>100000</v>
      </c>
      <c r="Z19" s="796" t="n"/>
      <c r="AA19" s="680" t="n"/>
      <c r="AB19" s="796" t="n"/>
      <c r="AC19" s="680" t="n"/>
      <c r="AD19" s="796" t="n"/>
      <c r="AE19" s="615" t="n">
        <v>100000</v>
      </c>
      <c r="AF19" s="796" t="n"/>
      <c r="AG19" s="615" t="n">
        <v>100000</v>
      </c>
      <c r="AH19" s="798" t="n"/>
      <c r="AI19" s="615" t="n">
        <v>100000</v>
      </c>
      <c r="AJ19" s="796" t="n"/>
      <c r="AK19" s="615" t="n">
        <v>100000</v>
      </c>
      <c r="AL19" s="796" t="n"/>
      <c r="AM19" s="615" t="n">
        <v>100000</v>
      </c>
      <c r="AN19" s="796" t="n"/>
      <c r="AO19" s="615" t="n">
        <v>100000</v>
      </c>
      <c r="AP19" s="796" t="n"/>
      <c r="AQ19" s="615" t="n">
        <v>200000</v>
      </c>
      <c r="AR19" s="798" t="n"/>
      <c r="AS19" s="615" t="n">
        <v>100000</v>
      </c>
      <c r="AT19" s="796" t="n"/>
      <c r="AU19" s="615" t="n">
        <v>200000</v>
      </c>
      <c r="AV19" s="796" t="n"/>
      <c r="AW19" s="615" t="n">
        <v>200000</v>
      </c>
      <c r="AX19" s="796" t="n"/>
      <c r="AY19" s="615" t="n">
        <v>200000</v>
      </c>
      <c r="AZ19" s="796" t="n"/>
      <c r="BA19" s="608">
        <f>K19+M19+O19+Q19+S19+U19+W19+Y19+AA19+AC19+AE19+AG19+AI19+AK19+AM19+AO19+AQ19+AS19+AU19+AW19+AY19</f>
        <v/>
      </c>
      <c r="BB19" s="608">
        <f>L19+N19+P19+R19+T19+V19+X19+Z19+AB19+AD19+AF19+AH19+AJ19+AL19+AN19+AP19+AR19+AT19+AV19+AX19+AZ19</f>
        <v/>
      </c>
      <c r="BC19" s="602">
        <f>BA19-BB19</f>
        <v/>
      </c>
    </row>
    <row r="20">
      <c r="A20" s="591" t="inlineStr">
        <is>
          <t>Торты</t>
        </is>
      </c>
      <c r="B20" s="604" t="inlineStr">
        <is>
          <t>Приход</t>
        </is>
      </c>
      <c r="C20" s="680" t="n"/>
      <c r="D20" s="798" t="n"/>
      <c r="E20" s="680" t="n"/>
      <c r="F20" s="796" t="n"/>
      <c r="G20" s="680" t="n"/>
      <c r="H20" s="796" t="n"/>
      <c r="I20" s="680" t="n"/>
      <c r="J20" s="796" t="n"/>
      <c r="K20" s="680" t="n"/>
      <c r="L20" s="796" t="n"/>
      <c r="M20" s="680" t="n"/>
      <c r="N20" s="798" t="n"/>
      <c r="O20" s="680" t="n"/>
      <c r="P20" s="796" t="n"/>
      <c r="Q20" s="680" t="n"/>
      <c r="R20" s="799" t="n"/>
      <c r="S20" s="615" t="n">
        <v>500000</v>
      </c>
      <c r="T20" s="796" t="n"/>
      <c r="U20" s="680" t="n"/>
      <c r="V20" s="796" t="n"/>
      <c r="W20" s="680" t="n"/>
      <c r="X20" s="798" t="n"/>
      <c r="Y20" s="680" t="n"/>
      <c r="Z20" s="796" t="n"/>
      <c r="AA20" s="680" t="n"/>
      <c r="AB20" s="796" t="n"/>
      <c r="AC20" s="680" t="n"/>
      <c r="AD20" s="796" t="n"/>
      <c r="AE20" s="680" t="n"/>
      <c r="AF20" s="796" t="n"/>
      <c r="AG20" s="680" t="n"/>
      <c r="AH20" s="798" t="n"/>
      <c r="AI20" s="680" t="n"/>
      <c r="AJ20" s="796" t="n"/>
      <c r="AK20" s="680" t="n"/>
      <c r="AL20" s="796" t="n"/>
      <c r="AM20" s="615" t="n">
        <v>300000</v>
      </c>
      <c r="AN20" s="796" t="n"/>
      <c r="AO20" s="680" t="n"/>
      <c r="AP20" s="796" t="n"/>
      <c r="AQ20" s="680" t="n"/>
      <c r="AR20" s="798" t="n"/>
      <c r="AS20" s="680" t="n"/>
      <c r="AT20" s="796" t="n"/>
      <c r="AU20" s="680" t="n"/>
      <c r="AV20" s="796" t="n"/>
      <c r="AW20" s="615" t="n">
        <v>300000</v>
      </c>
      <c r="AX20" s="796" t="n"/>
      <c r="AY20" s="680" t="n"/>
      <c r="AZ20" s="796" t="n"/>
      <c r="BA20" s="608">
        <f>K20+M20+O20+Q20+S20+U20+W20+Y20+AA20+AC20+AE20+AG20+AI20+AK20+AM20+AO20+AQ20+AS20+AU20+AW20+AY20</f>
        <v/>
      </c>
      <c r="BB20" s="608">
        <f>L20+N20+P20+R20+T20+V20+X20+Z20+AB20+AD20+AF20+AH20+AJ20+AL20+AN20+AP20+AR20+AT20+AV20+AX20+AZ20</f>
        <v/>
      </c>
      <c r="BC20" s="602">
        <f>BA20-BB20</f>
        <v/>
      </c>
    </row>
    <row r="21">
      <c r="A21" s="623" t="inlineStr">
        <is>
          <t>Итого по банку</t>
        </is>
      </c>
      <c r="B21" s="624" t="inlineStr">
        <is>
          <t>Приход</t>
        </is>
      </c>
      <c r="C21" s="622" t="n">
        <v>0</v>
      </c>
      <c r="D21" s="622">
        <f>SUM(D7:D20)</f>
        <v/>
      </c>
      <c r="E21" s="622">
        <f>SUM(E7:E20)</f>
        <v/>
      </c>
      <c r="F21" s="622">
        <f>SUM(F7:F20)</f>
        <v/>
      </c>
      <c r="G21" s="622">
        <f>SUM(G7:G20)</f>
        <v/>
      </c>
      <c r="H21" s="622">
        <f>SUM(H7:H20)</f>
        <v/>
      </c>
      <c r="I21" s="622">
        <f>SUM(I7:I20)</f>
        <v/>
      </c>
      <c r="J21" s="622">
        <f>SUM(J7:J20)</f>
        <v/>
      </c>
      <c r="K21" s="622">
        <f>SUM(K7:K20)</f>
        <v/>
      </c>
      <c r="L21" s="622">
        <f>SUM(L7:L20)</f>
        <v/>
      </c>
      <c r="M21" s="622">
        <f>SUM(M7:M20)</f>
        <v/>
      </c>
      <c r="N21" s="622">
        <f>SUM(N7:N20)</f>
        <v/>
      </c>
      <c r="O21" s="622">
        <f>SUM(O7:O20)</f>
        <v/>
      </c>
      <c r="P21" s="622">
        <f>SUM(P7:P20)</f>
        <v/>
      </c>
      <c r="Q21" s="622">
        <f>SUM(Q7:Q20)</f>
        <v/>
      </c>
      <c r="R21" s="622">
        <f>SUM(R7:R20)</f>
        <v/>
      </c>
      <c r="S21" s="622">
        <f>SUM(S7:S20)</f>
        <v/>
      </c>
      <c r="T21" s="622">
        <f>SUM(T7:T20)</f>
        <v/>
      </c>
      <c r="U21" s="622">
        <f>SUM(U7:U20)</f>
        <v/>
      </c>
      <c r="V21" s="622">
        <f>SUM(V7:V20)</f>
        <v/>
      </c>
      <c r="W21" s="622">
        <f>SUM(W7:W20)</f>
        <v/>
      </c>
      <c r="X21" s="622">
        <f>SUM(X7:X20)</f>
        <v/>
      </c>
      <c r="Y21" s="622">
        <f>SUM(Y7:Y20)</f>
        <v/>
      </c>
      <c r="Z21" s="622">
        <f>SUM(Z7:Z20)</f>
        <v/>
      </c>
      <c r="AA21" s="622">
        <f>SUM(AA7:AA20)</f>
        <v/>
      </c>
      <c r="AB21" s="622">
        <f>SUM(AB7:AB20)</f>
        <v/>
      </c>
      <c r="AC21" s="622">
        <f>SUM(AC7:AC20)</f>
        <v/>
      </c>
      <c r="AD21" s="622">
        <f>SUM(AD7:AD20)</f>
        <v/>
      </c>
      <c r="AE21" s="622">
        <f>SUM(AE7:AE20)</f>
        <v/>
      </c>
      <c r="AF21" s="622">
        <f>SUM(AF7:AF20)</f>
        <v/>
      </c>
      <c r="AG21" s="622">
        <f>SUM(AG7:AG20)</f>
        <v/>
      </c>
      <c r="AH21" s="622">
        <f>SUM(AH7:AH20)</f>
        <v/>
      </c>
      <c r="AI21" s="622">
        <f>SUM(AI7:AI20)</f>
        <v/>
      </c>
      <c r="AJ21" s="622">
        <f>SUM(AJ7:AJ20)</f>
        <v/>
      </c>
      <c r="AK21" s="622">
        <f>SUM(AK7:AK20)</f>
        <v/>
      </c>
      <c r="AL21" s="622">
        <f>SUM(AL7:AL20)</f>
        <v/>
      </c>
      <c r="AM21" s="622">
        <f>SUM(AM7:AM20)</f>
        <v/>
      </c>
      <c r="AN21" s="622">
        <f>SUM(AN7:AN20)</f>
        <v/>
      </c>
      <c r="AO21" s="622">
        <f>SUM(AO7:AO20)</f>
        <v/>
      </c>
      <c r="AP21" s="622">
        <f>SUM(AP7:AP20)</f>
        <v/>
      </c>
      <c r="AQ21" s="622">
        <f>SUM(AQ7:AQ20)</f>
        <v/>
      </c>
      <c r="AR21" s="622">
        <f>SUM(AR7:AR20)</f>
        <v/>
      </c>
      <c r="AS21" s="622">
        <f>SUM(AS7:AS20)</f>
        <v/>
      </c>
      <c r="AT21" s="622">
        <f>SUM(AT7:AT20)</f>
        <v/>
      </c>
      <c r="AU21" s="622">
        <f>SUM(AU7:AU20)</f>
        <v/>
      </c>
      <c r="AV21" s="622">
        <f>SUM(AV7:AV20)</f>
        <v/>
      </c>
      <c r="AW21" s="622">
        <f>SUM(AW7:AW20)</f>
        <v/>
      </c>
      <c r="AX21" s="622">
        <f>SUM(AX7:AX20)</f>
        <v/>
      </c>
      <c r="AY21" s="622">
        <f>SUM(AY7:AY20)</f>
        <v/>
      </c>
      <c r="AZ21" s="622">
        <f>SUM(AZ7:AZ20)</f>
        <v/>
      </c>
      <c r="BA21" s="625">
        <f>K21+M21+O21+Q21+S21+U21+W21+Y21+AA21+AC21+AE21+AG21+AI21+AK21+AM21+AO21+AQ21+AS21+AU21+AW21+AY21</f>
        <v/>
      </c>
      <c r="BB21" s="625">
        <f>L21+N21+P21+R21+T21+V21+X21+Z21+AB21+AD21+AF21+AH21+AJ21+AL21+AN21+AP21+AR21+AT21+AV21+AX21+AZ21</f>
        <v/>
      </c>
      <c r="BC21" s="626">
        <f>BA21-BB21</f>
        <v/>
      </c>
    </row>
    <row r="22">
      <c r="A22" s="591" t="inlineStr">
        <is>
          <t>97- Кейтеринг гость</t>
        </is>
      </c>
      <c r="B22" s="604" t="inlineStr">
        <is>
          <t>Приход</t>
        </is>
      </c>
      <c r="C22" s="680" t="n"/>
      <c r="D22" s="798" t="n"/>
      <c r="E22" s="680" t="n"/>
      <c r="F22" s="796" t="n"/>
      <c r="G22" s="680" t="n"/>
      <c r="H22" s="796" t="n"/>
      <c r="I22" s="680" t="n"/>
      <c r="J22" s="796" t="n"/>
      <c r="K22" s="680" t="n"/>
      <c r="L22" s="796" t="n"/>
      <c r="M22" s="680" t="n"/>
      <c r="N22" s="798" t="n"/>
      <c r="O22" s="680" t="n"/>
      <c r="P22" s="796" t="n"/>
      <c r="Q22" s="680" t="n"/>
      <c r="R22" s="796" t="n"/>
      <c r="S22" s="615" t="n">
        <v>450000</v>
      </c>
      <c r="T22" s="796" t="n"/>
      <c r="U22" s="680" t="n"/>
      <c r="V22" s="796" t="n"/>
      <c r="W22" s="680" t="n"/>
      <c r="X22" s="798" t="n"/>
      <c r="Y22" s="680" t="n"/>
      <c r="Z22" s="796" t="n"/>
      <c r="AA22" s="680" t="n"/>
      <c r="AB22" s="796" t="n"/>
      <c r="AC22" s="615" t="n">
        <v>250000</v>
      </c>
      <c r="AD22" s="796" t="n"/>
      <c r="AE22" s="680" t="n"/>
      <c r="AF22" s="796" t="n"/>
      <c r="AG22" s="680" t="n"/>
      <c r="AH22" s="798" t="n"/>
      <c r="AI22" s="615" t="n">
        <v>300000</v>
      </c>
      <c r="AJ22" s="796" t="n"/>
      <c r="AK22" s="680" t="n"/>
      <c r="AL22" s="796" t="n"/>
      <c r="AM22" s="680" t="n"/>
      <c r="AN22" s="796" t="n"/>
      <c r="AO22" s="680" t="n"/>
      <c r="AP22" s="798" t="n"/>
      <c r="AQ22" s="680" t="n"/>
      <c r="AR22" s="798" t="n"/>
      <c r="AS22" s="615" t="n">
        <v>500000</v>
      </c>
      <c r="AT22" s="796" t="n"/>
      <c r="AU22" s="680" t="n"/>
      <c r="AV22" s="796" t="n"/>
      <c r="AW22" s="680" t="n"/>
      <c r="AX22" s="796" t="n"/>
      <c r="AY22" s="680" t="n"/>
      <c r="AZ22" s="796" t="n"/>
      <c r="BA22" s="608">
        <f>K22+M22+O22+Q22+S22+U22+W22+Y22+AA22+AC22+AE22+AG22+AI22+AK22+AM22+AO22+AQ22+AS22+AU22+AW22+AY22</f>
        <v/>
      </c>
      <c r="BB22" s="608">
        <f>L22+N22+P22+R22+T22+V22+X22+Z22+AB22+AD22+AF22+AH22+AJ22+AL22+AN22+AP22+AR22+AT22+AV22+AX22+AZ22</f>
        <v/>
      </c>
      <c r="BC22" s="602">
        <f>BA22-BB22</f>
        <v/>
      </c>
    </row>
    <row r="23">
      <c r="A23" s="591" t="inlineStr">
        <is>
          <t>Возврат с подотчета, Кредит</t>
        </is>
      </c>
      <c r="B23" s="604" t="inlineStr">
        <is>
          <t>Приход</t>
        </is>
      </c>
      <c r="C23" s="680" t="n"/>
      <c r="D23" s="798" t="n"/>
      <c r="E23" s="680" t="n"/>
      <c r="F23" s="796" t="n"/>
      <c r="G23" s="680" t="n"/>
      <c r="H23" s="801" t="n">
        <v>40000</v>
      </c>
      <c r="I23" s="680" t="n"/>
      <c r="J23" s="796" t="n"/>
      <c r="K23" s="680" t="n"/>
      <c r="L23" s="796" t="n"/>
      <c r="M23" s="680" t="n"/>
      <c r="N23" s="798" t="n"/>
      <c r="O23" s="680" t="n"/>
      <c r="P23" s="796" t="n"/>
      <c r="Q23" s="680" t="n"/>
      <c r="R23" s="796" t="n"/>
      <c r="S23" s="680" t="n"/>
      <c r="T23" s="796" t="n"/>
      <c r="U23" s="680" t="n"/>
      <c r="V23" s="796" t="n"/>
      <c r="W23" s="680" t="n"/>
      <c r="X23" s="798" t="n"/>
      <c r="Y23" s="680" t="n"/>
      <c r="Z23" s="796" t="n"/>
      <c r="AA23" s="680" t="n"/>
      <c r="AB23" s="796" t="n"/>
      <c r="AC23" s="615" t="n"/>
      <c r="AD23" s="796" t="n"/>
      <c r="AE23" s="680" t="n"/>
      <c r="AF23" s="796" t="n"/>
      <c r="AG23" s="680" t="n"/>
      <c r="AH23" s="798" t="n"/>
      <c r="AI23" s="680" t="n"/>
      <c r="AJ23" s="796" t="n"/>
      <c r="AK23" s="680" t="n"/>
      <c r="AL23" s="796" t="n"/>
      <c r="AM23" s="680" t="n"/>
      <c r="AN23" s="796" t="n"/>
      <c r="AO23" s="680" t="n"/>
      <c r="AP23" s="798" t="n"/>
      <c r="AQ23" s="680" t="n"/>
      <c r="AR23" s="798" t="n"/>
      <c r="AS23" s="680" t="n"/>
      <c r="AT23" s="796" t="n"/>
      <c r="AU23" s="680" t="n"/>
      <c r="AV23" s="796" t="n"/>
      <c r="AW23" s="680" t="n"/>
      <c r="AX23" s="796" t="n"/>
      <c r="AY23" s="680" t="n"/>
      <c r="AZ23" s="796" t="n"/>
      <c r="BA23" s="608">
        <f>K23+M23+O23+Q23+S23+U23+W23+Y23+AA23+AC23+AE23+AG23+AI23+AK23+AM23+AO23+AQ23+AS23+AU23+AW23+AY23</f>
        <v/>
      </c>
      <c r="BB23" s="608">
        <f>L23+N23+P23+R23+T23+V23+X23+Z23+AB23+AD23+AF23+AH23+AJ23+AL23+AN23+AP23+AR23+AT23+AV23+AX23+AZ23</f>
        <v/>
      </c>
      <c r="BC23" s="602">
        <f>BA23-BB23</f>
        <v/>
      </c>
    </row>
    <row r="24">
      <c r="A24" s="591" t="inlineStr">
        <is>
          <t>Crave</t>
        </is>
      </c>
      <c r="B24" s="604" t="inlineStr">
        <is>
          <t>Приход</t>
        </is>
      </c>
      <c r="C24" s="680" t="n"/>
      <c r="D24" s="798" t="n"/>
      <c r="E24" s="680" t="n"/>
      <c r="F24" s="796" t="n"/>
      <c r="G24" s="680" t="n"/>
      <c r="H24" s="796" t="n"/>
      <c r="I24" s="680" t="n"/>
      <c r="J24" s="801" t="n">
        <v>600000</v>
      </c>
      <c r="K24" s="680" t="n"/>
      <c r="L24" s="796" t="n"/>
      <c r="M24" s="615" t="n">
        <v>600000</v>
      </c>
      <c r="N24" s="793" t="n"/>
      <c r="O24" s="680" t="n"/>
      <c r="P24" s="796" t="n"/>
      <c r="Q24" s="680" t="n"/>
      <c r="R24" s="796" t="n"/>
      <c r="S24" s="615" t="n">
        <v>600000</v>
      </c>
      <c r="T24" s="796" t="n"/>
      <c r="U24" s="680" t="n"/>
      <c r="V24" s="796" t="n"/>
      <c r="W24" s="615" t="n">
        <v>600000</v>
      </c>
      <c r="X24" s="793" t="n"/>
      <c r="Y24" s="680" t="n"/>
      <c r="Z24" s="796" t="n"/>
      <c r="AA24" s="680" t="n"/>
      <c r="AB24" s="796" t="n"/>
      <c r="AC24" s="615" t="n">
        <v>600000</v>
      </c>
      <c r="AD24" s="796" t="n"/>
      <c r="AE24" s="680" t="n"/>
      <c r="AF24" s="796" t="n"/>
      <c r="AG24" s="615" t="n">
        <v>600000</v>
      </c>
      <c r="AH24" s="793" t="n"/>
      <c r="AI24" s="680" t="n"/>
      <c r="AJ24" s="796" t="n"/>
      <c r="AK24" s="680" t="n"/>
      <c r="AL24" s="796" t="n"/>
      <c r="AM24" s="615" t="n">
        <v>600000</v>
      </c>
      <c r="AN24" s="796" t="n"/>
      <c r="AO24" s="680" t="n"/>
      <c r="AP24" s="798" t="n"/>
      <c r="AQ24" s="615" t="n">
        <v>600000</v>
      </c>
      <c r="AR24" s="793" t="n"/>
      <c r="AS24" s="680" t="n"/>
      <c r="AT24" s="796" t="n"/>
      <c r="AU24" s="680" t="n"/>
      <c r="AV24" s="796" t="n"/>
      <c r="AW24" s="615" t="n">
        <v>600000</v>
      </c>
      <c r="AX24" s="796" t="n"/>
      <c r="AY24" s="680" t="n"/>
      <c r="AZ24" s="796" t="n"/>
      <c r="BA24" s="608">
        <f>K24+M24+O24+Q24+S24+U24+W24+Y24+AA24+AC24+AE24+AG24+AI24+AK24+AM24+AO24+AQ24+AS24+AU24+AW24+AY24</f>
        <v/>
      </c>
      <c r="BB24" s="608">
        <f>L24+N24+P24+R24+T24+V24+X24+Z24+AB24+AD24+AF24+AH24+AJ24+AL24+AN24+AP24+AR24+AT24+AV24+AX24+AZ24</f>
        <v/>
      </c>
      <c r="BC24" s="602">
        <f>BA24-BB24</f>
        <v/>
      </c>
    </row>
    <row r="25">
      <c r="A25" s="591" t="inlineStr">
        <is>
          <t>7-Kaspi Банк (нал)</t>
        </is>
      </c>
      <c r="B25" s="604" t="inlineStr">
        <is>
          <t>Приход</t>
        </is>
      </c>
      <c r="C25" s="680" t="n"/>
      <c r="D25" s="798" t="n"/>
      <c r="E25" s="680" t="n"/>
      <c r="F25" s="796" t="n"/>
      <c r="G25" s="680" t="n"/>
      <c r="H25" s="796" t="n"/>
      <c r="I25" s="680" t="n"/>
      <c r="J25" s="796" t="n"/>
      <c r="K25" s="680" t="n"/>
      <c r="L25" s="796" t="n"/>
      <c r="M25" s="680" t="n"/>
      <c r="N25" s="798" t="n"/>
      <c r="O25" s="680" t="n"/>
      <c r="P25" s="796" t="n"/>
      <c r="Q25" s="615" t="n"/>
      <c r="R25" s="796" t="n"/>
      <c r="S25" s="615" t="n">
        <v>1000000</v>
      </c>
      <c r="T25" s="796" t="n"/>
      <c r="U25" s="680" t="n"/>
      <c r="V25" s="796" t="n"/>
      <c r="W25" s="680" t="n"/>
      <c r="X25" s="798" t="n"/>
      <c r="Y25" s="680" t="n"/>
      <c r="Z25" s="796" t="n"/>
      <c r="AA25" s="615" t="n"/>
      <c r="AB25" s="796" t="n"/>
      <c r="AC25" s="615" t="n">
        <v>1000000</v>
      </c>
      <c r="AD25" s="796" t="n"/>
      <c r="AE25" s="680" t="n"/>
      <c r="AF25" s="796" t="n"/>
      <c r="AG25" s="680" t="n"/>
      <c r="AH25" s="798" t="n"/>
      <c r="AI25" s="680" t="n"/>
      <c r="AJ25" s="796" t="n"/>
      <c r="AK25" s="615" t="n"/>
      <c r="AL25" s="796" t="n"/>
      <c r="AM25" s="615" t="n">
        <v>1000000</v>
      </c>
      <c r="AN25" s="796" t="n"/>
      <c r="AO25" s="680" t="n"/>
      <c r="AP25" s="798" t="n"/>
      <c r="AQ25" s="680" t="n"/>
      <c r="AR25" s="798" t="n"/>
      <c r="AS25" s="680" t="n"/>
      <c r="AT25" s="796" t="n"/>
      <c r="AU25" s="615" t="n"/>
      <c r="AV25" s="796" t="n"/>
      <c r="AW25" s="615" t="n">
        <v>1000000</v>
      </c>
      <c r="AX25" s="796" t="n"/>
      <c r="AY25" s="680" t="n"/>
      <c r="AZ25" s="796" t="n"/>
      <c r="BA25" s="608">
        <f>K25+M25+O25+Q25+S25+U25+W25+Y25+AA25+AC25+AE25+AG25+AI25+AK25+AM25+AO25+AQ25+AS25+AU25+AW25+AY25</f>
        <v/>
      </c>
      <c r="BB25" s="608">
        <f>L25+N25+P25+R25+T25+V25+X25+Z25+AB25+AD25+AF25+AH25+AJ25+AL25+AN25+AP25+AR25+AT25+AV25+AX25+AZ25</f>
        <v/>
      </c>
      <c r="BC25" s="602">
        <f>BA25-BB25</f>
        <v/>
      </c>
    </row>
    <row r="26">
      <c r="A26" s="591" t="inlineStr">
        <is>
          <t>Частное лицо (Покупатель)</t>
        </is>
      </c>
      <c r="B26" s="604" t="inlineStr">
        <is>
          <t>Приход</t>
        </is>
      </c>
      <c r="C26" s="680" t="n"/>
      <c r="D26" s="798" t="n"/>
      <c r="E26" s="680" t="n"/>
      <c r="F26" s="796" t="n"/>
      <c r="G26" s="680" t="n"/>
      <c r="H26" s="796" t="n"/>
      <c r="I26" s="680" t="n"/>
      <c r="J26" s="796" t="n"/>
      <c r="K26" s="680" t="n"/>
      <c r="L26" s="801" t="n"/>
      <c r="M26" s="680" t="n"/>
      <c r="N26" s="798" t="n"/>
      <c r="O26" s="680" t="n"/>
      <c r="P26" s="796" t="n"/>
      <c r="Q26" s="680" t="n"/>
      <c r="R26" s="799" t="n"/>
      <c r="S26" s="615" t="n">
        <v>200000</v>
      </c>
      <c r="T26" s="796" t="n"/>
      <c r="U26" s="680" t="n"/>
      <c r="V26" s="796" t="n"/>
      <c r="W26" s="680" t="n"/>
      <c r="X26" s="798" t="n"/>
      <c r="Y26" s="680" t="n"/>
      <c r="Z26" s="796" t="n"/>
      <c r="AA26" s="680" t="n"/>
      <c r="AB26" s="796" t="n"/>
      <c r="AC26" s="615" t="n">
        <v>400000</v>
      </c>
      <c r="AD26" s="796" t="n"/>
      <c r="AE26" s="680" t="n"/>
      <c r="AF26" s="796" t="n"/>
      <c r="AG26" s="680" t="n"/>
      <c r="AH26" s="798" t="n"/>
      <c r="AI26" s="680" t="n"/>
      <c r="AJ26" s="796" t="n"/>
      <c r="AK26" s="680" t="n"/>
      <c r="AL26" s="796" t="n"/>
      <c r="AM26" s="615" t="n">
        <v>200000</v>
      </c>
      <c r="AN26" s="798" t="n"/>
      <c r="AO26" s="680" t="n"/>
      <c r="AP26" s="798" t="n"/>
      <c r="AQ26" s="680" t="n"/>
      <c r="AR26" s="798" t="n"/>
      <c r="AS26" s="615" t="n">
        <v>200000</v>
      </c>
      <c r="AT26" s="796" t="n"/>
      <c r="AU26" s="680" t="n"/>
      <c r="AV26" s="796" t="n"/>
      <c r="AW26" s="680" t="n"/>
      <c r="AX26" s="796" t="n"/>
      <c r="AY26" s="680" t="n"/>
      <c r="AZ26" s="796" t="n"/>
      <c r="BA26" s="608">
        <f>K26+M26+O26+Q26+S26+U26+W26+Y26+AA26+AC26+AE26+AG26+AI26+AK26+AM26+AO26+AQ26+AS26+AU26+AW26+AY26</f>
        <v/>
      </c>
      <c r="BB26" s="608">
        <f>L26+N26+P26+R26+T26+V26+X26+Z26+AB26+AD26+AF26+AH26+AJ26+AL26+AN26+AP26+AR26+AT26+AV26+AX26+AZ26</f>
        <v/>
      </c>
      <c r="BC26" s="602">
        <f>BA26-BB26</f>
        <v/>
      </c>
    </row>
    <row r="27">
      <c r="A27" s="591" t="inlineStr">
        <is>
          <t>98-FOOD vending : СКЛАД АППАРАТ №1 (ФЗ Ермагамбет)</t>
        </is>
      </c>
      <c r="B27" s="604" t="inlineStr">
        <is>
          <t>Приход</t>
        </is>
      </c>
      <c r="C27" s="680" t="n"/>
      <c r="D27" s="798" t="n"/>
      <c r="E27" s="680" t="n"/>
      <c r="F27" s="796" t="n"/>
      <c r="G27" s="680" t="n"/>
      <c r="H27" s="796" t="n"/>
      <c r="I27" s="680" t="n"/>
      <c r="J27" s="796" t="n"/>
      <c r="K27" s="680" t="n"/>
      <c r="L27" s="796" t="n"/>
      <c r="M27" s="680" t="n"/>
      <c r="N27" s="798" t="n"/>
      <c r="O27" s="680" t="n"/>
      <c r="P27" s="796" t="n"/>
      <c r="Q27" s="680" t="n"/>
      <c r="R27" s="796" t="n"/>
      <c r="S27" s="615" t="n">
        <v>1500000</v>
      </c>
      <c r="T27" s="796" t="n"/>
      <c r="U27" s="680" t="n"/>
      <c r="V27" s="796" t="n"/>
      <c r="W27" s="680" t="n"/>
      <c r="X27" s="798" t="n"/>
      <c r="Y27" s="680" t="n"/>
      <c r="Z27" s="796" t="n"/>
      <c r="AA27" s="680" t="n"/>
      <c r="AB27" s="796" t="n"/>
      <c r="AC27" s="615" t="n">
        <v>1500000</v>
      </c>
      <c r="AD27" s="796" t="n"/>
      <c r="AE27" s="680" t="n"/>
      <c r="AF27" s="796" t="n"/>
      <c r="AG27" s="680" t="n"/>
      <c r="AH27" s="798" t="n"/>
      <c r="AI27" s="680" t="n"/>
      <c r="AJ27" s="796" t="n"/>
      <c r="AK27" s="680" t="n"/>
      <c r="AL27" s="796" t="n"/>
      <c r="AM27" s="615" t="n">
        <v>1500000</v>
      </c>
      <c r="AN27" s="796" t="n"/>
      <c r="AO27" s="680" t="n"/>
      <c r="AP27" s="798" t="n"/>
      <c r="AQ27" s="680" t="n"/>
      <c r="AR27" s="798" t="n"/>
      <c r="AS27" s="680" t="n"/>
      <c r="AT27" s="796" t="n"/>
      <c r="AU27" s="680" t="n"/>
      <c r="AV27" s="796" t="n"/>
      <c r="AW27" s="615" t="n">
        <v>1500000</v>
      </c>
      <c r="AX27" s="796" t="n"/>
      <c r="AY27" s="680" t="n"/>
      <c r="AZ27" s="796" t="n"/>
      <c r="BA27" s="608">
        <f>K27+M27+O27+Q27+S27+U27+W27+Y27+AA27+AC27+AE27+AG27+AI27+AK27+AM27+AO27+AQ27+AS27+AU27+AW27+AY27</f>
        <v/>
      </c>
      <c r="BB27" s="608">
        <f>L27+N27+P27+R27+T27+V27+X27+Z27+AB27+AD27+AF27+AH27+AJ27+AL27+AN27+AP27+AR27+AT27+AV27+AX27+AZ27</f>
        <v/>
      </c>
      <c r="BC27" s="602">
        <f>BA27-BB27</f>
        <v/>
      </c>
    </row>
    <row r="28">
      <c r="A28" s="627" t="inlineStr">
        <is>
          <t>Итого по кассе</t>
        </is>
      </c>
      <c r="B28" s="596" t="inlineStr">
        <is>
          <t>Приход</t>
        </is>
      </c>
      <c r="C28" s="783" t="n">
        <v>0</v>
      </c>
      <c r="D28" s="786">
        <f>SUM(D22:D27)</f>
        <v/>
      </c>
      <c r="E28" s="783">
        <f>SUM(E22:E27)</f>
        <v/>
      </c>
      <c r="F28" s="784">
        <f>SUM(F22:F27)</f>
        <v/>
      </c>
      <c r="G28" s="783">
        <f>SUM(G22:G27)</f>
        <v/>
      </c>
      <c r="H28" s="784">
        <f>SUM(H22:H27)</f>
        <v/>
      </c>
      <c r="I28" s="783">
        <f>SUM(I22:I27)</f>
        <v/>
      </c>
      <c r="J28" s="784">
        <f>SUM(J22:J27)</f>
        <v/>
      </c>
      <c r="K28" s="783">
        <f>SUM(K22:K27)</f>
        <v/>
      </c>
      <c r="L28" s="784">
        <f>SUM(L22:L27)</f>
        <v/>
      </c>
      <c r="M28" s="783">
        <f>SUM(M22:M27)</f>
        <v/>
      </c>
      <c r="N28" s="786">
        <f>SUM(N22:N27)</f>
        <v/>
      </c>
      <c r="O28" s="783">
        <f>SUM(O22:O27)</f>
        <v/>
      </c>
      <c r="P28" s="784">
        <f>SUM(P22:P27)</f>
        <v/>
      </c>
      <c r="Q28" s="783">
        <f>SUM(Q22:Q27)</f>
        <v/>
      </c>
      <c r="R28" s="784">
        <f>SUM(R22:R27)</f>
        <v/>
      </c>
      <c r="S28" s="783">
        <f>SUM(S22:S27)</f>
        <v/>
      </c>
      <c r="T28" s="784">
        <f>SUM(T22:T27)</f>
        <v/>
      </c>
      <c r="U28" s="783">
        <f>SUM(U22:U27)</f>
        <v/>
      </c>
      <c r="V28" s="784">
        <f>SUM(V22:V27)</f>
        <v/>
      </c>
      <c r="W28" s="783">
        <f>SUM(W22:W27)</f>
        <v/>
      </c>
      <c r="X28" s="786">
        <f>SUM(X22:X27)</f>
        <v/>
      </c>
      <c r="Y28" s="783">
        <f>SUM(Y22:Y27)</f>
        <v/>
      </c>
      <c r="Z28" s="784">
        <f>SUM(Z22:Z27)</f>
        <v/>
      </c>
      <c r="AA28" s="783">
        <f>SUM(AA22:AA27)</f>
        <v/>
      </c>
      <c r="AB28" s="784">
        <f>SUM(AB22:AB27)</f>
        <v/>
      </c>
      <c r="AC28" s="783">
        <f>SUM(AC22:AC27)</f>
        <v/>
      </c>
      <c r="AD28" s="784">
        <f>SUM(AD22:AD27)</f>
        <v/>
      </c>
      <c r="AE28" s="783">
        <f>SUM(AE22:AE27)</f>
        <v/>
      </c>
      <c r="AF28" s="784">
        <f>SUM(AF22:AF27)</f>
        <v/>
      </c>
      <c r="AG28" s="783">
        <f>SUM(AG22:AG27)</f>
        <v/>
      </c>
      <c r="AH28" s="784">
        <f>SUM(AH22:AH27)</f>
        <v/>
      </c>
      <c r="AI28" s="783">
        <f>SUM(AI22:AI27)</f>
        <v/>
      </c>
      <c r="AJ28" s="784">
        <f>SUM(AJ22:AJ27)</f>
        <v/>
      </c>
      <c r="AK28" s="783">
        <f>SUM(AK22:AK27)</f>
        <v/>
      </c>
      <c r="AL28" s="784">
        <f>SUM(AL22:AL27)</f>
        <v/>
      </c>
      <c r="AM28" s="783">
        <f>SUM(AM22:AM27)</f>
        <v/>
      </c>
      <c r="AN28" s="784">
        <f>SUM(AN22:AN27)</f>
        <v/>
      </c>
      <c r="AO28" s="783">
        <f>SUM(AO22:AO27)</f>
        <v/>
      </c>
      <c r="AP28" s="786">
        <f>SUM(AP22:AP27)</f>
        <v/>
      </c>
      <c r="AQ28" s="783">
        <f>SUM(AQ22:AQ27)</f>
        <v/>
      </c>
      <c r="AR28" s="786">
        <f>SUM(AR22:AR27)</f>
        <v/>
      </c>
      <c r="AS28" s="783">
        <f>SUM(AS22:AS27)</f>
        <v/>
      </c>
      <c r="AT28" s="784">
        <f>SUM(AT22:AT27)</f>
        <v/>
      </c>
      <c r="AU28" s="783">
        <f>SUM(AU22:AU27)</f>
        <v/>
      </c>
      <c r="AV28" s="784">
        <f>SUM(AV22:AV27)</f>
        <v/>
      </c>
      <c r="AW28" s="783">
        <f>SUM(AW22:AW27)</f>
        <v/>
      </c>
      <c r="AX28" s="784">
        <f>SUM(AX22:AX27)</f>
        <v/>
      </c>
      <c r="AY28" s="783">
        <f>SUM(AY22:AY27)</f>
        <v/>
      </c>
      <c r="AZ28" s="784">
        <f>SUM(AZ22:AZ27)</f>
        <v/>
      </c>
      <c r="BA28" s="608">
        <f>K28+M28+O28+Q28+S28+U28+W28+Y28+AA28+AC28+AE28+AG28+AI28+AK28+AM28+AO28+AQ28+AS28+AU28+AW28+AY28</f>
        <v/>
      </c>
      <c r="BB28" s="608">
        <f>L28+N28+P28+R28+T28+V28+X28+Z28+AB28+AD28+AF28+AH28+AJ28+AL28+AN28+AP28+AR28+AT28+AV28+AX28+AZ28</f>
        <v/>
      </c>
      <c r="BC28" s="602">
        <f>BA28-BB28</f>
        <v/>
      </c>
    </row>
    <row r="29">
      <c r="A29" s="629" t="inlineStr">
        <is>
          <t>1.Выручка</t>
        </is>
      </c>
      <c r="B29" s="630" t="inlineStr">
        <is>
          <t>Приход</t>
        </is>
      </c>
      <c r="C29" s="628" t="n">
        <v>0</v>
      </c>
      <c r="D29" s="628">
        <f>D21+D28</f>
        <v/>
      </c>
      <c r="E29" s="628">
        <f>E21+E28</f>
        <v/>
      </c>
      <c r="F29" s="628">
        <f>F21+F28</f>
        <v/>
      </c>
      <c r="G29" s="628">
        <f>G21+G28</f>
        <v/>
      </c>
      <c r="H29" s="628">
        <f>H21+H28</f>
        <v/>
      </c>
      <c r="I29" s="628">
        <f>I21+I28</f>
        <v/>
      </c>
      <c r="J29" s="628">
        <f>J21+J28</f>
        <v/>
      </c>
      <c r="K29" s="628">
        <f>K21+K28</f>
        <v/>
      </c>
      <c r="L29" s="628">
        <f>L21+L28</f>
        <v/>
      </c>
      <c r="M29" s="628">
        <f>M21+M28</f>
        <v/>
      </c>
      <c r="N29" s="628">
        <f>N21+N28</f>
        <v/>
      </c>
      <c r="O29" s="628">
        <f>O21+O28</f>
        <v/>
      </c>
      <c r="P29" s="628">
        <f>P21+P28</f>
        <v/>
      </c>
      <c r="Q29" s="628">
        <f>Q21+Q28</f>
        <v/>
      </c>
      <c r="R29" s="628">
        <f>R21+R28</f>
        <v/>
      </c>
      <c r="S29" s="628">
        <f>S21+S28</f>
        <v/>
      </c>
      <c r="T29" s="628">
        <f>T21+T28</f>
        <v/>
      </c>
      <c r="U29" s="628">
        <f>U21+U28</f>
        <v/>
      </c>
      <c r="V29" s="628">
        <f>V21+V28</f>
        <v/>
      </c>
      <c r="W29" s="628">
        <f>W21+W28</f>
        <v/>
      </c>
      <c r="X29" s="628">
        <f>X21+X28</f>
        <v/>
      </c>
      <c r="Y29" s="628">
        <f>Y21+Y28</f>
        <v/>
      </c>
      <c r="Z29" s="628">
        <f>Z21+Z28</f>
        <v/>
      </c>
      <c r="AA29" s="628">
        <f>AA21+AA28</f>
        <v/>
      </c>
      <c r="AB29" s="628">
        <f>AB21+AB28</f>
        <v/>
      </c>
      <c r="AC29" s="628">
        <f>AC21+AC28</f>
        <v/>
      </c>
      <c r="AD29" s="628">
        <f>AD21+AD28</f>
        <v/>
      </c>
      <c r="AE29" s="628">
        <f>AE21+AE28</f>
        <v/>
      </c>
      <c r="AF29" s="628">
        <f>AF21+AF28</f>
        <v/>
      </c>
      <c r="AG29" s="628">
        <f>AG21+AG28</f>
        <v/>
      </c>
      <c r="AH29" s="628">
        <f>AH21+AH28</f>
        <v/>
      </c>
      <c r="AI29" s="628">
        <f>AI21+AI28</f>
        <v/>
      </c>
      <c r="AJ29" s="628">
        <f>AJ21+AJ28</f>
        <v/>
      </c>
      <c r="AK29" s="628">
        <f>AK21+AK28</f>
        <v/>
      </c>
      <c r="AL29" s="628">
        <f>AL21+AL28</f>
        <v/>
      </c>
      <c r="AM29" s="628">
        <f>AM21+AM28</f>
        <v/>
      </c>
      <c r="AN29" s="628">
        <f>AN21+AN28</f>
        <v/>
      </c>
      <c r="AO29" s="628">
        <f>AO21+AO28</f>
        <v/>
      </c>
      <c r="AP29" s="628">
        <f>AP21+AP28</f>
        <v/>
      </c>
      <c r="AQ29" s="628">
        <f>AQ21+AQ28</f>
        <v/>
      </c>
      <c r="AR29" s="628">
        <f>AR21+AR28</f>
        <v/>
      </c>
      <c r="AS29" s="628">
        <f>AS21+AS28</f>
        <v/>
      </c>
      <c r="AT29" s="628">
        <f>AT21+AT28</f>
        <v/>
      </c>
      <c r="AU29" s="628">
        <f>AU21+AU28</f>
        <v/>
      </c>
      <c r="AV29" s="628">
        <f>AV21+AV28</f>
        <v/>
      </c>
      <c r="AW29" s="628">
        <f>AW21+AW28</f>
        <v/>
      </c>
      <c r="AX29" s="628">
        <f>AX21+AX28</f>
        <v/>
      </c>
      <c r="AY29" s="628">
        <f>AY21+AY28</f>
        <v/>
      </c>
      <c r="AZ29" s="628">
        <f>AZ21+AZ28</f>
        <v/>
      </c>
      <c r="BA29" s="631">
        <f>K29+M29+O29+Q29+S29+U29+W29+Y29+AA29+AC29+AE29+AG29+AI29+AK29+AM29+AO29+AQ29+AS29+AU29+AW29+AY29</f>
        <v/>
      </c>
      <c r="BB29" s="631">
        <f>L29+N29+P29+R29+T29+V29+X29+Z29+AB29+AD29+AF29+AH29+AJ29+AL29+AN29+AP29+AR29+AT29+AV29+AX29+AZ29</f>
        <v/>
      </c>
      <c r="BC29" s="632">
        <f>BA29-BB29</f>
        <v/>
      </c>
    </row>
    <row r="30">
      <c r="A30" s="633" t="inlineStr">
        <is>
          <t>IT-обслуживание,телефония,интернет</t>
        </is>
      </c>
      <c r="B30" s="604" t="inlineStr">
        <is>
          <t>Расход</t>
        </is>
      </c>
      <c r="C30" s="680" t="n"/>
      <c r="D30" s="796" t="n"/>
      <c r="E30" s="680" t="n"/>
      <c r="F30" s="796" t="n"/>
      <c r="G30" s="647" t="n">
        <v>-82240</v>
      </c>
      <c r="H30" s="641">
        <f>-85400-85177</f>
        <v/>
      </c>
      <c r="I30" s="642" t="n">
        <v>-220400</v>
      </c>
      <c r="J30" s="634" t="n"/>
      <c r="K30" s="642" t="n">
        <v>-80000</v>
      </c>
      <c r="L30" s="634" t="n"/>
      <c r="M30" s="643" t="n"/>
      <c r="N30" s="634" t="n"/>
      <c r="O30" s="645" t="n">
        <v>-90000</v>
      </c>
      <c r="P30" s="796" t="n"/>
      <c r="Q30" s="680" t="n"/>
      <c r="R30" s="796" t="n"/>
      <c r="S30" s="645" t="n">
        <v>-220400</v>
      </c>
      <c r="T30" s="796" t="n"/>
      <c r="U30" s="680" t="n"/>
      <c r="V30" s="796" t="n"/>
      <c r="W30" s="680" t="n"/>
      <c r="X30" s="796" t="n"/>
      <c r="Y30" s="680" t="n"/>
      <c r="Z30" s="796" t="n"/>
      <c r="AA30" s="680" t="n"/>
      <c r="AB30" s="796" t="n"/>
      <c r="AC30" s="680" t="n"/>
      <c r="AD30" s="796" t="n"/>
      <c r="AE30" s="680" t="n"/>
      <c r="AF30" s="796" t="n"/>
      <c r="AG30" s="637" t="n"/>
      <c r="AH30" s="796" t="n"/>
      <c r="AI30" s="680" t="n"/>
      <c r="AJ30" s="796" t="n"/>
      <c r="AK30" s="680" t="n"/>
      <c r="AL30" s="796" t="n"/>
      <c r="AM30" s="637" t="n"/>
      <c r="AN30" s="796" t="n"/>
      <c r="AO30" s="680" t="n"/>
      <c r="AP30" s="798" t="n"/>
      <c r="AQ30" s="645" t="n">
        <v>-90000</v>
      </c>
      <c r="AR30" s="796" t="n"/>
      <c r="AS30" s="645" t="n">
        <v>-90000</v>
      </c>
      <c r="AT30" s="796" t="n"/>
      <c r="AU30" s="680" t="n"/>
      <c r="AV30" s="796" t="n"/>
      <c r="AW30" s="680" t="n"/>
      <c r="AX30" s="796" t="n"/>
      <c r="AY30" s="680" t="n"/>
      <c r="AZ30" s="796" t="n"/>
      <c r="BA30" s="608">
        <f>K30+M30+O30+Q30+S30+U30+W30+Y30+AA30+AC30+AE30+AG30+AI30+AK30+AM30+AO30+AQ30+AS30+AU30+AW30+AY30</f>
        <v/>
      </c>
      <c r="BB30" s="608">
        <f>L30+N30+P30+R30+T30+V30+X30+Z30+AB30+AD30+AF30+AH30+AJ30+AL30+AN30+AP30+AR30+AT30+AV30+AX30+AZ30</f>
        <v/>
      </c>
      <c r="BC30" s="602">
        <f>BA30-BB30</f>
        <v/>
      </c>
    </row>
    <row r="31">
      <c r="A31" s="633" t="inlineStr">
        <is>
          <t>Авансы поставщикам</t>
        </is>
      </c>
      <c r="B31" s="604" t="inlineStr">
        <is>
          <t>Расход</t>
        </is>
      </c>
      <c r="C31" s="680" t="n"/>
      <c r="D31" s="796" t="n"/>
      <c r="E31" s="680" t="n"/>
      <c r="F31" s="796" t="n"/>
      <c r="G31" s="643" t="n"/>
      <c r="H31" s="634" t="n"/>
      <c r="I31" s="643" t="n"/>
      <c r="J31" s="634" t="n"/>
      <c r="K31" s="643" t="n"/>
      <c r="L31" s="634" t="n"/>
      <c r="M31" s="643" t="n"/>
      <c r="N31" s="634" t="n"/>
      <c r="O31" s="680" t="n"/>
      <c r="P31" s="796" t="n"/>
      <c r="Q31" s="680" t="n"/>
      <c r="R31" s="796" t="n"/>
      <c r="S31" s="680" t="n"/>
      <c r="T31" s="796" t="n"/>
      <c r="U31" s="680" t="n"/>
      <c r="V31" s="796" t="n"/>
      <c r="W31" s="680" t="n"/>
      <c r="X31" s="796" t="n"/>
      <c r="Y31" s="680" t="n"/>
      <c r="Z31" s="796" t="n"/>
      <c r="AA31" s="680" t="n"/>
      <c r="AB31" s="796" t="n"/>
      <c r="AC31" s="680" t="n"/>
      <c r="AD31" s="796" t="n"/>
      <c r="AE31" s="680" t="n"/>
      <c r="AF31" s="796" t="n"/>
      <c r="AG31" s="680" t="n"/>
      <c r="AH31" s="796" t="n"/>
      <c r="AI31" s="680" t="n"/>
      <c r="AJ31" s="796" t="n"/>
      <c r="AK31" s="680" t="n"/>
      <c r="AL31" s="796" t="n"/>
      <c r="AM31" s="680" t="n"/>
      <c r="AN31" s="796" t="n"/>
      <c r="AO31" s="680" t="n"/>
      <c r="AP31" s="798" t="n"/>
      <c r="AQ31" s="680" t="n"/>
      <c r="AR31" s="796" t="n"/>
      <c r="AS31" s="680" t="n"/>
      <c r="AT31" s="796" t="n"/>
      <c r="AU31" s="680" t="n"/>
      <c r="AV31" s="796" t="n"/>
      <c r="AW31" s="680" t="n"/>
      <c r="AX31" s="796" t="n"/>
      <c r="AY31" s="680" t="n"/>
      <c r="AZ31" s="796" t="n"/>
      <c r="BA31" s="608">
        <f>K31+M31+O31+Q31+S31+U31+W31+Y31+AA31+AC31+AE31+AG31+AI31+AK31+AM31+AO31+AQ31+AS31+AU31+AW31+AY31</f>
        <v/>
      </c>
      <c r="BB31" s="608">
        <f>L31+N31+P31+R31+T31+V31+X31+Z31+AB31+AD31+AF31+AH31+AJ31+AL31+AN31+AP31+AR31+AT31+AV31+AX31+AZ31</f>
        <v/>
      </c>
      <c r="BC31" s="602">
        <f>BA31-BB31</f>
        <v/>
      </c>
    </row>
    <row r="32">
      <c r="A32" s="633" t="inlineStr">
        <is>
          <t>Административные расходы</t>
        </is>
      </c>
      <c r="B32" s="604" t="inlineStr">
        <is>
          <t>Расход</t>
        </is>
      </c>
      <c r="C32" s="643" t="n"/>
      <c r="D32" s="796" t="n"/>
      <c r="E32" s="643" t="n"/>
      <c r="F32" s="796" t="n"/>
      <c r="G32" s="643" t="n"/>
      <c r="H32" s="641">
        <f>-4000-1950</f>
        <v/>
      </c>
      <c r="I32" s="642" t="n">
        <v>-3000</v>
      </c>
      <c r="J32" s="641" t="n">
        <v>-6050</v>
      </c>
      <c r="K32" s="642" t="n"/>
      <c r="L32" s="641" t="n"/>
      <c r="M32" s="642" t="n">
        <v>-55000</v>
      </c>
      <c r="N32" s="641" t="n"/>
      <c r="O32" s="642">
        <f>-400000</f>
        <v/>
      </c>
      <c r="P32" s="804" t="n"/>
      <c r="Q32" s="649" t="n">
        <v>-55000</v>
      </c>
      <c r="R32" s="796" t="n"/>
      <c r="S32" s="642" t="n">
        <v>-55000</v>
      </c>
      <c r="T32" s="796" t="n"/>
      <c r="U32" s="642" t="n">
        <v>-55000</v>
      </c>
      <c r="V32" s="796" t="n"/>
      <c r="W32" s="642" t="n">
        <v>-55000</v>
      </c>
      <c r="X32" s="796" t="n"/>
      <c r="Y32" s="642" t="n">
        <v>-30000</v>
      </c>
      <c r="Z32" s="796" t="n"/>
      <c r="AA32" s="642" t="n">
        <v>-55000</v>
      </c>
      <c r="AB32" s="796" t="n"/>
      <c r="AC32" s="642" t="n">
        <v>-55000</v>
      </c>
      <c r="AD32" s="796" t="n"/>
      <c r="AE32" s="642" t="n">
        <v>-55000</v>
      </c>
      <c r="AF32" s="796" t="n"/>
      <c r="AG32" s="642" t="n">
        <v>-55000</v>
      </c>
      <c r="AH32" s="796" t="n"/>
      <c r="AI32" s="642" t="n">
        <v>-55000</v>
      </c>
      <c r="AJ32" s="796" t="n"/>
      <c r="AK32" s="642" t="n">
        <v>-55000</v>
      </c>
      <c r="AL32" s="796" t="n"/>
      <c r="AM32" s="642" t="n">
        <v>-55000</v>
      </c>
      <c r="AN32" s="796" t="n"/>
      <c r="AO32" s="642" t="n">
        <v>-55000</v>
      </c>
      <c r="AP32" s="798" t="n"/>
      <c r="AQ32" s="642" t="n">
        <v>-55000</v>
      </c>
      <c r="AR32" s="796" t="n"/>
      <c r="AS32" s="642" t="n">
        <v>-55000</v>
      </c>
      <c r="AT32" s="796" t="n"/>
      <c r="AU32" s="642" t="n">
        <v>-55000</v>
      </c>
      <c r="AV32" s="796" t="n"/>
      <c r="AW32" s="642" t="n">
        <v>-55000</v>
      </c>
      <c r="AX32" s="796" t="n"/>
      <c r="AY32" s="642" t="n">
        <v>-55000</v>
      </c>
      <c r="AZ32" s="796" t="n"/>
      <c r="BA32" s="608">
        <f>K32+M32+O32+Q32+S32+U32+W32+Y32+AA32+AC32+AE32+AG32+AI32+AK32+AM32+AO32+AQ32+AS32+AU32+AW32+AY32</f>
        <v/>
      </c>
      <c r="BB32" s="608">
        <f>L32+N32+P32+R32+T32+V32+X32+Z32+AB32+AD32+AF32+AH32+AJ32+AL32+AN32+AP32+AR32+AT32+AV32+AX32+AZ32</f>
        <v/>
      </c>
      <c r="BC32" s="602">
        <f>BA32-BB32</f>
        <v/>
      </c>
    </row>
    <row r="33">
      <c r="A33" s="633" t="inlineStr">
        <is>
          <t>Возврат ВФП</t>
        </is>
      </c>
      <c r="B33" s="604" t="inlineStr">
        <is>
          <t>Расход</t>
        </is>
      </c>
      <c r="C33" s="680" t="n"/>
      <c r="D33" s="796" t="n"/>
      <c r="E33" s="680" t="n"/>
      <c r="F33" s="796" t="n"/>
      <c r="G33" s="643" t="n"/>
      <c r="H33" s="634" t="n"/>
      <c r="I33" s="643" t="n"/>
      <c r="J33" s="634" t="n"/>
      <c r="K33" s="643" t="n"/>
      <c r="L33" s="634" t="n"/>
      <c r="M33" s="643" t="n"/>
      <c r="N33" s="634" t="n"/>
      <c r="O33" s="680" t="n"/>
      <c r="P33" s="796" t="n"/>
      <c r="Q33" s="680" t="n"/>
      <c r="R33" s="796" t="n"/>
      <c r="S33" s="680" t="n"/>
      <c r="T33" s="796" t="n"/>
      <c r="U33" s="680" t="n"/>
      <c r="V33" s="796" t="n"/>
      <c r="W33" s="680" t="n"/>
      <c r="X33" s="796" t="n"/>
      <c r="Y33" s="680" t="n"/>
      <c r="Z33" s="796" t="n"/>
      <c r="AA33" s="680" t="n"/>
      <c r="AB33" s="796" t="n"/>
      <c r="AC33" s="680" t="n"/>
      <c r="AD33" s="796" t="n"/>
      <c r="AE33" s="680" t="n"/>
      <c r="AF33" s="796" t="n"/>
      <c r="AG33" s="680" t="n"/>
      <c r="AH33" s="796" t="n"/>
      <c r="AI33" s="680" t="n"/>
      <c r="AJ33" s="796" t="n"/>
      <c r="AK33" s="680" t="n"/>
      <c r="AL33" s="796" t="n"/>
      <c r="AM33" s="680" t="n"/>
      <c r="AN33" s="796" t="n"/>
      <c r="AO33" s="680" t="n"/>
      <c r="AP33" s="798" t="n"/>
      <c r="AQ33" s="643" t="n"/>
      <c r="AR33" s="796" t="n"/>
      <c r="AS33" s="680" t="n"/>
      <c r="AT33" s="796" t="n"/>
      <c r="AU33" s="680" t="n"/>
      <c r="AV33" s="796" t="n"/>
      <c r="AW33" s="680" t="n"/>
      <c r="AX33" s="796" t="n"/>
      <c r="AY33" s="680" t="n"/>
      <c r="AZ33" s="796" t="n"/>
      <c r="BA33" s="608">
        <f>K33+M33+O33+Q33+S33+U33+W33+Y33+AA33+AC33+AE33+AG33+AI33+AK33+AM33+AO33+AQ33+AS33+AU33+AW33+AY33</f>
        <v/>
      </c>
      <c r="BB33" s="608">
        <f>L33+N33+P33+R33+T33+V33+X33+Z33+AB33+AD33+AF33+AH33+AJ33+AL33+AN33+AP33+AR33+AT33+AV33+AX33+AZ33</f>
        <v/>
      </c>
      <c r="BC33" s="602">
        <f>BA33-BB33</f>
        <v/>
      </c>
    </row>
    <row r="34">
      <c r="A34" s="604" t="inlineStr">
        <is>
          <t>Представительские расходы</t>
        </is>
      </c>
      <c r="B34" s="604" t="inlineStr">
        <is>
          <t>Расход</t>
        </is>
      </c>
      <c r="C34" s="680" t="n"/>
      <c r="D34" s="796" t="n"/>
      <c r="E34" s="680" t="n"/>
      <c r="F34" s="796" t="n"/>
      <c r="G34" s="643" t="n"/>
      <c r="H34" s="634" t="n"/>
      <c r="I34" s="643" t="n"/>
      <c r="J34" s="634" t="n"/>
      <c r="K34" s="643" t="n"/>
      <c r="L34" s="634" t="n"/>
      <c r="M34" s="643" t="n"/>
      <c r="N34" s="634" t="n"/>
      <c r="O34" s="680" t="n"/>
      <c r="P34" s="796" t="n"/>
      <c r="Q34" s="680" t="n"/>
      <c r="R34" s="796" t="n"/>
      <c r="S34" s="680" t="n"/>
      <c r="T34" s="796" t="n"/>
      <c r="U34" s="680" t="n"/>
      <c r="V34" s="796" t="n"/>
      <c r="W34" s="680" t="n"/>
      <c r="X34" s="796" t="n"/>
      <c r="Y34" s="680" t="n"/>
      <c r="Z34" s="796" t="n"/>
      <c r="AA34" s="680" t="n"/>
      <c r="AB34" s="796" t="n"/>
      <c r="AC34" s="680" t="n"/>
      <c r="AD34" s="796" t="n"/>
      <c r="AE34" s="680" t="n"/>
      <c r="AF34" s="796" t="n"/>
      <c r="AG34" s="680" t="n"/>
      <c r="AH34" s="796" t="n"/>
      <c r="AI34" s="680" t="n"/>
      <c r="AJ34" s="796" t="n"/>
      <c r="AK34" s="680" t="n"/>
      <c r="AL34" s="796" t="n"/>
      <c r="AM34" s="680" t="n"/>
      <c r="AN34" s="796" t="n"/>
      <c r="AO34" s="680" t="n"/>
      <c r="AP34" s="798" t="n"/>
      <c r="AQ34" s="643" t="n"/>
      <c r="AR34" s="796" t="n"/>
      <c r="AS34" s="680" t="n"/>
      <c r="AT34" s="796" t="n"/>
      <c r="AU34" s="680" t="n"/>
      <c r="AV34" s="796" t="n"/>
      <c r="AW34" s="680" t="n"/>
      <c r="AX34" s="796" t="n"/>
      <c r="AY34" s="680" t="n"/>
      <c r="AZ34" s="796" t="n"/>
      <c r="BA34" s="608">
        <f>K34+M34+O34+Q34+S34+U34+W34+Y34+AA34+AC34+AE34+AG34+AI34+AK34+AM34+AO34+AQ34+AS34+AU34+AW34+AY34</f>
        <v/>
      </c>
      <c r="BB34" s="608">
        <f>L34+N34+P34+R34+T34+V34+X34+Z34+AB34+AD34+AF34+AH34+AJ34+AL34+AN34+AP34+AR34+AT34+AV34+AX34+AZ34</f>
        <v/>
      </c>
      <c r="BC34" s="602">
        <f>BA34-BB34</f>
        <v/>
      </c>
    </row>
    <row r="35">
      <c r="A35" s="633" t="inlineStr">
        <is>
          <t>Аренда помещений</t>
        </is>
      </c>
      <c r="B35" s="604" t="inlineStr">
        <is>
          <t>Расход</t>
        </is>
      </c>
      <c r="C35" s="680" t="n"/>
      <c r="D35" s="796" t="n"/>
      <c r="E35" s="680" t="n"/>
      <c r="F35" s="796" t="n"/>
      <c r="G35" s="643" t="n"/>
      <c r="H35" s="634" t="n"/>
      <c r="I35" s="643" t="n"/>
      <c r="J35" s="634" t="n"/>
      <c r="K35" s="643" t="n"/>
      <c r="L35" s="634" t="n"/>
      <c r="M35" s="643" t="n"/>
      <c r="N35" s="634" t="n"/>
      <c r="O35" s="680" t="n"/>
      <c r="P35" s="796" t="n"/>
      <c r="Q35" s="680" t="n"/>
      <c r="R35" s="796" t="n"/>
      <c r="S35" s="643" t="n"/>
      <c r="T35" s="796" t="n"/>
      <c r="U35" s="680" t="n"/>
      <c r="V35" s="796" t="n"/>
      <c r="W35" s="680" t="n"/>
      <c r="X35" s="796" t="n"/>
      <c r="Y35" s="645" t="n">
        <v>-6655000</v>
      </c>
      <c r="Z35" s="796" t="n"/>
      <c r="AA35" s="680" t="n"/>
      <c r="AB35" s="796" t="n"/>
      <c r="AC35" s="680" t="n"/>
      <c r="AD35" s="796" t="n"/>
      <c r="AE35" s="680" t="n"/>
      <c r="AF35" s="796" t="n"/>
      <c r="AG35" s="680" t="n"/>
      <c r="AH35" s="796" t="n"/>
      <c r="AI35" s="680" t="n"/>
      <c r="AJ35" s="796" t="n"/>
      <c r="AK35" s="680" t="n"/>
      <c r="AL35" s="796" t="n"/>
      <c r="AM35" s="680" t="n"/>
      <c r="AN35" s="796" t="n"/>
      <c r="AO35" s="680" t="n"/>
      <c r="AP35" s="798" t="n"/>
      <c r="AQ35" s="643" t="n"/>
      <c r="AR35" s="796" t="n"/>
      <c r="AS35" s="680" t="n"/>
      <c r="AT35" s="796" t="n"/>
      <c r="AU35" s="680" t="n"/>
      <c r="AV35" s="796" t="n"/>
      <c r="AW35" s="680" t="n"/>
      <c r="AX35" s="796" t="n"/>
      <c r="AY35" s="680" t="n"/>
      <c r="AZ35" s="796" t="n"/>
      <c r="BA35" s="608">
        <f>K35+M35+O35+Q35+S35+U35+W35+Y35+AA35+AC35+AE35+AG35+AI35+AK35+AM35+AO35+AQ35+AS35+AU35+AW35+AY35</f>
        <v/>
      </c>
      <c r="BB35" s="608">
        <f>L35+N35+P35+R35+T35+V35+X35+Z35+AB35+AD35+AF35+AH35+AJ35+AL35+AN35+AP35+AR35+AT35+AV35+AX35+AZ35</f>
        <v/>
      </c>
      <c r="BC35" s="602">
        <f>BA35-BB35</f>
        <v/>
      </c>
    </row>
    <row r="36">
      <c r="A36" s="633" t="inlineStr">
        <is>
          <t>Газ</t>
        </is>
      </c>
      <c r="B36" s="604" t="inlineStr">
        <is>
          <t>Расход</t>
        </is>
      </c>
      <c r="C36" s="680" t="n"/>
      <c r="D36" s="796" t="n"/>
      <c r="E36" s="680" t="n"/>
      <c r="F36" s="796" t="n"/>
      <c r="G36" s="643" t="n"/>
      <c r="H36" s="634" t="n"/>
      <c r="I36" s="643" t="n"/>
      <c r="J36" s="634" t="n"/>
      <c r="K36" s="643" t="n"/>
      <c r="L36" s="634" t="n"/>
      <c r="M36" s="643" t="n"/>
      <c r="N36" s="634" t="n"/>
      <c r="O36" s="680" t="n"/>
      <c r="P36" s="796" t="n"/>
      <c r="Q36" s="680" t="n"/>
      <c r="R36" s="796" t="n"/>
      <c r="S36" s="680" t="n"/>
      <c r="T36" s="796" t="n"/>
      <c r="U36" s="680" t="n"/>
      <c r="V36" s="796" t="n"/>
      <c r="W36" s="680" t="n"/>
      <c r="X36" s="796" t="n"/>
      <c r="Y36" s="680" t="n"/>
      <c r="Z36" s="796" t="n"/>
      <c r="AA36" s="680" t="n"/>
      <c r="AB36" s="796" t="n"/>
      <c r="AC36" s="680" t="n"/>
      <c r="AD36" s="796" t="n"/>
      <c r="AE36" s="680" t="n"/>
      <c r="AF36" s="796" t="n"/>
      <c r="AG36" s="680" t="n"/>
      <c r="AH36" s="796" t="n"/>
      <c r="AI36" s="680" t="n"/>
      <c r="AJ36" s="796" t="n"/>
      <c r="AK36" s="680" t="n"/>
      <c r="AL36" s="796" t="n"/>
      <c r="AM36" s="680" t="n"/>
      <c r="AN36" s="796" t="n"/>
      <c r="AO36" s="680" t="n"/>
      <c r="AP36" s="798" t="n"/>
      <c r="AQ36" s="645" t="n">
        <v>-630000</v>
      </c>
      <c r="AR36" s="796" t="n"/>
      <c r="AS36" s="680" t="n"/>
      <c r="AT36" s="796" t="n"/>
      <c r="AU36" s="680" t="n"/>
      <c r="AV36" s="796" t="n"/>
      <c r="AW36" s="680" t="n"/>
      <c r="AX36" s="796" t="n"/>
      <c r="AY36" s="680" t="n"/>
      <c r="AZ36" s="796" t="n"/>
      <c r="BA36" s="608">
        <f>K36+M36+O36+Q36+S36+U36+W36+Y36+AA36+AC36+AE36+AG36+AI36+AK36+AM36+AO36+AQ36+AS36+AU36+AW36+AY36</f>
        <v/>
      </c>
      <c r="BB36" s="608">
        <f>L36+N36+P36+R36+T36+V36+X36+Z36+AB36+AD36+AF36+AH36+AJ36+AL36+AN36+AP36+AR36+AT36+AV36+AX36+AZ36</f>
        <v/>
      </c>
      <c r="BC36" s="602">
        <f>BA36-BB36</f>
        <v/>
      </c>
    </row>
    <row r="37">
      <c r="A37" s="633" t="inlineStr">
        <is>
          <t>Маркетинг</t>
        </is>
      </c>
      <c r="B37" s="604" t="inlineStr">
        <is>
          <t>Расход</t>
        </is>
      </c>
      <c r="C37" s="680" t="n"/>
      <c r="D37" s="796" t="n"/>
      <c r="E37" s="680" t="n"/>
      <c r="F37" s="796" t="n"/>
      <c r="G37" s="643" t="n"/>
      <c r="H37" s="634" t="n"/>
      <c r="I37" s="643" t="n"/>
      <c r="J37" s="634" t="n"/>
      <c r="K37" s="643" t="n"/>
      <c r="L37" s="634" t="n"/>
      <c r="M37" s="643" t="n"/>
      <c r="N37" s="634" t="n"/>
      <c r="O37" s="680" t="n"/>
      <c r="P37" s="796" t="n"/>
      <c r="Q37" s="680" t="n"/>
      <c r="R37" s="796" t="n"/>
      <c r="S37" s="680" t="n"/>
      <c r="T37" s="796" t="n"/>
      <c r="U37" s="680" t="n"/>
      <c r="V37" s="796" t="n"/>
      <c r="W37" s="680" t="n"/>
      <c r="X37" s="796" t="n"/>
      <c r="Y37" s="680" t="n"/>
      <c r="Z37" s="796" t="n"/>
      <c r="AA37" s="680" t="n"/>
      <c r="AB37" s="796" t="n"/>
      <c r="AC37" s="680" t="n"/>
      <c r="AD37" s="796" t="n"/>
      <c r="AE37" s="680" t="n"/>
      <c r="AF37" s="796" t="n"/>
      <c r="AG37" s="680" t="n"/>
      <c r="AH37" s="796" t="n"/>
      <c r="AI37" s="680" t="n"/>
      <c r="AJ37" s="796" t="n"/>
      <c r="AK37" s="680" t="n"/>
      <c r="AL37" s="796" t="n"/>
      <c r="AM37" s="680" t="n"/>
      <c r="AN37" s="796" t="n"/>
      <c r="AO37" s="680" t="n"/>
      <c r="AP37" s="798" t="n"/>
      <c r="AQ37" s="643" t="n"/>
      <c r="AR37" s="796" t="n"/>
      <c r="AS37" s="680" t="n"/>
      <c r="AT37" s="796" t="n"/>
      <c r="AU37" s="680" t="n"/>
      <c r="AV37" s="796" t="n"/>
      <c r="AW37" s="680" t="n"/>
      <c r="AX37" s="796" t="n"/>
      <c r="AY37" s="680" t="n"/>
      <c r="AZ37" s="796" t="n"/>
      <c r="BA37" s="608">
        <f>K37+M37+O37+Q37+S37+U37+W37+Y37+AA37+AC37+AE37+AG37+AI37+AK37+AM37+AO37+AQ37+AS37+AU37+AW37+AY37</f>
        <v/>
      </c>
      <c r="BB37" s="608">
        <f>L37+N37+P37+R37+T37+V37+X37+Z37+AB37+AD37+AF37+AH37+AJ37+AL37+AN37+AP37+AR37+AT37+AV37+AX37+AZ37</f>
        <v/>
      </c>
      <c r="BC37" s="602">
        <f>BA37-BB37</f>
        <v/>
      </c>
    </row>
    <row r="38">
      <c r="A38" s="633" t="inlineStr">
        <is>
          <t>Мусор</t>
        </is>
      </c>
      <c r="B38" s="604" t="inlineStr">
        <is>
          <t>Расход</t>
        </is>
      </c>
      <c r="C38" s="680" t="n"/>
      <c r="D38" s="796" t="n"/>
      <c r="E38" s="680" t="n"/>
      <c r="F38" s="796" t="n"/>
      <c r="G38" s="643" t="n"/>
      <c r="H38" s="634" t="n"/>
      <c r="I38" s="643" t="n"/>
      <c r="J38" s="634" t="n"/>
      <c r="K38" s="643" t="n"/>
      <c r="L38" s="634" t="n"/>
      <c r="M38" s="643" t="n"/>
      <c r="N38" s="634" t="n"/>
      <c r="O38" s="680" t="n"/>
      <c r="P38" s="796" t="n"/>
      <c r="Q38" s="680" t="n"/>
      <c r="R38" s="796" t="n"/>
      <c r="S38" s="680" t="n"/>
      <c r="T38" s="796" t="n"/>
      <c r="U38" s="680" t="n"/>
      <c r="V38" s="796" t="n"/>
      <c r="W38" s="680" t="n"/>
      <c r="X38" s="796" t="n"/>
      <c r="Y38" s="680" t="n"/>
      <c r="Z38" s="796" t="n"/>
      <c r="AA38" s="680" t="n"/>
      <c r="AB38" s="796" t="n"/>
      <c r="AC38" s="680" t="n"/>
      <c r="AD38" s="796" t="n"/>
      <c r="AE38" s="645" t="n">
        <v>-100000</v>
      </c>
      <c r="AF38" s="796" t="n"/>
      <c r="AG38" s="680" t="n"/>
      <c r="AH38" s="796" t="n"/>
      <c r="AI38" s="680" t="n"/>
      <c r="AJ38" s="796" t="n"/>
      <c r="AK38" s="680" t="n"/>
      <c r="AL38" s="796" t="n"/>
      <c r="AM38" s="642" t="n">
        <v>-642920</v>
      </c>
      <c r="AN38" s="796" t="n"/>
      <c r="AO38" s="647" t="n"/>
      <c r="AP38" s="798" t="n"/>
      <c r="AQ38" s="642" t="n"/>
      <c r="AR38" s="796" t="n"/>
      <c r="AS38" s="680" t="n"/>
      <c r="AT38" s="796" t="n"/>
      <c r="AU38" s="680" t="n"/>
      <c r="AV38" s="796" t="n"/>
      <c r="AW38" s="680" t="n"/>
      <c r="AX38" s="796" t="n"/>
      <c r="AY38" s="680" t="n"/>
      <c r="AZ38" s="796" t="n"/>
      <c r="BA38" s="608">
        <f>K38+M38+O38+Q38+S38+U38+W38+Y38+AA38+AC38+AE38+AG38+AI38+AK38+AM38+AO38+AQ38+AS38+AU38+AW38+AY38</f>
        <v/>
      </c>
      <c r="BB38" s="608">
        <f>L38+N38+P38+R38+T38+V38+X38+Z38+AB38+AD38+AF38+AH38+AJ38+AL38+AN38+AP38+AR38+AT38+AV38+AX38+AZ38</f>
        <v/>
      </c>
      <c r="BC38" s="602">
        <f>BA38-BB38</f>
        <v/>
      </c>
    </row>
    <row r="39">
      <c r="A39" s="633" t="inlineStr">
        <is>
          <t>Налоги и другие платежи в бюджет</t>
        </is>
      </c>
      <c r="B39" s="604" t="inlineStr">
        <is>
          <t>Расход</t>
        </is>
      </c>
      <c r="C39" s="680" t="n"/>
      <c r="D39" s="796" t="n"/>
      <c r="E39" s="680" t="n"/>
      <c r="F39" s="796" t="n"/>
      <c r="G39" s="643" t="n"/>
      <c r="H39" s="634" t="n"/>
      <c r="I39" s="680" t="n"/>
      <c r="J39" s="634" t="n"/>
      <c r="K39" s="642" t="n"/>
      <c r="L39" s="641" t="n"/>
      <c r="M39" s="642" t="n"/>
      <c r="N39" s="641" t="n"/>
      <c r="O39" s="642" t="n"/>
      <c r="P39" s="804" t="n"/>
      <c r="Q39" s="642" t="n"/>
      <c r="R39" s="796" t="n"/>
      <c r="S39" s="642" t="n"/>
      <c r="T39" s="796" t="n"/>
      <c r="U39" s="680" t="n"/>
      <c r="V39" s="796" t="n"/>
      <c r="W39" s="680" t="n"/>
      <c r="X39" s="796" t="n"/>
      <c r="Y39" s="680" t="n"/>
      <c r="Z39" s="796" t="n"/>
      <c r="AA39" s="680" t="n"/>
      <c r="AB39" s="796" t="n"/>
      <c r="AC39" s="680" t="n"/>
      <c r="AD39" s="796" t="n"/>
      <c r="AE39" s="645" t="n">
        <v>-8000000</v>
      </c>
      <c r="AF39" s="796" t="n"/>
      <c r="AG39" s="645" t="n">
        <v>-6000000</v>
      </c>
      <c r="AH39" s="796" t="n"/>
      <c r="AI39" s="680" t="n"/>
      <c r="AJ39" s="796" t="n"/>
      <c r="AK39" s="680" t="n"/>
      <c r="AL39" s="796" t="n"/>
      <c r="AM39" s="645" t="n"/>
      <c r="AN39" s="796" t="n"/>
      <c r="AO39" s="645" t="n"/>
      <c r="AP39" s="798" t="n"/>
      <c r="AQ39" s="643" t="n"/>
      <c r="AR39" s="796" t="n"/>
      <c r="AS39" s="642" t="n">
        <v>-12000000</v>
      </c>
      <c r="AT39" s="796" t="n"/>
      <c r="AU39" s="680" t="n"/>
      <c r="AV39" s="796" t="n"/>
      <c r="AW39" s="680" t="n"/>
      <c r="AX39" s="796" t="n"/>
      <c r="AY39" s="680" t="n"/>
      <c r="AZ39" s="796" t="n"/>
      <c r="BA39" s="608">
        <f>K39+M39+O39+Q39+S39+U39+W39+Y39+AA39+AC39+AE39+AG39+AI39+AK39+AM39+AO39+AQ39+AS39+AU39+AW39+AY39</f>
        <v/>
      </c>
      <c r="BB39" s="608">
        <f>L39+N39+P39+R39+T39+V39+X39+Z39+AB39+AD39+AF39+AH39+AJ39+AL39+AN39+AP39+AR39+AT39+AV39+AX39+AZ39</f>
        <v/>
      </c>
      <c r="BC39" s="602">
        <f>BA39-BB39</f>
        <v/>
      </c>
    </row>
    <row r="40">
      <c r="A40" s="633" t="inlineStr">
        <is>
          <t>Оплата труда</t>
        </is>
      </c>
      <c r="B40" s="604" t="inlineStr">
        <is>
          <t>Расход</t>
        </is>
      </c>
      <c r="C40" s="680" t="n"/>
      <c r="D40" s="796" t="n"/>
      <c r="E40" s="680" t="n"/>
      <c r="F40" s="796" t="n"/>
      <c r="G40" s="643" t="n"/>
      <c r="H40" s="634" t="n"/>
      <c r="I40" s="643" t="n"/>
      <c r="J40" s="634" t="n"/>
      <c r="K40" s="680" t="n"/>
      <c r="L40" s="634" t="n"/>
      <c r="M40" s="643" t="n"/>
      <c r="N40" s="634" t="n"/>
      <c r="O40" s="642" t="n"/>
      <c r="P40" s="796" t="n"/>
      <c r="Q40" s="680" t="n"/>
      <c r="R40" s="796" t="n"/>
      <c r="S40" s="642" t="n">
        <v>-18500000</v>
      </c>
      <c r="T40" s="796" t="n"/>
      <c r="U40" s="680" t="n"/>
      <c r="V40" s="796" t="n"/>
      <c r="W40" s="680" t="n"/>
      <c r="X40" s="796" t="n"/>
      <c r="Y40" s="680" t="n"/>
      <c r="Z40" s="796" t="n"/>
      <c r="AA40" s="680" t="n"/>
      <c r="AB40" s="796" t="n"/>
      <c r="AC40" s="680" t="n"/>
      <c r="AD40" s="796" t="n"/>
      <c r="AE40" s="680" t="n"/>
      <c r="AF40" s="796" t="n"/>
      <c r="AG40" s="680" t="n"/>
      <c r="AH40" s="796" t="n"/>
      <c r="AI40" s="680" t="n"/>
      <c r="AJ40" s="796" t="n"/>
      <c r="AK40" s="680" t="n"/>
      <c r="AL40" s="796" t="n"/>
      <c r="AM40" s="647" t="n">
        <v>-2030000</v>
      </c>
      <c r="AN40" s="796" t="n"/>
      <c r="AO40" s="680" t="n"/>
      <c r="AP40" s="798" t="n"/>
      <c r="AQ40" s="680" t="n"/>
      <c r="AR40" s="796" t="n"/>
      <c r="AS40" s="680" t="n"/>
      <c r="AT40" s="796" t="n"/>
      <c r="AU40" s="680" t="n"/>
      <c r="AV40" s="796" t="n"/>
      <c r="AW40" s="680" t="n"/>
      <c r="AX40" s="796" t="n"/>
      <c r="AY40" s="680" t="n"/>
      <c r="AZ40" s="796" t="n"/>
      <c r="BA40" s="608">
        <f>K40+M40+O40+Q40+S40+U40+W40+Y40+AA40+AC40+AE40+AG40+AI40+AK40+AM40+AO40+AQ40+AS40+AU40+AW40+AY40</f>
        <v/>
      </c>
      <c r="BB40" s="608">
        <f>L40+N40+P40+R40+T40+V40+X40+Z40+AB40+AD40+AF40+AH40+AJ40+AL40+AN40+AP40+AR40+AT40+AV40+AX40+AZ40</f>
        <v/>
      </c>
      <c r="BC40" s="602">
        <f>BA40-BB40</f>
        <v/>
      </c>
    </row>
    <row r="41">
      <c r="A41" s="633" t="inlineStr">
        <is>
          <t>Охрана</t>
        </is>
      </c>
      <c r="B41" s="604" t="inlineStr">
        <is>
          <t>Расход</t>
        </is>
      </c>
      <c r="C41" s="680" t="n"/>
      <c r="D41" s="796" t="n"/>
      <c r="E41" s="680" t="n"/>
      <c r="F41" s="796" t="n"/>
      <c r="G41" s="643" t="n"/>
      <c r="H41" s="634" t="n"/>
      <c r="I41" s="643" t="n"/>
      <c r="J41" s="634" t="n"/>
      <c r="K41" s="643" t="n"/>
      <c r="L41" s="634" t="n"/>
      <c r="M41" s="680" t="n"/>
      <c r="N41" s="634" t="n"/>
      <c r="O41" s="680" t="n"/>
      <c r="P41" s="796" t="n"/>
      <c r="Q41" s="680" t="n"/>
      <c r="R41" s="796" t="n"/>
      <c r="S41" s="680" t="n"/>
      <c r="T41" s="796" t="n"/>
      <c r="U41" s="680" t="n"/>
      <c r="V41" s="796" t="n"/>
      <c r="W41" s="680" t="n"/>
      <c r="X41" s="796" t="n"/>
      <c r="Y41" s="645" t="n">
        <v>-1000000</v>
      </c>
      <c r="Z41" s="796" t="n"/>
      <c r="AA41" s="680" t="n"/>
      <c r="AB41" s="796" t="n"/>
      <c r="AC41" s="680" t="n"/>
      <c r="AD41" s="796" t="n"/>
      <c r="AE41" s="680" t="n"/>
      <c r="AF41" s="796" t="n"/>
      <c r="AG41" s="680" t="n"/>
      <c r="AH41" s="796" t="n"/>
      <c r="AI41" s="680" t="n"/>
      <c r="AJ41" s="796" t="n"/>
      <c r="AK41" s="680" t="n"/>
      <c r="AL41" s="796" t="n"/>
      <c r="AM41" s="680" t="n"/>
      <c r="AN41" s="796" t="n"/>
      <c r="AO41" s="680" t="n"/>
      <c r="AP41" s="798" t="n"/>
      <c r="AQ41" s="643" t="n"/>
      <c r="AR41" s="796" t="n"/>
      <c r="AS41" s="680" t="n"/>
      <c r="AT41" s="796" t="n"/>
      <c r="AU41" s="680" t="n"/>
      <c r="AV41" s="796" t="n"/>
      <c r="AW41" s="680" t="n"/>
      <c r="AX41" s="796" t="n"/>
      <c r="AY41" s="680" t="n"/>
      <c r="AZ41" s="796" t="n"/>
      <c r="BA41" s="608">
        <f>K41+M41+O41+Q41+S41+U41+W41+Y41+AA41+AC41+AE41+AG41+AI41+AK41+AM41+AO41+AQ41+AS41+AU41+AW41+AY41</f>
        <v/>
      </c>
      <c r="BB41" s="608">
        <f>L41+N41+P41+R41+T41+V41+X41+Z41+AB41+AD41+AF41+AH41+AJ41+AL41+AN41+AP41+AR41+AT41+AV41+AX41+AZ41</f>
        <v/>
      </c>
      <c r="BC41" s="602">
        <f>BA41-BB41</f>
        <v/>
      </c>
    </row>
    <row r="42">
      <c r="A42" s="633" t="inlineStr">
        <is>
          <t>Платежи поставщикам Прочее</t>
        </is>
      </c>
      <c r="B42" s="604" t="inlineStr">
        <is>
          <t>Расход</t>
        </is>
      </c>
      <c r="C42" s="680" t="n"/>
      <c r="D42" s="796" t="n"/>
      <c r="E42" s="680" t="n"/>
      <c r="F42" s="796" t="n"/>
      <c r="G42" s="642" t="n">
        <v>-180000</v>
      </c>
      <c r="H42" s="634" t="n"/>
      <c r="I42" s="643" t="n"/>
      <c r="J42" s="634" t="n"/>
      <c r="K42" s="643" t="n"/>
      <c r="L42" s="634" t="n"/>
      <c r="M42" s="680" t="n"/>
      <c r="N42" s="634" t="n"/>
      <c r="O42" s="680" t="n"/>
      <c r="P42" s="796" t="n"/>
      <c r="Q42" s="680" t="n"/>
      <c r="R42" s="796" t="n"/>
      <c r="S42" s="680" t="n"/>
      <c r="T42" s="796" t="n"/>
      <c r="U42" s="680" t="n"/>
      <c r="V42" s="796" t="n"/>
      <c r="W42" s="680" t="n"/>
      <c r="X42" s="796" t="n"/>
      <c r="Y42" s="680" t="n"/>
      <c r="Z42" s="796" t="n"/>
      <c r="AA42" s="680" t="n"/>
      <c r="AB42" s="796" t="n"/>
      <c r="AC42" s="680" t="n"/>
      <c r="AD42" s="796" t="n"/>
      <c r="AE42" s="680" t="n"/>
      <c r="AF42" s="796" t="n"/>
      <c r="AG42" s="680" t="n"/>
      <c r="AH42" s="796" t="n"/>
      <c r="AI42" s="680" t="n"/>
      <c r="AJ42" s="796" t="n"/>
      <c r="AK42" s="680" t="n"/>
      <c r="AL42" s="796" t="n"/>
      <c r="AM42" s="680" t="n"/>
      <c r="AN42" s="796" t="n"/>
      <c r="AO42" s="680" t="n"/>
      <c r="AP42" s="798" t="n"/>
      <c r="AQ42" s="643" t="n"/>
      <c r="AR42" s="796" t="n"/>
      <c r="AS42" s="680" t="n"/>
      <c r="AT42" s="796" t="n"/>
      <c r="AU42" s="680" t="n"/>
      <c r="AV42" s="796" t="n"/>
      <c r="AW42" s="680" t="n"/>
      <c r="AX42" s="796" t="n"/>
      <c r="AY42" s="680" t="n"/>
      <c r="AZ42" s="796" t="n"/>
      <c r="BA42" s="608">
        <f>K42+M42+O42+Q42+S42+U42+W42+Y42+AA42+AC42+AE42+AG42+AI42+AK42+AM42+AO42+AQ42+AS42+AU42+AW42+AY42</f>
        <v/>
      </c>
      <c r="BB42" s="608">
        <f>L42+N42+P42+R42+T42+V42+X42+Z42+AB42+AD42+AF42+AH42+AJ42+AL42+AN42+AP42+AR42+AT42+AV42+AX42+AZ42</f>
        <v/>
      </c>
      <c r="BC42" s="602">
        <f>BA42-BB42</f>
        <v/>
      </c>
    </row>
    <row r="43">
      <c r="A43" s="633" t="inlineStr">
        <is>
          <t xml:space="preserve">Производственные расходы </t>
        </is>
      </c>
      <c r="B43" s="604" t="inlineStr">
        <is>
          <t>Расход</t>
        </is>
      </c>
      <c r="C43" s="680" t="n"/>
      <c r="D43" s="796" t="n"/>
      <c r="E43" s="680" t="n"/>
      <c r="F43" s="796" t="n"/>
      <c r="G43" s="643" t="n"/>
      <c r="H43" s="634" t="n"/>
      <c r="I43" s="643" t="n"/>
      <c r="J43" s="634" t="n"/>
      <c r="K43" s="642" t="n">
        <v>-2000000</v>
      </c>
      <c r="L43" s="641" t="n"/>
      <c r="M43" s="680" t="n"/>
      <c r="N43" s="641" t="n"/>
      <c r="O43" s="642" t="n">
        <v>-3000000</v>
      </c>
      <c r="P43" s="804" t="n"/>
      <c r="Q43" s="643" t="n"/>
      <c r="R43" s="796" t="n"/>
      <c r="S43" s="642" t="n">
        <v>-3000000</v>
      </c>
      <c r="T43" s="796" t="n"/>
      <c r="U43" s="680" t="n"/>
      <c r="V43" s="796" t="n"/>
      <c r="W43" s="680" t="n"/>
      <c r="X43" s="641" t="n"/>
      <c r="Y43" s="642" t="n">
        <v>-3000000</v>
      </c>
      <c r="Z43" s="804" t="n"/>
      <c r="AA43" s="642" t="n">
        <v>-3000000</v>
      </c>
      <c r="AB43" s="796" t="n"/>
      <c r="AC43" s="642" t="n">
        <v>-3000000</v>
      </c>
      <c r="AD43" s="796" t="n"/>
      <c r="AE43" s="680" t="n"/>
      <c r="AF43" s="796" t="n"/>
      <c r="AG43" s="680" t="n"/>
      <c r="AH43" s="641" t="n"/>
      <c r="AI43" s="642" t="n"/>
      <c r="AJ43" s="804" t="n"/>
      <c r="AK43" s="643" t="n"/>
      <c r="AL43" s="796" t="n"/>
      <c r="AM43" s="642" t="n">
        <v>-3000000</v>
      </c>
      <c r="AN43" s="796" t="n"/>
      <c r="AO43" s="680" t="n"/>
      <c r="AP43" s="798" t="n"/>
      <c r="AQ43" s="642" t="n">
        <v>-3000000</v>
      </c>
      <c r="AR43" s="641" t="n"/>
      <c r="AS43" s="642" t="n"/>
      <c r="AT43" s="804" t="n"/>
      <c r="AU43" s="643" t="n"/>
      <c r="AV43" s="796" t="n"/>
      <c r="AW43" s="642" t="n">
        <v>-3000000</v>
      </c>
      <c r="AX43" s="796" t="n"/>
      <c r="AY43" s="680" t="n"/>
      <c r="AZ43" s="796" t="n"/>
      <c r="BA43" s="608">
        <f>K43+M43+O43+Q43+S43+U43+W43+Y43+AA43+AC43+AE43+AG43+AI43+AK43+AM43+AO43+AQ43+AS43+AU43+AW43+AY43</f>
        <v/>
      </c>
      <c r="BB43" s="608">
        <f>L43+N43+P43+R43+T43+V43+X43+Z43+AB43+AD43+AF43+AH43+AJ43+AL43+AN43+AP43+AR43+AT43+AV43+AX43+AZ43</f>
        <v/>
      </c>
      <c r="BC43" s="602">
        <f>BA43-BB43</f>
        <v/>
      </c>
    </row>
    <row r="44">
      <c r="A44" s="633" t="inlineStr">
        <is>
          <t>Инвентарь</t>
        </is>
      </c>
      <c r="B44" s="604" t="inlineStr">
        <is>
          <t>Расход</t>
        </is>
      </c>
      <c r="C44" s="680" t="n"/>
      <c r="D44" s="796" t="n"/>
      <c r="E44" s="680" t="n"/>
      <c r="F44" s="796" t="n"/>
      <c r="G44" s="643" t="n"/>
      <c r="H44" s="634" t="n"/>
      <c r="I44" s="643" t="n"/>
      <c r="J44" s="634" t="n"/>
      <c r="K44" s="643" t="n"/>
      <c r="L44" s="634" t="n"/>
      <c r="M44" s="643" t="n"/>
      <c r="N44" s="634" t="n"/>
      <c r="O44" s="680" t="n"/>
      <c r="P44" s="796" t="n"/>
      <c r="Q44" s="680" t="n"/>
      <c r="R44" s="796" t="n"/>
      <c r="S44" s="680" t="n"/>
      <c r="T44" s="796" t="n"/>
      <c r="U44" s="680" t="n"/>
      <c r="V44" s="796" t="n"/>
      <c r="W44" s="680" t="n"/>
      <c r="X44" s="796" t="n"/>
      <c r="Y44" s="680" t="n"/>
      <c r="Z44" s="796" t="n"/>
      <c r="AA44" s="680" t="n"/>
      <c r="AB44" s="796" t="n"/>
      <c r="AC44" s="680" t="n"/>
      <c r="AD44" s="796" t="n"/>
      <c r="AE44" s="680" t="n"/>
      <c r="AF44" s="796" t="n"/>
      <c r="AG44" s="680" t="n"/>
      <c r="AH44" s="796" t="n"/>
      <c r="AI44" s="680" t="n"/>
      <c r="AJ44" s="796" t="n"/>
      <c r="AK44" s="680" t="n"/>
      <c r="AL44" s="796" t="n"/>
      <c r="AM44" s="680" t="n"/>
      <c r="AN44" s="796" t="n"/>
      <c r="AO44" s="680" t="n"/>
      <c r="AP44" s="798" t="n"/>
      <c r="AQ44" s="643" t="n"/>
      <c r="AR44" s="796" t="n"/>
      <c r="AS44" s="680" t="n"/>
      <c r="AT44" s="796" t="n"/>
      <c r="AU44" s="680" t="n"/>
      <c r="AV44" s="796" t="n"/>
      <c r="AW44" s="680" t="n"/>
      <c r="AX44" s="796" t="n"/>
      <c r="AY44" s="680" t="n"/>
      <c r="AZ44" s="796" t="n"/>
      <c r="BA44" s="608">
        <f>K44+M44+O44+Q44+S44+U44+W44+Y44+AA44+AC44+AE44+AG44+AI44+AK44+AM44+AO44+AQ44+AS44+AU44+AW44+AY44</f>
        <v/>
      </c>
      <c r="BB44" s="608">
        <f>L44+N44+P44+R44+T44+V44+X44+Z44+AB44+AD44+AF44+AH44+AJ44+AL44+AN44+AP44+AR44+AT44+AV44+AX44+AZ44</f>
        <v/>
      </c>
      <c r="BC44" s="602">
        <f>BA44-BB44</f>
        <v/>
      </c>
    </row>
    <row r="45">
      <c r="A45" s="633" t="inlineStr">
        <is>
          <t>Униформа</t>
        </is>
      </c>
      <c r="B45" s="604" t="inlineStr">
        <is>
          <t>Расход</t>
        </is>
      </c>
      <c r="C45" s="680" t="n"/>
      <c r="D45" s="796" t="n"/>
      <c r="E45" s="680" t="n"/>
      <c r="F45" s="796" t="n"/>
      <c r="G45" s="643" t="n"/>
      <c r="H45" s="634" t="n"/>
      <c r="I45" s="643" t="n"/>
      <c r="J45" s="634" t="n"/>
      <c r="K45" s="642" t="n">
        <v>-150000</v>
      </c>
      <c r="L45" s="634" t="n"/>
      <c r="M45" s="643" t="n"/>
      <c r="N45" s="641" t="n"/>
      <c r="O45" s="680" t="n"/>
      <c r="P45" s="796" t="n"/>
      <c r="Q45" s="680" t="n"/>
      <c r="R45" s="796" t="n"/>
      <c r="S45" s="680" t="n"/>
      <c r="T45" s="796" t="n"/>
      <c r="U45" s="680" t="n"/>
      <c r="V45" s="796" t="n"/>
      <c r="W45" s="680" t="n"/>
      <c r="X45" s="796" t="n"/>
      <c r="Y45" s="680" t="n"/>
      <c r="Z45" s="796" t="n"/>
      <c r="AA45" s="680" t="n"/>
      <c r="AB45" s="796" t="n"/>
      <c r="AC45" s="680" t="n"/>
      <c r="AD45" s="796" t="n"/>
      <c r="AE45" s="680" t="n"/>
      <c r="AF45" s="796" t="n"/>
      <c r="AG45" s="680" t="n"/>
      <c r="AH45" s="796" t="n"/>
      <c r="AI45" s="680" t="n"/>
      <c r="AJ45" s="796" t="n"/>
      <c r="AK45" s="680" t="n"/>
      <c r="AL45" s="796" t="n"/>
      <c r="AM45" s="680" t="n"/>
      <c r="AN45" s="796" t="n"/>
      <c r="AO45" s="680" t="n"/>
      <c r="AP45" s="798" t="n"/>
      <c r="AQ45" s="643" t="n"/>
      <c r="AR45" s="796" t="n"/>
      <c r="AS45" s="680" t="n"/>
      <c r="AT45" s="796" t="n"/>
      <c r="AU45" s="680" t="n"/>
      <c r="AV45" s="796" t="n"/>
      <c r="AW45" s="680" t="n"/>
      <c r="AX45" s="796" t="n"/>
      <c r="AY45" s="680" t="n"/>
      <c r="AZ45" s="796" t="n"/>
      <c r="BA45" s="608">
        <f>K45+M45+O45+Q45+S45+U45+W45+Y45+AA45+AC45+AE45+AG45+AI45+AK45+AM45+AO45+AQ45+AS45+AU45+AW45+AY45</f>
        <v/>
      </c>
      <c r="BB45" s="608">
        <f>L45+N45+P45+R45+T45+V45+X45+Z45+AB45+AD45+AF45+AH45+AJ45+AL45+AN45+AP45+AR45+AT45+AV45+AX45+AZ45</f>
        <v/>
      </c>
      <c r="BC45" s="602">
        <f>BA45-BB45</f>
        <v/>
      </c>
    </row>
    <row r="46">
      <c r="A46" s="633" t="inlineStr">
        <is>
          <t>Упаковка</t>
        </is>
      </c>
      <c r="B46" s="604" t="inlineStr">
        <is>
          <t>Расход</t>
        </is>
      </c>
      <c r="C46" s="680" t="n"/>
      <c r="D46" s="796" t="n"/>
      <c r="E46" s="643" t="n"/>
      <c r="F46" s="796" t="n"/>
      <c r="G46" s="643" t="n"/>
      <c r="H46" s="634" t="n"/>
      <c r="I46" s="643" t="n"/>
      <c r="J46" s="641">
        <f>-510400</f>
        <v/>
      </c>
      <c r="K46" s="642" t="n">
        <v>-2000000</v>
      </c>
      <c r="L46" s="641" t="n"/>
      <c r="M46" s="643" t="n"/>
      <c r="N46" s="641" t="n"/>
      <c r="O46" s="649" t="n">
        <v>-2500000</v>
      </c>
      <c r="P46" s="804" t="n"/>
      <c r="Q46" s="680" t="n"/>
      <c r="R46" s="796" t="n"/>
      <c r="S46" s="680" t="n"/>
      <c r="T46" s="796" t="n"/>
      <c r="U46" s="649" t="n">
        <v>-2000000</v>
      </c>
      <c r="V46" s="796" t="n"/>
      <c r="W46" s="680" t="n"/>
      <c r="X46" s="796" t="n"/>
      <c r="Y46" s="643" t="n"/>
      <c r="Z46" s="796" t="n"/>
      <c r="AA46" s="642" t="n">
        <v>-1500000</v>
      </c>
      <c r="AB46" s="796" t="n"/>
      <c r="AC46" s="645" t="n">
        <v>-900000</v>
      </c>
      <c r="AD46" s="796" t="n"/>
      <c r="AE46" s="649" t="n">
        <v>-600000</v>
      </c>
      <c r="AF46" s="796" t="n"/>
      <c r="AG46" s="680" t="n"/>
      <c r="AH46" s="796" t="n"/>
      <c r="AI46" s="645" t="n">
        <v>-1000000</v>
      </c>
      <c r="AJ46" s="796" t="n"/>
      <c r="AK46" s="643" t="n"/>
      <c r="AL46" s="796" t="n"/>
      <c r="AM46" s="647" t="n">
        <v>-1000000</v>
      </c>
      <c r="AN46" s="796" t="n"/>
      <c r="AO46" s="649" t="n">
        <v>-2000000</v>
      </c>
      <c r="AP46" s="798" t="n"/>
      <c r="AQ46" s="643" t="n"/>
      <c r="AR46" s="796" t="n"/>
      <c r="AS46" s="642" t="n"/>
      <c r="AT46" s="796" t="n"/>
      <c r="AU46" s="680" t="n"/>
      <c r="AV46" s="796" t="n"/>
      <c r="AW46" s="680" t="n"/>
      <c r="AX46" s="796" t="n"/>
      <c r="AY46" s="680" t="n"/>
      <c r="AZ46" s="796" t="n"/>
      <c r="BA46" s="608">
        <f>K46+M46+O46+Q46+S46+U46+W46+Y46+AA46+AC46+AE46+AG46+AI46+AK46+AM46+AO46+AQ46+AS46+AU46+AW46+AY46</f>
        <v/>
      </c>
      <c r="BB46" s="608">
        <f>L46+N46+P46+R46+T46+V46+X46+Z46+AB46+AD46+AF46+AH46+AJ46+AL46+AN46+AP46+AR46+AT46+AV46+AX46+AZ46</f>
        <v/>
      </c>
      <c r="BC46" s="602">
        <f>BA46-BB46</f>
        <v/>
      </c>
    </row>
    <row r="47">
      <c r="A47" s="633" t="inlineStr">
        <is>
          <t>Хоз.товара</t>
        </is>
      </c>
      <c r="B47" s="604" t="inlineStr">
        <is>
          <t>Расход</t>
        </is>
      </c>
      <c r="C47" s="680" t="n"/>
      <c r="D47" s="796" t="n"/>
      <c r="E47" s="680" t="n"/>
      <c r="F47" s="796" t="n"/>
      <c r="G47" s="643" t="n"/>
      <c r="H47" s="634" t="n"/>
      <c r="I47" s="643" t="n"/>
      <c r="J47" s="634" t="n"/>
      <c r="K47" s="643" t="n"/>
      <c r="L47" s="634" t="n"/>
      <c r="M47" s="643" t="n"/>
      <c r="N47" s="634" t="n"/>
      <c r="O47" s="680" t="n"/>
      <c r="P47" s="804" t="n"/>
      <c r="Q47" s="680" t="n"/>
      <c r="R47" s="796" t="n"/>
      <c r="S47" s="680" t="n"/>
      <c r="T47" s="796" t="n"/>
      <c r="U47" s="680" t="n"/>
      <c r="V47" s="796" t="n"/>
      <c r="W47" s="680" t="n"/>
      <c r="X47" s="796" t="n"/>
      <c r="Y47" s="680" t="n"/>
      <c r="Z47" s="796" t="n"/>
      <c r="AA47" s="680" t="n"/>
      <c r="AB47" s="796" t="n"/>
      <c r="AC47" s="680" t="n"/>
      <c r="AD47" s="796" t="n"/>
      <c r="AE47" s="649" t="n">
        <v>-300000</v>
      </c>
      <c r="AF47" s="796" t="n"/>
      <c r="AG47" s="680" t="n"/>
      <c r="AH47" s="796" t="n"/>
      <c r="AI47" s="680" t="n"/>
      <c r="AJ47" s="796" t="n"/>
      <c r="AK47" s="680" t="n"/>
      <c r="AL47" s="796" t="n"/>
      <c r="AM47" s="680" t="n"/>
      <c r="AN47" s="796" t="n"/>
      <c r="AO47" s="680" t="n"/>
      <c r="AP47" s="798" t="n"/>
      <c r="AQ47" s="643" t="n"/>
      <c r="AR47" s="796" t="n"/>
      <c r="AS47" s="680" t="n"/>
      <c r="AT47" s="796" t="n"/>
      <c r="AU47" s="680" t="n"/>
      <c r="AV47" s="796" t="n"/>
      <c r="AW47" s="680" t="n"/>
      <c r="AX47" s="796" t="n"/>
      <c r="AY47" s="680" t="n"/>
      <c r="AZ47" s="796" t="n"/>
      <c r="BA47" s="608">
        <f>K47+M47+O47+Q47+S47+U47+W47+Y47+AA47+AC47+AE47+AG47+AI47+AK47+AM47+AO47+AQ47+AS47+AU47+AW47+AY47</f>
        <v/>
      </c>
      <c r="BB47" s="608">
        <f>L47+N47+P47+R47+T47+V47+X47+Z47+AB47+AD47+AF47+AH47+AJ47+AL47+AN47+AP47+AR47+AT47+AV47+AX47+AZ47</f>
        <v/>
      </c>
      <c r="BC47" s="602">
        <f>BA47-BB47</f>
        <v/>
      </c>
    </row>
    <row r="48">
      <c r="A48" s="633" t="inlineStr">
        <is>
          <t>Погашение кредита и %%</t>
        </is>
      </c>
      <c r="B48" s="604" t="inlineStr">
        <is>
          <t>Расход</t>
        </is>
      </c>
      <c r="C48" s="680" t="n"/>
      <c r="D48" s="796" t="n"/>
      <c r="E48" s="680" t="n"/>
      <c r="F48" s="796" t="n"/>
      <c r="G48" s="643" t="n"/>
      <c r="H48" s="634" t="n"/>
      <c r="I48" s="643" t="n"/>
      <c r="J48" s="634" t="n"/>
      <c r="K48" s="643" t="n"/>
      <c r="L48" s="634" t="n"/>
      <c r="M48" s="643" t="n"/>
      <c r="N48" s="634" t="n"/>
      <c r="O48" s="680" t="n"/>
      <c r="P48" s="796" t="n"/>
      <c r="Q48" s="680" t="n"/>
      <c r="R48" s="796" t="n"/>
      <c r="S48" s="680" t="n"/>
      <c r="T48" s="796" t="n"/>
      <c r="U48" s="680" t="n"/>
      <c r="V48" s="796" t="n"/>
      <c r="W48" s="680" t="n"/>
      <c r="X48" s="796" t="n"/>
      <c r="Y48" s="680" t="n"/>
      <c r="Z48" s="796" t="n"/>
      <c r="AA48" s="680" t="n"/>
      <c r="AB48" s="796" t="n"/>
      <c r="AC48" s="680" t="n"/>
      <c r="AD48" s="796" t="n"/>
      <c r="AE48" s="680" t="n"/>
      <c r="AF48" s="796" t="n"/>
      <c r="AG48" s="680" t="n"/>
      <c r="AH48" s="796" t="n"/>
      <c r="AI48" s="680" t="n"/>
      <c r="AJ48" s="796" t="n"/>
      <c r="AK48" s="680" t="n"/>
      <c r="AL48" s="796" t="n"/>
      <c r="AM48" s="680" t="n"/>
      <c r="AN48" s="796" t="n"/>
      <c r="AO48" s="680" t="n"/>
      <c r="AP48" s="798" t="n"/>
      <c r="AQ48" s="649" t="n">
        <v>-1198352</v>
      </c>
      <c r="AR48" s="796" t="n"/>
      <c r="AS48" s="680" t="n"/>
      <c r="AT48" s="796" t="n"/>
      <c r="AU48" s="680" t="n"/>
      <c r="AV48" s="796" t="n"/>
      <c r="AW48" s="649">
        <f>-915358-1770150</f>
        <v/>
      </c>
      <c r="AX48" s="796" t="n"/>
      <c r="AY48" s="649">
        <f>-915358-1770150</f>
        <v/>
      </c>
      <c r="AZ48" s="796" t="n"/>
      <c r="BA48" s="608">
        <f>K48+M48+O48+Q48+S48+U48+W48+Y48+AA48+AC48+AE48+AG48+AI48+AK48+AM48+AO48+AQ48+AS48+AU48+AW48+AY48</f>
        <v/>
      </c>
      <c r="BB48" s="608">
        <f>L48+N48+P48+R48+T48+V48+X48+Z48+AB48+AD48+AF48+AH48+AJ48+AL48+AN48+AP48+AR48+AT48+AV48+AX48+AZ48</f>
        <v/>
      </c>
      <c r="BC48" s="602">
        <f>BA48-BB48</f>
        <v/>
      </c>
    </row>
    <row r="49">
      <c r="A49" s="633" t="inlineStr">
        <is>
          <t>Расходы по реализации Разные(Логистика)</t>
        </is>
      </c>
      <c r="B49" s="604" t="inlineStr">
        <is>
          <t>Расход</t>
        </is>
      </c>
      <c r="C49" s="680" t="n"/>
      <c r="D49" s="796" t="n"/>
      <c r="E49" s="680" t="n"/>
      <c r="F49" s="796" t="n"/>
      <c r="G49" s="643" t="n"/>
      <c r="H49" s="634" t="n"/>
      <c r="I49" s="649" t="n">
        <v>-2000000</v>
      </c>
      <c r="J49" s="634" t="n"/>
      <c r="K49" s="643" t="n"/>
      <c r="L49" s="634" t="n"/>
      <c r="M49" s="643" t="n"/>
      <c r="N49" s="634" t="n"/>
      <c r="O49" s="642" t="n">
        <v>-800000</v>
      </c>
      <c r="P49" s="796" t="n"/>
      <c r="Q49" s="680" t="n"/>
      <c r="R49" s="796" t="n"/>
      <c r="S49" s="680" t="n"/>
      <c r="T49" s="796" t="n"/>
      <c r="U49" s="649" t="n">
        <v>-2725000</v>
      </c>
      <c r="V49" s="796" t="n"/>
      <c r="W49" s="680" t="n"/>
      <c r="X49" s="796" t="n"/>
      <c r="Y49" s="642" t="n">
        <v>-800000</v>
      </c>
      <c r="Z49" s="796" t="n"/>
      <c r="AA49" s="680" t="n"/>
      <c r="AB49" s="796" t="n"/>
      <c r="AC49" s="680" t="n"/>
      <c r="AD49" s="796" t="n"/>
      <c r="AE49" s="649" t="n">
        <v>-2725000</v>
      </c>
      <c r="AF49" s="796" t="n"/>
      <c r="AG49" s="680" t="n"/>
      <c r="AH49" s="796" t="n"/>
      <c r="AI49" s="642" t="n">
        <v>-800000</v>
      </c>
      <c r="AJ49" s="796" t="n"/>
      <c r="AK49" s="680" t="n"/>
      <c r="AL49" s="796" t="n"/>
      <c r="AM49" s="680" t="n"/>
      <c r="AN49" s="796" t="n"/>
      <c r="AO49" s="649" t="n">
        <v>-2725000</v>
      </c>
      <c r="AP49" s="798" t="n"/>
      <c r="AQ49" s="643" t="n"/>
      <c r="AR49" s="796" t="n"/>
      <c r="AS49" s="642" t="n">
        <v>-800000</v>
      </c>
      <c r="AT49" s="796" t="n"/>
      <c r="AU49" s="680" t="n"/>
      <c r="AV49" s="796" t="n"/>
      <c r="AW49" s="680" t="n"/>
      <c r="AX49" s="796" t="n"/>
      <c r="AY49" s="649" t="n">
        <v>-2725000</v>
      </c>
      <c r="AZ49" s="796" t="n"/>
      <c r="BA49" s="608">
        <f>K49+M49+O49+Q49+S49+U49+W49+Y49+AA49+AC49+AE49+AG49+AI49+AK49+AM49+AO49+AQ49+AS49+AU49+AW49+AY49</f>
        <v/>
      </c>
      <c r="BB49" s="608">
        <f>L49+N49+P49+R49+T49+V49+X49+Z49+AB49+AD49+AF49+AH49+AJ49+AL49+AN49+AP49+AR49+AT49+AV49+AX49+AZ49</f>
        <v/>
      </c>
      <c r="BC49" s="602">
        <f>BA49-BB49</f>
        <v/>
      </c>
    </row>
    <row r="50">
      <c r="A50" s="633" t="inlineStr">
        <is>
          <t>Ремонт помещений</t>
        </is>
      </c>
      <c r="B50" s="604" t="inlineStr">
        <is>
          <t>Расход</t>
        </is>
      </c>
      <c r="C50" s="680" t="n"/>
      <c r="D50" s="796" t="n"/>
      <c r="E50" s="680" t="n"/>
      <c r="F50" s="796" t="n"/>
      <c r="G50" s="643" t="n"/>
      <c r="H50" s="634" t="n"/>
      <c r="I50" s="643" t="n"/>
      <c r="J50" s="634" t="n"/>
      <c r="K50" s="643" t="n"/>
      <c r="L50" s="634" t="n"/>
      <c r="M50" s="643" t="n"/>
      <c r="N50" s="634" t="n"/>
      <c r="O50" s="680" t="n"/>
      <c r="P50" s="796" t="n"/>
      <c r="Q50" s="680" t="n"/>
      <c r="R50" s="796" t="n"/>
      <c r="S50" s="680" t="n"/>
      <c r="T50" s="796" t="n"/>
      <c r="U50" s="680" t="n"/>
      <c r="V50" s="796" t="n"/>
      <c r="W50" s="680" t="n"/>
      <c r="X50" s="796" t="n"/>
      <c r="Y50" s="680" t="n"/>
      <c r="Z50" s="796" t="n"/>
      <c r="AA50" s="680" t="n"/>
      <c r="AB50" s="796" t="n"/>
      <c r="AC50" s="680" t="n"/>
      <c r="AD50" s="796" t="n"/>
      <c r="AE50" s="680" t="n"/>
      <c r="AF50" s="796" t="n"/>
      <c r="AG50" s="680" t="n"/>
      <c r="AH50" s="796" t="n"/>
      <c r="AI50" s="680" t="n"/>
      <c r="AJ50" s="796" t="n"/>
      <c r="AK50" s="680" t="n"/>
      <c r="AL50" s="796" t="n"/>
      <c r="AM50" s="680" t="n"/>
      <c r="AN50" s="796" t="n"/>
      <c r="AO50" s="680" t="n"/>
      <c r="AP50" s="798" t="n"/>
      <c r="AQ50" s="643" t="n"/>
      <c r="AR50" s="796" t="n"/>
      <c r="AS50" s="680" t="n"/>
      <c r="AT50" s="796" t="n"/>
      <c r="AU50" s="680" t="n"/>
      <c r="AV50" s="796" t="n"/>
      <c r="AW50" s="680" t="n"/>
      <c r="AX50" s="796" t="n"/>
      <c r="AY50" s="680" t="n"/>
      <c r="AZ50" s="796" t="n"/>
      <c r="BA50" s="608">
        <f>K50+M50+O50+Q50+S50+U50+W50+Y50+AA50+AC50+AE50+AG50+AI50+AK50+AM50+AO50+AQ50+AS50+AU50+AW50+AY50</f>
        <v/>
      </c>
      <c r="BB50" s="608">
        <f>L50+N50+P50+R50+T50+V50+X50+Z50+AB50+AD50+AF50+AH50+AJ50+AL50+AN50+AP50+AR50+AT50+AV50+AX50+AZ50</f>
        <v/>
      </c>
      <c r="BC50" s="602">
        <f>BA50-BB50</f>
        <v/>
      </c>
    </row>
    <row r="51">
      <c r="A51" s="633" t="inlineStr">
        <is>
          <t>Ремонт оборудования</t>
        </is>
      </c>
      <c r="B51" s="604" t="inlineStr">
        <is>
          <t>Расход</t>
        </is>
      </c>
      <c r="C51" s="680" t="n"/>
      <c r="D51" s="796" t="n"/>
      <c r="E51" s="680" t="n"/>
      <c r="F51" s="796" t="n"/>
      <c r="G51" s="643" t="n"/>
      <c r="H51" s="634" t="n"/>
      <c r="I51" s="643" t="n"/>
      <c r="J51" s="634" t="n"/>
      <c r="K51" s="643" t="n"/>
      <c r="L51" s="634" t="n"/>
      <c r="M51" s="643" t="n"/>
      <c r="N51" s="634" t="n"/>
      <c r="O51" s="680" t="n"/>
      <c r="P51" s="796" t="n"/>
      <c r="Q51" s="680" t="n"/>
      <c r="R51" s="796" t="n"/>
      <c r="S51" s="680" t="n"/>
      <c r="T51" s="796" t="n"/>
      <c r="U51" s="680" t="n"/>
      <c r="V51" s="796" t="n"/>
      <c r="W51" s="680" t="n"/>
      <c r="X51" s="796" t="n"/>
      <c r="Y51" s="680" t="n"/>
      <c r="Z51" s="796" t="n"/>
      <c r="AA51" s="680" t="n"/>
      <c r="AB51" s="796" t="n"/>
      <c r="AC51" s="680" t="n"/>
      <c r="AD51" s="796" t="n"/>
      <c r="AE51" s="680" t="n"/>
      <c r="AF51" s="796" t="n"/>
      <c r="AG51" s="680" t="n"/>
      <c r="AH51" s="796" t="n"/>
      <c r="AI51" s="680" t="n"/>
      <c r="AJ51" s="796" t="n"/>
      <c r="AK51" s="680" t="n"/>
      <c r="AL51" s="796" t="n"/>
      <c r="AM51" s="680" t="n"/>
      <c r="AN51" s="796" t="n"/>
      <c r="AO51" s="680" t="n"/>
      <c r="AP51" s="798" t="n"/>
      <c r="AQ51" s="643" t="n"/>
      <c r="AR51" s="796" t="n"/>
      <c r="AS51" s="680" t="n"/>
      <c r="AT51" s="796" t="n"/>
      <c r="AU51" s="680" t="n"/>
      <c r="AV51" s="796" t="n"/>
      <c r="AW51" s="680" t="n"/>
      <c r="AX51" s="796" t="n"/>
      <c r="AY51" s="680" t="n"/>
      <c r="AZ51" s="796" t="n"/>
      <c r="BA51" s="608">
        <f>K51+M51+O51+Q51+S51+U51+W51+Y51+AA51+AC51+AE51+AG51+AI51+AK51+AM51+AO51+AQ51+AS51+AU51+AW51+AY51</f>
        <v/>
      </c>
      <c r="BB51" s="608">
        <f>L51+N51+P51+R51+T51+V51+X51+Z51+AB51+AD51+AF51+AH51+AJ51+AL51+AN51+AP51+AR51+AT51+AV51+AX51+AZ51</f>
        <v/>
      </c>
      <c r="BC51" s="602">
        <f>BA51-BB51</f>
        <v/>
      </c>
    </row>
    <row r="52">
      <c r="A52" s="633" t="inlineStr">
        <is>
          <t>Приобретение основных средств</t>
        </is>
      </c>
      <c r="B52" s="604" t="inlineStr">
        <is>
          <t>Расход</t>
        </is>
      </c>
      <c r="C52" s="680" t="n"/>
      <c r="D52" s="796" t="n"/>
      <c r="E52" s="680" t="n"/>
      <c r="F52" s="796" t="n"/>
      <c r="G52" s="643" t="n"/>
      <c r="H52" s="634" t="n"/>
      <c r="I52" s="643" t="n"/>
      <c r="J52" s="634" t="n"/>
      <c r="K52" s="643" t="n"/>
      <c r="L52" s="634" t="n"/>
      <c r="M52" s="643" t="n"/>
      <c r="N52" s="634" t="n"/>
      <c r="O52" s="680" t="n"/>
      <c r="P52" s="796" t="n"/>
      <c r="Q52" s="680" t="n"/>
      <c r="R52" s="796" t="n"/>
      <c r="S52" s="680" t="n"/>
      <c r="T52" s="796" t="n"/>
      <c r="U52" s="680" t="n"/>
      <c r="V52" s="796" t="n"/>
      <c r="W52" s="680" t="n"/>
      <c r="X52" s="796" t="n"/>
      <c r="Y52" s="680" t="n"/>
      <c r="Z52" s="796" t="n"/>
      <c r="AA52" s="680" t="n"/>
      <c r="AB52" s="796" t="n"/>
      <c r="AC52" s="680" t="n"/>
      <c r="AD52" s="796" t="n"/>
      <c r="AE52" s="680" t="n"/>
      <c r="AF52" s="796" t="n"/>
      <c r="AG52" s="680" t="n"/>
      <c r="AH52" s="796" t="n"/>
      <c r="AI52" s="680" t="n"/>
      <c r="AJ52" s="796" t="n"/>
      <c r="AK52" s="680" t="n"/>
      <c r="AL52" s="796" t="n"/>
      <c r="AM52" s="680" t="n"/>
      <c r="AN52" s="796" t="n"/>
      <c r="AO52" s="680" t="n"/>
      <c r="AP52" s="798" t="n"/>
      <c r="AQ52" s="643" t="n"/>
      <c r="AR52" s="796" t="n"/>
      <c r="AS52" s="680" t="n"/>
      <c r="AT52" s="796" t="n"/>
      <c r="AU52" s="680" t="n"/>
      <c r="AV52" s="796" t="n"/>
      <c r="AW52" s="680" t="n"/>
      <c r="AX52" s="796" t="n"/>
      <c r="AY52" s="680" t="n"/>
      <c r="AZ52" s="796" t="n"/>
      <c r="BA52" s="608">
        <f>K52+M52+O52+Q52+S52+U52+W52+Y52+AA52+AC52+AE52+AG52+AI52+AK52+AM52+AO52+AQ52+AS52+AU52+AW52+AY52</f>
        <v/>
      </c>
      <c r="BB52" s="608">
        <f>L52+N52+P52+R52+T52+V52+X52+Z52+AB52+AD52+AF52+AH52+AJ52+AL52+AN52+AP52+AR52+AT52+AV52+AX52+AZ52</f>
        <v/>
      </c>
      <c r="BC52" s="602">
        <f>BA52-BB52</f>
        <v/>
      </c>
    </row>
    <row r="53">
      <c r="A53" s="633" t="inlineStr">
        <is>
          <t>Сырье Платежи поставщикам</t>
        </is>
      </c>
      <c r="B53" s="604" t="inlineStr">
        <is>
          <t>Расход</t>
        </is>
      </c>
      <c r="C53" s="680" t="n"/>
      <c r="D53" s="796" t="n"/>
      <c r="E53" s="643" t="n"/>
      <c r="F53" s="796" t="n"/>
      <c r="G53" s="643" t="n"/>
      <c r="H53" s="641">
        <f>-7743006</f>
        <v/>
      </c>
      <c r="I53" s="643" t="n"/>
      <c r="J53" s="641">
        <f>-7167264</f>
        <v/>
      </c>
      <c r="K53" s="642" t="n">
        <v>-5000000</v>
      </c>
      <c r="L53" s="641" t="n"/>
      <c r="M53" s="642" t="n">
        <v>-5000000</v>
      </c>
      <c r="N53" s="641" t="n"/>
      <c r="O53" s="642" t="n">
        <v>-5000000</v>
      </c>
      <c r="P53" s="804" t="n"/>
      <c r="Q53" s="642" t="n">
        <v>-5000000</v>
      </c>
      <c r="R53" s="796" t="n"/>
      <c r="S53" s="642" t="n">
        <v>-5000000</v>
      </c>
      <c r="T53" s="796" t="n"/>
      <c r="U53" s="642" t="n">
        <v>-5000000</v>
      </c>
      <c r="V53" s="796" t="n"/>
      <c r="W53" s="642" t="n">
        <v>-5000000</v>
      </c>
      <c r="X53" s="641" t="n"/>
      <c r="Y53" s="642" t="n">
        <v>-8000000</v>
      </c>
      <c r="Z53" s="804" t="n"/>
      <c r="AA53" s="649" t="n">
        <v>-5000000</v>
      </c>
      <c r="AB53" s="796" t="n"/>
      <c r="AC53" s="642" t="n">
        <v>-6000000</v>
      </c>
      <c r="AD53" s="796" t="n"/>
      <c r="AE53" s="642" t="n">
        <v>-5000000</v>
      </c>
      <c r="AF53" s="796" t="n"/>
      <c r="AG53" s="649" t="n">
        <v>-5000000</v>
      </c>
      <c r="AH53" s="641" t="n"/>
      <c r="AI53" s="642" t="n">
        <v>-5000000</v>
      </c>
      <c r="AJ53" s="804" t="n"/>
      <c r="AK53" s="649" t="n">
        <v>-5000000</v>
      </c>
      <c r="AL53" s="796" t="n"/>
      <c r="AM53" s="642" t="n">
        <v>-5000000</v>
      </c>
      <c r="AN53" s="796" t="n"/>
      <c r="AO53" s="642" t="n">
        <v>-5000000</v>
      </c>
      <c r="AP53" s="798" t="n"/>
      <c r="AQ53" s="649" t="n">
        <v>-5000000</v>
      </c>
      <c r="AR53" s="641" t="n"/>
      <c r="AS53" s="642" t="n">
        <v>-5000000</v>
      </c>
      <c r="AT53" s="804" t="n"/>
      <c r="AU53" s="649" t="n">
        <v>-5000000</v>
      </c>
      <c r="AV53" s="796" t="n"/>
      <c r="AW53" s="642" t="n">
        <v>-5000000</v>
      </c>
      <c r="AX53" s="796" t="n"/>
      <c r="AY53" s="642" t="n">
        <v>-5000000</v>
      </c>
      <c r="AZ53" s="796" t="n"/>
      <c r="BA53" s="608">
        <f>K53+M53+O53+Q53+S53+U53+W53+Y53+AA53+AC53+AE53+AG53+AI53+AK53+AM53+AO53+AQ53+AS53+AU53+AW53+AY53</f>
        <v/>
      </c>
      <c r="BB53" s="608">
        <f>L53+N53+P53+R53+T53+V53+X53+Z53+AB53+AD53+AF53+AH53+AJ53+AL53+AN53+AP53+AR53+AT53+AV53+AX53+AZ53</f>
        <v/>
      </c>
      <c r="BC53" s="602">
        <f>BA53-BB53</f>
        <v/>
      </c>
    </row>
    <row r="54">
      <c r="A54" s="633" t="inlineStr">
        <is>
          <t>Электроэнергия</t>
        </is>
      </c>
      <c r="B54" s="604" t="inlineStr">
        <is>
          <t>Расход</t>
        </is>
      </c>
      <c r="C54" s="680" t="n"/>
      <c r="D54" s="796" t="n"/>
      <c r="E54" s="680" t="n"/>
      <c r="F54" s="796" t="n"/>
      <c r="G54" s="680" t="n"/>
      <c r="H54" s="634" t="n"/>
      <c r="I54" s="680" t="n"/>
      <c r="J54" s="634" t="n"/>
      <c r="K54" s="680" t="n"/>
      <c r="L54" s="634" t="n"/>
      <c r="M54" s="680" t="n"/>
      <c r="N54" s="798" t="n"/>
      <c r="O54" s="680" t="n"/>
      <c r="P54" s="796" t="n"/>
      <c r="Q54" s="680" t="n"/>
      <c r="R54" s="796" t="n"/>
      <c r="S54" s="680" t="n"/>
      <c r="T54" s="796" t="n"/>
      <c r="U54" s="680" t="n"/>
      <c r="V54" s="796" t="n"/>
      <c r="W54" s="680" t="n"/>
      <c r="X54" s="796" t="n"/>
      <c r="Y54" s="680" t="n"/>
      <c r="Z54" s="796" t="n"/>
      <c r="AA54" s="680" t="n"/>
      <c r="AB54" s="796" t="n"/>
      <c r="AC54" s="680" t="n"/>
      <c r="AD54" s="796" t="n"/>
      <c r="AE54" s="680" t="n"/>
      <c r="AF54" s="796" t="n"/>
      <c r="AG54" s="680" t="n"/>
      <c r="AH54" s="796" t="n"/>
      <c r="AI54" s="680" t="n"/>
      <c r="AJ54" s="796" t="n"/>
      <c r="AK54" s="680" t="n"/>
      <c r="AL54" s="796" t="n"/>
      <c r="AM54" s="680" t="n"/>
      <c r="AN54" s="796" t="n"/>
      <c r="AO54" s="680" t="n"/>
      <c r="AP54" s="798" t="n"/>
      <c r="AQ54" s="645" t="n">
        <v>-6900000</v>
      </c>
      <c r="AR54" s="796" t="n"/>
      <c r="AS54" s="680" t="n"/>
      <c r="AT54" s="796" t="n"/>
      <c r="AU54" s="680" t="n"/>
      <c r="AV54" s="796" t="n"/>
      <c r="AW54" s="680" t="n"/>
      <c r="AX54" s="796" t="n"/>
      <c r="AY54" s="680" t="n"/>
      <c r="AZ54" s="796" t="n"/>
      <c r="BA54" s="608">
        <f>K54+M54+O54+Q54+S54+U54+W54+Y54+AA54+AC54+AE54+AG54+AI54+AK54+AM54+AO54+AQ54+AS54+AU54+AW54+AY54</f>
        <v/>
      </c>
      <c r="BB54" s="608">
        <f>L54+N54+P54+R54+T54+V54+X54+Z54+AB54+AD54+AF54+AH54+AJ54+AL54+AN54+AP54+AR54+AT54+AV54+AX54+AZ54</f>
        <v/>
      </c>
      <c r="BC54" s="602">
        <f>BA54-BB54</f>
        <v/>
      </c>
    </row>
    <row r="55">
      <c r="A55" s="651" t="inlineStr">
        <is>
          <t>Итого по банку</t>
        </is>
      </c>
      <c r="B55" s="652" t="inlineStr">
        <is>
          <t>Расход</t>
        </is>
      </c>
      <c r="C55" s="650" t="n">
        <v>0</v>
      </c>
      <c r="D55" s="650">
        <f>SUM(D30:D54)</f>
        <v/>
      </c>
      <c r="E55" s="650">
        <f>SUM(E30:E54)</f>
        <v/>
      </c>
      <c r="F55" s="650">
        <f>SUM(F30:F54)</f>
        <v/>
      </c>
      <c r="G55" s="650">
        <f>SUM(G30:G54)</f>
        <v/>
      </c>
      <c r="H55" s="650">
        <f>SUM(H30:H54)</f>
        <v/>
      </c>
      <c r="I55" s="650">
        <f>SUM(I30:I54)</f>
        <v/>
      </c>
      <c r="J55" s="650">
        <f>SUM(J30:J54)</f>
        <v/>
      </c>
      <c r="K55" s="650">
        <f>SUM(K30:K54)</f>
        <v/>
      </c>
      <c r="L55" s="650">
        <f>SUM(L30:L54)</f>
        <v/>
      </c>
      <c r="M55" s="650">
        <f>SUM(M30:M54)</f>
        <v/>
      </c>
      <c r="N55" s="650">
        <f>SUM(N30:N54)</f>
        <v/>
      </c>
      <c r="O55" s="650">
        <f>SUM(O30:O54)</f>
        <v/>
      </c>
      <c r="P55" s="650">
        <f>SUM(P30:P54)</f>
        <v/>
      </c>
      <c r="Q55" s="650">
        <f>SUM(Q30:Q54)</f>
        <v/>
      </c>
      <c r="R55" s="650">
        <f>SUM(R30:R54)</f>
        <v/>
      </c>
      <c r="S55" s="650">
        <f>SUM(S30:S54)</f>
        <v/>
      </c>
      <c r="T55" s="650">
        <f>SUM(T30:T54)</f>
        <v/>
      </c>
      <c r="U55" s="650">
        <f>SUM(U30:U54)</f>
        <v/>
      </c>
      <c r="V55" s="650">
        <f>SUM(V30:V54)</f>
        <v/>
      </c>
      <c r="W55" s="650">
        <f>SUM(W30:W54)</f>
        <v/>
      </c>
      <c r="X55" s="650">
        <f>SUM(X30:X54)</f>
        <v/>
      </c>
      <c r="Y55" s="650">
        <f>SUM(Y30:Y54)</f>
        <v/>
      </c>
      <c r="Z55" s="650">
        <f>SUM(Z30:Z54)</f>
        <v/>
      </c>
      <c r="AA55" s="650">
        <f>SUM(AA30:AA54)</f>
        <v/>
      </c>
      <c r="AB55" s="650">
        <f>SUM(AB30:AB54)</f>
        <v/>
      </c>
      <c r="AC55" s="650">
        <f>SUM(AC30:AC54)</f>
        <v/>
      </c>
      <c r="AD55" s="650">
        <f>SUM(AD30:AD54)</f>
        <v/>
      </c>
      <c r="AE55" s="650">
        <f>SUM(AE30:AE54)</f>
        <v/>
      </c>
      <c r="AF55" s="650">
        <f>SUM(AF30:AF54)</f>
        <v/>
      </c>
      <c r="AG55" s="650">
        <f>SUM(AG30:AG54)</f>
        <v/>
      </c>
      <c r="AH55" s="650">
        <f>SUM(AH30:AH54)</f>
        <v/>
      </c>
      <c r="AI55" s="650">
        <f>SUM(AI30:AI54)</f>
        <v/>
      </c>
      <c r="AJ55" s="650">
        <f>SUM(AJ30:AJ54)</f>
        <v/>
      </c>
      <c r="AK55" s="650">
        <f>SUM(AK30:AK54)</f>
        <v/>
      </c>
      <c r="AL55" s="650">
        <f>SUM(AL30:AL54)</f>
        <v/>
      </c>
      <c r="AM55" s="650">
        <f>SUM(AM30:AM54)</f>
        <v/>
      </c>
      <c r="AN55" s="650">
        <f>SUM(AN30:AN54)</f>
        <v/>
      </c>
      <c r="AO55" s="650">
        <f>SUM(AO30:AO54)</f>
        <v/>
      </c>
      <c r="AP55" s="650">
        <f>SUM(AP30:AP54)</f>
        <v/>
      </c>
      <c r="AQ55" s="650">
        <f>SUM(AQ30:AQ54)</f>
        <v/>
      </c>
      <c r="AR55" s="650">
        <f>SUM(AR30:AR54)</f>
        <v/>
      </c>
      <c r="AS55" s="650">
        <f>SUM(AS30:AS54)</f>
        <v/>
      </c>
      <c r="AT55" s="650">
        <f>SUM(AT30:AT54)</f>
        <v/>
      </c>
      <c r="AU55" s="650">
        <f>SUM(AU30:AU54)</f>
        <v/>
      </c>
      <c r="AV55" s="650">
        <f>SUM(AV30:AV54)</f>
        <v/>
      </c>
      <c r="AW55" s="650">
        <f>SUM(AW30:AW54)</f>
        <v/>
      </c>
      <c r="AX55" s="650">
        <f>SUM(AX30:AX54)</f>
        <v/>
      </c>
      <c r="AY55" s="650">
        <f>SUM(AY30:AY54)</f>
        <v/>
      </c>
      <c r="AZ55" s="650">
        <f>SUM(AZ30:AZ54)</f>
        <v/>
      </c>
      <c r="BA55" s="653">
        <f>K55+M55+O55+Q55+S55+U55+W55+Y55+AA55+AC55+AE55+AG55+AI55+AK55+AM55+AO55+AQ55+AS55+AU55+AW55+AY55</f>
        <v/>
      </c>
      <c r="BB55" s="653">
        <f>L55+N55+P55+R55+T55+V55+X55+Z55+AB55+AD55+AF55+AH55+AJ55+AL55+AN55+AP55+AR55+AT55+AV55+AX55+AZ55</f>
        <v/>
      </c>
      <c r="BC55" s="654">
        <f>BA55-BB55</f>
        <v/>
      </c>
    </row>
    <row r="56">
      <c r="A56" s="633" t="inlineStr">
        <is>
          <t>Подотчет (Рынок сырье, Рынок ТМЦ)</t>
        </is>
      </c>
      <c r="B56" s="604" t="inlineStr">
        <is>
          <t>Расход</t>
        </is>
      </c>
      <c r="C56" s="680" t="n"/>
      <c r="D56" s="796" t="n"/>
      <c r="E56" s="680" t="n"/>
      <c r="F56" s="796" t="n"/>
      <c r="G56" s="680" t="n"/>
      <c r="H56" s="804">
        <f>-500000</f>
        <v/>
      </c>
      <c r="I56" s="649" t="n">
        <v>-500000</v>
      </c>
      <c r="J56" s="796" t="n"/>
      <c r="K56" s="649" t="n">
        <v>-500000</v>
      </c>
      <c r="L56" s="796" t="n"/>
      <c r="M56" s="649" t="n">
        <v>-300000</v>
      </c>
      <c r="N56" s="798" t="n"/>
      <c r="O56" s="649" t="n"/>
      <c r="P56" s="796" t="n"/>
      <c r="Q56" s="649" t="n"/>
      <c r="R56" s="796" t="n"/>
      <c r="S56" s="649" t="n">
        <v>-500000</v>
      </c>
      <c r="T56" s="796" t="n"/>
      <c r="U56" s="649" t="n">
        <v>-500000</v>
      </c>
      <c r="V56" s="796" t="n"/>
      <c r="W56" s="649" t="n">
        <v>-500000</v>
      </c>
      <c r="X56" s="796" t="n"/>
      <c r="Y56" s="649" t="n"/>
      <c r="Z56" s="796" t="n"/>
      <c r="AA56" s="649" t="n"/>
      <c r="AB56" s="796" t="n"/>
      <c r="AC56" s="649" t="n">
        <v>-500000</v>
      </c>
      <c r="AD56" s="796" t="n"/>
      <c r="AE56" s="649" t="n">
        <v>-500000</v>
      </c>
      <c r="AF56" s="796" t="n"/>
      <c r="AG56" s="680" t="n"/>
      <c r="AH56" s="796" t="n"/>
      <c r="AI56" s="649" t="n"/>
      <c r="AJ56" s="796" t="n"/>
      <c r="AK56" s="649" t="n"/>
      <c r="AL56" s="796" t="n"/>
      <c r="AM56" s="649" t="n">
        <v>-800000</v>
      </c>
      <c r="AN56" s="796" t="n"/>
      <c r="AO56" s="680" t="n"/>
      <c r="AP56" s="798" t="n"/>
      <c r="AQ56" s="649" t="n"/>
      <c r="AR56" s="796" t="n"/>
      <c r="AS56" s="649" t="n"/>
      <c r="AT56" s="796" t="n"/>
      <c r="AU56" s="649" t="n"/>
      <c r="AV56" s="796" t="n"/>
      <c r="AW56" s="649" t="n">
        <v>-500000</v>
      </c>
      <c r="AX56" s="796" t="n"/>
      <c r="AY56" s="649" t="n">
        <v>-500000</v>
      </c>
      <c r="AZ56" s="796" t="n"/>
      <c r="BA56" s="608">
        <f>K56+M56+O56+Q56+S56+U56+W56+Y56+AA56+AC56+AE56+AG56+AI56+AK56+AM56+AO56+AQ56+AS56+AU56+AW56+AY56</f>
        <v/>
      </c>
      <c r="BB56" s="608">
        <f>L56+N56+P56+R56+T56+V56+X56+Z56+AB56+AD56+AF56+AH56+AJ56+AL56+AN56+AP56+AR56+AT56+AV56+AX56+AZ56</f>
        <v/>
      </c>
      <c r="BC56" s="602">
        <f>BA56-BB56</f>
        <v/>
      </c>
    </row>
    <row r="57">
      <c r="A57" s="633" t="inlineStr">
        <is>
          <t>Административные расходы</t>
        </is>
      </c>
      <c r="B57" s="604" t="inlineStr">
        <is>
          <t>Расход</t>
        </is>
      </c>
      <c r="C57" s="680" t="n"/>
      <c r="D57" s="796" t="n"/>
      <c r="E57" s="680" t="n"/>
      <c r="F57" s="796" t="n"/>
      <c r="G57" s="680" t="n"/>
      <c r="H57" s="804">
        <f>-2580</f>
        <v/>
      </c>
      <c r="I57" s="805" t="n">
        <v>-109000</v>
      </c>
      <c r="J57" s="796" t="n"/>
      <c r="K57" s="649" t="n"/>
      <c r="L57" s="804" t="n"/>
      <c r="M57" s="680" t="n"/>
      <c r="N57" s="806" t="n"/>
      <c r="O57" s="649" t="n">
        <v>-55000</v>
      </c>
      <c r="P57" s="796" t="n"/>
      <c r="Q57" s="642" t="n">
        <v>-55000</v>
      </c>
      <c r="R57" s="796" t="n"/>
      <c r="S57" s="642" t="n">
        <v>-55000</v>
      </c>
      <c r="T57" s="796" t="n"/>
      <c r="U57" s="642" t="n">
        <v>-55000</v>
      </c>
      <c r="V57" s="796" t="n"/>
      <c r="W57" s="642" t="n">
        <v>-30000</v>
      </c>
      <c r="X57" s="796" t="n"/>
      <c r="Y57" s="642" t="n">
        <v>-55000</v>
      </c>
      <c r="Z57" s="796" t="n"/>
      <c r="AA57" s="642" t="n">
        <v>-55000</v>
      </c>
      <c r="AB57" s="796" t="n"/>
      <c r="AC57" s="642" t="n">
        <v>-55000</v>
      </c>
      <c r="AD57" s="796" t="n"/>
      <c r="AE57" s="642" t="n">
        <v>-55000</v>
      </c>
      <c r="AF57" s="796" t="n"/>
      <c r="AG57" s="642" t="n">
        <v>-55000</v>
      </c>
      <c r="AH57" s="796" t="n"/>
      <c r="AI57" s="642" t="n">
        <v>-55000</v>
      </c>
      <c r="AJ57" s="796" t="n"/>
      <c r="AK57" s="642" t="n">
        <v>-55000</v>
      </c>
      <c r="AL57" s="796" t="n"/>
      <c r="AM57" s="642" t="n">
        <v>-55000</v>
      </c>
      <c r="AN57" s="798" t="n"/>
      <c r="AO57" s="642" t="n">
        <v>-55000</v>
      </c>
      <c r="AP57" s="796" t="n"/>
      <c r="AQ57" s="642" t="n">
        <v>-55000</v>
      </c>
      <c r="AR57" s="796" t="n"/>
      <c r="AS57" s="642" t="n">
        <v>-55000</v>
      </c>
      <c r="AT57" s="796" t="n"/>
      <c r="AU57" s="642" t="n">
        <v>-55000</v>
      </c>
      <c r="AV57" s="796" t="n"/>
      <c r="AW57" s="642" t="n">
        <v>-55000</v>
      </c>
      <c r="AX57" s="796" t="n"/>
      <c r="AY57" s="680" t="n"/>
      <c r="AZ57" s="796" t="n"/>
      <c r="BA57" s="608">
        <f>K57+M57+O57+Q57+S57+U57+W57+Y57+AA57+AC57+AE57+AG57+AI57+AK57+AM57+AO57+AQ57+AS57+AU57+AW57+AY57</f>
        <v/>
      </c>
      <c r="BB57" s="608">
        <f>L57+N57+P57+R57+T57+V57+X57+Z57+AB57+AD57+AF57+AH57+AJ57+AL57+AN57+AP57+AR57+AT57+AV57+AX57+AZ57</f>
        <v/>
      </c>
      <c r="BC57" s="602">
        <f>BA57-BB57</f>
        <v/>
      </c>
    </row>
    <row r="58">
      <c r="A58" s="633" t="inlineStr">
        <is>
          <t>Представительские расходы</t>
        </is>
      </c>
      <c r="B58" s="604" t="inlineStr">
        <is>
          <t>Расход</t>
        </is>
      </c>
      <c r="C58" s="680" t="n"/>
      <c r="D58" s="796" t="n"/>
      <c r="E58" s="680" t="n"/>
      <c r="F58" s="796" t="n"/>
      <c r="G58" s="680" t="n"/>
      <c r="H58" s="796" t="n"/>
      <c r="I58" s="680" t="n"/>
      <c r="J58" s="796" t="n"/>
      <c r="K58" s="649" t="n">
        <v>-60329</v>
      </c>
      <c r="L58" s="796" t="n"/>
      <c r="M58" s="680" t="n"/>
      <c r="N58" s="798" t="n"/>
      <c r="O58" s="680" t="n"/>
      <c r="P58" s="796" t="n"/>
      <c r="Q58" s="680" t="n"/>
      <c r="R58" s="796" t="n"/>
      <c r="S58" s="680" t="n"/>
      <c r="T58" s="796" t="n"/>
      <c r="U58" s="680" t="n"/>
      <c r="V58" s="796" t="n"/>
      <c r="W58" s="680" t="n"/>
      <c r="X58" s="796" t="n"/>
      <c r="Y58" s="680" t="n"/>
      <c r="Z58" s="796" t="n"/>
      <c r="AA58" s="680" t="n"/>
      <c r="AB58" s="796" t="n"/>
      <c r="AC58" s="680" t="n"/>
      <c r="AD58" s="796" t="n"/>
      <c r="AE58" s="680" t="n"/>
      <c r="AF58" s="796" t="n"/>
      <c r="AG58" s="680" t="n"/>
      <c r="AH58" s="796" t="n"/>
      <c r="AI58" s="680" t="n"/>
      <c r="AJ58" s="796" t="n"/>
      <c r="AK58" s="680" t="n"/>
      <c r="AL58" s="796" t="n"/>
      <c r="AM58" s="680" t="n"/>
      <c r="AN58" s="796" t="n"/>
      <c r="AO58" s="680" t="n"/>
      <c r="AP58" s="798" t="n"/>
      <c r="AQ58" s="680" t="n"/>
      <c r="AR58" s="796" t="n"/>
      <c r="AS58" s="680" t="n"/>
      <c r="AT58" s="796" t="n"/>
      <c r="AU58" s="680" t="n"/>
      <c r="AV58" s="796" t="n"/>
      <c r="AW58" s="680" t="n"/>
      <c r="AX58" s="796" t="n"/>
      <c r="AY58" s="680" t="n"/>
      <c r="AZ58" s="796" t="n"/>
      <c r="BA58" s="608">
        <f>K58+M58+O58+Q58+S58+U58+W58+Y58+AA58+AC58+AE58+AG58+AI58+AK58+AM58+AO58+AQ58+AS58+AU58+AW58+AY58</f>
        <v/>
      </c>
      <c r="BB58" s="608">
        <f>L58+N58+P58+R58+T58+V58+X58+Z58+AB58+AD58+AF58+AH58+AJ58+AL58+AN58+AP58+AR58+AT58+AV58+AX58+AZ58</f>
        <v/>
      </c>
      <c r="BC58" s="602">
        <f>BA58-BB58</f>
        <v/>
      </c>
    </row>
    <row r="59">
      <c r="A59" s="633" t="inlineStr">
        <is>
          <t>Аренда квартир</t>
        </is>
      </c>
      <c r="B59" s="604" t="inlineStr">
        <is>
          <t>Расход</t>
        </is>
      </c>
      <c r="C59" s="680" t="n"/>
      <c r="D59" s="796" t="n"/>
      <c r="E59" s="680" t="n"/>
      <c r="F59" s="796" t="n"/>
      <c r="G59" s="680" t="n"/>
      <c r="H59" s="796" t="n"/>
      <c r="I59" s="680" t="n"/>
      <c r="J59" s="796" t="n"/>
      <c r="K59" s="680" t="n"/>
      <c r="L59" s="796" t="n"/>
      <c r="M59" s="680" t="n"/>
      <c r="N59" s="798" t="n"/>
      <c r="O59" s="680" t="n"/>
      <c r="P59" s="796" t="n"/>
      <c r="Q59" s="680" t="n"/>
      <c r="R59" s="796" t="n"/>
      <c r="S59" s="680" t="n"/>
      <c r="T59" s="796" t="n"/>
      <c r="U59" s="680" t="n"/>
      <c r="V59" s="796" t="n"/>
      <c r="W59" s="645">
        <f>-175000-300000</f>
        <v/>
      </c>
      <c r="X59" s="796" t="n"/>
      <c r="Y59" s="649" t="n">
        <v>-500000</v>
      </c>
      <c r="Z59" s="796" t="n"/>
      <c r="AA59" s="680" t="n"/>
      <c r="AB59" s="796" t="n"/>
      <c r="AC59" s="680" t="n"/>
      <c r="AD59" s="796" t="n"/>
      <c r="AE59" s="649" t="n">
        <v>-500000</v>
      </c>
      <c r="AF59" s="796" t="n"/>
      <c r="AG59" s="680" t="n"/>
      <c r="AH59" s="796" t="n"/>
      <c r="AI59" s="680" t="n"/>
      <c r="AJ59" s="796" t="n"/>
      <c r="AK59" s="680" t="n"/>
      <c r="AL59" s="796" t="n"/>
      <c r="AM59" s="645" t="n">
        <v>-350149</v>
      </c>
      <c r="AN59" s="796" t="n"/>
      <c r="AO59" s="680" t="n"/>
      <c r="AP59" s="798" t="n"/>
      <c r="AQ59" s="680" t="n"/>
      <c r="AR59" s="796" t="n"/>
      <c r="AS59" s="680" t="n"/>
      <c r="AT59" s="796" t="n"/>
      <c r="AU59" s="680" t="n"/>
      <c r="AV59" s="796" t="n"/>
      <c r="AW59" s="680" t="n"/>
      <c r="AX59" s="796" t="n"/>
      <c r="AY59" s="680" t="n"/>
      <c r="AZ59" s="796" t="n"/>
      <c r="BA59" s="608">
        <f>K59+M59+O59+Q59+S59+U59+W59+Y59+AA59+AC59+AE59+AG59+AI59+AK59+AM59+AO59+AQ59+AS59+AU59+AW59+AY59</f>
        <v/>
      </c>
      <c r="BB59" s="608">
        <f>L59+N59+P59+R59+T59+V59+X59+Z59+AB59+AD59+AF59+AH59+AJ59+AL59+AN59+AP59+AR59+AT59+AV59+AX59+AZ59</f>
        <v/>
      </c>
      <c r="BC59" s="602">
        <f>BA59-BB59</f>
        <v/>
      </c>
    </row>
    <row r="60">
      <c r="A60" s="633" t="inlineStr">
        <is>
          <t>Налоги и другие платежи в бюджет</t>
        </is>
      </c>
      <c r="B60" s="604" t="inlineStr">
        <is>
          <t>Расход</t>
        </is>
      </c>
      <c r="C60" s="680" t="n"/>
      <c r="D60" s="796" t="n"/>
      <c r="E60" s="680" t="n"/>
      <c r="F60" s="807" t="n">
        <v>-746</v>
      </c>
      <c r="G60" s="680" t="n"/>
      <c r="H60" s="796" t="n"/>
      <c r="I60" s="680" t="n"/>
      <c r="J60" s="796" t="n"/>
      <c r="K60" s="680" t="n"/>
      <c r="L60" s="796" t="n"/>
      <c r="M60" s="680" t="n"/>
      <c r="N60" s="798" t="n"/>
      <c r="O60" s="680" t="n"/>
      <c r="P60" s="796" t="n"/>
      <c r="Q60" s="680" t="n"/>
      <c r="R60" s="796" t="n"/>
      <c r="S60" s="680" t="n"/>
      <c r="T60" s="796" t="n"/>
      <c r="U60" s="680" t="n"/>
      <c r="V60" s="796" t="n"/>
      <c r="W60" s="680" t="n"/>
      <c r="X60" s="796" t="n"/>
      <c r="Y60" s="680" t="n"/>
      <c r="Z60" s="796" t="n"/>
      <c r="AA60" s="680" t="n"/>
      <c r="AB60" s="796" t="n"/>
      <c r="AC60" s="680" t="n"/>
      <c r="AD60" s="796" t="n"/>
      <c r="AE60" s="680" t="n"/>
      <c r="AF60" s="796" t="n"/>
      <c r="AG60" s="680" t="n"/>
      <c r="AH60" s="796" t="n"/>
      <c r="AI60" s="680" t="n"/>
      <c r="AJ60" s="796" t="n"/>
      <c r="AK60" s="680" t="n"/>
      <c r="AL60" s="796" t="n"/>
      <c r="AM60" s="680" t="n"/>
      <c r="AN60" s="796" t="n"/>
      <c r="AO60" s="680" t="n"/>
      <c r="AP60" s="798" t="n"/>
      <c r="AQ60" s="680" t="n"/>
      <c r="AR60" s="796" t="n"/>
      <c r="AS60" s="680" t="n"/>
      <c r="AT60" s="796" t="n"/>
      <c r="AU60" s="680" t="n"/>
      <c r="AV60" s="796" t="n"/>
      <c r="AW60" s="680" t="n"/>
      <c r="AX60" s="796" t="n"/>
      <c r="AY60" s="680" t="n"/>
      <c r="AZ60" s="796" t="n"/>
      <c r="BA60" s="608">
        <f>K60+M60+O60+Q60+S60+U60+W60+Y60+AA60+AC60+AE60+AG60+AI60+AK60+AM60+AO60+AQ60+AS60+AU60+AW60+AY60</f>
        <v/>
      </c>
      <c r="BB60" s="608">
        <f>L60+N60+P60+R60+T60+V60+X60+Z60+AB60+AD60+AF60+AH60+AJ60+AL60+AN60+AP60+AR60+AT60+AV60+AX60+AZ60</f>
        <v/>
      </c>
      <c r="BC60" s="602">
        <f>BA60-BB60</f>
        <v/>
      </c>
    </row>
    <row r="61">
      <c r="A61" s="633" t="inlineStr">
        <is>
          <t>Маркетинг</t>
        </is>
      </c>
      <c r="B61" s="604" t="inlineStr">
        <is>
          <t>Расход</t>
        </is>
      </c>
      <c r="C61" s="680" t="n"/>
      <c r="D61" s="796" t="n"/>
      <c r="E61" s="680" t="n"/>
      <c r="F61" s="796" t="n"/>
      <c r="G61" s="680" t="n"/>
      <c r="H61" s="796" t="n"/>
      <c r="I61" s="680" t="n"/>
      <c r="J61" s="796" t="n"/>
      <c r="K61" s="680" t="n"/>
      <c r="L61" s="796" t="n"/>
      <c r="M61" s="680" t="n"/>
      <c r="N61" s="798" t="n"/>
      <c r="O61" s="680" t="n"/>
      <c r="P61" s="796" t="n"/>
      <c r="Q61" s="680" t="n"/>
      <c r="R61" s="796" t="n"/>
      <c r="S61" s="649" t="n">
        <v>-450000</v>
      </c>
      <c r="T61" s="796" t="n"/>
      <c r="U61" s="680" t="n"/>
      <c r="V61" s="796" t="n"/>
      <c r="W61" s="680" t="n"/>
      <c r="X61" s="796" t="n"/>
      <c r="Y61" s="680" t="n"/>
      <c r="Z61" s="796" t="n"/>
      <c r="AA61" s="680" t="n"/>
      <c r="AB61" s="796" t="n"/>
      <c r="AC61" s="680" t="n"/>
      <c r="AD61" s="796" t="n"/>
      <c r="AE61" s="680" t="n"/>
      <c r="AF61" s="796" t="n"/>
      <c r="AG61" s="680" t="n"/>
      <c r="AH61" s="796" t="n"/>
      <c r="AI61" s="680" t="n"/>
      <c r="AJ61" s="796" t="n"/>
      <c r="AK61" s="680" t="n"/>
      <c r="AL61" s="796" t="n"/>
      <c r="AM61" s="680" t="n"/>
      <c r="AN61" s="796" t="n"/>
      <c r="AO61" s="680" t="n"/>
      <c r="AP61" s="798" t="n"/>
      <c r="AQ61" s="680" t="n"/>
      <c r="AR61" s="796" t="n"/>
      <c r="AS61" s="680" t="n"/>
      <c r="AT61" s="796" t="n"/>
      <c r="AU61" s="680" t="n"/>
      <c r="AV61" s="796" t="n"/>
      <c r="AW61" s="680" t="n"/>
      <c r="AX61" s="796" t="n"/>
      <c r="AY61" s="680" t="n"/>
      <c r="AZ61" s="796" t="n"/>
      <c r="BA61" s="608">
        <f>K61+M61+O61+Q61+S61+U61+W61+Y61+AA61+AC61+AE61+AG61+AI61+AK61+AM61+AO61+AQ61+AS61+AU61+AW61+AY61</f>
        <v/>
      </c>
      <c r="BB61" s="608">
        <f>L61+N61+P61+R61+T61+V61+X61+Z61+AB61+AD61+AF61+AH61+AJ61+AL61+AN61+AP61+AR61+AT61+AV61+AX61+AZ61</f>
        <v/>
      </c>
      <c r="BC61" s="602">
        <f>BA61-BB61</f>
        <v/>
      </c>
    </row>
    <row r="62">
      <c r="A62" s="633" t="inlineStr">
        <is>
          <t>Оплата труда</t>
        </is>
      </c>
      <c r="B62" s="604" t="inlineStr">
        <is>
          <t>Расход</t>
        </is>
      </c>
      <c r="C62" s="680" t="n"/>
      <c r="D62" s="796" t="n"/>
      <c r="E62" s="680" t="n"/>
      <c r="F62" s="796" t="n"/>
      <c r="G62" s="680" t="n"/>
      <c r="H62" s="804">
        <f>-100000-40000</f>
        <v/>
      </c>
      <c r="I62" s="680" t="n"/>
      <c r="J62" s="804" t="n">
        <v>-1261000</v>
      </c>
      <c r="K62" s="649" t="n">
        <v>-3000000</v>
      </c>
      <c r="L62" s="804" t="n"/>
      <c r="M62" s="649" t="n">
        <v>-3000000</v>
      </c>
      <c r="N62" s="798" t="n"/>
      <c r="O62" s="649" t="n">
        <v>-3000000</v>
      </c>
      <c r="P62" s="796" t="n"/>
      <c r="Q62" s="649" t="n"/>
      <c r="R62" s="796" t="n"/>
      <c r="S62" s="810" t="n">
        <v>-10000000</v>
      </c>
      <c r="T62" s="796" t="n"/>
      <c r="U62" s="649" t="n"/>
      <c r="V62" s="796" t="n"/>
      <c r="W62" s="647" t="n"/>
      <c r="X62" s="796" t="n"/>
      <c r="Y62" s="680" t="n"/>
      <c r="Z62" s="796" t="n"/>
      <c r="AA62" s="649" t="n">
        <v>-2500000</v>
      </c>
      <c r="AB62" s="796" t="n"/>
      <c r="AC62" s="645" t="n">
        <v>-8000000</v>
      </c>
      <c r="AD62" s="796" t="n"/>
      <c r="AE62" s="649" t="n">
        <v>-7000000</v>
      </c>
      <c r="AF62" s="796" t="n"/>
      <c r="AG62" s="680" t="n"/>
      <c r="AH62" s="796" t="n"/>
      <c r="AI62" s="680" t="n"/>
      <c r="AJ62" s="796" t="n"/>
      <c r="AK62" s="680" t="n"/>
      <c r="AL62" s="796" t="n"/>
      <c r="AM62" s="645" t="n">
        <v>-800000</v>
      </c>
      <c r="AN62" s="796" t="n"/>
      <c r="AO62" s="649" t="n">
        <v>-7000000</v>
      </c>
      <c r="AP62" s="798" t="n"/>
      <c r="AQ62" s="649" t="n">
        <v>-5000000</v>
      </c>
      <c r="AR62" s="796" t="n"/>
      <c r="AS62" s="649" t="n">
        <v>-2000000</v>
      </c>
      <c r="AT62" s="796" t="n"/>
      <c r="AU62" s="649" t="n">
        <v>-2000000</v>
      </c>
      <c r="AV62" s="796" t="n"/>
      <c r="AW62" s="647" t="n">
        <v>-3000000</v>
      </c>
      <c r="AX62" s="796" t="n"/>
      <c r="AY62" s="647" t="n">
        <v>-2000000</v>
      </c>
      <c r="AZ62" s="796" t="n"/>
      <c r="BA62" s="608">
        <f>K62+M62+O62+Q62+S62+U62+W62+Y62+AA62+AC62+AE62+AG62+AI62+AK62+AM62+AO62+AQ62+AS62+AU62+AW62+AY62</f>
        <v/>
      </c>
      <c r="BB62" s="608">
        <f>L62+N62+P62+R62+T62+V62+X62+Z62+AB62+AD62+AF62+AH62+AJ62+AL62+AN62+AP62+AR62+AT62+AV62+AX62+AZ62</f>
        <v/>
      </c>
      <c r="BC62" s="602">
        <f>BA62-BB62</f>
        <v/>
      </c>
    </row>
    <row r="63">
      <c r="A63" s="633" t="inlineStr">
        <is>
          <t>Платежи поставщикам Прочее</t>
        </is>
      </c>
      <c r="B63" s="604" t="inlineStr">
        <is>
          <t>Расход</t>
        </is>
      </c>
      <c r="C63" s="680" t="n"/>
      <c r="D63" s="796" t="n"/>
      <c r="E63" s="680" t="n"/>
      <c r="F63" s="796" t="n"/>
      <c r="G63" s="680" t="n"/>
      <c r="H63" s="796" t="n"/>
      <c r="I63" s="680" t="n"/>
      <c r="J63" s="796" t="n"/>
      <c r="K63" s="680" t="n"/>
      <c r="L63" s="796" t="n"/>
      <c r="M63" s="680" t="n"/>
      <c r="N63" s="798" t="n"/>
      <c r="O63" s="680" t="n"/>
      <c r="P63" s="796" t="n"/>
      <c r="Q63" s="680" t="n"/>
      <c r="R63" s="796" t="n"/>
      <c r="S63" s="680" t="n"/>
      <c r="T63" s="796" t="n"/>
      <c r="U63" s="680" t="n"/>
      <c r="V63" s="796" t="n"/>
      <c r="W63" s="680" t="n"/>
      <c r="X63" s="796" t="n"/>
      <c r="Y63" s="680" t="n"/>
      <c r="Z63" s="796" t="n"/>
      <c r="AA63" s="680" t="n"/>
      <c r="AB63" s="796" t="n"/>
      <c r="AC63" s="680" t="n"/>
      <c r="AD63" s="796" t="n"/>
      <c r="AE63" s="680" t="n"/>
      <c r="AF63" s="796" t="n"/>
      <c r="AG63" s="680" t="n"/>
      <c r="AH63" s="796" t="n"/>
      <c r="AI63" s="680" t="n"/>
      <c r="AJ63" s="796" t="n"/>
      <c r="AK63" s="680" t="n"/>
      <c r="AL63" s="796" t="n"/>
      <c r="AM63" s="680" t="n"/>
      <c r="AN63" s="796" t="n"/>
      <c r="AO63" s="680" t="n"/>
      <c r="AP63" s="798" t="n"/>
      <c r="AQ63" s="680" t="n"/>
      <c r="AR63" s="796" t="n"/>
      <c r="AS63" s="680" t="n"/>
      <c r="AT63" s="796" t="n"/>
      <c r="AU63" s="680" t="n"/>
      <c r="AV63" s="796" t="n"/>
      <c r="AW63" s="680" t="n"/>
      <c r="AX63" s="796" t="n"/>
      <c r="AY63" s="680" t="n"/>
      <c r="AZ63" s="796" t="n"/>
      <c r="BA63" s="608">
        <f>K63+M63+O63+Q63+S63+U63+W63+Y63+AA63+AC63+AE63+AG63+AI63+AK63+AM63+AO63+AQ63+AS63+AU63+AW63+AY63</f>
        <v/>
      </c>
      <c r="BB63" s="608">
        <f>L63+N63+P63+R63+T63+V63+X63+Z63+AB63+AD63+AF63+AH63+AJ63+AL63+AN63+AP63+AR63+AT63+AV63+AX63+AZ63</f>
        <v/>
      </c>
      <c r="BC63" s="602">
        <f>BA63-BB63</f>
        <v/>
      </c>
    </row>
    <row r="64">
      <c r="A64" s="633" t="inlineStr">
        <is>
          <t xml:space="preserve">Производственные расходы </t>
        </is>
      </c>
      <c r="B64" s="604" t="inlineStr">
        <is>
          <t>Расход</t>
        </is>
      </c>
      <c r="C64" s="680" t="n"/>
      <c r="D64" s="796" t="n"/>
      <c r="E64" s="680" t="n"/>
      <c r="F64" s="796" t="n"/>
      <c r="G64" s="680" t="n"/>
      <c r="H64" s="796" t="n"/>
      <c r="I64" s="649" t="n">
        <v>-48000</v>
      </c>
      <c r="J64" s="804">
        <f>-48000</f>
        <v/>
      </c>
      <c r="K64" s="680" t="n"/>
      <c r="L64" s="796" t="n"/>
      <c r="M64" s="809" t="n">
        <v>-48000</v>
      </c>
      <c r="N64" s="806" t="n"/>
      <c r="O64" s="680" t="n"/>
      <c r="P64" s="796" t="n"/>
      <c r="Q64" s="680" t="n"/>
      <c r="R64" s="796" t="n"/>
      <c r="S64" s="810" t="n">
        <v>-48000</v>
      </c>
      <c r="T64" s="796" t="n"/>
      <c r="U64" s="680" t="n"/>
      <c r="V64" s="796" t="n"/>
      <c r="W64" s="645" t="n">
        <v>-42000</v>
      </c>
      <c r="X64" s="796" t="n"/>
      <c r="Y64" s="645" t="n">
        <v>-42000</v>
      </c>
      <c r="Z64" s="796" t="n"/>
      <c r="AA64" s="680" t="n"/>
      <c r="AB64" s="796" t="n"/>
      <c r="AC64" s="680" t="n"/>
      <c r="AD64" s="796" t="n"/>
      <c r="AE64" s="680" t="n"/>
      <c r="AF64" s="796" t="n"/>
      <c r="AG64" s="680" t="n"/>
      <c r="AH64" s="796" t="n"/>
      <c r="AI64" s="645" t="n">
        <v>-48000</v>
      </c>
      <c r="AJ64" s="796" t="n"/>
      <c r="AK64" s="680" t="n"/>
      <c r="AL64" s="796" t="n"/>
      <c r="AM64" s="645" t="n">
        <v>-48000</v>
      </c>
      <c r="AN64" s="796" t="n"/>
      <c r="AO64" s="680" t="n"/>
      <c r="AP64" s="798" t="n"/>
      <c r="AQ64" s="680" t="n"/>
      <c r="AR64" s="796" t="n"/>
      <c r="AS64" s="649" t="n">
        <v>-48000</v>
      </c>
      <c r="AT64" s="796" t="n"/>
      <c r="AU64" s="680" t="n"/>
      <c r="AV64" s="796" t="n"/>
      <c r="AW64" s="680" t="n"/>
      <c r="AX64" s="796" t="n"/>
      <c r="AY64" s="680" t="n"/>
      <c r="AZ64" s="796" t="n"/>
      <c r="BA64" s="608">
        <f>K64+M64+O64+Q64+S64+U64+W64+Y64+AA64+AC64+AE64+AG64+AI64+AK64+AM64+AO64+AQ64+AS64+AU64+AW64+AY64</f>
        <v/>
      </c>
      <c r="BB64" s="608">
        <f>L64+N64+P64+R64+T64+V64+X64+Z64+AB64+AD64+AF64+AH64+AJ64+AL64+AN64+AP64+AR64+AT64+AV64+AX64+AZ64</f>
        <v/>
      </c>
      <c r="BC64" s="602">
        <f>BA64-BB64</f>
        <v/>
      </c>
    </row>
    <row r="65">
      <c r="A65" s="633" t="inlineStr">
        <is>
          <t>Инвентарь</t>
        </is>
      </c>
      <c r="B65" s="604" t="inlineStr">
        <is>
          <t>Расход</t>
        </is>
      </c>
      <c r="C65" s="680" t="n"/>
      <c r="D65" s="796" t="n"/>
      <c r="E65" s="680" t="n"/>
      <c r="F65" s="796" t="n"/>
      <c r="G65" s="680" t="n"/>
      <c r="H65" s="796" t="n"/>
      <c r="I65" s="649">
        <f>-15000-69000</f>
        <v/>
      </c>
      <c r="J65" s="796" t="n"/>
      <c r="K65" s="649" t="n">
        <v>-144600</v>
      </c>
      <c r="L65" s="796" t="n"/>
      <c r="M65" s="649">
        <f>-15000-27000</f>
        <v/>
      </c>
      <c r="N65" s="798" t="n"/>
      <c r="O65" s="649" t="n">
        <v>-40000</v>
      </c>
      <c r="P65" s="796" t="n"/>
      <c r="Q65" s="680" t="n"/>
      <c r="R65" s="796" t="n"/>
      <c r="S65" s="680" t="n"/>
      <c r="T65" s="796" t="n"/>
      <c r="U65" s="680" t="n"/>
      <c r="V65" s="796" t="n"/>
      <c r="W65" s="680" t="n"/>
      <c r="X65" s="796" t="n"/>
      <c r="Y65" s="649">
        <f>-116000-19100</f>
        <v/>
      </c>
      <c r="Z65" s="796" t="n"/>
      <c r="AA65" s="680" t="n"/>
      <c r="AB65" s="796" t="n"/>
      <c r="AC65" s="680" t="n"/>
      <c r="AD65" s="796" t="n"/>
      <c r="AE65" s="680" t="n"/>
      <c r="AF65" s="796" t="n"/>
      <c r="AG65" s="680" t="n"/>
      <c r="AH65" s="796" t="n"/>
      <c r="AI65" s="645" t="n">
        <v>-32000</v>
      </c>
      <c r="AJ65" s="796" t="n"/>
      <c r="AK65" s="649" t="n">
        <v>-35000</v>
      </c>
      <c r="AL65" s="796" t="n"/>
      <c r="AM65" s="680" t="n"/>
      <c r="AN65" s="796" t="n"/>
      <c r="AO65" s="680" t="n"/>
      <c r="AP65" s="798" t="n"/>
      <c r="AQ65" s="680" t="n"/>
      <c r="AR65" s="796" t="n"/>
      <c r="AS65" s="680" t="n"/>
      <c r="AT65" s="796" t="n"/>
      <c r="AU65" s="680" t="n"/>
      <c r="AV65" s="796" t="n"/>
      <c r="AW65" s="680" t="n"/>
      <c r="AX65" s="796" t="n"/>
      <c r="AY65" s="680" t="n"/>
      <c r="AZ65" s="796" t="n"/>
      <c r="BA65" s="608">
        <f>K65+M65+O65+Q65+S65+U65+W65+Y65+AA65+AC65+AE65+AG65+AI65+AK65+AM65+AO65+AQ65+AS65+AU65+AW65+AY65</f>
        <v/>
      </c>
      <c r="BB65" s="608">
        <f>L65+N65+P65+R65+T65+V65+X65+Z65+AB65+AD65+AF65+AH65+AJ65+AL65+AN65+AP65+AR65+AT65+AV65+AX65+AZ65</f>
        <v/>
      </c>
      <c r="BC65" s="602">
        <f>BA65-BB65</f>
        <v/>
      </c>
    </row>
    <row r="66">
      <c r="A66" s="633" t="inlineStr">
        <is>
          <t>Погашение кредита и %%</t>
        </is>
      </c>
      <c r="B66" s="604" t="inlineStr">
        <is>
          <t>Расход</t>
        </is>
      </c>
      <c r="C66" s="680" t="n"/>
      <c r="D66" s="796" t="n"/>
      <c r="E66" s="680" t="n"/>
      <c r="F66" s="796" t="n"/>
      <c r="G66" s="680" t="n"/>
      <c r="H66" s="796" t="n"/>
      <c r="I66" s="680" t="n"/>
      <c r="J66" s="796" t="n"/>
      <c r="K66" s="680" t="n"/>
      <c r="L66" s="796" t="n"/>
      <c r="M66" s="680" t="n"/>
      <c r="N66" s="798" t="n"/>
      <c r="O66" s="680" t="n"/>
      <c r="P66" s="796" t="n"/>
      <c r="Q66" s="680" t="n"/>
      <c r="R66" s="796" t="n"/>
      <c r="S66" s="680" t="n"/>
      <c r="T66" s="796" t="n"/>
      <c r="U66" s="680" t="n"/>
      <c r="V66" s="796" t="n"/>
      <c r="W66" s="680" t="n"/>
      <c r="X66" s="796" t="n"/>
      <c r="Y66" s="680" t="n"/>
      <c r="Z66" s="796" t="n"/>
      <c r="AA66" s="680" t="n"/>
      <c r="AB66" s="796" t="n"/>
      <c r="AC66" s="680" t="n"/>
      <c r="AD66" s="796" t="n"/>
      <c r="AE66" s="680" t="n"/>
      <c r="AF66" s="796" t="n"/>
      <c r="AG66" s="680" t="n"/>
      <c r="AH66" s="796" t="n"/>
      <c r="AI66" s="680" t="n"/>
      <c r="AJ66" s="796" t="n"/>
      <c r="AK66" s="680" t="n"/>
      <c r="AL66" s="796" t="n"/>
      <c r="AM66" s="680" t="n"/>
      <c r="AN66" s="796" t="n"/>
      <c r="AO66" s="680" t="n"/>
      <c r="AP66" s="798" t="n"/>
      <c r="AQ66" s="680" t="n"/>
      <c r="AR66" s="796" t="n"/>
      <c r="AS66" s="680" t="n"/>
      <c r="AT66" s="796" t="n"/>
      <c r="AU66" s="680" t="n"/>
      <c r="AV66" s="796" t="n"/>
      <c r="AW66" s="680" t="n"/>
      <c r="AX66" s="796" t="n"/>
      <c r="AY66" s="680" t="n"/>
      <c r="AZ66" s="796" t="n"/>
      <c r="BA66" s="608">
        <f>K66+M66+O66+Q66+S66+U66+W66+Y66+AA66+AC66+AE66+AG66+AI66+AK66+AM66+AO66+AQ66+AS66+AU66+AW66+AY66</f>
        <v/>
      </c>
      <c r="BB66" s="608">
        <f>L66+N66+P66+R66+T66+V66+X66+Z66+AB66+AD66+AF66+AH66+AJ66+AL66+AN66+AP66+AR66+AT66+AV66+AX66+AZ66</f>
        <v/>
      </c>
      <c r="BC66" s="602">
        <f>BA66-BB66</f>
        <v/>
      </c>
    </row>
    <row r="67">
      <c r="A67" s="633" t="inlineStr">
        <is>
          <t>Хоз.товара</t>
        </is>
      </c>
      <c r="B67" s="604" t="inlineStr">
        <is>
          <t>Расход</t>
        </is>
      </c>
      <c r="C67" s="680" t="n"/>
      <c r="D67" s="796" t="n"/>
      <c r="E67" s="680" t="n"/>
      <c r="F67" s="796" t="n"/>
      <c r="G67" s="680" t="n"/>
      <c r="H67" s="796" t="n"/>
      <c r="I67" s="680" t="n"/>
      <c r="J67" s="796" t="n"/>
      <c r="K67" s="680" t="n"/>
      <c r="L67" s="796" t="n"/>
      <c r="M67" s="680" t="n"/>
      <c r="N67" s="798" t="n"/>
      <c r="O67" s="680" t="n"/>
      <c r="P67" s="796" t="n"/>
      <c r="Q67" s="680" t="n"/>
      <c r="R67" s="796" t="n"/>
      <c r="S67" s="680" t="n"/>
      <c r="T67" s="796" t="n"/>
      <c r="U67" s="680" t="n"/>
      <c r="V67" s="796" t="n"/>
      <c r="W67" s="680" t="n"/>
      <c r="X67" s="796" t="n"/>
      <c r="Y67" s="680" t="n"/>
      <c r="Z67" s="796" t="n"/>
      <c r="AA67" s="680" t="n"/>
      <c r="AB67" s="796" t="n"/>
      <c r="AC67" s="680" t="n"/>
      <c r="AD67" s="796" t="n"/>
      <c r="AE67" s="680" t="n"/>
      <c r="AF67" s="796" t="n"/>
      <c r="AG67" s="680" t="n"/>
      <c r="AH67" s="796" t="n"/>
      <c r="AI67" s="680" t="n"/>
      <c r="AJ67" s="796" t="n"/>
      <c r="AK67" s="680" t="n"/>
      <c r="AL67" s="796" t="n"/>
      <c r="AM67" s="680" t="n"/>
      <c r="AN67" s="796" t="n"/>
      <c r="AO67" s="680" t="n"/>
      <c r="AP67" s="798" t="n"/>
      <c r="AQ67" s="680" t="n"/>
      <c r="AR67" s="796" t="n"/>
      <c r="AS67" s="680" t="n"/>
      <c r="AT67" s="796" t="n"/>
      <c r="AU67" s="680" t="n"/>
      <c r="AV67" s="796" t="n"/>
      <c r="AW67" s="680" t="n"/>
      <c r="AX67" s="796" t="n"/>
      <c r="AY67" s="680" t="n"/>
      <c r="AZ67" s="796" t="n"/>
      <c r="BA67" s="608">
        <f>K67+M67+O67+Q67+S67+U67+W67+Y67+AA67+AC67+AE67+AG67+AI67+AK67+AM67+AO67+AQ67+AS67+AU67+AW67+AY67</f>
        <v/>
      </c>
      <c r="BB67" s="608">
        <f>L67+N67+P67+R67+T67+V67+X67+Z67+AB67+AD67+AF67+AH67+AJ67+AL67+AN67+AP67+AR67+AT67+AV67+AX67+AZ67</f>
        <v/>
      </c>
      <c r="BC67" s="602">
        <f>BA67-BB67</f>
        <v/>
      </c>
    </row>
    <row r="68">
      <c r="A68" s="633" t="inlineStr">
        <is>
          <t>Канц.товары</t>
        </is>
      </c>
      <c r="B68" s="604" t="inlineStr">
        <is>
          <t>Расход</t>
        </is>
      </c>
      <c r="C68" s="680" t="n"/>
      <c r="D68" s="796" t="n"/>
      <c r="E68" s="680" t="n"/>
      <c r="F68" s="796" t="n"/>
      <c r="G68" s="680" t="n"/>
      <c r="H68" s="796" t="n"/>
      <c r="I68" s="680" t="n"/>
      <c r="J68" s="796" t="n"/>
      <c r="K68" s="680" t="n"/>
      <c r="L68" s="796" t="n"/>
      <c r="M68" s="680" t="n"/>
      <c r="N68" s="798" t="n"/>
      <c r="O68" s="680" t="n"/>
      <c r="P68" s="796" t="n"/>
      <c r="Q68" s="680" t="n"/>
      <c r="R68" s="796" t="n"/>
      <c r="S68" s="680" t="n"/>
      <c r="T68" s="796" t="n"/>
      <c r="U68" s="680" t="n"/>
      <c r="V68" s="796" t="n"/>
      <c r="W68" s="680" t="n"/>
      <c r="X68" s="796" t="n"/>
      <c r="Y68" s="680" t="n"/>
      <c r="Z68" s="796" t="n"/>
      <c r="AA68" s="680" t="n"/>
      <c r="AB68" s="796" t="n"/>
      <c r="AC68" s="680" t="n"/>
      <c r="AD68" s="796" t="n"/>
      <c r="AE68" s="680" t="n"/>
      <c r="AF68" s="796" t="n"/>
      <c r="AG68" s="680" t="n"/>
      <c r="AH68" s="796" t="n"/>
      <c r="AI68" s="680" t="n"/>
      <c r="AJ68" s="796" t="n"/>
      <c r="AK68" s="680" t="n"/>
      <c r="AL68" s="796" t="n"/>
      <c r="AM68" s="680" t="n"/>
      <c r="AN68" s="796" t="n"/>
      <c r="AO68" s="680" t="n"/>
      <c r="AP68" s="798" t="n"/>
      <c r="AQ68" s="680" t="n"/>
      <c r="AR68" s="796" t="n"/>
      <c r="AS68" s="680" t="n"/>
      <c r="AT68" s="796" t="n"/>
      <c r="AU68" s="680" t="n"/>
      <c r="AV68" s="796" t="n"/>
      <c r="AW68" s="680" t="n"/>
      <c r="AX68" s="796" t="n"/>
      <c r="AY68" s="680" t="n"/>
      <c r="AZ68" s="796" t="n"/>
      <c r="BA68" s="608">
        <f>K68+M68+O68+Q68+S68+U68+W68+Y68+AA68+AC68+AE68+AG68+AI68+AK68+AM68+AO68+AQ68+AS68+AU68+AW68+AY68</f>
        <v/>
      </c>
      <c r="BB68" s="608">
        <f>L68+N68+P68+R68+T68+V68+X68+Z68+AB68+AD68+AF68+AH68+AJ68+AL68+AN68+AP68+AR68+AT68+AV68+AX68+AZ68</f>
        <v/>
      </c>
      <c r="BC68" s="602">
        <f>BA68-BB68</f>
        <v/>
      </c>
    </row>
    <row r="69">
      <c r="A69" s="633" t="inlineStr">
        <is>
          <t>Расходы по реализации Разные</t>
        </is>
      </c>
      <c r="B69" s="604" t="inlineStr">
        <is>
          <t>Расход</t>
        </is>
      </c>
      <c r="C69" s="680" t="n"/>
      <c r="D69" s="796" t="n"/>
      <c r="E69" s="680" t="n"/>
      <c r="F69" s="796" t="n"/>
      <c r="G69" s="680" t="n"/>
      <c r="H69" s="796" t="n"/>
      <c r="I69" s="680" t="n"/>
      <c r="J69" s="804" t="n">
        <v>-8000</v>
      </c>
      <c r="K69" s="680" t="n"/>
      <c r="L69" s="796" t="n"/>
      <c r="M69" s="680" t="n"/>
      <c r="N69" s="798" t="n"/>
      <c r="O69" s="680" t="n"/>
      <c r="P69" s="796" t="n"/>
      <c r="Q69" s="680" t="n"/>
      <c r="R69" s="796" t="n"/>
      <c r="S69" s="680" t="n"/>
      <c r="T69" s="796" t="n"/>
      <c r="U69" s="680" t="n"/>
      <c r="V69" s="796" t="n"/>
      <c r="W69" s="680" t="n"/>
      <c r="X69" s="796" t="n"/>
      <c r="Y69" s="680" t="n"/>
      <c r="Z69" s="796" t="n"/>
      <c r="AA69" s="680" t="n"/>
      <c r="AB69" s="796" t="n"/>
      <c r="AC69" s="680" t="n"/>
      <c r="AD69" s="796" t="n"/>
      <c r="AE69" s="680" t="n"/>
      <c r="AF69" s="796" t="n"/>
      <c r="AG69" s="680" t="n"/>
      <c r="AH69" s="796" t="n"/>
      <c r="AI69" s="680" t="n"/>
      <c r="AJ69" s="796" t="n"/>
      <c r="AK69" s="680" t="n"/>
      <c r="AL69" s="796" t="n"/>
      <c r="AM69" s="680" t="n"/>
      <c r="AN69" s="796" t="n"/>
      <c r="AO69" s="680" t="n"/>
      <c r="AP69" s="798" t="n"/>
      <c r="AQ69" s="680" t="n"/>
      <c r="AR69" s="796" t="n"/>
      <c r="AS69" s="680" t="n"/>
      <c r="AT69" s="796" t="n"/>
      <c r="AU69" s="680" t="n"/>
      <c r="AV69" s="796" t="n"/>
      <c r="AW69" s="680" t="n"/>
      <c r="AX69" s="796" t="n"/>
      <c r="AY69" s="680" t="n"/>
      <c r="AZ69" s="796" t="n"/>
      <c r="BA69" s="608">
        <f>K69+M69+O69+Q69+S69+U69+W69+Y69+AA69+AC69+AE69+AG69+AI69+AK69+AM69+AO69+AQ69+AS69+AU69+AW69+AY69</f>
        <v/>
      </c>
      <c r="BB69" s="608">
        <f>L69+N69+P69+R69+T69+V69+X69+Z69+AB69+AD69+AF69+AH69+AJ69+AL69+AN69+AP69+AR69+AT69+AV69+AX69+AZ69</f>
        <v/>
      </c>
      <c r="BC69" s="602">
        <f>BA69-BB69</f>
        <v/>
      </c>
    </row>
    <row r="70">
      <c r="A70" s="633" t="inlineStr">
        <is>
          <t>Ремонт помещений</t>
        </is>
      </c>
      <c r="B70" s="604" t="inlineStr">
        <is>
          <t>Расход</t>
        </is>
      </c>
      <c r="C70" s="680" t="n"/>
      <c r="D70" s="796" t="n"/>
      <c r="E70" s="680" t="n"/>
      <c r="F70" s="796" t="n"/>
      <c r="G70" s="680" t="n"/>
      <c r="H70" s="796" t="n"/>
      <c r="I70" s="680" t="n"/>
      <c r="J70" s="796" t="n"/>
      <c r="K70" s="680" t="n"/>
      <c r="L70" s="796" t="n"/>
      <c r="M70" s="680" t="n"/>
      <c r="N70" s="798" t="n"/>
      <c r="O70" s="680" t="n"/>
      <c r="P70" s="796" t="n"/>
      <c r="Q70" s="680" t="n"/>
      <c r="R70" s="796" t="n"/>
      <c r="S70" s="680" t="n"/>
      <c r="T70" s="796" t="n"/>
      <c r="U70" s="680" t="n"/>
      <c r="V70" s="796" t="n"/>
      <c r="W70" s="680" t="n"/>
      <c r="X70" s="796" t="n"/>
      <c r="Y70" s="680" t="n"/>
      <c r="Z70" s="796" t="n"/>
      <c r="AA70" s="680" t="n"/>
      <c r="AB70" s="796" t="n"/>
      <c r="AC70" s="680" t="n"/>
      <c r="AD70" s="796" t="n"/>
      <c r="AE70" s="680" t="n"/>
      <c r="AF70" s="796" t="n"/>
      <c r="AG70" s="680" t="n"/>
      <c r="AH70" s="796" t="n"/>
      <c r="AI70" s="680" t="n"/>
      <c r="AJ70" s="796" t="n"/>
      <c r="AK70" s="680" t="n"/>
      <c r="AL70" s="796" t="n"/>
      <c r="AM70" s="680" t="n"/>
      <c r="AN70" s="796" t="n"/>
      <c r="AO70" s="680" t="n"/>
      <c r="AP70" s="798" t="n"/>
      <c r="AQ70" s="680" t="n"/>
      <c r="AR70" s="796" t="n"/>
      <c r="AS70" s="680" t="n"/>
      <c r="AT70" s="796" t="n"/>
      <c r="AU70" s="680" t="n"/>
      <c r="AV70" s="796" t="n"/>
      <c r="AW70" s="680" t="n"/>
      <c r="AX70" s="796" t="n"/>
      <c r="AY70" s="680" t="n"/>
      <c r="AZ70" s="796" t="n"/>
      <c r="BA70" s="608">
        <f>K70+M70+O70+Q70+S70+U70+W70+Y70+AA70+AC70+AE70+AG70+AI70+AK70+AM70+AO70+AQ70+AS70+AU70+AW70+AY70</f>
        <v/>
      </c>
      <c r="BB70" s="608">
        <f>L70+N70+P70+R70+T70+V70+X70+Z70+AB70+AD70+AF70+AH70+AJ70+AL70+AN70+AP70+AR70+AT70+AV70+AX70+AZ70</f>
        <v/>
      </c>
      <c r="BC70" s="602">
        <f>BA70-BB70</f>
        <v/>
      </c>
    </row>
    <row r="71">
      <c r="A71" s="633" t="inlineStr">
        <is>
          <t>Ремонт оборудования</t>
        </is>
      </c>
      <c r="B71" s="604" t="inlineStr">
        <is>
          <t>Расход</t>
        </is>
      </c>
      <c r="C71" s="680" t="n"/>
      <c r="D71" s="796" t="n"/>
      <c r="E71" s="680" t="n"/>
      <c r="F71" s="796" t="n"/>
      <c r="G71" s="680" t="n"/>
      <c r="H71" s="796" t="n"/>
      <c r="I71" s="649" t="n">
        <v>-171500</v>
      </c>
      <c r="J71" s="804">
        <f>-75000</f>
        <v/>
      </c>
      <c r="K71" s="680" t="n"/>
      <c r="L71" s="796" t="n"/>
      <c r="M71" s="680" t="n"/>
      <c r="N71" s="798" t="n"/>
      <c r="O71" s="649" t="n"/>
      <c r="P71" s="796" t="n"/>
      <c r="Q71" s="680" t="n"/>
      <c r="R71" s="796" t="n"/>
      <c r="S71" s="680" t="n"/>
      <c r="T71" s="796" t="n"/>
      <c r="U71" s="680" t="n"/>
      <c r="V71" s="796" t="n"/>
      <c r="W71" s="680" t="n"/>
      <c r="X71" s="796" t="n"/>
      <c r="Y71" s="645" t="n"/>
      <c r="Z71" s="796" t="n"/>
      <c r="AA71" s="680" t="n"/>
      <c r="AB71" s="796" t="n"/>
      <c r="AC71" s="680" t="n"/>
      <c r="AD71" s="796" t="n"/>
      <c r="AE71" s="680" t="n"/>
      <c r="AF71" s="796" t="n"/>
      <c r="AG71" s="680" t="n"/>
      <c r="AH71" s="796" t="n"/>
      <c r="AI71" s="680" t="n"/>
      <c r="AJ71" s="796" t="n"/>
      <c r="AK71" s="649" t="n"/>
      <c r="AL71" s="796" t="n"/>
      <c r="AM71" s="680" t="n"/>
      <c r="AN71" s="796" t="n"/>
      <c r="AO71" s="680" t="n"/>
      <c r="AP71" s="798" t="n"/>
      <c r="AQ71" s="680" t="n"/>
      <c r="AR71" s="796" t="n"/>
      <c r="AS71" s="680" t="n"/>
      <c r="AT71" s="796" t="n"/>
      <c r="AU71" s="680" t="n"/>
      <c r="AV71" s="796" t="n"/>
      <c r="AW71" s="680" t="n"/>
      <c r="AX71" s="796" t="n"/>
      <c r="AY71" s="680" t="n"/>
      <c r="AZ71" s="796" t="n"/>
      <c r="BA71" s="608">
        <f>K71+M71+O71+Q71+S71+U71+W71+Y71+AA71+AC71+AE71+AG71+AI71+AK71+AM71+AO71+AQ71+AS71+AU71+AW71+AY71</f>
        <v/>
      </c>
      <c r="BB71" s="608">
        <f>L71+N71+P71+R71+T71+V71+X71+Z71+AB71+AD71+AF71+AH71+AJ71+AL71+AN71+AP71+AR71+AT71+AV71+AX71+AZ71</f>
        <v/>
      </c>
      <c r="BC71" s="602">
        <f>BA71-BB71</f>
        <v/>
      </c>
    </row>
    <row r="72">
      <c r="A72" s="633" t="inlineStr">
        <is>
          <t>Приобретение основных средств</t>
        </is>
      </c>
      <c r="B72" s="604" t="inlineStr">
        <is>
          <t>Расход</t>
        </is>
      </c>
      <c r="C72" s="680" t="n"/>
      <c r="D72" s="796" t="n"/>
      <c r="E72" s="680" t="n"/>
      <c r="F72" s="796" t="n"/>
      <c r="G72" s="680" t="n"/>
      <c r="H72" s="796" t="n"/>
      <c r="I72" s="680" t="n"/>
      <c r="J72" s="796" t="n"/>
      <c r="K72" s="680" t="n"/>
      <c r="L72" s="796" t="n"/>
      <c r="M72" s="680" t="n"/>
      <c r="N72" s="798" t="n"/>
      <c r="O72" s="680" t="n"/>
      <c r="P72" s="796" t="n"/>
      <c r="Q72" s="680" t="n"/>
      <c r="R72" s="796" t="n"/>
      <c r="S72" s="680" t="n"/>
      <c r="T72" s="796" t="n"/>
      <c r="U72" s="680" t="n"/>
      <c r="V72" s="796" t="n"/>
      <c r="W72" s="680" t="n"/>
      <c r="X72" s="796" t="n"/>
      <c r="Y72" s="680" t="n"/>
      <c r="Z72" s="796" t="n"/>
      <c r="AA72" s="680" t="n"/>
      <c r="AB72" s="796" t="n"/>
      <c r="AC72" s="680" t="n"/>
      <c r="AD72" s="796" t="n"/>
      <c r="AE72" s="680" t="n"/>
      <c r="AF72" s="796" t="n"/>
      <c r="AG72" s="680" t="n"/>
      <c r="AH72" s="796" t="n"/>
      <c r="AI72" s="680" t="n"/>
      <c r="AJ72" s="796" t="n"/>
      <c r="AK72" s="680" t="n"/>
      <c r="AL72" s="796" t="n"/>
      <c r="AM72" s="680" t="n"/>
      <c r="AN72" s="796" t="n"/>
      <c r="AO72" s="680" t="n"/>
      <c r="AP72" s="798" t="n"/>
      <c r="AQ72" s="680" t="n"/>
      <c r="AR72" s="796" t="n"/>
      <c r="AS72" s="680" t="n"/>
      <c r="AT72" s="796" t="n"/>
      <c r="AU72" s="680" t="n"/>
      <c r="AV72" s="796" t="n"/>
      <c r="AW72" s="680" t="n"/>
      <c r="AX72" s="796" t="n"/>
      <c r="AY72" s="680" t="n"/>
      <c r="AZ72" s="796" t="n"/>
      <c r="BA72" s="608">
        <f>K72+M72+O72+Q72+S72+U72+W72+Y72+AA72+AC72+AE72+AG72+AI72+AK72+AM72+AO72+AQ72+AS72+AU72+AW72+AY72</f>
        <v/>
      </c>
      <c r="BB72" s="608">
        <f>L72+N72+P72+R72+T72+V72+X72+Z72+AB72+AD72+AF72+AH72+AJ72+AL72+AN72+AP72+AR72+AT72+AV72+AX72+AZ72</f>
        <v/>
      </c>
      <c r="BC72" s="602">
        <f>BA72-BB72</f>
        <v/>
      </c>
    </row>
    <row r="73">
      <c r="A73" s="633" t="inlineStr">
        <is>
          <t>Сырье Платежи поставщикам</t>
        </is>
      </c>
      <c r="B73" s="604" t="inlineStr">
        <is>
          <t>Расход</t>
        </is>
      </c>
      <c r="C73" s="680" t="n"/>
      <c r="D73" s="796" t="n"/>
      <c r="E73" s="680" t="n"/>
      <c r="F73" s="796" t="n"/>
      <c r="G73" s="680" t="n"/>
      <c r="H73" s="804">
        <f>-248600</f>
        <v/>
      </c>
      <c r="I73" s="680" t="n"/>
      <c r="J73" s="796" t="n"/>
      <c r="K73" s="680" t="n"/>
      <c r="L73" s="804" t="n"/>
      <c r="M73" s="680" t="n"/>
      <c r="N73" s="806" t="n"/>
      <c r="O73" s="649" t="n">
        <v>-500000</v>
      </c>
      <c r="P73" s="796" t="n"/>
      <c r="Q73" s="649" t="n">
        <v>-500000</v>
      </c>
      <c r="R73" s="796" t="n"/>
      <c r="S73" s="649" t="n">
        <v>-500000</v>
      </c>
      <c r="T73" s="796" t="n"/>
      <c r="U73" s="680" t="n"/>
      <c r="V73" s="796" t="n"/>
      <c r="W73" s="680" t="n"/>
      <c r="X73" s="806" t="n"/>
      <c r="Y73" s="649" t="n">
        <v>-500000</v>
      </c>
      <c r="Z73" s="796" t="n"/>
      <c r="AA73" s="649" t="n">
        <v>-500000</v>
      </c>
      <c r="AB73" s="796" t="n"/>
      <c r="AC73" s="649" t="n">
        <v>-500000</v>
      </c>
      <c r="AD73" s="796" t="n"/>
      <c r="AE73" s="680" t="n"/>
      <c r="AF73" s="796" t="n"/>
      <c r="AG73" s="680" t="n"/>
      <c r="AH73" s="806" t="n"/>
      <c r="AI73" s="649" t="n">
        <v>-500000</v>
      </c>
      <c r="AJ73" s="796" t="n"/>
      <c r="AK73" s="649" t="n">
        <v>-500000</v>
      </c>
      <c r="AL73" s="796" t="n"/>
      <c r="AM73" s="649" t="n">
        <v>-500000</v>
      </c>
      <c r="AN73" s="796" t="n"/>
      <c r="AO73" s="680" t="n"/>
      <c r="AP73" s="798" t="n"/>
      <c r="AQ73" s="680" t="n"/>
      <c r="AR73" s="806" t="n"/>
      <c r="AS73" s="649" t="n">
        <v>-500000</v>
      </c>
      <c r="AT73" s="796" t="n"/>
      <c r="AU73" s="649" t="n">
        <v>-500000</v>
      </c>
      <c r="AV73" s="796" t="n"/>
      <c r="AW73" s="649" t="n">
        <v>-500000</v>
      </c>
      <c r="AX73" s="796" t="n"/>
      <c r="AY73" s="680" t="n"/>
      <c r="AZ73" s="796" t="n"/>
      <c r="BA73" s="608">
        <f>K73+M73+O73+Q73+S73+U73+W73+Y73+AA73+AC73+AE73+AG73+AI73+AK73+AM73+AO73+AQ73+AS73+AU73+AW73+AY73</f>
        <v/>
      </c>
      <c r="BB73" s="608">
        <f>L73+N73+P73+R73+T73+V73+X73+Z73+AB73+AD73+AF73+AH73+AJ73+AL73+AN73+AP73+AR73+AT73+AV73+AX73+AZ73</f>
        <v/>
      </c>
      <c r="BC73" s="602">
        <f>BA73-BB73</f>
        <v/>
      </c>
    </row>
    <row r="74">
      <c r="A74" s="661" t="inlineStr">
        <is>
          <t>Итого по кассе</t>
        </is>
      </c>
      <c r="B74" s="662" t="inlineStr">
        <is>
          <t>Расход</t>
        </is>
      </c>
      <c r="C74" s="660" t="n">
        <v>0</v>
      </c>
      <c r="D74" s="660">
        <f>SUM(D56:D73)</f>
        <v/>
      </c>
      <c r="E74" s="660">
        <f>SUM(E56:E73)</f>
        <v/>
      </c>
      <c r="F74" s="660">
        <f>SUM(F56:F73)</f>
        <v/>
      </c>
      <c r="G74" s="660">
        <f>SUM(G56:G73)</f>
        <v/>
      </c>
      <c r="H74" s="660">
        <f>SUM(H56:H73)</f>
        <v/>
      </c>
      <c r="I74" s="660">
        <f>SUM(I56:I73)</f>
        <v/>
      </c>
      <c r="J74" s="660">
        <f>SUM(J56:J73)</f>
        <v/>
      </c>
      <c r="K74" s="660">
        <f>SUM(K56:K73)</f>
        <v/>
      </c>
      <c r="L74" s="660">
        <f>SUM(L56:L73)</f>
        <v/>
      </c>
      <c r="M74" s="660">
        <f>SUM(M56:M73)</f>
        <v/>
      </c>
      <c r="N74" s="660">
        <f>SUM(N56:N73)</f>
        <v/>
      </c>
      <c r="O74" s="660">
        <f>SUM(O56:O73)</f>
        <v/>
      </c>
      <c r="P74" s="660">
        <f>SUM(P56:P73)</f>
        <v/>
      </c>
      <c r="Q74" s="660">
        <f>SUM(Q56:Q73)</f>
        <v/>
      </c>
      <c r="R74" s="660">
        <f>SUM(R56:R73)</f>
        <v/>
      </c>
      <c r="S74" s="660">
        <f>SUM(S56:S73)</f>
        <v/>
      </c>
      <c r="T74" s="660">
        <f>SUM(T56:T73)</f>
        <v/>
      </c>
      <c r="U74" s="660">
        <f>SUM(U56:U73)</f>
        <v/>
      </c>
      <c r="V74" s="660">
        <f>SUM(V56:V73)</f>
        <v/>
      </c>
      <c r="W74" s="660">
        <f>SUM(W56:W73)</f>
        <v/>
      </c>
      <c r="X74" s="660">
        <f>SUM(X56:X73)</f>
        <v/>
      </c>
      <c r="Y74" s="660">
        <f>SUM(Y56:Y73)</f>
        <v/>
      </c>
      <c r="Z74" s="660">
        <f>SUM(Z56:Z73)</f>
        <v/>
      </c>
      <c r="AA74" s="660">
        <f>SUM(AA56:AA73)</f>
        <v/>
      </c>
      <c r="AB74" s="660">
        <f>SUM(AB56:AB73)</f>
        <v/>
      </c>
      <c r="AC74" s="660">
        <f>SUM(AC56:AC73)</f>
        <v/>
      </c>
      <c r="AD74" s="660">
        <f>SUM(AD56:AD73)</f>
        <v/>
      </c>
      <c r="AE74" s="660">
        <f>SUM(AE56:AE73)</f>
        <v/>
      </c>
      <c r="AF74" s="660">
        <f>SUM(AF56:AF73)</f>
        <v/>
      </c>
      <c r="AG74" s="660">
        <f>SUM(AG56:AG73)</f>
        <v/>
      </c>
      <c r="AH74" s="660">
        <f>SUM(AH56:AH73)</f>
        <v/>
      </c>
      <c r="AI74" s="660">
        <f>SUM(AI56:AI73)</f>
        <v/>
      </c>
      <c r="AJ74" s="660">
        <f>SUM(AJ56:AJ73)</f>
        <v/>
      </c>
      <c r="AK74" s="660">
        <f>SUM(AK56:AK73)</f>
        <v/>
      </c>
      <c r="AL74" s="660">
        <f>SUM(AL56:AL73)</f>
        <v/>
      </c>
      <c r="AM74" s="660">
        <f>SUM(AM56:AM73)</f>
        <v/>
      </c>
      <c r="AN74" s="660">
        <f>SUM(AN56:AN73)</f>
        <v/>
      </c>
      <c r="AO74" s="660">
        <f>SUM(AO56:AO73)</f>
        <v/>
      </c>
      <c r="AP74" s="660">
        <f>SUM(AP56:AP73)</f>
        <v/>
      </c>
      <c r="AQ74" s="660">
        <f>SUM(AQ56:AQ73)</f>
        <v/>
      </c>
      <c r="AR74" s="660">
        <f>SUM(AR56:AR73)</f>
        <v/>
      </c>
      <c r="AS74" s="660">
        <f>SUM(AS56:AS73)</f>
        <v/>
      </c>
      <c r="AT74" s="660">
        <f>SUM(AT56:AT73)</f>
        <v/>
      </c>
      <c r="AU74" s="660">
        <f>SUM(AU56:AU73)</f>
        <v/>
      </c>
      <c r="AV74" s="660">
        <f>SUM(AV56:AV73)</f>
        <v/>
      </c>
      <c r="AW74" s="660">
        <f>SUM(AW56:AW73)</f>
        <v/>
      </c>
      <c r="AX74" s="660">
        <f>SUM(AX56:AX73)</f>
        <v/>
      </c>
      <c r="AY74" s="660">
        <f>SUM(AY56:AY73)</f>
        <v/>
      </c>
      <c r="AZ74" s="660">
        <f>SUM(AZ56:AZ73)</f>
        <v/>
      </c>
      <c r="BA74" s="664">
        <f>SUM(BA56:BA73)</f>
        <v/>
      </c>
      <c r="BB74" s="653">
        <f>L74+N74+P74+R74+T74+V74+X74+Z74+AB74+AD74+AF74+AH74+AJ74+AL74+AN74+AP74+AR74+AT74+AV74+AX74+AZ74</f>
        <v/>
      </c>
      <c r="BC74" s="654">
        <f>BA74-BB74</f>
        <v/>
      </c>
    </row>
    <row r="75">
      <c r="A75" s="665" t="inlineStr">
        <is>
          <t>ИТОГО РАСХОДЫ</t>
        </is>
      </c>
      <c r="B75" s="666" t="n"/>
      <c r="C75" s="663" t="n">
        <v>0</v>
      </c>
      <c r="D75" s="663">
        <f>D55+D74</f>
        <v/>
      </c>
      <c r="E75" s="663">
        <f>E55+E74</f>
        <v/>
      </c>
      <c r="F75" s="663">
        <f>F55+F74</f>
        <v/>
      </c>
      <c r="G75" s="663">
        <f>G55+G74</f>
        <v/>
      </c>
      <c r="H75" s="663">
        <f>H55+H74</f>
        <v/>
      </c>
      <c r="I75" s="663">
        <f>I55+I74</f>
        <v/>
      </c>
      <c r="J75" s="663">
        <f>J55+J74</f>
        <v/>
      </c>
      <c r="K75" s="663">
        <f>K55+K74</f>
        <v/>
      </c>
      <c r="L75" s="663">
        <f>L55+L74</f>
        <v/>
      </c>
      <c r="M75" s="663">
        <f>M55+M74</f>
        <v/>
      </c>
      <c r="N75" s="663">
        <f>N55+N74</f>
        <v/>
      </c>
      <c r="O75" s="663">
        <f>O55+O74</f>
        <v/>
      </c>
      <c r="P75" s="663">
        <f>P55+P74</f>
        <v/>
      </c>
      <c r="Q75" s="663">
        <f>Q55+Q74</f>
        <v/>
      </c>
      <c r="R75" s="663">
        <f>R55+R74</f>
        <v/>
      </c>
      <c r="S75" s="663">
        <f>S55+S74</f>
        <v/>
      </c>
      <c r="T75" s="663">
        <f>T55+T74</f>
        <v/>
      </c>
      <c r="U75" s="663">
        <f>U55+U74</f>
        <v/>
      </c>
      <c r="V75" s="663">
        <f>V55+V74</f>
        <v/>
      </c>
      <c r="W75" s="663">
        <f>W55+W74</f>
        <v/>
      </c>
      <c r="X75" s="663">
        <f>X55+X74</f>
        <v/>
      </c>
      <c r="Y75" s="663">
        <f>Y55+Y74</f>
        <v/>
      </c>
      <c r="Z75" s="663">
        <f>Z55+Z74</f>
        <v/>
      </c>
      <c r="AA75" s="663">
        <f>AA55+AA74</f>
        <v/>
      </c>
      <c r="AB75" s="663">
        <f>AB55+AB74</f>
        <v/>
      </c>
      <c r="AC75" s="663">
        <f>AC55+AC74</f>
        <v/>
      </c>
      <c r="AD75" s="663">
        <f>AD55+AD74</f>
        <v/>
      </c>
      <c r="AE75" s="663">
        <f>AE55+AE74</f>
        <v/>
      </c>
      <c r="AF75" s="663">
        <f>AF55+AF74</f>
        <v/>
      </c>
      <c r="AG75" s="663">
        <f>AG55+AG74</f>
        <v/>
      </c>
      <c r="AH75" s="663">
        <f>AH55+AH74</f>
        <v/>
      </c>
      <c r="AI75" s="663">
        <f>AI55+AI74</f>
        <v/>
      </c>
      <c r="AJ75" s="663">
        <f>AJ55+AJ74</f>
        <v/>
      </c>
      <c r="AK75" s="663">
        <f>AK55+AK74</f>
        <v/>
      </c>
      <c r="AL75" s="663">
        <f>AL55+AL74</f>
        <v/>
      </c>
      <c r="AM75" s="663">
        <f>AM55+AM74</f>
        <v/>
      </c>
      <c r="AN75" s="663">
        <f>AN55+AN74</f>
        <v/>
      </c>
      <c r="AO75" s="663">
        <f>AO55+AO74</f>
        <v/>
      </c>
      <c r="AP75" s="663">
        <f>AP55+AP74</f>
        <v/>
      </c>
      <c r="AQ75" s="663">
        <f>AQ55+AQ74</f>
        <v/>
      </c>
      <c r="AR75" s="663">
        <f>AR55+AR74</f>
        <v/>
      </c>
      <c r="AS75" s="663">
        <f>AS55+AS74</f>
        <v/>
      </c>
      <c r="AT75" s="663">
        <f>AT55+AT74</f>
        <v/>
      </c>
      <c r="AU75" s="663">
        <f>AU55+AU74</f>
        <v/>
      </c>
      <c r="AV75" s="663">
        <f>AV55+AV74</f>
        <v/>
      </c>
      <c r="AW75" s="663">
        <f>AW55+AW74</f>
        <v/>
      </c>
      <c r="AX75" s="663">
        <f>AX55+AX74</f>
        <v/>
      </c>
      <c r="AY75" s="663">
        <f>AY55+AY74</f>
        <v/>
      </c>
      <c r="AZ75" s="663">
        <f>AZ55+AZ74</f>
        <v/>
      </c>
      <c r="BA75" s="668">
        <f>BA55+BA74</f>
        <v/>
      </c>
      <c r="BB75" s="669">
        <f>L75+N75+P75+R75+T75+V75+X75+Z75+AB75+AD75+AF75+AH75+AJ75+AL75+AN75+AP75+AR75+AT75+AV75+AX75+AZ75</f>
        <v/>
      </c>
      <c r="BC75" s="670">
        <f>BA75-BB75</f>
        <v/>
      </c>
    </row>
    <row r="76">
      <c r="A76" s="671" t="inlineStr">
        <is>
          <t>Операционная деятельность</t>
        </is>
      </c>
      <c r="B76" s="672" t="n"/>
      <c r="C76" s="667" t="n">
        <v>0</v>
      </c>
      <c r="D76" s="811">
        <f>D29-(-D55-D74)</f>
        <v/>
      </c>
      <c r="E76" s="667">
        <f>E29-(-E55-E74)</f>
        <v/>
      </c>
      <c r="F76" s="811">
        <f>F29-(-F55-F74)</f>
        <v/>
      </c>
      <c r="G76" s="667">
        <f>G29-(-G55-G74)</f>
        <v/>
      </c>
      <c r="H76" s="811">
        <f>H29-(-H55-H74)</f>
        <v/>
      </c>
      <c r="I76" s="667">
        <f>I29-(-I55-I74)</f>
        <v/>
      </c>
      <c r="J76" s="811">
        <f>J29-(-J55-J74)</f>
        <v/>
      </c>
      <c r="K76" s="667">
        <f>K29-(-K55-K74)</f>
        <v/>
      </c>
      <c r="L76" s="811">
        <f>L29-(-L55-L74)</f>
        <v/>
      </c>
      <c r="M76" s="667">
        <f>M29-(-M55-M74)</f>
        <v/>
      </c>
      <c r="N76" s="812" t="n"/>
      <c r="O76" s="667">
        <f>O29-(-O55-O74)</f>
        <v/>
      </c>
      <c r="P76" s="811">
        <f>P29-(-P55-P74)</f>
        <v/>
      </c>
      <c r="Q76" s="667">
        <f>Q29-(-Q55-Q74)</f>
        <v/>
      </c>
      <c r="R76" s="811">
        <f>R29-(-R55-R74)</f>
        <v/>
      </c>
      <c r="S76" s="667">
        <f>S29-(-S55-S74)</f>
        <v/>
      </c>
      <c r="T76" s="811">
        <f>T29-(-T55-T74)</f>
        <v/>
      </c>
      <c r="U76" s="667">
        <f>U29-(-U55-U74)</f>
        <v/>
      </c>
      <c r="V76" s="811">
        <f>V29-(-V55-V74)</f>
        <v/>
      </c>
      <c r="W76" s="667">
        <f>W29-(-W55-W74)</f>
        <v/>
      </c>
      <c r="X76" s="811">
        <f>X29-(-X55-X74)</f>
        <v/>
      </c>
      <c r="Y76" s="667">
        <f>Y29-(-Y55-Y74)</f>
        <v/>
      </c>
      <c r="Z76" s="811">
        <f>Z29-(-Z55-Z74)</f>
        <v/>
      </c>
      <c r="AA76" s="667">
        <f>AA29-(-AA55-AA74)</f>
        <v/>
      </c>
      <c r="AB76" s="811">
        <f>AB29-(-AB55-AB74)</f>
        <v/>
      </c>
      <c r="AC76" s="667">
        <f>AC29-(-AC55-AC74)</f>
        <v/>
      </c>
      <c r="AD76" s="811">
        <f>AD29-(-AD55-AD74)</f>
        <v/>
      </c>
      <c r="AE76" s="673" t="n"/>
      <c r="AF76" s="813" t="n"/>
      <c r="AG76" s="667">
        <f>AG29-(-AG55-AG74)</f>
        <v/>
      </c>
      <c r="AH76" s="811">
        <f>AH29-(-AH55-AH74)</f>
        <v/>
      </c>
      <c r="AI76" s="667">
        <f>AI29-(-AI55-AI74)</f>
        <v/>
      </c>
      <c r="AJ76" s="811">
        <f>AJ29-(-AJ55-AJ74)</f>
        <v/>
      </c>
      <c r="AK76" s="667">
        <f>AK29-(-AL56-AK74)</f>
        <v/>
      </c>
      <c r="AL76" s="811">
        <f>AL29-(-AL55-AL74)</f>
        <v/>
      </c>
      <c r="AM76" s="667">
        <f>AM29-(-AM74)</f>
        <v/>
      </c>
      <c r="AN76" s="814">
        <f>AN29-(-AN55-AN74)</f>
        <v/>
      </c>
      <c r="AO76" s="667">
        <f>AO29-(-AP56-AO74)</f>
        <v/>
      </c>
      <c r="AP76" s="815">
        <f>AP29-(-AP55-AP74)</f>
        <v/>
      </c>
      <c r="AQ76" s="667">
        <f>AQ29-(-AQ55-AQ74)</f>
        <v/>
      </c>
      <c r="AR76" s="811">
        <f>AR29-(-AR55-AR74)</f>
        <v/>
      </c>
      <c r="AS76" s="667">
        <f>AS29-(-AS55-AS74)</f>
        <v/>
      </c>
      <c r="AT76" s="811">
        <f>AT29-(-AT55-AT74)</f>
        <v/>
      </c>
      <c r="AU76" s="667">
        <f>AU29-(-AU55-AU74)</f>
        <v/>
      </c>
      <c r="AV76" s="811">
        <f>AV29-(-AV55-AV74)</f>
        <v/>
      </c>
      <c r="AW76" s="667">
        <f>AW29-(-AW55-AW74)</f>
        <v/>
      </c>
      <c r="AX76" s="811">
        <f>AX29-(-AX55-AX74)</f>
        <v/>
      </c>
      <c r="AY76" s="667">
        <f>AY29-(-AY55-AY74)</f>
        <v/>
      </c>
      <c r="AZ76" s="811">
        <f>AZ29-(-AZ55-AZ74)</f>
        <v/>
      </c>
      <c r="BA76" s="675">
        <f>BA29-(-BA55-BA74)</f>
        <v/>
      </c>
      <c r="BB76" s="608">
        <f>L76+N76+P76+R76+T76+V76+X76+Z76+AB76+AD76+AF76+AH76+AJ76+AL76+AN76+AP76+AR76+AT76+AV76+AX76+AZ76</f>
        <v/>
      </c>
      <c r="BC76" s="676" t="n"/>
    </row>
    <row r="77">
      <c r="A77" s="1218" t="inlineStr">
        <is>
          <t>ВФП Учредители поступление (НАЛ)</t>
        </is>
      </c>
      <c r="B77" s="678" t="inlineStr">
        <is>
          <t>Приход</t>
        </is>
      </c>
      <c r="C77" s="674" t="n"/>
      <c r="D77" s="822" t="n"/>
      <c r="E77" s="674" t="n"/>
      <c r="F77" s="822" t="n"/>
      <c r="G77" s="674" t="n"/>
      <c r="H77" s="822" t="n"/>
      <c r="I77" s="674" t="n"/>
      <c r="J77" s="822" t="n"/>
      <c r="K77" s="674" t="n"/>
      <c r="L77" s="822" t="n"/>
      <c r="M77" s="674" t="n"/>
      <c r="N77" s="817" t="n"/>
      <c r="O77" s="674" t="n"/>
      <c r="P77" s="822" t="n"/>
      <c r="Q77" s="674" t="n"/>
      <c r="R77" s="822" t="n"/>
      <c r="S77" s="674" t="n"/>
      <c r="T77" s="822" t="n"/>
      <c r="U77" s="674" t="n"/>
      <c r="V77" s="818" t="n"/>
      <c r="W77" s="674" t="n"/>
      <c r="X77" s="822" t="n"/>
      <c r="Y77" s="674" t="n"/>
      <c r="Z77" s="822" t="n"/>
      <c r="AA77" s="674" t="n"/>
      <c r="AB77" s="822" t="n"/>
      <c r="AC77" s="674" t="n"/>
      <c r="AD77" s="822" t="n"/>
      <c r="AE77" s="674" t="n"/>
      <c r="AF77" s="822" t="n"/>
      <c r="AG77" s="674" t="n"/>
      <c r="AH77" s="822" t="n"/>
      <c r="AI77" s="674" t="n"/>
      <c r="AJ77" s="822" t="n"/>
      <c r="AK77" s="674" t="n"/>
      <c r="AL77" s="822" t="n"/>
      <c r="AM77" s="674" t="n"/>
      <c r="AN77" s="818" t="n"/>
      <c r="AO77" s="674" t="n"/>
      <c r="AP77" s="817" t="n"/>
      <c r="AQ77" s="674" t="n"/>
      <c r="AR77" s="822" t="n"/>
      <c r="AS77" s="674" t="n"/>
      <c r="AT77" s="822" t="n"/>
      <c r="AU77" s="674" t="n"/>
      <c r="AV77" s="822" t="n"/>
      <c r="AW77" s="674" t="n"/>
      <c r="AX77" s="822" t="n"/>
      <c r="AY77" s="674" t="n"/>
      <c r="AZ77" s="822" t="n"/>
      <c r="BA77" s="675">
        <f>BA30-(-BA56-BA75)</f>
        <v/>
      </c>
      <c r="BB77" s="608">
        <f>L77+N77+P77+R77+T77+V77+X77+Z77+AB77+AD77+AF77+AH77+AJ77+AL77+AN77+AP77+AR77+AT77+AV77+AX77+AZ77</f>
        <v/>
      </c>
      <c r="BC77" s="676" t="n"/>
    </row>
    <row r="78">
      <c r="A78" s="1219" t="n"/>
      <c r="B78" s="604" t="inlineStr">
        <is>
          <t>Расход</t>
        </is>
      </c>
      <c r="C78" s="680" t="n"/>
      <c r="D78" s="796" t="n"/>
      <c r="E78" s="680" t="n"/>
      <c r="F78" s="796" t="n"/>
      <c r="G78" s="680" t="n"/>
      <c r="H78" s="796" t="n"/>
      <c r="I78" s="680" t="n"/>
      <c r="J78" s="796" t="n"/>
      <c r="K78" s="680" t="n"/>
      <c r="L78" s="796" t="n"/>
      <c r="M78" s="680" t="n"/>
      <c r="N78" s="817" t="n"/>
      <c r="O78" s="680" t="n"/>
      <c r="P78" s="796" t="n"/>
      <c r="Q78" s="680" t="n"/>
      <c r="R78" s="822" t="n"/>
      <c r="S78" s="680" t="n"/>
      <c r="T78" s="796" t="n"/>
      <c r="U78" s="680" t="n"/>
      <c r="V78" s="796" t="n"/>
      <c r="W78" s="674" t="n"/>
      <c r="X78" s="822" t="n"/>
      <c r="Y78" s="674" t="n"/>
      <c r="Z78" s="822" t="n"/>
      <c r="AA78" s="674" t="n"/>
      <c r="AB78" s="822" t="n"/>
      <c r="AC78" s="674" t="n"/>
      <c r="AD78" s="822" t="n"/>
      <c r="AE78" s="674" t="n"/>
      <c r="AF78" s="822" t="n"/>
      <c r="AG78" s="674" t="n"/>
      <c r="AH78" s="822" t="n"/>
      <c r="AI78" s="674" t="n"/>
      <c r="AJ78" s="822" t="n"/>
      <c r="AK78" s="674" t="n"/>
      <c r="AL78" s="822" t="n"/>
      <c r="AM78" s="674" t="n"/>
      <c r="AN78" s="818" t="n"/>
      <c r="AO78" s="674" t="n"/>
      <c r="AP78" s="817" t="n"/>
      <c r="AQ78" s="674" t="n"/>
      <c r="AR78" s="822" t="n"/>
      <c r="AS78" s="674" t="n"/>
      <c r="AT78" s="822" t="n"/>
      <c r="AU78" s="674" t="n"/>
      <c r="AV78" s="822" t="n"/>
      <c r="AW78" s="674" t="n"/>
      <c r="AX78" s="822" t="n"/>
      <c r="AY78" s="674" t="n"/>
      <c r="AZ78" s="822" t="n"/>
      <c r="BA78" s="675">
        <f>BA31-(-BA57-BA76)</f>
        <v/>
      </c>
      <c r="BB78" s="608">
        <f>L78+N78+P78+R78+T78+V78+X78+Z78+AB78+AD78+AF78+AH78+AJ78+AL78+AN78+AP78+AR78+AT78+AV78+AX78+AZ78</f>
        <v/>
      </c>
      <c r="BC78" s="676" t="n"/>
    </row>
    <row r="79">
      <c r="A79" s="1134" t="inlineStr">
        <is>
          <t>Касса взаиморасчета банк</t>
        </is>
      </c>
      <c r="B79" s="604" t="inlineStr">
        <is>
          <t>Расход</t>
        </is>
      </c>
      <c r="C79" s="819" t="n">
        <v>4000000</v>
      </c>
      <c r="D79" s="796" t="n"/>
      <c r="E79" s="819" t="n">
        <v>500000</v>
      </c>
      <c r="F79" s="822" t="n"/>
      <c r="G79" s="819" t="n">
        <v>2000000</v>
      </c>
      <c r="H79" s="822" t="n"/>
      <c r="I79" s="680" t="n"/>
      <c r="J79" s="820" t="n">
        <v>1575000</v>
      </c>
      <c r="K79" s="680" t="n"/>
      <c r="L79" s="863" t="n"/>
      <c r="M79" s="680" t="n"/>
      <c r="N79" s="821" t="n"/>
      <c r="O79" s="680" t="n"/>
      <c r="P79" s="822" t="n"/>
      <c r="Q79" s="680" t="n"/>
      <c r="R79" s="822" t="n"/>
      <c r="S79" s="680" t="n"/>
      <c r="T79" s="822" t="n"/>
      <c r="U79" s="680" t="n"/>
      <c r="V79" s="822" t="n"/>
      <c r="W79" s="680" t="n"/>
      <c r="X79" s="822" t="n"/>
      <c r="Y79" s="680" t="n"/>
      <c r="Z79" s="822" t="n"/>
      <c r="AA79" s="680" t="n"/>
      <c r="AB79" s="822" t="n"/>
      <c r="AC79" s="680" t="n"/>
      <c r="AD79" s="822" t="n"/>
      <c r="AE79" s="680" t="n"/>
      <c r="AF79" s="822" t="n"/>
      <c r="AG79" s="680" t="n"/>
      <c r="AH79" s="822" t="n"/>
      <c r="AI79" s="680" t="n"/>
      <c r="AJ79" s="822" t="n"/>
      <c r="AK79" s="680" t="n"/>
      <c r="AL79" s="822" t="n"/>
      <c r="AM79" s="680" t="n"/>
      <c r="AN79" s="818" t="n"/>
      <c r="AO79" s="680" t="n"/>
      <c r="AP79" s="817" t="n"/>
      <c r="AQ79" s="674" t="n"/>
      <c r="AR79" s="822" t="n"/>
      <c r="AS79" s="674" t="n"/>
      <c r="AT79" s="822" t="n"/>
      <c r="AU79" s="674" t="n"/>
      <c r="AV79" s="822" t="n"/>
      <c r="AW79" s="674" t="n"/>
      <c r="AX79" s="822" t="n"/>
      <c r="AY79" s="674" t="n"/>
      <c r="AZ79" s="822" t="n"/>
      <c r="BA79" s="675">
        <f>BA32-(-BA58-BA77)</f>
        <v/>
      </c>
      <c r="BB79" s="608">
        <f>L79+N79+P79+R79+T79+V79+X79+Z79+AB79+AD79+AF79+AH79+AJ79+AL79+AN79+AP79+AR79+AT79+AV79+AX79+AZ79</f>
        <v/>
      </c>
      <c r="BC79" s="676" t="n"/>
    </row>
    <row r="80">
      <c r="A80" s="1134" t="inlineStr">
        <is>
          <t>Касса взаиморасчета касса</t>
        </is>
      </c>
      <c r="B80" s="678" t="inlineStr">
        <is>
          <t>Приход</t>
        </is>
      </c>
      <c r="C80" s="819" t="n">
        <v>4000000</v>
      </c>
      <c r="D80" s="796" t="n"/>
      <c r="E80" s="819" t="n">
        <v>500000</v>
      </c>
      <c r="F80" s="822" t="n"/>
      <c r="G80" s="819" t="n">
        <v>2000000</v>
      </c>
      <c r="H80" s="796" t="n"/>
      <c r="I80" s="680" t="n"/>
      <c r="J80" s="823" t="n">
        <v>1575000</v>
      </c>
      <c r="K80" s="680" t="n"/>
      <c r="L80" s="864" t="n"/>
      <c r="M80" s="680" t="n"/>
      <c r="N80" s="821" t="n"/>
      <c r="O80" s="680" t="n"/>
      <c r="P80" s="796" t="n"/>
      <c r="Q80" s="680" t="n"/>
      <c r="R80" s="822" t="n"/>
      <c r="S80" s="680" t="n"/>
      <c r="T80" s="822" t="n">
        <v>14990</v>
      </c>
      <c r="U80" s="680" t="n"/>
      <c r="V80" s="822" t="n"/>
      <c r="W80" s="680" t="n"/>
      <c r="X80" s="822" t="n"/>
      <c r="Y80" s="680" t="n"/>
      <c r="Z80" s="822" t="n"/>
      <c r="AA80" s="680" t="n"/>
      <c r="AB80" s="822" t="n"/>
      <c r="AC80" s="680" t="n"/>
      <c r="AD80" s="822" t="n"/>
      <c r="AE80" s="680" t="n"/>
      <c r="AF80" s="822" t="n"/>
      <c r="AG80" s="680" t="n"/>
      <c r="AH80" s="822" t="n"/>
      <c r="AI80" s="680" t="n"/>
      <c r="AJ80" s="822" t="n"/>
      <c r="AK80" s="680" t="n"/>
      <c r="AL80" s="822" t="n"/>
      <c r="AM80" s="680" t="n"/>
      <c r="AN80" s="818" t="n"/>
      <c r="AO80" s="680" t="n"/>
      <c r="AP80" s="817" t="n"/>
      <c r="AQ80" s="674" t="n"/>
      <c r="AR80" s="822" t="n"/>
      <c r="AS80" s="674" t="n"/>
      <c r="AT80" s="822" t="n"/>
      <c r="AU80" s="674" t="n"/>
      <c r="AV80" s="822" t="n"/>
      <c r="AW80" s="674" t="n"/>
      <c r="AX80" s="822" t="n"/>
      <c r="AY80" s="674" t="n"/>
      <c r="AZ80" s="822" t="n"/>
      <c r="BA80" s="675">
        <f>BA33-(-BA59-BA78)</f>
        <v/>
      </c>
      <c r="BB80" s="608">
        <f>L80+N80+P80+R80+T80+V80+X80+Z80+AB80+AD80+AF80+AH80+AJ80+AL80+AN80+AP80+AR80+AT80+AV80+AX80+AZ80</f>
        <v/>
      </c>
      <c r="BC80" s="676" t="n"/>
    </row>
    <row r="81">
      <c r="A81" s="682" t="inlineStr">
        <is>
          <t>Остаток на конец ПО БАНКУ</t>
        </is>
      </c>
      <c r="B81" s="597" t="n"/>
      <c r="C81" s="824" t="n">
        <v>-859672</v>
      </c>
      <c r="D81" s="825">
        <f>D5+D21-(-D55)-D79</f>
        <v/>
      </c>
      <c r="E81" s="826">
        <f>E5+E21-(-E55)-E79</f>
        <v/>
      </c>
      <c r="F81" s="825">
        <f>F5+F21-(-F55)-F79</f>
        <v/>
      </c>
      <c r="G81" s="827">
        <f>G5+G21-(-G55)-G79</f>
        <v/>
      </c>
      <c r="H81" s="683">
        <f>H5+H21-(-H55)-H79</f>
        <v/>
      </c>
      <c r="I81" s="828">
        <f>I5+I21-(-I55)-I79</f>
        <v/>
      </c>
      <c r="J81" s="683">
        <f>J5+J21-(-J55)-J79</f>
        <v/>
      </c>
      <c r="K81" s="865">
        <f>K5+K21-(-K55)-K79</f>
        <v/>
      </c>
      <c r="L81" s="866">
        <f>L5+L21-(-L55)-L79</f>
        <v/>
      </c>
      <c r="M81" s="867">
        <f>M5+M21-(-M55)-M79</f>
        <v/>
      </c>
      <c r="N81" s="830">
        <f>N5+N21-(-N55)-N79</f>
        <v/>
      </c>
      <c r="O81" s="831">
        <f>O5+O21-(-O55)-O79</f>
        <v/>
      </c>
      <c r="P81" s="832">
        <f>P5+P21-(-P55)-P79</f>
        <v/>
      </c>
      <c r="Q81" s="683">
        <f>Q5+Q21-(-Q55)-Q79</f>
        <v/>
      </c>
      <c r="R81" s="832">
        <f>R5+R21-(-R55)-R79</f>
        <v/>
      </c>
      <c r="S81" s="684">
        <f>S5+S21-(-S55)-S79</f>
        <v/>
      </c>
      <c r="T81" s="832">
        <f>T5+T21-(-T55)-T79</f>
        <v/>
      </c>
      <c r="U81" s="685">
        <f>U5+U21-(-U55)-U79</f>
        <v/>
      </c>
      <c r="V81" s="832">
        <f>V5+V21-(-V55)-V79+V77</f>
        <v/>
      </c>
      <c r="W81" s="686">
        <f>W5+W21-(-W55)-W79</f>
        <v/>
      </c>
      <c r="X81" s="695">
        <f>X5+X21+X55-X79+X77</f>
        <v/>
      </c>
      <c r="Y81" s="687">
        <f>Y5+Y21-(-Y55)-Y79</f>
        <v/>
      </c>
      <c r="Z81" s="695">
        <f>Z5+Z21+Z55-Z79</f>
        <v/>
      </c>
      <c r="AA81" s="688">
        <f>AA5+AA21-(-AA55)-AA79</f>
        <v/>
      </c>
      <c r="AB81" s="695">
        <f>AB5+AB21-(-AB55)+AB77-AB79</f>
        <v/>
      </c>
      <c r="AC81" s="689">
        <f>AC5+AC21-(-AC55)-AC79</f>
        <v/>
      </c>
      <c r="AD81" s="695">
        <f>AD5+AD21-(-AD55)-AD79</f>
        <v/>
      </c>
      <c r="AE81" s="690">
        <f>AE5+AE21-(-AE55)-AE79</f>
        <v/>
      </c>
      <c r="AF81" s="695">
        <f>AF5+AF21-(-AF55)-AF79+AF77</f>
        <v/>
      </c>
      <c r="AG81" s="689">
        <f>AG5+AG21-(-AG55)-AG79</f>
        <v/>
      </c>
      <c r="AH81" s="695">
        <f>AH5+AH21-(-AH55)-AH79</f>
        <v/>
      </c>
      <c r="AI81" s="689">
        <f>AI5+AI21-(-AI55)-AI79</f>
        <v/>
      </c>
      <c r="AJ81" s="695">
        <f>AJ5+AJ21-(-AJ55)-AJ79</f>
        <v/>
      </c>
      <c r="AK81" s="689">
        <f>AK5+AK21-(-AK55)-AK79</f>
        <v/>
      </c>
      <c r="AL81" s="695">
        <f>AL5+AL21-(-AL55)-AL79</f>
        <v/>
      </c>
      <c r="AM81" s="689">
        <f>AM5+AM21-(-AM55)-AM79</f>
        <v/>
      </c>
      <c r="AN81" s="695">
        <f>AN5+AN21-(-AN55)-AN79+AN77</f>
        <v/>
      </c>
      <c r="AO81" s="689">
        <f>AO5+AO21-(-AO55)-AO79</f>
        <v/>
      </c>
      <c r="AP81" s="695">
        <f>AP5+AP21-(-AP55)-AP79+AP77-AP78</f>
        <v/>
      </c>
      <c r="AQ81" s="691">
        <f>AQ5+AQ21-(-AQ55)-AQ79</f>
        <v/>
      </c>
      <c r="AR81" s="695">
        <f>AR5+AR21-(-AR55)-AR79</f>
        <v/>
      </c>
      <c r="AS81" s="692">
        <f>AS5+AS21-(-AS55)-AS79</f>
        <v/>
      </c>
      <c r="AT81" s="695">
        <f>AT5+AT21-(-AT55)-AT79</f>
        <v/>
      </c>
      <c r="AU81" s="693">
        <f>AU5+AU21-(-AU55)-AU79</f>
        <v/>
      </c>
      <c r="AV81" s="695">
        <f>AV5+AV21-(-AV55)-AV79</f>
        <v/>
      </c>
      <c r="AW81" s="681">
        <f>AW5+AW21-(-AW55)-AW79+AW77-AW78</f>
        <v/>
      </c>
      <c r="AX81" s="695">
        <f>AX5+AX21-(-AX55)-AX79</f>
        <v/>
      </c>
      <c r="AY81" s="681">
        <f>AY5+AY21-(-AY55)-AY79+AY77-AY78</f>
        <v/>
      </c>
      <c r="AZ81" s="695">
        <f>AZ5+AZ21-(-AZ55)-AZ79</f>
        <v/>
      </c>
      <c r="BA81" s="681">
        <f>BA5+BA21-(-BA55)-BA79</f>
        <v/>
      </c>
      <c r="BB81" s="695">
        <f>BB5+BB21-(-BB55)-BB79</f>
        <v/>
      </c>
      <c r="BC81" s="676" t="n"/>
    </row>
    <row r="82">
      <c r="A82" s="682" t="inlineStr">
        <is>
          <t>Остаток на конец ПО КАССЕ</t>
        </is>
      </c>
      <c r="B82" s="597" t="n"/>
      <c r="C82" s="833" t="n">
        <v>4917728</v>
      </c>
      <c r="D82" s="834">
        <f>D6+D28-(-D74)+D77-D78+D80</f>
        <v/>
      </c>
      <c r="E82" s="835">
        <f>E6+E28-(-E74)+E77-E78+E80</f>
        <v/>
      </c>
      <c r="F82" s="834">
        <f>F6+F28-(-F74)+F77-F78+F80</f>
        <v/>
      </c>
      <c r="G82" s="836">
        <f>G6+G28-(-G74)+G77-G78+G80</f>
        <v/>
      </c>
      <c r="H82" s="837">
        <f>H6+H28-(-H74)+H77-H78+H80</f>
        <v/>
      </c>
      <c r="I82" s="827">
        <f>I6+I28-(-I74)+I77-I78+I80</f>
        <v/>
      </c>
      <c r="J82" s="834">
        <f>J6+J28-(-J74)+J77-J78+J80</f>
        <v/>
      </c>
      <c r="K82" s="868">
        <f>K6+K28-(-K74)+K77-K78+K80</f>
        <v/>
      </c>
      <c r="L82" s="837">
        <f>L6+L28-(-L74)+L77-L78+L80</f>
        <v/>
      </c>
      <c r="M82" s="825">
        <f>M6+M28-(-M74)+M77-M78+M80</f>
        <v/>
      </c>
      <c r="N82" s="838">
        <f>N6+N28-(-N74)+N77-N78+N80</f>
        <v/>
      </c>
      <c r="O82" s="834">
        <f>O6+O28-(-O74)+O77-O78+O80</f>
        <v/>
      </c>
      <c r="P82" s="838">
        <f>P6+P28-(-P74)+P77-P78+P80</f>
        <v/>
      </c>
      <c r="Q82" s="696">
        <f>Q6+Q28-(-Q74)+Q77-Q78+Q80</f>
        <v/>
      </c>
      <c r="R82" s="838">
        <f>R6+R28-(-R74)+R77-R78+R80</f>
        <v/>
      </c>
      <c r="S82" s="697">
        <f>S6+S28-(-S74)+S77-S78+S80</f>
        <v/>
      </c>
      <c r="T82" s="838">
        <f>T6+T28-(-T74)+T77-T78+T80</f>
        <v/>
      </c>
      <c r="U82" s="698">
        <f>U6+U28-(-U74)+U77-U78+U80</f>
        <v/>
      </c>
      <c r="V82" s="838">
        <f>V6+V28-(-V74)-V78+V80</f>
        <v/>
      </c>
      <c r="W82" s="699">
        <f>W6+W28-(-W74)+W77-W78+W80</f>
        <v/>
      </c>
      <c r="X82" s="712">
        <f>X6+X28-(-X74)+X80</f>
        <v/>
      </c>
      <c r="Y82" s="700">
        <f>Y6+Y28-(-Y74)+Y77-Y78+Y80</f>
        <v/>
      </c>
      <c r="Z82" s="712">
        <f>Z6+Z28-(-Z74)+Z77-Z78+Z80</f>
        <v/>
      </c>
      <c r="AA82" s="701">
        <f>AA6+AA28-(-AA74)+AA77-AA78+AA80</f>
        <v/>
      </c>
      <c r="AB82" s="712">
        <f>AB6+AB28-(-AB74)+AB80</f>
        <v/>
      </c>
      <c r="AC82" s="702">
        <f>AC6+AC28-(-AC74)+AC77-AC78+AC80</f>
        <v/>
      </c>
      <c r="AD82" s="712">
        <f>AD6+AD28-(-AD74)+AD77-AD78+AD80</f>
        <v/>
      </c>
      <c r="AE82" s="703">
        <f>AE6+AE28-(-AE74)+AE77-AE78+AE80</f>
        <v/>
      </c>
      <c r="AF82" s="712">
        <f>AF6+AF28-(-AF74)+AF80</f>
        <v/>
      </c>
      <c r="AG82" s="703">
        <f>AG6+AG28-(-AG74)+AG77-AG78+AG80</f>
        <v/>
      </c>
      <c r="AH82" s="712">
        <f>AH6+AH28-(-AH74)+AH77-AH78+AH80</f>
        <v/>
      </c>
      <c r="AI82" s="704">
        <f>AI6+AI28-(-AI74)+AI77-AI78+AI80</f>
        <v/>
      </c>
      <c r="AJ82" s="712">
        <f>AJ6+AJ28-(-AJ74)+AJ77-AJ78+AJ80</f>
        <v/>
      </c>
      <c r="AK82" s="705">
        <f>AK6+AK28-(-AK74)+AK77-AK78+AK80</f>
        <v/>
      </c>
      <c r="AL82" s="712">
        <f>AL6+AL28-(-AL74)+AL77-AL78+AL80</f>
        <v/>
      </c>
      <c r="AM82" s="706">
        <f>AM6+AM28-(-AM74)+AM77-AM78+AM80</f>
        <v/>
      </c>
      <c r="AN82" s="712">
        <f>AN6+AN28-(-AN74)-AN78+AN80</f>
        <v/>
      </c>
      <c r="AO82" s="707">
        <f>AO6+AO28-(-AO74)+AO77-AO78+AO80</f>
        <v/>
      </c>
      <c r="AP82" s="712">
        <f>AP6+AP28-(-AP74)+AP80</f>
        <v/>
      </c>
      <c r="AQ82" s="708">
        <f>AQ6+AQ28-(-AQ74)+AQ77-AQ78+AQ80</f>
        <v/>
      </c>
      <c r="AR82" s="712">
        <f>AR6+AR28-(-AR74)+AR77-AR78+AR80</f>
        <v/>
      </c>
      <c r="AS82" s="709">
        <f>AS6+AS28-(-AS74)+AS77-AS78+AS80</f>
        <v/>
      </c>
      <c r="AT82" s="712">
        <f>AT6+AT28-(-AT74)+AT77+AT80</f>
        <v/>
      </c>
      <c r="AU82" s="710">
        <f>AU6+AU28-(-AU74)+AU77-AU78+AU80</f>
        <v/>
      </c>
      <c r="AV82" s="712">
        <f>AV6+AV28-(-AV74)+AV77-AV78+AV80</f>
        <v/>
      </c>
      <c r="AW82" s="694">
        <f>AW6+AW28-(-AW74)+AW80</f>
        <v/>
      </c>
      <c r="AX82" s="712">
        <f>AX6+AX28-(-AX74)+AX77-AX78+AX80</f>
        <v/>
      </c>
      <c r="AY82" s="694">
        <f>AY6+AY28-(-AY74)+AY80</f>
        <v/>
      </c>
      <c r="AZ82" s="712">
        <f>AZ6+AZ28-(-AZ74)+AZ77-AZ78+AZ80</f>
        <v/>
      </c>
      <c r="BA82" s="694">
        <f>BA6+BA28-(-BA74)+BA77-BA78+BA80</f>
        <v/>
      </c>
      <c r="BB82" s="712">
        <f>BB6+BB28-(-BB74)+BB77-BB78+BB80</f>
        <v/>
      </c>
      <c r="BC82" s="676" t="n"/>
    </row>
    <row r="83">
      <c r="A83" s="713" t="inlineStr">
        <is>
          <t>Итого</t>
        </is>
      </c>
      <c r="B83" s="714" t="n"/>
      <c r="C83" s="711" t="n">
        <v>4058056</v>
      </c>
      <c r="D83" s="711">
        <f>D81+D82</f>
        <v/>
      </c>
      <c r="E83" s="711">
        <f>E81+E82</f>
        <v/>
      </c>
      <c r="F83" s="711">
        <f>F81+F82</f>
        <v/>
      </c>
      <c r="G83" s="711">
        <f>G81+G82</f>
        <v/>
      </c>
      <c r="H83" s="711">
        <f>H81+H82</f>
        <v/>
      </c>
      <c r="I83" s="711">
        <f>I81+I82</f>
        <v/>
      </c>
      <c r="J83" s="711">
        <f>J81+J82</f>
        <v/>
      </c>
      <c r="K83" s="711">
        <f>K81+K82</f>
        <v/>
      </c>
      <c r="L83" s="711">
        <f>L81+L82</f>
        <v/>
      </c>
      <c r="M83" s="711">
        <f>M81+M82</f>
        <v/>
      </c>
      <c r="N83" s="711">
        <f>N81+N82</f>
        <v/>
      </c>
      <c r="O83" s="711">
        <f>O81+O82</f>
        <v/>
      </c>
      <c r="P83" s="711">
        <f>P81+P82</f>
        <v/>
      </c>
      <c r="Q83" s="711">
        <f>Q81+Q82</f>
        <v/>
      </c>
      <c r="R83" s="711">
        <f>R81+R82</f>
        <v/>
      </c>
      <c r="S83" s="711">
        <f>S81+S82</f>
        <v/>
      </c>
      <c r="T83" s="711">
        <f>T81+T82</f>
        <v/>
      </c>
      <c r="U83" s="711">
        <f>U81+U82</f>
        <v/>
      </c>
      <c r="V83" s="711">
        <f>V81+V82</f>
        <v/>
      </c>
      <c r="W83" s="711">
        <f>W81+W82</f>
        <v/>
      </c>
      <c r="X83" s="711">
        <f>X81+X82</f>
        <v/>
      </c>
      <c r="Y83" s="711">
        <f>Y81+Y82</f>
        <v/>
      </c>
      <c r="Z83" s="711">
        <f>Z81+Z82</f>
        <v/>
      </c>
      <c r="AA83" s="711">
        <f>AA81+AA82</f>
        <v/>
      </c>
      <c r="AB83" s="711">
        <f>AB81+AB82</f>
        <v/>
      </c>
      <c r="AC83" s="711">
        <f>AC81+AC82</f>
        <v/>
      </c>
      <c r="AD83" s="711">
        <f>AD81+AD82</f>
        <v/>
      </c>
      <c r="AE83" s="711">
        <f>AE81+AE82</f>
        <v/>
      </c>
      <c r="AF83" s="711">
        <f>AF81+AF82</f>
        <v/>
      </c>
      <c r="AG83" s="711">
        <f>AG81+AG82</f>
        <v/>
      </c>
      <c r="AH83" s="711">
        <f>AH81+AH82</f>
        <v/>
      </c>
      <c r="AI83" s="711">
        <f>AI81+AI82</f>
        <v/>
      </c>
      <c r="AJ83" s="711">
        <f>AJ81+AJ82</f>
        <v/>
      </c>
      <c r="AK83" s="711">
        <f>AK81+AK82</f>
        <v/>
      </c>
      <c r="AL83" s="711">
        <f>AL81+AL82</f>
        <v/>
      </c>
      <c r="AM83" s="711">
        <f>AM81+AM82</f>
        <v/>
      </c>
      <c r="AN83" s="711">
        <f>AN81+AN82</f>
        <v/>
      </c>
      <c r="AO83" s="711">
        <f>AO81+AO82</f>
        <v/>
      </c>
      <c r="AP83" s="711">
        <f>AP81+AP82</f>
        <v/>
      </c>
      <c r="AQ83" s="711">
        <f>AQ81+AQ82</f>
        <v/>
      </c>
      <c r="AR83" s="711">
        <f>AR81+AR82</f>
        <v/>
      </c>
      <c r="AS83" s="711">
        <f>AS81+AS82</f>
        <v/>
      </c>
      <c r="AT83" s="711">
        <f>AT81+AT82</f>
        <v/>
      </c>
      <c r="AU83" s="711">
        <f>AU81+AU82</f>
        <v/>
      </c>
      <c r="AV83" s="711">
        <f>AV81+AV82</f>
        <v/>
      </c>
      <c r="AW83" s="711">
        <f>AW81+AW82</f>
        <v/>
      </c>
      <c r="AX83" s="711">
        <f>AX81+AX82</f>
        <v/>
      </c>
      <c r="AY83" s="711">
        <f>AY81+AY82</f>
        <v/>
      </c>
      <c r="AZ83" s="711">
        <f>AZ81+AZ82</f>
        <v/>
      </c>
      <c r="BA83" s="715">
        <f>BA81+BA82</f>
        <v/>
      </c>
      <c r="BB83" s="715">
        <f>BB81+BB82</f>
        <v/>
      </c>
      <c r="BC83" s="716" t="n"/>
    </row>
    <row r="84">
      <c r="A84" s="717" t="n"/>
      <c r="B84" s="839" t="n"/>
      <c r="C84" s="839" t="n"/>
      <c r="D84" s="773" t="n"/>
      <c r="E84" s="839" t="n"/>
      <c r="F84" s="773" t="n"/>
      <c r="G84" s="840" t="n"/>
      <c r="H84" s="842" t="n"/>
      <c r="I84" s="842" t="n"/>
      <c r="J84" s="842" t="n"/>
      <c r="K84" s="869" t="n"/>
      <c r="L84" s="869" t="n"/>
      <c r="M84" s="842" t="n"/>
      <c r="N84" s="842" t="n"/>
      <c r="O84" s="842" t="n"/>
      <c r="P84" s="842" t="n"/>
      <c r="Q84" s="842" t="n"/>
      <c r="R84" s="1027" t="n"/>
      <c r="S84" s="842" t="n"/>
      <c r="T84" s="1027" t="n"/>
      <c r="U84" s="842" t="n"/>
      <c r="V84" s="1027" t="n">
        <v>2104029</v>
      </c>
      <c r="W84" s="842" t="n"/>
      <c r="X84" s="842" t="n"/>
      <c r="Y84" s="842" t="n"/>
      <c r="Z84" s="842" t="n"/>
      <c r="AA84" s="842" t="n"/>
      <c r="AB84" s="842" t="n"/>
      <c r="AC84" s="842" t="n"/>
      <c r="AD84" s="842" t="n"/>
      <c r="AE84" s="842" t="n"/>
      <c r="AF84" s="842" t="n"/>
      <c r="AG84" s="842" t="n"/>
      <c r="AH84" s="842" t="n"/>
      <c r="AI84" s="842" t="n"/>
      <c r="AJ84" s="842" t="n"/>
      <c r="AK84" s="842" t="n"/>
      <c r="AL84" s="842" t="n"/>
      <c r="AM84" s="842" t="n"/>
      <c r="AN84" s="842" t="n"/>
      <c r="AO84" s="720" t="n"/>
      <c r="AP84" s="720" t="n"/>
      <c r="AQ84" s="842" t="n"/>
      <c r="AR84" s="842" t="n"/>
      <c r="AS84" s="842" t="n"/>
      <c r="AT84" s="842" t="n"/>
      <c r="AU84" s="842" t="n"/>
      <c r="AV84" s="842" t="n"/>
      <c r="AW84" s="842" t="n"/>
      <c r="AX84" s="842" t="n"/>
      <c r="AY84" s="842" t="n"/>
      <c r="AZ84" s="842" t="n"/>
      <c r="BA84" s="1220" t="inlineStr">
        <is>
          <t>Итого май (+если есть деньги, - кас.разрыв)</t>
        </is>
      </c>
      <c r="BC84" s="721">
        <f>BC75+BC29</f>
        <v/>
      </c>
    </row>
    <row r="85">
      <c r="A85" s="842" t="n"/>
      <c r="B85" s="842" t="n"/>
      <c r="C85" s="842" t="n"/>
      <c r="D85" s="842" t="n"/>
      <c r="E85" s="842" t="n"/>
      <c r="F85" s="842" t="n"/>
      <c r="G85" s="842" t="n"/>
      <c r="H85" s="842" t="n"/>
      <c r="I85" s="842" t="n"/>
      <c r="J85" s="841" t="n"/>
      <c r="K85" s="242" t="n"/>
      <c r="L85" s="242" t="n"/>
      <c r="M85" s="722" t="n"/>
      <c r="N85" s="842" t="n"/>
      <c r="O85" s="842" t="n"/>
      <c r="P85" s="1027" t="n"/>
      <c r="Q85" s="1027" t="n"/>
      <c r="R85" s="1027" t="n"/>
      <c r="S85" s="842" t="n"/>
      <c r="T85" s="842" t="n"/>
      <c r="U85" s="242" t="n"/>
      <c r="V85" s="242" t="n"/>
      <c r="W85" s="842" t="n"/>
      <c r="X85" s="842" t="n"/>
      <c r="Y85" s="842" t="n"/>
      <c r="Z85" s="842" t="n"/>
      <c r="AA85" s="842" t="n"/>
      <c r="AB85" s="842" t="n"/>
      <c r="AC85" s="842" t="n"/>
      <c r="AD85" s="842" t="n"/>
      <c r="AE85" s="242" t="n"/>
      <c r="AF85" s="242" t="n"/>
      <c r="AG85" s="842" t="n"/>
      <c r="AH85" s="842" t="n"/>
      <c r="AI85" s="842" t="n"/>
      <c r="AJ85" s="842" t="n"/>
      <c r="AK85" s="842" t="n"/>
      <c r="AL85" s="842" t="n"/>
      <c r="AM85" s="842" t="n"/>
      <c r="AN85" s="841" t="n"/>
      <c r="AO85" s="773" t="n"/>
      <c r="AP85" s="773" t="n"/>
      <c r="AQ85" s="722" t="n"/>
      <c r="AR85" s="842" t="n"/>
      <c r="AS85" s="842" t="n"/>
      <c r="AT85" s="842" t="n"/>
      <c r="AU85" s="842" t="n"/>
      <c r="AV85" s="842" t="n"/>
      <c r="AW85" s="842" t="n"/>
      <c r="AX85" s="842" t="inlineStr">
        <is>
          <t>Факт АПРЕЛЬ</t>
        </is>
      </c>
      <c r="AY85" s="242" t="n"/>
      <c r="AZ85" s="242" t="n"/>
      <c r="BA85" s="724" t="inlineStr">
        <is>
          <t>План</t>
        </is>
      </c>
      <c r="BB85" s="724" t="inlineStr">
        <is>
          <t>Факт</t>
        </is>
      </c>
      <c r="BC85" s="725" t="inlineStr">
        <is>
          <t>Отклонение</t>
        </is>
      </c>
    </row>
    <row r="86">
      <c r="A86" s="842" t="n"/>
      <c r="B86" s="842" t="n"/>
      <c r="C86" s="842" t="n"/>
      <c r="D86" s="842" t="n"/>
      <c r="E86" s="842" t="n"/>
      <c r="F86" s="842" t="n"/>
      <c r="G86" s="842" t="n"/>
      <c r="H86" s="842" t="n"/>
      <c r="I86" s="842" t="n"/>
      <c r="J86" s="841" t="n"/>
      <c r="K86" s="730" t="inlineStr">
        <is>
          <t>Выплата поставщикам</t>
        </is>
      </c>
      <c r="L86" s="242" t="n"/>
      <c r="M86" s="722" t="n"/>
      <c r="N86" s="842" t="n"/>
      <c r="O86" s="842" t="n"/>
      <c r="P86" s="842" t="n"/>
      <c r="Q86" s="842" t="n"/>
      <c r="R86" s="842" t="n"/>
      <c r="S86" s="842" t="n"/>
      <c r="T86" s="842" t="n"/>
      <c r="U86" s="730" t="inlineStr">
        <is>
          <t>Выплата поставщикам</t>
        </is>
      </c>
      <c r="V86" s="242" t="n"/>
      <c r="W86" s="842" t="n"/>
      <c r="X86" s="842" t="n"/>
      <c r="Y86" s="842" t="n"/>
      <c r="Z86" s="842" t="n"/>
      <c r="AA86" s="842" t="n"/>
      <c r="AB86" s="842" t="n"/>
      <c r="AC86" s="842" t="n"/>
      <c r="AD86" s="842" t="n"/>
      <c r="AE86" s="730" t="inlineStr">
        <is>
          <t>Выплата поставщикам</t>
        </is>
      </c>
      <c r="AF86" s="242" t="n"/>
      <c r="AG86" s="842" t="n"/>
      <c r="AH86" s="842" t="n"/>
      <c r="AI86" s="842" t="n"/>
      <c r="AJ86" s="842" t="n"/>
      <c r="AK86" s="842" t="n"/>
      <c r="AL86" s="842" t="n"/>
      <c r="AM86" s="842" t="n"/>
      <c r="AN86" s="841" t="n"/>
      <c r="AO86" s="727" t="n"/>
      <c r="AP86" s="773" t="n"/>
      <c r="AQ86" s="722" t="n"/>
      <c r="AR86" s="842" t="n"/>
      <c r="AS86" s="842" t="n"/>
      <c r="AT86" s="842" t="n"/>
      <c r="AU86" s="842" t="n"/>
      <c r="AV86" s="842" t="n"/>
      <c r="AW86" s="842" t="n"/>
      <c r="AX86" s="843">
        <f>'ДДС ФАКТ Апрель'!I27+'ДДС ФАКТ Апрель'!I26+'ДДС ФАКТ Апрель'!I34+'ДДС ФАКТ Апрель'!I32+'ДДС ФАКТ Апрель'!I35</f>
        <v/>
      </c>
      <c r="AY86" s="730" t="inlineStr">
        <is>
          <t>Выплата поставщикам</t>
        </is>
      </c>
      <c r="AZ86" s="242" t="n"/>
      <c r="BA86" s="728">
        <f>BA31+BA46+BA47+BA53+BA73+BA56+BA49</f>
        <v/>
      </c>
      <c r="BB86" s="728">
        <f>BB31+BB46+BB47+BB53+BB73+BB56</f>
        <v/>
      </c>
      <c r="BC86" s="729">
        <f>BA86-BB86</f>
        <v/>
      </c>
    </row>
    <row r="87">
      <c r="A87" s="842" t="n"/>
      <c r="B87" s="842" t="n"/>
      <c r="C87" s="842" t="n"/>
      <c r="D87" s="842" t="n"/>
      <c r="E87" s="842" t="n"/>
      <c r="F87" s="842" t="n"/>
      <c r="G87" s="842" t="n"/>
      <c r="H87" s="842" t="n"/>
      <c r="I87" s="842" t="n"/>
      <c r="J87" s="841" t="n"/>
      <c r="K87" s="730" t="inlineStr">
        <is>
          <t>Налоги</t>
        </is>
      </c>
      <c r="L87" s="242" t="n"/>
      <c r="M87" s="722" t="n"/>
      <c r="N87" s="842" t="n"/>
      <c r="O87" s="842" t="n"/>
      <c r="P87" s="842" t="n"/>
      <c r="Q87" s="842" t="n"/>
      <c r="R87" s="842" t="n"/>
      <c r="S87" s="842" t="n"/>
      <c r="T87" s="842" t="n"/>
      <c r="U87" s="730" t="inlineStr">
        <is>
          <t>Налоги</t>
        </is>
      </c>
      <c r="V87" s="242" t="n"/>
      <c r="W87" s="842" t="n"/>
      <c r="X87" s="842" t="n"/>
      <c r="Y87" s="842" t="n"/>
      <c r="Z87" s="842" t="n"/>
      <c r="AA87" s="842" t="n"/>
      <c r="AB87" s="842" t="n"/>
      <c r="AC87" s="842" t="n"/>
      <c r="AD87" s="842" t="n"/>
      <c r="AE87" s="730" t="inlineStr">
        <is>
          <t>Налоги</t>
        </is>
      </c>
      <c r="AF87" s="242" t="n"/>
      <c r="AG87" s="842" t="n"/>
      <c r="AH87" s="842" t="n"/>
      <c r="AI87" s="842" t="n"/>
      <c r="AJ87" s="842" t="n"/>
      <c r="AK87" s="842" t="n"/>
      <c r="AL87" s="842" t="n"/>
      <c r="AM87" s="842" t="n"/>
      <c r="AN87" s="841" t="n"/>
      <c r="AO87" s="727" t="n"/>
      <c r="AP87" s="773" t="n"/>
      <c r="AQ87" s="722" t="n"/>
      <c r="AR87" s="842" t="n"/>
      <c r="AS87" s="842" t="n"/>
      <c r="AT87" s="842" t="n"/>
      <c r="AU87" s="842" t="n"/>
      <c r="AV87" s="842" t="n"/>
      <c r="AW87" s="842" t="n"/>
      <c r="AX87" s="842">
        <f>'ДДС ФАКТ Апрель'!I24</f>
        <v/>
      </c>
      <c r="AY87" s="730" t="inlineStr">
        <is>
          <t>Налоги</t>
        </is>
      </c>
      <c r="AZ87" s="242" t="n"/>
      <c r="BA87" s="728">
        <f>BA39</f>
        <v/>
      </c>
      <c r="BB87" s="728">
        <f>BB39</f>
        <v/>
      </c>
      <c r="BC87" s="729">
        <f>BA87-BB87</f>
        <v/>
      </c>
    </row>
    <row r="88">
      <c r="A88" s="842" t="n"/>
      <c r="B88" s="842" t="n"/>
      <c r="C88" s="842" t="n"/>
      <c r="D88" s="842" t="n"/>
      <c r="E88" s="842" t="n"/>
      <c r="F88" s="842" t="n"/>
      <c r="G88" s="842" t="n"/>
      <c r="H88" s="842" t="n"/>
      <c r="I88" s="842" t="n"/>
      <c r="J88" s="841" t="n"/>
      <c r="K88" s="730" t="inlineStr">
        <is>
          <t>Оплата труда</t>
        </is>
      </c>
      <c r="L88" s="242" t="n"/>
      <c r="M88" s="722" t="n"/>
      <c r="N88" s="842" t="n"/>
      <c r="O88" s="842" t="n"/>
      <c r="P88" s="842" t="n"/>
      <c r="Q88" s="842" t="n"/>
      <c r="R88" s="842" t="n"/>
      <c r="S88" s="842" t="n"/>
      <c r="T88" s="842" t="n"/>
      <c r="U88" s="730" t="inlineStr">
        <is>
          <t>Оплата труда</t>
        </is>
      </c>
      <c r="V88" s="242" t="n"/>
      <c r="W88" s="842" t="n"/>
      <c r="X88" s="842" t="n"/>
      <c r="Y88" s="842" t="n"/>
      <c r="Z88" s="842" t="n"/>
      <c r="AA88" s="842" t="n"/>
      <c r="AB88" s="842" t="n"/>
      <c r="AC88" s="842" t="n"/>
      <c r="AD88" s="842" t="n"/>
      <c r="AE88" s="730" t="inlineStr">
        <is>
          <t>Оплата труда</t>
        </is>
      </c>
      <c r="AF88" s="242" t="n"/>
      <c r="AG88" s="842" t="n"/>
      <c r="AH88" s="842" t="n"/>
      <c r="AI88" s="842" t="n"/>
      <c r="AJ88" s="842" t="n"/>
      <c r="AK88" s="842" t="n"/>
      <c r="AL88" s="842" t="n"/>
      <c r="AM88" s="842" t="n"/>
      <c r="AN88" s="841" t="n"/>
      <c r="AO88" s="727" t="n"/>
      <c r="AP88" s="773" t="n"/>
      <c r="AQ88" s="722" t="n"/>
      <c r="AR88" s="842" t="n"/>
      <c r="AS88" s="842" t="n"/>
      <c r="AT88" s="842" t="n"/>
      <c r="AU88" s="842" t="n"/>
      <c r="AV88" s="842" t="n"/>
      <c r="AW88" s="842" t="n"/>
      <c r="AX88" s="842">
        <f>'ДДС ФАКТ Апрель'!I25</f>
        <v/>
      </c>
      <c r="AY88" s="730" t="inlineStr">
        <is>
          <t>Оплата труда</t>
        </is>
      </c>
      <c r="AZ88" s="242" t="n"/>
      <c r="BA88" s="728">
        <f>BA40+BA62</f>
        <v/>
      </c>
      <c r="BB88" s="728">
        <f>BB40+BB62</f>
        <v/>
      </c>
      <c r="BC88" s="729">
        <f>BA88-BB88</f>
        <v/>
      </c>
    </row>
    <row r="89">
      <c r="A89" s="842" t="n"/>
      <c r="B89" s="842" t="n"/>
      <c r="C89" s="842" t="n"/>
      <c r="D89" s="842" t="n"/>
      <c r="E89" s="842" t="n"/>
      <c r="F89" s="842" t="n"/>
      <c r="G89" s="842" t="n"/>
      <c r="H89" s="842" t="n"/>
      <c r="I89" s="842" t="n"/>
      <c r="J89" s="841" t="n"/>
      <c r="K89" s="730" t="inlineStr">
        <is>
          <t>Ремонт</t>
        </is>
      </c>
      <c r="L89" s="242" t="n"/>
      <c r="M89" s="722" t="n"/>
      <c r="N89" s="842" t="n"/>
      <c r="O89" s="842" t="n"/>
      <c r="P89" s="842" t="n"/>
      <c r="Q89" s="842" t="n"/>
      <c r="R89" s="842" t="n"/>
      <c r="S89" s="842" t="n"/>
      <c r="T89" s="842" t="n"/>
      <c r="U89" s="730" t="inlineStr">
        <is>
          <t>Ремонт</t>
        </is>
      </c>
      <c r="V89" s="242" t="n"/>
      <c r="W89" s="842" t="n"/>
      <c r="X89" s="842" t="n"/>
      <c r="Y89" s="842" t="n"/>
      <c r="Z89" s="842" t="n"/>
      <c r="AA89" s="842" t="n"/>
      <c r="AB89" s="842" t="n"/>
      <c r="AC89" s="842" t="n"/>
      <c r="AD89" s="842" t="n"/>
      <c r="AE89" s="730" t="inlineStr">
        <is>
          <t>Ремонт</t>
        </is>
      </c>
      <c r="AF89" s="242" t="n"/>
      <c r="AG89" s="842" t="n"/>
      <c r="AH89" s="842" t="n"/>
      <c r="AI89" s="842" t="n"/>
      <c r="AJ89" s="842" t="n"/>
      <c r="AK89" s="842" t="n"/>
      <c r="AL89" s="842" t="n"/>
      <c r="AM89" s="842" t="n"/>
      <c r="AN89" s="841" t="n"/>
      <c r="AO89" s="727" t="n"/>
      <c r="AP89" s="773" t="n"/>
      <c r="AQ89" s="722" t="n"/>
      <c r="AR89" s="842" t="n"/>
      <c r="AS89" s="842" t="n"/>
      <c r="AT89" s="842" t="n"/>
      <c r="AU89" s="842" t="n"/>
      <c r="AV89" s="842" t="n"/>
      <c r="AW89" s="842" t="n"/>
      <c r="AX89" s="844">
        <f>'ДДС ФАКТ Апрель'!I28+'ДДС ФАКТ Апрель'!I30</f>
        <v/>
      </c>
      <c r="AY89" s="730" t="inlineStr">
        <is>
          <t>Произв. расх</t>
        </is>
      </c>
      <c r="AZ89" s="242" t="n"/>
      <c r="BA89" s="728">
        <f>BA64+BA43+BA44+BA51+BA65</f>
        <v/>
      </c>
      <c r="BB89" s="728">
        <f>BB51+BB50+BB70+BB71</f>
        <v/>
      </c>
      <c r="BC89" s="729">
        <f>BA89-BB89</f>
        <v/>
      </c>
    </row>
    <row r="90">
      <c r="A90" s="842" t="n"/>
      <c r="B90" s="842" t="n"/>
      <c r="C90" s="842" t="n"/>
      <c r="D90" s="842" t="n"/>
      <c r="E90" s="842" t="n"/>
      <c r="F90" s="842" t="n"/>
      <c r="G90" s="842" t="n"/>
      <c r="H90" s="842" t="n"/>
      <c r="I90" s="842" t="n"/>
      <c r="J90" s="841" t="n"/>
      <c r="K90" s="730" t="inlineStr">
        <is>
          <t>ОС</t>
        </is>
      </c>
      <c r="L90" s="242" t="n"/>
      <c r="M90" s="722" t="n"/>
      <c r="N90" s="842" t="n"/>
      <c r="O90" s="842" t="n"/>
      <c r="P90" s="842" t="n"/>
      <c r="Q90" s="842" t="n"/>
      <c r="R90" s="842" t="n"/>
      <c r="S90" s="842" t="n"/>
      <c r="T90" s="842" t="n"/>
      <c r="U90" s="730" t="inlineStr">
        <is>
          <t>ОС</t>
        </is>
      </c>
      <c r="V90" s="242" t="n"/>
      <c r="W90" s="842" t="n"/>
      <c r="X90" s="842" t="n"/>
      <c r="Y90" s="842" t="n"/>
      <c r="Z90" s="842" t="n"/>
      <c r="AA90" s="842" t="n"/>
      <c r="AB90" s="842" t="n"/>
      <c r="AC90" s="842" t="n"/>
      <c r="AD90" s="842" t="n"/>
      <c r="AE90" s="730" t="inlineStr">
        <is>
          <t>ОС</t>
        </is>
      </c>
      <c r="AF90" s="242" t="n"/>
      <c r="AG90" s="842" t="n"/>
      <c r="AH90" s="842" t="n"/>
      <c r="AI90" s="842" t="n"/>
      <c r="AJ90" s="842" t="n"/>
      <c r="AK90" s="842" t="n"/>
      <c r="AL90" s="842" t="n"/>
      <c r="AM90" s="842" t="n"/>
      <c r="AN90" s="841" t="n"/>
      <c r="AO90" s="727" t="n"/>
      <c r="AP90" s="773" t="n"/>
      <c r="AQ90" s="722" t="n"/>
      <c r="AR90" s="842" t="n"/>
      <c r="AS90" s="842" t="n"/>
      <c r="AT90" s="842" t="n"/>
      <c r="AU90" s="842" t="n"/>
      <c r="AV90" s="842" t="n"/>
      <c r="AW90" s="842" t="n"/>
      <c r="AX90" s="842" t="n"/>
      <c r="AY90" s="730" t="inlineStr">
        <is>
          <t>ОС</t>
        </is>
      </c>
      <c r="AZ90" s="242" t="n"/>
      <c r="BA90" s="728">
        <f>BA52+BA72</f>
        <v/>
      </c>
      <c r="BB90" s="728">
        <f>BB52+BB72</f>
        <v/>
      </c>
      <c r="BC90" s="729">
        <f>BA90-BB90</f>
        <v/>
      </c>
    </row>
    <row r="91">
      <c r="A91" s="772" t="n"/>
      <c r="B91" s="772" t="n"/>
      <c r="C91" s="772" t="n"/>
      <c r="D91" s="772" t="n"/>
      <c r="E91" s="772" t="n"/>
      <c r="F91" s="772" t="n"/>
      <c r="G91" s="772" t="n"/>
      <c r="H91" s="772" t="n"/>
      <c r="I91" s="772" t="n"/>
      <c r="J91" s="772" t="n"/>
      <c r="K91" s="772" t="n"/>
      <c r="L91" s="772" t="n"/>
      <c r="M91" s="772" t="n"/>
      <c r="N91" s="772" t="n"/>
      <c r="O91" s="772" t="n"/>
      <c r="P91" s="772" t="n"/>
      <c r="Q91" s="772" t="n"/>
      <c r="R91" s="772" t="n"/>
      <c r="S91" s="772" t="n"/>
      <c r="T91" s="772" t="n"/>
      <c r="U91" s="772" t="n"/>
      <c r="V91" s="772" t="n"/>
      <c r="W91" s="772" t="n"/>
      <c r="X91" s="772" t="n"/>
      <c r="Y91" s="772" t="n"/>
      <c r="Z91" s="772" t="n"/>
      <c r="AA91" s="772" t="n"/>
      <c r="AB91" s="772" t="n"/>
      <c r="AC91" s="772" t="n"/>
      <c r="AD91" s="772" t="n"/>
      <c r="AE91" s="772" t="n"/>
      <c r="AF91" s="772" t="n"/>
      <c r="AG91" s="772" t="n"/>
      <c r="AH91" s="772" t="n"/>
      <c r="AI91" s="772" t="n"/>
      <c r="AJ91" s="772" t="n"/>
      <c r="AK91" s="772" t="n"/>
      <c r="AL91" s="772" t="n"/>
      <c r="AM91" s="772" t="n"/>
      <c r="AN91" s="772" t="n"/>
      <c r="AO91" s="772" t="n"/>
      <c r="AP91" s="772" t="n"/>
      <c r="AQ91" s="772" t="n"/>
      <c r="AR91" s="772" t="n"/>
      <c r="AS91" s="772" t="n"/>
      <c r="AT91" s="772" t="n"/>
      <c r="AU91" s="772" t="n"/>
      <c r="AV91" s="772" t="n"/>
      <c r="AW91" s="772" t="n"/>
      <c r="AX91" s="772" t="n"/>
      <c r="AY91" s="772" t="n"/>
      <c r="AZ91" s="772" t="n"/>
      <c r="BA91" s="731" t="n"/>
      <c r="BB91" s="731" t="n"/>
      <c r="BC91" s="731" t="n"/>
    </row>
    <row r="92">
      <c r="A92" s="772" t="n"/>
      <c r="B92" s="772" t="n"/>
      <c r="C92" s="772" t="n"/>
      <c r="D92" s="772" t="n"/>
      <c r="E92" s="772" t="n"/>
      <c r="F92" s="772" t="n"/>
      <c r="G92" s="772" t="n"/>
      <c r="H92" s="772" t="n"/>
      <c r="I92" s="772" t="n"/>
      <c r="J92" s="772" t="n"/>
      <c r="K92" s="772" t="n"/>
      <c r="L92" s="772" t="n"/>
      <c r="M92" s="772" t="n"/>
      <c r="N92" s="772" t="n"/>
      <c r="O92" s="772" t="n"/>
      <c r="P92" s="772" t="n"/>
      <c r="Q92" s="772" t="n"/>
      <c r="R92" s="772" t="n"/>
      <c r="S92" s="772" t="n"/>
      <c r="T92" s="772" t="n"/>
      <c r="U92" s="772" t="n"/>
      <c r="V92" s="772" t="n"/>
      <c r="W92" s="772" t="n"/>
      <c r="X92" s="772" t="n"/>
      <c r="Y92" s="772" t="n"/>
      <c r="Z92" s="772" t="n"/>
      <c r="AA92" s="772" t="n"/>
      <c r="AB92" s="772" t="n"/>
      <c r="AC92" s="772" t="n"/>
      <c r="AD92" s="772" t="n"/>
      <c r="AE92" s="772" t="n"/>
      <c r="AF92" s="772" t="n"/>
      <c r="AG92" s="772" t="n"/>
      <c r="AH92" s="772" t="n"/>
      <c r="AI92" s="772" t="n"/>
      <c r="AJ92" s="772" t="n"/>
      <c r="AK92" s="772" t="n"/>
      <c r="AL92" s="772" t="n"/>
      <c r="AM92" s="772" t="n"/>
      <c r="AN92" s="772" t="n"/>
      <c r="AO92" s="772" t="n"/>
      <c r="AP92" s="772" t="n"/>
      <c r="AQ92" s="772" t="n"/>
      <c r="AR92" s="772" t="n"/>
      <c r="AS92" s="772" t="n"/>
      <c r="AT92" s="772" t="n"/>
      <c r="AU92" s="772" t="n"/>
      <c r="AV92" s="772" t="n"/>
      <c r="AW92" s="772" t="n"/>
      <c r="AX92" s="772" t="n"/>
      <c r="AY92" s="772" t="n"/>
      <c r="AZ92" s="772" t="n"/>
      <c r="BA92" s="731" t="n"/>
      <c r="BB92" s="731" t="n"/>
      <c r="BC92" s="731" t="n"/>
    </row>
    <row r="93">
      <c r="A93" s="772" t="n"/>
      <c r="B93" s="772" t="n"/>
      <c r="C93" s="772" t="n"/>
      <c r="D93" s="772" t="n"/>
      <c r="E93" s="772" t="n"/>
      <c r="F93" s="772" t="n"/>
      <c r="G93" s="772" t="n"/>
      <c r="H93" s="772" t="n"/>
      <c r="I93" s="772" t="n"/>
      <c r="J93" s="772" t="n"/>
      <c r="K93" s="772" t="n"/>
      <c r="L93" s="772" t="n"/>
      <c r="M93" s="772" t="n"/>
      <c r="N93" s="772" t="n"/>
      <c r="O93" s="772" t="n"/>
      <c r="P93" s="772" t="n"/>
      <c r="Q93" s="772" t="n"/>
      <c r="R93" s="772" t="n"/>
      <c r="S93" s="772" t="n"/>
      <c r="T93" s="772" t="n"/>
      <c r="U93" s="772" t="n"/>
      <c r="V93" s="772" t="n"/>
      <c r="W93" s="772" t="n"/>
      <c r="X93" s="772" t="n"/>
      <c r="Y93" s="772" t="n"/>
      <c r="Z93" s="772" t="n"/>
      <c r="AA93" s="772" t="n"/>
      <c r="AB93" s="772" t="n"/>
      <c r="AC93" s="772" t="n"/>
      <c r="AD93" s="772" t="n"/>
      <c r="AE93" s="772" t="n"/>
      <c r="AF93" s="772" t="n"/>
      <c r="AG93" s="772" t="n"/>
      <c r="AH93" s="772" t="n"/>
      <c r="AI93" s="772" t="n"/>
      <c r="AJ93" s="772" t="n"/>
      <c r="AK93" s="772" t="n"/>
      <c r="AL93" s="772" t="n"/>
      <c r="AM93" s="772" t="n"/>
      <c r="AN93" s="772" t="n"/>
      <c r="AO93" s="772" t="n"/>
      <c r="AP93" s="772" t="n"/>
      <c r="AQ93" s="772" t="n"/>
      <c r="AR93" s="772" t="n"/>
      <c r="AS93" s="772" t="n"/>
      <c r="AT93" s="772" t="n"/>
      <c r="AU93" s="772" t="n"/>
      <c r="AV93" s="772" t="n"/>
      <c r="AW93" s="772" t="n"/>
      <c r="AX93" s="772" t="n"/>
      <c r="AY93" s="772" t="n"/>
      <c r="AZ93" s="772" t="n"/>
      <c r="BA93" s="731" t="n"/>
      <c r="BB93" s="731" t="n"/>
      <c r="BC93" s="731" t="n"/>
    </row>
    <row r="94">
      <c r="A94" s="772" t="n"/>
      <c r="B94" s="772" t="n"/>
      <c r="C94" s="772" t="n"/>
      <c r="D94" s="772" t="n"/>
      <c r="E94" s="772" t="n"/>
      <c r="F94" s="772" t="n"/>
      <c r="G94" s="772" t="n"/>
      <c r="H94" s="772" t="n"/>
      <c r="I94" s="772" t="n"/>
      <c r="J94" s="772" t="n"/>
      <c r="K94" s="772" t="n"/>
      <c r="L94" s="772" t="n"/>
      <c r="M94" s="772" t="n"/>
      <c r="N94" s="772" t="n"/>
      <c r="O94" s="772" t="n"/>
      <c r="P94" s="772" t="n"/>
      <c r="Q94" s="772" t="n"/>
      <c r="R94" s="772" t="n"/>
      <c r="S94" s="772" t="n"/>
      <c r="T94" s="772" t="n"/>
      <c r="U94" s="772" t="n"/>
      <c r="V94" s="772" t="n"/>
      <c r="W94" s="772" t="n"/>
      <c r="X94" s="772" t="n"/>
      <c r="Y94" s="772" t="n"/>
      <c r="Z94" s="772" t="n"/>
      <c r="AA94" s="772" t="n"/>
      <c r="AB94" s="772" t="n"/>
      <c r="AC94" s="772" t="n"/>
      <c r="AD94" s="772" t="n"/>
      <c r="AE94" s="772" t="n"/>
      <c r="AF94" s="772" t="n"/>
      <c r="AG94" s="772" t="n"/>
      <c r="AH94" s="772" t="n"/>
      <c r="AI94" s="772" t="n"/>
      <c r="AJ94" s="772" t="n"/>
      <c r="AK94" s="772" t="n"/>
      <c r="AL94" s="772" t="n"/>
      <c r="AM94" s="772" t="n"/>
      <c r="AN94" s="772" t="n"/>
      <c r="AO94" s="772" t="n"/>
      <c r="AP94" s="772" t="n"/>
      <c r="AQ94" s="772" t="n"/>
      <c r="AR94" s="772" t="n"/>
      <c r="AS94" s="772" t="n"/>
      <c r="AT94" s="772" t="n"/>
      <c r="AU94" s="772" t="n"/>
      <c r="AV94" s="772" t="n"/>
      <c r="AW94" s="772" t="n"/>
      <c r="AX94" s="772" t="n"/>
      <c r="AY94" s="772" t="n"/>
      <c r="AZ94" s="772" t="n"/>
      <c r="BA94" s="731" t="n"/>
      <c r="BB94" s="731" t="n"/>
      <c r="BC94" s="731" t="n"/>
    </row>
    <row r="95">
      <c r="A95" s="772" t="n"/>
      <c r="B95" s="772" t="n"/>
      <c r="C95" s="772" t="n"/>
      <c r="D95" s="772" t="n"/>
      <c r="E95" s="772" t="n"/>
      <c r="F95" s="772" t="n"/>
      <c r="G95" s="772" t="n"/>
      <c r="H95" s="772" t="n"/>
      <c r="I95" s="772" t="n"/>
      <c r="J95" s="772" t="n"/>
      <c r="K95" s="772" t="n"/>
      <c r="L95" s="772" t="n"/>
      <c r="M95" s="772" t="n"/>
      <c r="N95" s="772" t="n"/>
      <c r="O95" s="772" t="n"/>
      <c r="P95" s="772" t="n"/>
      <c r="Q95" s="772" t="n"/>
      <c r="R95" s="772" t="n"/>
      <c r="S95" s="772" t="n"/>
      <c r="T95" s="772" t="n"/>
      <c r="U95" s="772" t="n"/>
      <c r="V95" s="772" t="n"/>
      <c r="W95" s="772" t="n"/>
      <c r="X95" s="772" t="n"/>
      <c r="Y95" s="772" t="n"/>
      <c r="Z95" s="772" t="n"/>
      <c r="AA95" s="772" t="n"/>
      <c r="AB95" s="772" t="n"/>
      <c r="AC95" s="772" t="n"/>
      <c r="AD95" s="772" t="n"/>
      <c r="AE95" s="772" t="n"/>
      <c r="AF95" s="772" t="n"/>
      <c r="AG95" s="772" t="n"/>
      <c r="AH95" s="772" t="n"/>
      <c r="AI95" s="772" t="n"/>
      <c r="AJ95" s="772" t="n"/>
      <c r="AK95" s="772" t="n"/>
      <c r="AL95" s="772" t="n"/>
      <c r="AM95" s="772" t="n"/>
      <c r="AN95" s="772" t="n"/>
      <c r="AO95" s="772" t="n"/>
      <c r="AP95" s="772" t="n"/>
      <c r="AQ95" s="772" t="n"/>
      <c r="AR95" s="772" t="n"/>
      <c r="AS95" s="772" t="n"/>
      <c r="AT95" s="772" t="n"/>
      <c r="AU95" s="772" t="n"/>
      <c r="AV95" s="772" t="n"/>
      <c r="AW95" s="772" t="n"/>
      <c r="AX95" s="772" t="n"/>
      <c r="AY95" s="772" t="n"/>
      <c r="AZ95" s="772" t="n"/>
      <c r="BA95" s="731" t="n"/>
      <c r="BB95" s="731" t="n"/>
      <c r="BC95" s="731" t="n"/>
    </row>
    <row r="96">
      <c r="A96" s="772" t="n"/>
      <c r="B96" s="772" t="n"/>
      <c r="C96" s="772" t="n"/>
      <c r="D96" s="772" t="n"/>
      <c r="E96" s="772" t="n"/>
      <c r="F96" s="772" t="n"/>
      <c r="G96" s="772" t="n"/>
      <c r="H96" s="772" t="n"/>
      <c r="I96" s="772" t="n"/>
      <c r="J96" s="772" t="n"/>
      <c r="K96" s="772" t="n"/>
      <c r="L96" s="772" t="n"/>
      <c r="M96" s="772" t="n"/>
      <c r="N96" s="772" t="n"/>
      <c r="O96" s="772" t="n"/>
      <c r="P96" s="772" t="n"/>
      <c r="Q96" s="772" t="n"/>
      <c r="R96" s="772" t="n"/>
      <c r="S96" s="772" t="n"/>
      <c r="T96" s="772" t="n"/>
      <c r="U96" s="772" t="n"/>
      <c r="V96" s="772" t="n"/>
      <c r="W96" s="772" t="n"/>
      <c r="X96" s="772" t="n"/>
      <c r="Y96" s="772" t="n"/>
      <c r="Z96" s="772" t="n"/>
      <c r="AA96" s="772" t="n"/>
      <c r="AB96" s="772" t="n"/>
      <c r="AC96" s="772" t="n"/>
      <c r="AD96" s="772" t="n"/>
      <c r="AE96" s="772" t="n"/>
      <c r="AF96" s="772" t="n"/>
      <c r="AG96" s="772" t="n"/>
      <c r="AH96" s="772" t="n"/>
      <c r="AI96" s="772" t="n"/>
      <c r="AJ96" s="772" t="n"/>
      <c r="AK96" s="772" t="n"/>
      <c r="AL96" s="772" t="n"/>
      <c r="AM96" s="772" t="n"/>
      <c r="AN96" s="772" t="n"/>
      <c r="AO96" s="772" t="n"/>
      <c r="AP96" s="772" t="n"/>
      <c r="AQ96" s="772" t="n"/>
      <c r="AR96" s="772" t="n"/>
      <c r="AS96" s="772" t="n"/>
      <c r="AT96" s="772" t="n"/>
      <c r="AU96" s="772" t="n"/>
      <c r="AV96" s="772" t="n"/>
      <c r="AW96" s="772" t="n"/>
      <c r="AX96" s="772" t="n"/>
      <c r="AY96" s="772" t="n"/>
      <c r="AZ96" s="772" t="n"/>
      <c r="BA96" s="731" t="n"/>
      <c r="BB96" s="731" t="n"/>
      <c r="BC96" s="731" t="n"/>
    </row>
    <row r="97">
      <c r="A97" s="772" t="n"/>
      <c r="B97" s="772" t="n"/>
      <c r="C97" s="772" t="n"/>
      <c r="D97" s="772" t="n"/>
      <c r="E97" s="772" t="n"/>
      <c r="F97" s="772" t="n"/>
      <c r="G97" s="772" t="n"/>
      <c r="H97" s="772" t="n"/>
      <c r="I97" s="772" t="n"/>
      <c r="J97" s="772" t="n"/>
      <c r="K97" s="772" t="n"/>
      <c r="L97" s="772" t="n"/>
      <c r="M97" s="772" t="n"/>
      <c r="N97" s="772" t="n"/>
      <c r="O97" s="772" t="n"/>
      <c r="P97" s="772" t="n"/>
      <c r="Q97" s="772" t="n"/>
      <c r="R97" s="772" t="n"/>
      <c r="S97" s="772" t="n"/>
      <c r="T97" s="772" t="n"/>
      <c r="U97" s="772" t="n"/>
      <c r="V97" s="772" t="n"/>
      <c r="W97" s="772" t="n"/>
      <c r="X97" s="772" t="n"/>
      <c r="Y97" s="772" t="n"/>
      <c r="Z97" s="772" t="n"/>
      <c r="AA97" s="772" t="n"/>
      <c r="AB97" s="772" t="n"/>
      <c r="AC97" s="772" t="n"/>
      <c r="AD97" s="772" t="n"/>
      <c r="AE97" s="772" t="n"/>
      <c r="AF97" s="772" t="n"/>
      <c r="AG97" s="772" t="n"/>
      <c r="AH97" s="772" t="n"/>
      <c r="AI97" s="772" t="n"/>
      <c r="AJ97" s="772" t="n"/>
      <c r="AK97" s="772" t="n"/>
      <c r="AL97" s="772" t="n"/>
      <c r="AM97" s="772" t="n"/>
      <c r="AN97" s="772" t="n"/>
      <c r="AO97" s="772" t="n"/>
      <c r="AP97" s="772" t="n"/>
      <c r="AQ97" s="772" t="n"/>
      <c r="AR97" s="772" t="n"/>
      <c r="AS97" s="772" t="n"/>
      <c r="AT97" s="772" t="n"/>
      <c r="AU97" s="772" t="n"/>
      <c r="AV97" s="772" t="n"/>
      <c r="AW97" s="772" t="n"/>
      <c r="AX97" s="772" t="n"/>
      <c r="AY97" s="772" t="n"/>
      <c r="AZ97" s="772" t="n"/>
      <c r="BA97" s="731" t="n"/>
      <c r="BB97" s="731" t="n"/>
      <c r="BC97" s="731" t="n"/>
    </row>
    <row r="98">
      <c r="A98" s="772" t="n"/>
      <c r="B98" s="772" t="n"/>
      <c r="C98" s="772" t="n"/>
      <c r="D98" s="772" t="n"/>
      <c r="E98" s="772" t="n"/>
      <c r="F98" s="772" t="n"/>
      <c r="G98" s="772" t="n"/>
      <c r="H98" s="772" t="n"/>
      <c r="I98" s="772" t="n"/>
      <c r="J98" s="772" t="n"/>
      <c r="K98" s="772" t="n"/>
      <c r="L98" s="772" t="n"/>
      <c r="M98" s="772" t="n"/>
      <c r="N98" s="772" t="n"/>
      <c r="O98" s="772" t="n"/>
      <c r="P98" s="772" t="n"/>
      <c r="Q98" s="772" t="n"/>
      <c r="R98" s="772" t="n"/>
      <c r="S98" s="772" t="n"/>
      <c r="T98" s="772" t="n"/>
      <c r="U98" s="772" t="n"/>
      <c r="V98" s="772" t="n"/>
      <c r="W98" s="772" t="n"/>
      <c r="X98" s="772" t="n"/>
      <c r="Y98" s="772" t="n"/>
      <c r="Z98" s="772" t="n"/>
      <c r="AA98" s="772" t="n"/>
      <c r="AB98" s="772" t="n"/>
      <c r="AC98" s="772" t="n"/>
      <c r="AD98" s="772" t="n"/>
      <c r="AE98" s="772" t="n"/>
      <c r="AF98" s="772" t="n"/>
      <c r="AG98" s="772" t="n"/>
      <c r="AH98" s="772" t="n"/>
      <c r="AI98" s="772" t="n"/>
      <c r="AJ98" s="772" t="n"/>
      <c r="AK98" s="772" t="n"/>
      <c r="AL98" s="772" t="n"/>
      <c r="AM98" s="772" t="n"/>
      <c r="AN98" s="772" t="n"/>
      <c r="AO98" s="772" t="n"/>
      <c r="AP98" s="772" t="n"/>
      <c r="AQ98" s="772" t="n"/>
      <c r="AR98" s="772" t="n"/>
      <c r="AS98" s="772" t="n"/>
      <c r="AT98" s="772" t="n"/>
      <c r="AU98" s="772" t="n"/>
      <c r="AV98" s="772" t="n"/>
      <c r="AW98" s="772" t="n"/>
      <c r="AX98" s="772" t="n"/>
      <c r="AY98" s="772" t="n"/>
      <c r="AZ98" s="772" t="n"/>
      <c r="BA98" s="731" t="n"/>
      <c r="BB98" s="731" t="n"/>
      <c r="BC98" s="731" t="n"/>
    </row>
    <row r="99">
      <c r="A99" s="772" t="n"/>
      <c r="B99" s="772" t="n"/>
      <c r="C99" s="772" t="n"/>
      <c r="D99" s="772" t="n"/>
      <c r="E99" s="772" t="n"/>
      <c r="F99" s="772" t="n"/>
      <c r="G99" s="772" t="n"/>
      <c r="H99" s="772" t="n"/>
      <c r="I99" s="772" t="n"/>
      <c r="J99" s="772" t="n"/>
      <c r="K99" s="772" t="n"/>
      <c r="L99" s="772" t="n"/>
      <c r="M99" s="772" t="n"/>
      <c r="N99" s="772" t="n"/>
      <c r="O99" s="772" t="n"/>
      <c r="P99" s="772" t="n"/>
      <c r="Q99" s="772" t="n"/>
      <c r="R99" s="772" t="n"/>
      <c r="S99" s="772" t="n"/>
      <c r="T99" s="772" t="n"/>
      <c r="U99" s="772" t="n"/>
      <c r="V99" s="772" t="n"/>
      <c r="W99" s="772" t="n"/>
      <c r="X99" s="772" t="n"/>
      <c r="Y99" s="772" t="n"/>
      <c r="Z99" s="772" t="n"/>
      <c r="AA99" s="772" t="n"/>
      <c r="AB99" s="772" t="n"/>
      <c r="AC99" s="772" t="n"/>
      <c r="AD99" s="772" t="n"/>
      <c r="AE99" s="772" t="n"/>
      <c r="AF99" s="772" t="n"/>
      <c r="AG99" s="772" t="n"/>
      <c r="AH99" s="772" t="n"/>
      <c r="AI99" s="772" t="n"/>
      <c r="AJ99" s="772" t="n"/>
      <c r="AK99" s="772" t="n"/>
      <c r="AL99" s="772" t="n"/>
      <c r="AM99" s="772" t="n"/>
      <c r="AN99" s="772" t="n"/>
      <c r="AO99" s="772" t="n"/>
      <c r="AP99" s="772" t="n"/>
      <c r="AQ99" s="772" t="n"/>
      <c r="AR99" s="772" t="n"/>
      <c r="AS99" s="772" t="n"/>
      <c r="AT99" s="772" t="n"/>
      <c r="AU99" s="772" t="n"/>
      <c r="AV99" s="772" t="n"/>
      <c r="AW99" s="772" t="n"/>
      <c r="AX99" s="772" t="n"/>
      <c r="AY99" s="772" t="n"/>
      <c r="AZ99" s="772" t="n"/>
      <c r="BA99" s="731" t="n"/>
      <c r="BB99" s="731" t="n"/>
      <c r="BC99" s="731" t="n"/>
    </row>
    <row r="100">
      <c r="A100" s="772" t="n"/>
      <c r="B100" s="772" t="n"/>
      <c r="C100" s="772" t="n"/>
      <c r="D100" s="772" t="n"/>
      <c r="E100" s="772" t="n"/>
      <c r="F100" s="772" t="n"/>
      <c r="G100" s="772" t="n"/>
      <c r="H100" s="772" t="n"/>
      <c r="I100" s="772" t="n"/>
      <c r="J100" s="772" t="n"/>
      <c r="K100" s="772" t="n"/>
      <c r="L100" s="772" t="n"/>
      <c r="M100" s="772" t="n"/>
      <c r="N100" s="772" t="n"/>
      <c r="O100" s="772" t="n"/>
      <c r="P100" s="772" t="n"/>
      <c r="Q100" s="772" t="n"/>
      <c r="R100" s="772" t="n"/>
      <c r="S100" s="772" t="n"/>
      <c r="T100" s="772" t="n"/>
      <c r="U100" s="772" t="n"/>
      <c r="V100" s="772" t="n"/>
      <c r="W100" s="772" t="n"/>
      <c r="X100" s="772" t="n"/>
      <c r="Y100" s="772" t="n"/>
      <c r="Z100" s="772" t="n"/>
      <c r="AA100" s="772" t="n"/>
      <c r="AB100" s="772" t="n"/>
      <c r="AC100" s="772" t="n"/>
      <c r="AD100" s="772" t="n"/>
      <c r="AE100" s="772" t="n"/>
      <c r="AF100" s="772" t="n"/>
      <c r="AG100" s="772" t="n"/>
      <c r="AH100" s="772" t="n"/>
      <c r="AI100" s="772" t="n"/>
      <c r="AJ100" s="772" t="n"/>
      <c r="AK100" s="772" t="n"/>
      <c r="AL100" s="772" t="n"/>
      <c r="AM100" s="772" t="n"/>
      <c r="AN100" s="772" t="n"/>
      <c r="AO100" s="772" t="n"/>
      <c r="AP100" s="772" t="n"/>
      <c r="AQ100" s="772" t="n"/>
      <c r="AR100" s="772" t="n"/>
      <c r="AS100" s="772" t="n"/>
      <c r="AT100" s="772" t="n"/>
      <c r="AU100" s="772" t="n"/>
      <c r="AV100" s="772" t="n"/>
      <c r="AW100" s="772" t="n"/>
      <c r="AX100" s="772" t="n"/>
      <c r="AY100" s="772" t="n"/>
      <c r="AZ100" s="772" t="n"/>
      <c r="BA100" s="731" t="n"/>
      <c r="BB100" s="731" t="n"/>
      <c r="BC100" s="731" t="n"/>
    </row>
    <row r="101">
      <c r="A101" s="772" t="n"/>
      <c r="B101" s="772" t="n"/>
      <c r="C101" s="772" t="n"/>
      <c r="D101" s="772" t="n"/>
      <c r="E101" s="772" t="n"/>
      <c r="F101" s="772" t="n"/>
      <c r="G101" s="772" t="n"/>
      <c r="H101" s="772" t="n"/>
      <c r="I101" s="772" t="n"/>
      <c r="J101" s="772" t="n"/>
      <c r="K101" s="772" t="n"/>
      <c r="L101" s="772" t="n"/>
      <c r="M101" s="772" t="n"/>
      <c r="N101" s="772" t="n"/>
      <c r="O101" s="772" t="n"/>
      <c r="P101" s="772" t="n"/>
      <c r="Q101" s="772" t="n"/>
      <c r="R101" s="772" t="n"/>
      <c r="S101" s="772" t="n"/>
      <c r="T101" s="772" t="n"/>
      <c r="U101" s="772" t="n"/>
      <c r="V101" s="772" t="n"/>
      <c r="W101" s="772" t="n"/>
      <c r="X101" s="772" t="n"/>
      <c r="Y101" s="772" t="n"/>
      <c r="Z101" s="772" t="n"/>
      <c r="AA101" s="772" t="n"/>
      <c r="AB101" s="772" t="n"/>
      <c r="AC101" s="772" t="n"/>
      <c r="AD101" s="772" t="n"/>
      <c r="AE101" s="772" t="n"/>
      <c r="AF101" s="772" t="n"/>
      <c r="AG101" s="772" t="n"/>
      <c r="AH101" s="772" t="n"/>
      <c r="AI101" s="772" t="n"/>
      <c r="AJ101" s="772" t="n"/>
      <c r="AK101" s="772" t="n"/>
      <c r="AL101" s="772" t="n"/>
      <c r="AM101" s="772" t="n"/>
      <c r="AN101" s="772" t="n"/>
      <c r="AO101" s="772" t="n"/>
      <c r="AP101" s="772" t="n"/>
      <c r="AQ101" s="772" t="n"/>
      <c r="AR101" s="772" t="n"/>
      <c r="AS101" s="772" t="n"/>
      <c r="AT101" s="772" t="n"/>
      <c r="AU101" s="772" t="n"/>
      <c r="AV101" s="772" t="n"/>
      <c r="AW101" s="772" t="n"/>
      <c r="AX101" s="772" t="n"/>
      <c r="AY101" s="772" t="n"/>
      <c r="AZ101" s="772" t="n"/>
      <c r="BA101" s="731" t="n"/>
      <c r="BB101" s="731" t="n"/>
      <c r="BC101" s="731" t="n"/>
    </row>
    <row r="102">
      <c r="A102" s="772" t="n"/>
      <c r="B102" s="772" t="n"/>
      <c r="C102" s="772" t="n"/>
      <c r="D102" s="772" t="n"/>
      <c r="E102" s="772" t="n"/>
      <c r="F102" s="772" t="n"/>
      <c r="G102" s="772" t="n"/>
      <c r="H102" s="772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2" t="n"/>
      <c r="W102" s="772" t="n"/>
      <c r="X102" s="772" t="n"/>
      <c r="Y102" s="772" t="n"/>
      <c r="Z102" s="772" t="n"/>
      <c r="AA102" s="772" t="n"/>
      <c r="AB102" s="772" t="n"/>
      <c r="AC102" s="772" t="n"/>
      <c r="AD102" s="772" t="n"/>
      <c r="AE102" s="772" t="n"/>
      <c r="AF102" s="772" t="n"/>
      <c r="AG102" s="772" t="n"/>
      <c r="AH102" s="772" t="n"/>
      <c r="AI102" s="772" t="n"/>
      <c r="AJ102" s="772" t="n"/>
      <c r="AK102" s="772" t="n"/>
      <c r="AL102" s="772" t="n"/>
      <c r="AM102" s="772" t="n"/>
      <c r="AN102" s="772" t="n"/>
      <c r="AO102" s="772" t="n"/>
      <c r="AP102" s="772" t="n"/>
      <c r="AQ102" s="772" t="n"/>
      <c r="AR102" s="772" t="n"/>
      <c r="AS102" s="772" t="n"/>
      <c r="AT102" s="772" t="n"/>
      <c r="AU102" s="772" t="n"/>
      <c r="AV102" s="772" t="n"/>
      <c r="AW102" s="772" t="n"/>
      <c r="AX102" s="772" t="n"/>
      <c r="AY102" s="772" t="n"/>
      <c r="AZ102" s="772" t="n"/>
      <c r="BA102" s="731" t="n"/>
      <c r="BB102" s="731" t="n"/>
      <c r="BC102" s="731" t="n"/>
    </row>
    <row r="103">
      <c r="A103" s="772" t="n"/>
      <c r="B103" s="772" t="n"/>
      <c r="C103" s="772" t="n"/>
      <c r="D103" s="772" t="n"/>
      <c r="E103" s="772" t="n"/>
      <c r="F103" s="772" t="n"/>
      <c r="G103" s="772" t="n"/>
      <c r="H103" s="772" t="n"/>
      <c r="I103" s="772" t="n"/>
      <c r="J103" s="772" t="n"/>
      <c r="K103" s="772" t="n"/>
      <c r="L103" s="772" t="n"/>
      <c r="M103" s="772" t="n"/>
      <c r="N103" s="772" t="n"/>
      <c r="O103" s="772" t="n"/>
      <c r="P103" s="772" t="n"/>
      <c r="Q103" s="772" t="n"/>
      <c r="R103" s="772" t="n"/>
      <c r="S103" s="772" t="n"/>
      <c r="T103" s="772" t="n"/>
      <c r="U103" s="772" t="n"/>
      <c r="V103" s="772" t="n"/>
      <c r="W103" s="772" t="n"/>
      <c r="X103" s="772" t="n"/>
      <c r="Y103" s="772" t="n"/>
      <c r="Z103" s="772" t="n"/>
      <c r="AA103" s="772" t="n"/>
      <c r="AB103" s="772" t="n"/>
      <c r="AC103" s="772" t="n"/>
      <c r="AD103" s="772" t="n"/>
      <c r="AE103" s="772" t="n"/>
      <c r="AF103" s="772" t="n"/>
      <c r="AG103" s="772" t="n"/>
      <c r="AH103" s="772" t="n"/>
      <c r="AI103" s="772" t="n"/>
      <c r="AJ103" s="772" t="n"/>
      <c r="AK103" s="772" t="n"/>
      <c r="AL103" s="772" t="n"/>
      <c r="AM103" s="772" t="n"/>
      <c r="AN103" s="772" t="n"/>
      <c r="AO103" s="772" t="n"/>
      <c r="AP103" s="772" t="n"/>
      <c r="AQ103" s="772" t="n"/>
      <c r="AR103" s="772" t="n"/>
      <c r="AS103" s="772" t="n"/>
      <c r="AT103" s="772" t="n"/>
      <c r="AU103" s="772" t="n"/>
      <c r="AV103" s="772" t="n"/>
      <c r="AW103" s="772" t="n"/>
      <c r="AX103" s="772" t="n"/>
      <c r="AY103" s="772" t="n"/>
      <c r="AZ103" s="772" t="n"/>
      <c r="BA103" s="731" t="n"/>
      <c r="BB103" s="731" t="n"/>
      <c r="BC103" s="731" t="n"/>
    </row>
    <row r="104">
      <c r="A104" s="772" t="n"/>
      <c r="B104" s="772" t="n"/>
      <c r="C104" s="772" t="n"/>
      <c r="D104" s="772" t="n"/>
      <c r="E104" s="772" t="n"/>
      <c r="F104" s="772" t="n"/>
      <c r="G104" s="772" t="n"/>
      <c r="H104" s="772" t="n"/>
      <c r="I104" s="772" t="n"/>
      <c r="J104" s="772" t="n"/>
      <c r="K104" s="772" t="n"/>
      <c r="L104" s="772" t="n"/>
      <c r="M104" s="772" t="n"/>
      <c r="N104" s="772" t="n"/>
      <c r="O104" s="772" t="n"/>
      <c r="P104" s="772" t="n"/>
      <c r="Q104" s="772" t="n"/>
      <c r="R104" s="772" t="n"/>
      <c r="S104" s="772" t="n"/>
      <c r="T104" s="772" t="n"/>
      <c r="U104" s="772" t="n"/>
      <c r="V104" s="772" t="n"/>
      <c r="W104" s="772" t="n"/>
      <c r="X104" s="772" t="n"/>
      <c r="Y104" s="772" t="n"/>
      <c r="Z104" s="772" t="n"/>
      <c r="AA104" s="772" t="n"/>
      <c r="AB104" s="772" t="n"/>
      <c r="AC104" s="772" t="n"/>
      <c r="AD104" s="772" t="n"/>
      <c r="AE104" s="772" t="n"/>
      <c r="AF104" s="772" t="n"/>
      <c r="AG104" s="772" t="n"/>
      <c r="AH104" s="772" t="n"/>
      <c r="AI104" s="772" t="n"/>
      <c r="AJ104" s="772" t="n"/>
      <c r="AK104" s="772" t="n"/>
      <c r="AL104" s="772" t="n"/>
      <c r="AM104" s="772" t="n"/>
      <c r="AN104" s="772" t="n"/>
      <c r="AO104" s="772" t="n"/>
      <c r="AP104" s="772" t="n"/>
      <c r="AQ104" s="772" t="n"/>
      <c r="AR104" s="772" t="n"/>
      <c r="AS104" s="772" t="n"/>
      <c r="AT104" s="772" t="n"/>
      <c r="AU104" s="772" t="n"/>
      <c r="AV104" s="772" t="n"/>
      <c r="AW104" s="772" t="n"/>
      <c r="AX104" s="772" t="n"/>
      <c r="AY104" s="772" t="n"/>
      <c r="AZ104" s="772" t="n"/>
      <c r="BA104" s="731" t="n"/>
      <c r="BB104" s="731" t="n"/>
      <c r="BC104" s="731" t="n"/>
    </row>
    <row r="105">
      <c r="A105" s="772" t="n"/>
      <c r="B105" s="772" t="n"/>
      <c r="C105" s="772" t="n"/>
      <c r="D105" s="772" t="n"/>
      <c r="E105" s="772" t="n"/>
      <c r="F105" s="772" t="n"/>
      <c r="G105" s="772" t="n"/>
      <c r="H105" s="772" t="n"/>
      <c r="I105" s="772" t="n"/>
      <c r="J105" s="772" t="n"/>
      <c r="K105" s="772" t="n"/>
      <c r="L105" s="772" t="n"/>
      <c r="M105" s="772" t="n"/>
      <c r="N105" s="772" t="n"/>
      <c r="O105" s="772" t="n"/>
      <c r="P105" s="772" t="n"/>
      <c r="Q105" s="772" t="n"/>
      <c r="R105" s="772" t="n"/>
      <c r="S105" s="772" t="n"/>
      <c r="T105" s="772" t="n"/>
      <c r="U105" s="772" t="n"/>
      <c r="V105" s="772" t="n"/>
      <c r="W105" s="772" t="n"/>
      <c r="X105" s="772" t="n"/>
      <c r="Y105" s="772" t="n"/>
      <c r="Z105" s="772" t="n"/>
      <c r="AA105" s="772" t="n"/>
      <c r="AB105" s="772" t="n"/>
      <c r="AC105" s="772" t="n"/>
      <c r="AD105" s="772" t="n"/>
      <c r="AE105" s="772" t="n"/>
      <c r="AF105" s="772" t="n"/>
      <c r="AG105" s="772" t="n"/>
      <c r="AH105" s="772" t="n"/>
      <c r="AI105" s="772" t="n"/>
      <c r="AJ105" s="772" t="n"/>
      <c r="AK105" s="772" t="n"/>
      <c r="AL105" s="772" t="n"/>
      <c r="AM105" s="772" t="n"/>
      <c r="AN105" s="772" t="n"/>
      <c r="AO105" s="772" t="n"/>
      <c r="AP105" s="772" t="n"/>
      <c r="AQ105" s="772" t="n"/>
      <c r="AR105" s="772" t="n"/>
      <c r="AS105" s="772" t="n"/>
      <c r="AT105" s="772" t="n"/>
      <c r="AU105" s="772" t="n"/>
      <c r="AV105" s="772" t="n"/>
      <c r="AW105" s="772" t="n"/>
      <c r="AX105" s="772" t="n"/>
      <c r="AY105" s="772" t="n"/>
      <c r="AZ105" s="772" t="n"/>
      <c r="BA105" s="731" t="n"/>
      <c r="BB105" s="731" t="n"/>
      <c r="BC105" s="731" t="n"/>
    </row>
    <row r="106">
      <c r="A106" s="772" t="n"/>
      <c r="B106" s="772" t="n"/>
      <c r="C106" s="772" t="n"/>
      <c r="D106" s="772" t="n"/>
      <c r="E106" s="772" t="n"/>
      <c r="F106" s="772" t="n"/>
      <c r="G106" s="772" t="n"/>
      <c r="H106" s="772" t="n"/>
      <c r="I106" s="772" t="n"/>
      <c r="J106" s="772" t="n"/>
      <c r="K106" s="772" t="n"/>
      <c r="L106" s="772" t="n"/>
      <c r="M106" s="772" t="n"/>
      <c r="N106" s="772" t="n"/>
      <c r="O106" s="772" t="n"/>
      <c r="P106" s="772" t="n"/>
      <c r="Q106" s="772" t="n"/>
      <c r="R106" s="772" t="n"/>
      <c r="S106" s="772" t="n"/>
      <c r="T106" s="772" t="n"/>
      <c r="U106" s="772" t="n"/>
      <c r="V106" s="772" t="n"/>
      <c r="W106" s="772" t="n"/>
      <c r="X106" s="772" t="n"/>
      <c r="Y106" s="772" t="n"/>
      <c r="Z106" s="772" t="n"/>
      <c r="AA106" s="772" t="n"/>
      <c r="AB106" s="772" t="n"/>
      <c r="AC106" s="772" t="n"/>
      <c r="AD106" s="772" t="n"/>
      <c r="AE106" s="772" t="n"/>
      <c r="AF106" s="772" t="n"/>
      <c r="AG106" s="772" t="n"/>
      <c r="AH106" s="772" t="n"/>
      <c r="AI106" s="772" t="n"/>
      <c r="AJ106" s="772" t="n"/>
      <c r="AK106" s="772" t="n"/>
      <c r="AL106" s="772" t="n"/>
      <c r="AM106" s="772" t="n"/>
      <c r="AN106" s="772" t="n"/>
      <c r="AO106" s="772" t="n"/>
      <c r="AP106" s="772" t="n"/>
      <c r="AQ106" s="772" t="n"/>
      <c r="AR106" s="772" t="n"/>
      <c r="AS106" s="772" t="n"/>
      <c r="AT106" s="772" t="n"/>
      <c r="AU106" s="772" t="n"/>
      <c r="AV106" s="772" t="n"/>
      <c r="AW106" s="772" t="n"/>
      <c r="AX106" s="772" t="n"/>
      <c r="AY106" s="772" t="n"/>
      <c r="AZ106" s="772" t="n"/>
      <c r="BA106" s="731" t="n"/>
      <c r="BB106" s="731" t="n"/>
      <c r="BC106" s="731" t="n"/>
    </row>
    <row r="107">
      <c r="A107" s="772" t="n"/>
      <c r="B107" s="772" t="n"/>
      <c r="C107" s="772" t="n"/>
      <c r="D107" s="772" t="n"/>
      <c r="E107" s="772" t="n"/>
      <c r="F107" s="772" t="n"/>
      <c r="G107" s="772" t="n"/>
      <c r="H107" s="772" t="n"/>
      <c r="I107" s="772" t="n"/>
      <c r="J107" s="772" t="n"/>
      <c r="K107" s="772" t="n"/>
      <c r="L107" s="772" t="n"/>
      <c r="M107" s="772" t="n"/>
      <c r="N107" s="772" t="n"/>
      <c r="O107" s="772" t="n"/>
      <c r="P107" s="772" t="n"/>
      <c r="Q107" s="772" t="n"/>
      <c r="R107" s="772" t="n"/>
      <c r="S107" s="772" t="n"/>
      <c r="T107" s="772" t="n"/>
      <c r="U107" s="772" t="n"/>
      <c r="V107" s="772" t="n"/>
      <c r="W107" s="772" t="n"/>
      <c r="X107" s="772" t="n"/>
      <c r="Y107" s="772" t="n"/>
      <c r="Z107" s="772" t="n"/>
      <c r="AA107" s="772" t="n"/>
      <c r="AB107" s="772" t="n"/>
      <c r="AC107" s="772" t="n"/>
      <c r="AD107" s="772" t="n"/>
      <c r="AE107" s="772" t="n"/>
      <c r="AF107" s="772" t="n"/>
      <c r="AG107" s="772" t="n"/>
      <c r="AH107" s="772" t="n"/>
      <c r="AI107" s="772" t="n"/>
      <c r="AJ107" s="772" t="n"/>
      <c r="AK107" s="772" t="n"/>
      <c r="AL107" s="772" t="n"/>
      <c r="AM107" s="772" t="n"/>
      <c r="AN107" s="772" t="n"/>
      <c r="AO107" s="772" t="n"/>
      <c r="AP107" s="772" t="n"/>
      <c r="AQ107" s="772" t="n"/>
      <c r="AR107" s="772" t="n"/>
      <c r="AS107" s="772" t="n"/>
      <c r="AT107" s="772" t="n"/>
      <c r="AU107" s="772" t="n"/>
      <c r="AV107" s="772" t="n"/>
      <c r="AW107" s="772" t="n"/>
      <c r="AX107" s="772" t="n"/>
      <c r="AY107" s="772" t="n"/>
      <c r="AZ107" s="772" t="n"/>
      <c r="BA107" s="731" t="n"/>
      <c r="BB107" s="731" t="n"/>
      <c r="BC107" s="731" t="n"/>
    </row>
    <row r="108">
      <c r="A108" s="772" t="n"/>
      <c r="B108" s="772" t="n"/>
      <c r="C108" s="772" t="n"/>
      <c r="D108" s="772" t="n"/>
      <c r="E108" s="772" t="n"/>
      <c r="F108" s="772" t="n"/>
      <c r="G108" s="772" t="n"/>
      <c r="H108" s="772" t="n"/>
      <c r="I108" s="772" t="n"/>
      <c r="J108" s="772" t="n"/>
      <c r="K108" s="772" t="n"/>
      <c r="L108" s="772" t="n"/>
      <c r="M108" s="772" t="n"/>
      <c r="N108" s="772" t="n"/>
      <c r="O108" s="772" t="n"/>
      <c r="P108" s="772" t="n"/>
      <c r="Q108" s="772" t="n"/>
      <c r="R108" s="772" t="n"/>
      <c r="S108" s="772" t="n"/>
      <c r="T108" s="772" t="n"/>
      <c r="U108" s="772" t="n"/>
      <c r="V108" s="772" t="n"/>
      <c r="W108" s="772" t="n"/>
      <c r="X108" s="772" t="n"/>
      <c r="Y108" s="772" t="n"/>
      <c r="Z108" s="772" t="n"/>
      <c r="AA108" s="772" t="n"/>
      <c r="AB108" s="772" t="n"/>
      <c r="AC108" s="772" t="n"/>
      <c r="AD108" s="772" t="n"/>
      <c r="AE108" s="772" t="n"/>
      <c r="AF108" s="772" t="n"/>
      <c r="AG108" s="772" t="n"/>
      <c r="AH108" s="772" t="n"/>
      <c r="AI108" s="772" t="n"/>
      <c r="AJ108" s="772" t="n"/>
      <c r="AK108" s="772" t="n"/>
      <c r="AL108" s="772" t="n"/>
      <c r="AM108" s="772" t="n"/>
      <c r="AN108" s="772" t="n"/>
      <c r="AO108" s="772" t="n"/>
      <c r="AP108" s="772" t="n"/>
      <c r="AQ108" s="772" t="n"/>
      <c r="AR108" s="772" t="n"/>
      <c r="AS108" s="772" t="n"/>
      <c r="AT108" s="772" t="n"/>
      <c r="AU108" s="772" t="n"/>
      <c r="AV108" s="772" t="n"/>
      <c r="AW108" s="772" t="n"/>
      <c r="AX108" s="772" t="n"/>
      <c r="AY108" s="772" t="n"/>
      <c r="AZ108" s="772" t="n"/>
      <c r="BA108" s="731" t="n"/>
      <c r="BB108" s="731" t="n"/>
      <c r="BC108" s="731" t="n"/>
    </row>
    <row r="109">
      <c r="A109" s="772" t="n"/>
      <c r="B109" s="772" t="n"/>
      <c r="C109" s="772" t="n"/>
      <c r="D109" s="772" t="n"/>
      <c r="E109" s="772" t="n"/>
      <c r="F109" s="772" t="n"/>
      <c r="G109" s="772" t="n"/>
      <c r="H109" s="772" t="n"/>
      <c r="I109" s="772" t="n"/>
      <c r="J109" s="772" t="n"/>
      <c r="K109" s="772" t="n"/>
      <c r="L109" s="772" t="n"/>
      <c r="M109" s="772" t="n"/>
      <c r="N109" s="772" t="n"/>
      <c r="O109" s="772" t="n"/>
      <c r="P109" s="772" t="n"/>
      <c r="Q109" s="772" t="n"/>
      <c r="R109" s="772" t="n"/>
      <c r="S109" s="772" t="n"/>
      <c r="T109" s="772" t="n"/>
      <c r="U109" s="772" t="n"/>
      <c r="V109" s="772" t="n"/>
      <c r="W109" s="772" t="n"/>
      <c r="X109" s="772" t="n"/>
      <c r="Y109" s="772" t="n"/>
      <c r="Z109" s="772" t="n"/>
      <c r="AA109" s="772" t="n"/>
      <c r="AB109" s="772" t="n"/>
      <c r="AC109" s="772" t="n"/>
      <c r="AD109" s="772" t="n"/>
      <c r="AE109" s="772" t="n"/>
      <c r="AF109" s="772" t="n"/>
      <c r="AG109" s="772" t="n"/>
      <c r="AH109" s="772" t="n"/>
      <c r="AI109" s="772" t="n"/>
      <c r="AJ109" s="772" t="n"/>
      <c r="AK109" s="772" t="n"/>
      <c r="AL109" s="772" t="n"/>
      <c r="AM109" s="772" t="n"/>
      <c r="AN109" s="772" t="n"/>
      <c r="AO109" s="772" t="n"/>
      <c r="AP109" s="772" t="n"/>
      <c r="AQ109" s="772" t="n"/>
      <c r="AR109" s="772" t="n"/>
      <c r="AS109" s="772" t="n"/>
      <c r="AT109" s="772" t="n"/>
      <c r="AU109" s="772" t="n"/>
      <c r="AV109" s="772" t="n"/>
      <c r="AW109" s="772" t="n"/>
      <c r="AX109" s="772" t="n"/>
      <c r="AY109" s="772" t="n"/>
      <c r="AZ109" s="772" t="n"/>
      <c r="BA109" s="731" t="n"/>
      <c r="BB109" s="731" t="n"/>
      <c r="BC109" s="731" t="n"/>
    </row>
    <row r="110">
      <c r="A110" s="772" t="n"/>
      <c r="B110" s="772" t="n"/>
      <c r="C110" s="772" t="n"/>
      <c r="D110" s="772" t="n"/>
      <c r="E110" s="772" t="n"/>
      <c r="F110" s="772" t="n"/>
      <c r="G110" s="772" t="n"/>
      <c r="H110" s="772" t="n"/>
      <c r="I110" s="772" t="n"/>
      <c r="J110" s="772" t="n"/>
      <c r="K110" s="772" t="n"/>
      <c r="L110" s="772" t="n"/>
      <c r="M110" s="772" t="n"/>
      <c r="N110" s="772" t="n"/>
      <c r="O110" s="772" t="n"/>
      <c r="P110" s="772" t="n"/>
      <c r="Q110" s="772" t="n"/>
      <c r="R110" s="772" t="n"/>
      <c r="S110" s="772" t="n"/>
      <c r="T110" s="772" t="n"/>
      <c r="U110" s="772" t="n"/>
      <c r="V110" s="772" t="n"/>
      <c r="W110" s="772" t="n"/>
      <c r="X110" s="772" t="n"/>
      <c r="Y110" s="772" t="n"/>
      <c r="Z110" s="772" t="n"/>
      <c r="AA110" s="772" t="n"/>
      <c r="AB110" s="772" t="n"/>
      <c r="AC110" s="772" t="n"/>
      <c r="AD110" s="772" t="n"/>
      <c r="AE110" s="772" t="n"/>
      <c r="AF110" s="772" t="n"/>
      <c r="AG110" s="772" t="n"/>
      <c r="AH110" s="772" t="n"/>
      <c r="AI110" s="772" t="n"/>
      <c r="AJ110" s="772" t="n"/>
      <c r="AK110" s="772" t="n"/>
      <c r="AL110" s="772" t="n"/>
      <c r="AM110" s="772" t="n"/>
      <c r="AN110" s="772" t="n"/>
      <c r="AO110" s="772" t="n"/>
      <c r="AP110" s="772" t="n"/>
      <c r="AQ110" s="772" t="n"/>
      <c r="AR110" s="772" t="n"/>
      <c r="AS110" s="772" t="n"/>
      <c r="AT110" s="772" t="n"/>
      <c r="AU110" s="772" t="n"/>
      <c r="AV110" s="772" t="n"/>
      <c r="AW110" s="772" t="n"/>
      <c r="AX110" s="772" t="n"/>
      <c r="AY110" s="772" t="n"/>
      <c r="AZ110" s="772" t="n"/>
      <c r="BA110" s="731" t="n"/>
      <c r="BB110" s="731" t="n"/>
      <c r="BC110" s="731" t="n"/>
    </row>
    <row r="111">
      <c r="A111" s="772" t="n"/>
      <c r="B111" s="772" t="n"/>
      <c r="C111" s="772" t="n"/>
      <c r="D111" s="772" t="n"/>
      <c r="E111" s="772" t="n"/>
      <c r="F111" s="772" t="n"/>
      <c r="G111" s="772" t="n"/>
      <c r="H111" s="772" t="n"/>
      <c r="I111" s="772" t="n"/>
      <c r="J111" s="772" t="n"/>
      <c r="K111" s="772" t="n"/>
      <c r="L111" s="772" t="n"/>
      <c r="M111" s="772" t="n"/>
      <c r="N111" s="772" t="n"/>
      <c r="O111" s="772" t="n"/>
      <c r="P111" s="772" t="n"/>
      <c r="Q111" s="772" t="n"/>
      <c r="R111" s="772" t="n"/>
      <c r="S111" s="772" t="n"/>
      <c r="T111" s="772" t="n"/>
      <c r="U111" s="772" t="n"/>
      <c r="V111" s="772" t="n"/>
      <c r="W111" s="772" t="n"/>
      <c r="X111" s="772" t="n"/>
      <c r="Y111" s="772" t="n"/>
      <c r="Z111" s="772" t="n"/>
      <c r="AA111" s="772" t="n"/>
      <c r="AB111" s="772" t="n"/>
      <c r="AC111" s="772" t="n"/>
      <c r="AD111" s="772" t="n"/>
      <c r="AE111" s="772" t="n"/>
      <c r="AF111" s="772" t="n"/>
      <c r="AG111" s="772" t="n"/>
      <c r="AH111" s="772" t="n"/>
      <c r="AI111" s="772" t="n"/>
      <c r="AJ111" s="772" t="n"/>
      <c r="AK111" s="772" t="n"/>
      <c r="AL111" s="772" t="n"/>
      <c r="AM111" s="772" t="n"/>
      <c r="AN111" s="772" t="n"/>
      <c r="AO111" s="772" t="n"/>
      <c r="AP111" s="772" t="n"/>
      <c r="AQ111" s="772" t="n"/>
      <c r="AR111" s="772" t="n"/>
      <c r="AS111" s="772" t="n"/>
      <c r="AT111" s="772" t="n"/>
      <c r="AU111" s="772" t="n"/>
      <c r="AV111" s="772" t="n"/>
      <c r="AW111" s="772" t="n"/>
      <c r="AX111" s="772" t="n"/>
      <c r="AY111" s="772" t="n"/>
      <c r="AZ111" s="772" t="n"/>
      <c r="BA111" s="731" t="n"/>
      <c r="BB111" s="731" t="n"/>
      <c r="BC111" s="731" t="n"/>
    </row>
    <row r="112">
      <c r="A112" s="772" t="n"/>
      <c r="B112" s="772" t="n"/>
      <c r="C112" s="772" t="n"/>
      <c r="D112" s="772" t="n"/>
      <c r="E112" s="772" t="n"/>
      <c r="F112" s="772" t="n"/>
      <c r="G112" s="772" t="n"/>
      <c r="H112" s="772" t="n"/>
      <c r="I112" s="772" t="n"/>
      <c r="J112" s="772" t="n"/>
      <c r="K112" s="772" t="n"/>
      <c r="L112" s="772" t="n"/>
      <c r="M112" s="772" t="n"/>
      <c r="N112" s="772" t="n"/>
      <c r="O112" s="772" t="n"/>
      <c r="P112" s="772" t="n"/>
      <c r="Q112" s="772" t="n"/>
      <c r="R112" s="772" t="n"/>
      <c r="S112" s="772" t="n"/>
      <c r="T112" s="772" t="n"/>
      <c r="U112" s="772" t="n"/>
      <c r="V112" s="772" t="n"/>
      <c r="W112" s="772" t="n"/>
      <c r="X112" s="772" t="n"/>
      <c r="Y112" s="772" t="n"/>
      <c r="Z112" s="772" t="n"/>
      <c r="AA112" s="772" t="n"/>
      <c r="AB112" s="772" t="n"/>
      <c r="AC112" s="772" t="n"/>
      <c r="AD112" s="772" t="n"/>
      <c r="AE112" s="772" t="n"/>
      <c r="AF112" s="772" t="n"/>
      <c r="AG112" s="772" t="n"/>
      <c r="AH112" s="772" t="n"/>
      <c r="AI112" s="772" t="n"/>
      <c r="AJ112" s="772" t="n"/>
      <c r="AK112" s="772" t="n"/>
      <c r="AL112" s="772" t="n"/>
      <c r="AM112" s="772" t="n"/>
      <c r="AN112" s="772" t="n"/>
      <c r="AO112" s="772" t="n"/>
      <c r="AP112" s="772" t="n"/>
      <c r="AQ112" s="772" t="n"/>
      <c r="AR112" s="772" t="n"/>
      <c r="AS112" s="772" t="n"/>
      <c r="AT112" s="772" t="n"/>
      <c r="AU112" s="772" t="n"/>
      <c r="AV112" s="772" t="n"/>
      <c r="AW112" s="772" t="n"/>
      <c r="AX112" s="772" t="n"/>
      <c r="AY112" s="772" t="n"/>
      <c r="AZ112" s="772" t="n"/>
      <c r="BA112" s="731" t="n"/>
      <c r="BB112" s="731" t="n"/>
      <c r="BC112" s="731" t="n"/>
    </row>
    <row r="113">
      <c r="A113" s="772" t="n"/>
      <c r="B113" s="772" t="n"/>
      <c r="C113" s="772" t="n"/>
      <c r="D113" s="772" t="n"/>
      <c r="E113" s="772" t="n"/>
      <c r="F113" s="772" t="n"/>
      <c r="G113" s="772" t="n"/>
      <c r="H113" s="772" t="n"/>
      <c r="I113" s="772" t="n"/>
      <c r="J113" s="772" t="n"/>
      <c r="K113" s="772" t="n"/>
      <c r="L113" s="772" t="n"/>
      <c r="M113" s="772" t="n"/>
      <c r="N113" s="772" t="n"/>
      <c r="O113" s="772" t="n"/>
      <c r="P113" s="772" t="n"/>
      <c r="Q113" s="772" t="n"/>
      <c r="R113" s="772" t="n"/>
      <c r="S113" s="772" t="n"/>
      <c r="T113" s="772" t="n"/>
      <c r="U113" s="772" t="n"/>
      <c r="V113" s="772" t="n"/>
      <c r="W113" s="772" t="n"/>
      <c r="X113" s="772" t="n"/>
      <c r="Y113" s="772" t="n"/>
      <c r="Z113" s="772" t="n"/>
      <c r="AA113" s="772" t="n"/>
      <c r="AB113" s="772" t="n"/>
      <c r="AC113" s="772" t="n"/>
      <c r="AD113" s="772" t="n"/>
      <c r="AE113" s="772" t="n"/>
      <c r="AF113" s="772" t="n"/>
      <c r="AG113" s="772" t="n"/>
      <c r="AH113" s="772" t="n"/>
      <c r="AI113" s="772" t="n"/>
      <c r="AJ113" s="772" t="n"/>
      <c r="AK113" s="772" t="n"/>
      <c r="AL113" s="772" t="n"/>
      <c r="AM113" s="772" t="n"/>
      <c r="AN113" s="772" t="n"/>
      <c r="AO113" s="772" t="n"/>
      <c r="AP113" s="772" t="n"/>
      <c r="AQ113" s="772" t="n"/>
      <c r="AR113" s="772" t="n"/>
      <c r="AS113" s="772" t="n"/>
      <c r="AT113" s="772" t="n"/>
      <c r="AU113" s="772" t="n"/>
      <c r="AV113" s="772" t="n"/>
      <c r="AW113" s="772" t="n"/>
      <c r="AX113" s="772" t="n"/>
      <c r="AY113" s="772" t="n"/>
      <c r="AZ113" s="772" t="n"/>
      <c r="BA113" s="731" t="n"/>
      <c r="BB113" s="731" t="n"/>
      <c r="BC113" s="731" t="n"/>
    </row>
    <row r="114">
      <c r="A114" s="772" t="n"/>
      <c r="B114" s="772" t="n"/>
      <c r="C114" s="772" t="n"/>
      <c r="D114" s="772" t="n"/>
      <c r="E114" s="772" t="n"/>
      <c r="F114" s="772" t="n"/>
      <c r="G114" s="772" t="n"/>
      <c r="H114" s="772" t="n"/>
      <c r="I114" s="772" t="n"/>
      <c r="J114" s="772" t="n"/>
      <c r="K114" s="772" t="n"/>
      <c r="L114" s="772" t="n"/>
      <c r="M114" s="772" t="n"/>
      <c r="N114" s="772" t="n"/>
      <c r="O114" s="772" t="n"/>
      <c r="P114" s="772" t="n"/>
      <c r="Q114" s="772" t="n"/>
      <c r="R114" s="772" t="n"/>
      <c r="S114" s="772" t="n"/>
      <c r="T114" s="772" t="n"/>
      <c r="U114" s="772" t="n"/>
      <c r="V114" s="772" t="n"/>
      <c r="W114" s="772" t="n"/>
      <c r="X114" s="772" t="n"/>
      <c r="Y114" s="772" t="n"/>
      <c r="Z114" s="772" t="n"/>
      <c r="AA114" s="772" t="n"/>
      <c r="AB114" s="772" t="n"/>
      <c r="AC114" s="772" t="n"/>
      <c r="AD114" s="772" t="n"/>
      <c r="AE114" s="772" t="n"/>
      <c r="AF114" s="772" t="n"/>
      <c r="AG114" s="772" t="n"/>
      <c r="AH114" s="772" t="n"/>
      <c r="AI114" s="772" t="n"/>
      <c r="AJ114" s="772" t="n"/>
      <c r="AK114" s="772" t="n"/>
      <c r="AL114" s="772" t="n"/>
      <c r="AM114" s="772" t="n"/>
      <c r="AN114" s="772" t="n"/>
      <c r="AO114" s="772" t="n"/>
      <c r="AP114" s="772" t="n"/>
      <c r="AQ114" s="772" t="n"/>
      <c r="AR114" s="772" t="n"/>
      <c r="AS114" s="772" t="n"/>
      <c r="AT114" s="772" t="n"/>
      <c r="AU114" s="772" t="n"/>
      <c r="AV114" s="772" t="n"/>
      <c r="AW114" s="772" t="n"/>
      <c r="AX114" s="772" t="n"/>
      <c r="AY114" s="772" t="n"/>
      <c r="AZ114" s="772" t="n"/>
      <c r="BA114" s="731" t="n"/>
      <c r="BB114" s="731" t="n"/>
      <c r="BC114" s="731" t="n"/>
    </row>
    <row r="115">
      <c r="A115" s="772" t="n"/>
      <c r="B115" s="772" t="n"/>
      <c r="C115" s="772" t="n"/>
      <c r="D115" s="772" t="n"/>
      <c r="E115" s="772" t="n"/>
      <c r="F115" s="772" t="n"/>
      <c r="G115" s="772" t="n"/>
      <c r="H115" s="772" t="n"/>
      <c r="I115" s="772" t="n"/>
      <c r="J115" s="772" t="n"/>
      <c r="K115" s="772" t="n"/>
      <c r="L115" s="772" t="n"/>
      <c r="M115" s="772" t="n"/>
      <c r="N115" s="772" t="n"/>
      <c r="O115" s="772" t="n"/>
      <c r="P115" s="772" t="n"/>
      <c r="Q115" s="772" t="n"/>
      <c r="R115" s="772" t="n"/>
      <c r="S115" s="772" t="n"/>
      <c r="T115" s="772" t="n"/>
      <c r="U115" s="772" t="n"/>
      <c r="V115" s="772" t="n"/>
      <c r="W115" s="772" t="n"/>
      <c r="X115" s="772" t="n"/>
      <c r="Y115" s="772" t="n"/>
      <c r="Z115" s="772" t="n"/>
      <c r="AA115" s="772" t="n"/>
      <c r="AB115" s="772" t="n"/>
      <c r="AC115" s="772" t="n"/>
      <c r="AD115" s="772" t="n"/>
      <c r="AE115" s="772" t="n"/>
      <c r="AF115" s="772" t="n"/>
      <c r="AG115" s="772" t="n"/>
      <c r="AH115" s="772" t="n"/>
      <c r="AI115" s="772" t="n"/>
      <c r="AJ115" s="772" t="n"/>
      <c r="AK115" s="772" t="n"/>
      <c r="AL115" s="772" t="n"/>
      <c r="AM115" s="772" t="n"/>
      <c r="AN115" s="772" t="n"/>
      <c r="AO115" s="772" t="n"/>
      <c r="AP115" s="772" t="n"/>
      <c r="AQ115" s="772" t="n"/>
      <c r="AR115" s="772" t="n"/>
      <c r="AS115" s="772" t="n"/>
      <c r="AT115" s="772" t="n"/>
      <c r="AU115" s="772" t="n"/>
      <c r="AV115" s="772" t="n"/>
      <c r="AW115" s="772" t="n"/>
      <c r="AX115" s="772" t="n"/>
      <c r="AY115" s="772" t="n"/>
      <c r="AZ115" s="772" t="n"/>
      <c r="BA115" s="731" t="n"/>
      <c r="BB115" s="731" t="n"/>
      <c r="BC115" s="731" t="n"/>
    </row>
    <row r="116">
      <c r="A116" s="772" t="n"/>
      <c r="B116" s="772" t="n"/>
      <c r="C116" s="772" t="n"/>
      <c r="D116" s="772" t="n"/>
      <c r="E116" s="772" t="n"/>
      <c r="F116" s="772" t="n"/>
      <c r="G116" s="772" t="n"/>
      <c r="H116" s="772" t="n"/>
      <c r="I116" s="772" t="n"/>
      <c r="J116" s="772" t="n"/>
      <c r="K116" s="772" t="n"/>
      <c r="L116" s="772" t="n"/>
      <c r="M116" s="772" t="n"/>
      <c r="N116" s="772" t="n"/>
      <c r="O116" s="772" t="n"/>
      <c r="P116" s="772" t="n"/>
      <c r="Q116" s="772" t="n"/>
      <c r="R116" s="772" t="n"/>
      <c r="S116" s="772" t="n"/>
      <c r="T116" s="772" t="n"/>
      <c r="U116" s="772" t="n"/>
      <c r="V116" s="772" t="n"/>
      <c r="W116" s="772" t="n"/>
      <c r="X116" s="772" t="n"/>
      <c r="Y116" s="772" t="n"/>
      <c r="Z116" s="772" t="n"/>
      <c r="AA116" s="772" t="n"/>
      <c r="AB116" s="772" t="n"/>
      <c r="AC116" s="772" t="n"/>
      <c r="AD116" s="772" t="n"/>
      <c r="AE116" s="772" t="n"/>
      <c r="AF116" s="772" t="n"/>
      <c r="AG116" s="772" t="n"/>
      <c r="AH116" s="772" t="n"/>
      <c r="AI116" s="772" t="n"/>
      <c r="AJ116" s="772" t="n"/>
      <c r="AK116" s="772" t="n"/>
      <c r="AL116" s="772" t="n"/>
      <c r="AM116" s="772" t="n"/>
      <c r="AN116" s="772" t="n"/>
      <c r="AO116" s="772" t="n"/>
      <c r="AP116" s="772" t="n"/>
      <c r="AQ116" s="772" t="n"/>
      <c r="AR116" s="772" t="n"/>
      <c r="AS116" s="772" t="n"/>
      <c r="AT116" s="772" t="n"/>
      <c r="AU116" s="772" t="n"/>
      <c r="AV116" s="772" t="n"/>
      <c r="AW116" s="772" t="n"/>
      <c r="AX116" s="772" t="n"/>
      <c r="AY116" s="772" t="n"/>
      <c r="AZ116" s="772" t="n"/>
      <c r="BA116" s="731" t="n"/>
      <c r="BB116" s="731" t="n"/>
      <c r="BC116" s="731" t="n"/>
    </row>
    <row r="117">
      <c r="A117" s="772" t="n"/>
      <c r="B117" s="772" t="n"/>
      <c r="C117" s="772" t="n"/>
      <c r="D117" s="772" t="n"/>
      <c r="E117" s="772" t="n"/>
      <c r="F117" s="772" t="n"/>
      <c r="G117" s="772" t="n"/>
      <c r="H117" s="772" t="n"/>
      <c r="I117" s="772" t="n"/>
      <c r="J117" s="772" t="n"/>
      <c r="K117" s="772" t="n"/>
      <c r="L117" s="772" t="n"/>
      <c r="M117" s="772" t="n"/>
      <c r="N117" s="772" t="n"/>
      <c r="O117" s="772" t="n"/>
      <c r="P117" s="772" t="n"/>
      <c r="Q117" s="772" t="n"/>
      <c r="R117" s="772" t="n"/>
      <c r="S117" s="772" t="n"/>
      <c r="T117" s="772" t="n"/>
      <c r="U117" s="772" t="n"/>
      <c r="V117" s="772" t="n"/>
      <c r="W117" s="772" t="n"/>
      <c r="X117" s="772" t="n"/>
      <c r="Y117" s="772" t="n"/>
      <c r="Z117" s="772" t="n"/>
      <c r="AA117" s="772" t="n"/>
      <c r="AB117" s="772" t="n"/>
      <c r="AC117" s="772" t="n"/>
      <c r="AD117" s="772" t="n"/>
      <c r="AE117" s="772" t="n"/>
      <c r="AF117" s="772" t="n"/>
      <c r="AG117" s="772" t="n"/>
      <c r="AH117" s="772" t="n"/>
      <c r="AI117" s="772" t="n"/>
      <c r="AJ117" s="772" t="n"/>
      <c r="AK117" s="772" t="n"/>
      <c r="AL117" s="772" t="n"/>
      <c r="AM117" s="772" t="n"/>
      <c r="AN117" s="772" t="n"/>
      <c r="AO117" s="772" t="n"/>
      <c r="AP117" s="772" t="n"/>
      <c r="AQ117" s="772" t="n"/>
      <c r="AR117" s="772" t="n"/>
      <c r="AS117" s="772" t="n"/>
      <c r="AT117" s="772" t="n"/>
      <c r="AU117" s="772" t="n"/>
      <c r="AV117" s="772" t="n"/>
      <c r="AW117" s="772" t="n"/>
      <c r="AX117" s="772" t="n"/>
      <c r="AY117" s="772" t="n"/>
      <c r="AZ117" s="772" t="n"/>
      <c r="BA117" s="731" t="n"/>
      <c r="BB117" s="731" t="n"/>
      <c r="BC117" s="731" t="n"/>
    </row>
    <row r="118">
      <c r="A118" s="772" t="n"/>
      <c r="B118" s="772" t="n"/>
      <c r="C118" s="772" t="n"/>
      <c r="D118" s="772" t="n"/>
      <c r="E118" s="772" t="n"/>
      <c r="F118" s="772" t="n"/>
      <c r="G118" s="772" t="n"/>
      <c r="H118" s="772" t="n"/>
      <c r="I118" s="772" t="n"/>
      <c r="J118" s="772" t="n"/>
      <c r="K118" s="772" t="n"/>
      <c r="L118" s="772" t="n"/>
      <c r="M118" s="772" t="n"/>
      <c r="N118" s="772" t="n"/>
      <c r="O118" s="772" t="n"/>
      <c r="P118" s="772" t="n"/>
      <c r="Q118" s="772" t="n"/>
      <c r="R118" s="772" t="n"/>
      <c r="S118" s="772" t="n"/>
      <c r="T118" s="772" t="n"/>
      <c r="U118" s="772" t="n"/>
      <c r="V118" s="772" t="n"/>
      <c r="W118" s="772" t="n"/>
      <c r="X118" s="772" t="n"/>
      <c r="Y118" s="772" t="n"/>
      <c r="Z118" s="772" t="n"/>
      <c r="AA118" s="772" t="n"/>
      <c r="AB118" s="772" t="n"/>
      <c r="AC118" s="772" t="n"/>
      <c r="AD118" s="772" t="n"/>
      <c r="AE118" s="772" t="n"/>
      <c r="AF118" s="772" t="n"/>
      <c r="AG118" s="772" t="n"/>
      <c r="AH118" s="772" t="n"/>
      <c r="AI118" s="772" t="n"/>
      <c r="AJ118" s="772" t="n"/>
      <c r="AK118" s="772" t="n"/>
      <c r="AL118" s="772" t="n"/>
      <c r="AM118" s="772" t="n"/>
      <c r="AN118" s="772" t="n"/>
      <c r="AO118" s="772" t="n"/>
      <c r="AP118" s="772" t="n"/>
      <c r="AQ118" s="772" t="n"/>
      <c r="AR118" s="772" t="n"/>
      <c r="AS118" s="772" t="n"/>
      <c r="AT118" s="772" t="n"/>
      <c r="AU118" s="772" t="n"/>
      <c r="AV118" s="772" t="n"/>
      <c r="AW118" s="772" t="n"/>
      <c r="AX118" s="772" t="n"/>
      <c r="AY118" s="772" t="n"/>
      <c r="AZ118" s="772" t="n"/>
      <c r="BA118" s="731" t="n"/>
      <c r="BB118" s="731" t="n"/>
      <c r="BC118" s="731" t="n"/>
    </row>
    <row r="119">
      <c r="A119" s="772" t="n"/>
      <c r="B119" s="772" t="n"/>
      <c r="C119" s="772" t="n"/>
      <c r="D119" s="772" t="n"/>
      <c r="E119" s="772" t="n"/>
      <c r="F119" s="772" t="n"/>
      <c r="G119" s="772" t="n"/>
      <c r="H119" s="772" t="n"/>
      <c r="I119" s="772" t="n"/>
      <c r="J119" s="772" t="n"/>
      <c r="K119" s="772" t="n"/>
      <c r="L119" s="772" t="n"/>
      <c r="M119" s="772" t="n"/>
      <c r="N119" s="772" t="n"/>
      <c r="O119" s="772" t="n"/>
      <c r="P119" s="772" t="n"/>
      <c r="Q119" s="772" t="n"/>
      <c r="R119" s="772" t="n"/>
      <c r="S119" s="772" t="n"/>
      <c r="T119" s="772" t="n"/>
      <c r="U119" s="772" t="n"/>
      <c r="V119" s="772" t="n"/>
      <c r="W119" s="772" t="n"/>
      <c r="X119" s="772" t="n"/>
      <c r="Y119" s="772" t="n"/>
      <c r="Z119" s="772" t="n"/>
      <c r="AA119" s="772" t="n"/>
      <c r="AB119" s="772" t="n"/>
      <c r="AC119" s="772" t="n"/>
      <c r="AD119" s="772" t="n"/>
      <c r="AE119" s="772" t="n"/>
      <c r="AF119" s="772" t="n"/>
      <c r="AG119" s="772" t="n"/>
      <c r="AH119" s="772" t="n"/>
      <c r="AI119" s="772" t="n"/>
      <c r="AJ119" s="772" t="n"/>
      <c r="AK119" s="772" t="n"/>
      <c r="AL119" s="772" t="n"/>
      <c r="AM119" s="772" t="n"/>
      <c r="AN119" s="772" t="n"/>
      <c r="AO119" s="772" t="n"/>
      <c r="AP119" s="772" t="n"/>
      <c r="AQ119" s="772" t="n"/>
      <c r="AR119" s="772" t="n"/>
      <c r="AS119" s="772" t="n"/>
      <c r="AT119" s="772" t="n"/>
      <c r="AU119" s="772" t="n"/>
      <c r="AV119" s="772" t="n"/>
      <c r="AW119" s="772" t="n"/>
      <c r="AX119" s="772" t="n"/>
      <c r="AY119" s="772" t="n"/>
      <c r="AZ119" s="772" t="n"/>
      <c r="BA119" s="731" t="n"/>
      <c r="BB119" s="731" t="n"/>
      <c r="BC119" s="731" t="n"/>
    </row>
    <row r="120">
      <c r="A120" s="772" t="n"/>
      <c r="B120" s="772" t="n"/>
      <c r="C120" s="772" t="n"/>
      <c r="D120" s="772" t="n"/>
      <c r="E120" s="772" t="n"/>
      <c r="F120" s="772" t="n"/>
      <c r="G120" s="772" t="n"/>
      <c r="H120" s="772" t="n"/>
      <c r="I120" s="772" t="n"/>
      <c r="J120" s="772" t="n"/>
      <c r="K120" s="772" t="n"/>
      <c r="L120" s="772" t="n"/>
      <c r="M120" s="772" t="n"/>
      <c r="N120" s="772" t="n"/>
      <c r="O120" s="772" t="n"/>
      <c r="P120" s="772" t="n"/>
      <c r="Q120" s="772" t="n"/>
      <c r="R120" s="772" t="n"/>
      <c r="S120" s="772" t="n"/>
      <c r="T120" s="772" t="n"/>
      <c r="U120" s="772" t="n"/>
      <c r="V120" s="772" t="n"/>
      <c r="W120" s="772" t="n"/>
      <c r="X120" s="772" t="n"/>
      <c r="Y120" s="772" t="n"/>
      <c r="Z120" s="772" t="n"/>
      <c r="AA120" s="772" t="n"/>
      <c r="AB120" s="772" t="n"/>
      <c r="AC120" s="772" t="n"/>
      <c r="AD120" s="772" t="n"/>
      <c r="AE120" s="772" t="n"/>
      <c r="AF120" s="772" t="n"/>
      <c r="AG120" s="772" t="n"/>
      <c r="AH120" s="772" t="n"/>
      <c r="AI120" s="772" t="n"/>
      <c r="AJ120" s="772" t="n"/>
      <c r="AK120" s="772" t="n"/>
      <c r="AL120" s="772" t="n"/>
      <c r="AM120" s="772" t="n"/>
      <c r="AN120" s="772" t="n"/>
      <c r="AO120" s="772" t="n"/>
      <c r="AP120" s="772" t="n"/>
      <c r="AQ120" s="772" t="n"/>
      <c r="AR120" s="772" t="n"/>
      <c r="AS120" s="772" t="n"/>
      <c r="AT120" s="772" t="n"/>
      <c r="AU120" s="772" t="n"/>
      <c r="AV120" s="772" t="n"/>
      <c r="AW120" s="772" t="n"/>
      <c r="AX120" s="772" t="n"/>
      <c r="AY120" s="772" t="n"/>
      <c r="AZ120" s="772" t="n"/>
      <c r="BA120" s="731" t="n"/>
      <c r="BB120" s="731" t="n"/>
      <c r="BC120" s="731" t="n"/>
    </row>
    <row r="121">
      <c r="A121" s="772" t="n"/>
      <c r="B121" s="772" t="n"/>
      <c r="C121" s="772" t="n"/>
      <c r="D121" s="772" t="n"/>
      <c r="E121" s="772" t="n"/>
      <c r="F121" s="772" t="n"/>
      <c r="G121" s="772" t="n"/>
      <c r="H121" s="772" t="n"/>
      <c r="I121" s="772" t="n"/>
      <c r="J121" s="772" t="n"/>
      <c r="K121" s="772" t="n"/>
      <c r="L121" s="772" t="n"/>
      <c r="M121" s="772" t="n"/>
      <c r="N121" s="772" t="n"/>
      <c r="O121" s="772" t="n"/>
      <c r="P121" s="772" t="n"/>
      <c r="Q121" s="772" t="n"/>
      <c r="R121" s="772" t="n"/>
      <c r="S121" s="772" t="n"/>
      <c r="T121" s="772" t="n"/>
      <c r="U121" s="772" t="n"/>
      <c r="V121" s="772" t="n"/>
      <c r="W121" s="772" t="n"/>
      <c r="X121" s="772" t="n"/>
      <c r="Y121" s="772" t="n"/>
      <c r="Z121" s="772" t="n"/>
      <c r="AA121" s="772" t="n"/>
      <c r="AB121" s="772" t="n"/>
      <c r="AC121" s="772" t="n"/>
      <c r="AD121" s="772" t="n"/>
      <c r="AE121" s="772" t="n"/>
      <c r="AF121" s="772" t="n"/>
      <c r="AG121" s="772" t="n"/>
      <c r="AH121" s="772" t="n"/>
      <c r="AI121" s="772" t="n"/>
      <c r="AJ121" s="772" t="n"/>
      <c r="AK121" s="772" t="n"/>
      <c r="AL121" s="772" t="n"/>
      <c r="AM121" s="772" t="n"/>
      <c r="AN121" s="772" t="n"/>
      <c r="AO121" s="772" t="n"/>
      <c r="AP121" s="772" t="n"/>
      <c r="AQ121" s="772" t="n"/>
      <c r="AR121" s="772" t="n"/>
      <c r="AS121" s="772" t="n"/>
      <c r="AT121" s="772" t="n"/>
      <c r="AU121" s="772" t="n"/>
      <c r="AV121" s="772" t="n"/>
      <c r="AW121" s="772" t="n"/>
      <c r="AX121" s="772" t="n"/>
      <c r="AY121" s="772" t="n"/>
      <c r="AZ121" s="772" t="n"/>
      <c r="BA121" s="731" t="n"/>
      <c r="BB121" s="731" t="n"/>
      <c r="BC121" s="731" t="n"/>
    </row>
    <row r="122">
      <c r="A122" s="772" t="n"/>
      <c r="B122" s="772" t="n"/>
      <c r="C122" s="772" t="n"/>
      <c r="D122" s="772" t="n"/>
      <c r="E122" s="772" t="n"/>
      <c r="F122" s="772" t="n"/>
      <c r="G122" s="772" t="n"/>
      <c r="H122" s="772" t="n"/>
      <c r="I122" s="772" t="n"/>
      <c r="J122" s="772" t="n"/>
      <c r="K122" s="772" t="n"/>
      <c r="L122" s="772" t="n"/>
      <c r="M122" s="772" t="n"/>
      <c r="N122" s="772" t="n"/>
      <c r="O122" s="772" t="n"/>
      <c r="P122" s="772" t="n"/>
      <c r="Q122" s="772" t="n"/>
      <c r="R122" s="772" t="n"/>
      <c r="S122" s="772" t="n"/>
      <c r="T122" s="772" t="n"/>
      <c r="U122" s="772" t="n"/>
      <c r="V122" s="772" t="n"/>
      <c r="W122" s="772" t="n"/>
      <c r="X122" s="772" t="n"/>
      <c r="Y122" s="772" t="n"/>
      <c r="Z122" s="772" t="n"/>
      <c r="AA122" s="772" t="n"/>
      <c r="AB122" s="772" t="n"/>
      <c r="AC122" s="772" t="n"/>
      <c r="AD122" s="772" t="n"/>
      <c r="AE122" s="772" t="n"/>
      <c r="AF122" s="772" t="n"/>
      <c r="AG122" s="772" t="n"/>
      <c r="AH122" s="772" t="n"/>
      <c r="AI122" s="772" t="n"/>
      <c r="AJ122" s="772" t="n"/>
      <c r="AK122" s="772" t="n"/>
      <c r="AL122" s="772" t="n"/>
      <c r="AM122" s="772" t="n"/>
      <c r="AN122" s="772" t="n"/>
      <c r="AO122" s="772" t="n"/>
      <c r="AP122" s="772" t="n"/>
      <c r="AQ122" s="772" t="n"/>
      <c r="AR122" s="772" t="n"/>
      <c r="AS122" s="772" t="n"/>
      <c r="AT122" s="772" t="n"/>
      <c r="AU122" s="772" t="n"/>
      <c r="AV122" s="772" t="n"/>
      <c r="AW122" s="772" t="n"/>
      <c r="AX122" s="772" t="n"/>
      <c r="AY122" s="772" t="n"/>
      <c r="AZ122" s="772" t="n"/>
      <c r="BA122" s="731" t="n"/>
      <c r="BB122" s="731" t="n"/>
      <c r="BC122" s="731" t="n"/>
    </row>
    <row r="123">
      <c r="A123" s="772" t="n"/>
      <c r="B123" s="772" t="n"/>
      <c r="C123" s="772" t="n"/>
      <c r="D123" s="772" t="n"/>
      <c r="E123" s="772" t="n"/>
      <c r="F123" s="772" t="n"/>
      <c r="G123" s="772" t="n"/>
      <c r="H123" s="772" t="n"/>
      <c r="I123" s="772" t="n"/>
      <c r="J123" s="772" t="n"/>
      <c r="K123" s="772" t="n"/>
      <c r="L123" s="772" t="n"/>
      <c r="M123" s="772" t="n"/>
      <c r="N123" s="772" t="n"/>
      <c r="O123" s="772" t="n"/>
      <c r="P123" s="772" t="n"/>
      <c r="Q123" s="772" t="n"/>
      <c r="R123" s="772" t="n"/>
      <c r="S123" s="772" t="n"/>
      <c r="T123" s="772" t="n"/>
      <c r="U123" s="772" t="n"/>
      <c r="V123" s="772" t="n"/>
      <c r="W123" s="772" t="n"/>
      <c r="X123" s="772" t="n"/>
      <c r="Y123" s="772" t="n"/>
      <c r="Z123" s="772" t="n"/>
      <c r="AA123" s="772" t="n"/>
      <c r="AB123" s="772" t="n"/>
      <c r="AC123" s="772" t="n"/>
      <c r="AD123" s="772" t="n"/>
      <c r="AE123" s="772" t="n"/>
      <c r="AF123" s="772" t="n"/>
      <c r="AG123" s="772" t="n"/>
      <c r="AH123" s="772" t="n"/>
      <c r="AI123" s="772" t="n"/>
      <c r="AJ123" s="772" t="n"/>
      <c r="AK123" s="772" t="n"/>
      <c r="AL123" s="772" t="n"/>
      <c r="AM123" s="772" t="n"/>
      <c r="AN123" s="772" t="n"/>
      <c r="AO123" s="772" t="n"/>
      <c r="AP123" s="772" t="n"/>
      <c r="AQ123" s="772" t="n"/>
      <c r="AR123" s="772" t="n"/>
      <c r="AS123" s="772" t="n"/>
      <c r="AT123" s="772" t="n"/>
      <c r="AU123" s="772" t="n"/>
      <c r="AV123" s="772" t="n"/>
      <c r="AW123" s="772" t="n"/>
      <c r="AX123" s="772" t="n"/>
      <c r="AY123" s="772" t="n"/>
      <c r="AZ123" s="772" t="n"/>
      <c r="BA123" s="731" t="n"/>
      <c r="BB123" s="731" t="n"/>
      <c r="BC123" s="731" t="n"/>
    </row>
    <row r="124">
      <c r="A124" s="772" t="n"/>
      <c r="B124" s="772" t="n"/>
      <c r="C124" s="772" t="n"/>
      <c r="D124" s="772" t="n"/>
      <c r="E124" s="772" t="n"/>
      <c r="F124" s="772" t="n"/>
      <c r="G124" s="772" t="n"/>
      <c r="H124" s="772" t="n"/>
      <c r="I124" s="772" t="n"/>
      <c r="J124" s="772" t="n"/>
      <c r="K124" s="772" t="n"/>
      <c r="L124" s="772" t="n"/>
      <c r="M124" s="772" t="n"/>
      <c r="N124" s="772" t="n"/>
      <c r="O124" s="772" t="n"/>
      <c r="P124" s="772" t="n"/>
      <c r="Q124" s="772" t="n"/>
      <c r="R124" s="772" t="n"/>
      <c r="S124" s="772" t="n"/>
      <c r="T124" s="772" t="n"/>
      <c r="U124" s="772" t="n"/>
      <c r="V124" s="772" t="n"/>
      <c r="W124" s="772" t="n"/>
      <c r="X124" s="772" t="n"/>
      <c r="Y124" s="772" t="n"/>
      <c r="Z124" s="772" t="n"/>
      <c r="AA124" s="772" t="n"/>
      <c r="AB124" s="772" t="n"/>
      <c r="AC124" s="772" t="n"/>
      <c r="AD124" s="772" t="n"/>
      <c r="AE124" s="772" t="n"/>
      <c r="AF124" s="772" t="n"/>
      <c r="AG124" s="772" t="n"/>
      <c r="AH124" s="772" t="n"/>
      <c r="AI124" s="772" t="n"/>
      <c r="AJ124" s="772" t="n"/>
      <c r="AK124" s="772" t="n"/>
      <c r="AL124" s="772" t="n"/>
      <c r="AM124" s="772" t="n"/>
      <c r="AN124" s="772" t="n"/>
      <c r="AO124" s="772" t="n"/>
      <c r="AP124" s="772" t="n"/>
      <c r="AQ124" s="772" t="n"/>
      <c r="AR124" s="772" t="n"/>
      <c r="AS124" s="772" t="n"/>
      <c r="AT124" s="772" t="n"/>
      <c r="AU124" s="772" t="n"/>
      <c r="AV124" s="772" t="n"/>
      <c r="AW124" s="772" t="n"/>
      <c r="AX124" s="772" t="n"/>
      <c r="AY124" s="772" t="n"/>
      <c r="AZ124" s="772" t="n"/>
      <c r="BA124" s="731" t="n"/>
      <c r="BB124" s="731" t="n"/>
      <c r="BC124" s="731" t="n"/>
    </row>
    <row r="125">
      <c r="A125" s="772" t="n"/>
      <c r="B125" s="772" t="n"/>
      <c r="C125" s="772" t="n"/>
      <c r="D125" s="772" t="n"/>
      <c r="E125" s="772" t="n"/>
      <c r="F125" s="772" t="n"/>
      <c r="G125" s="772" t="n"/>
      <c r="H125" s="772" t="n"/>
      <c r="I125" s="772" t="n"/>
      <c r="J125" s="772" t="n"/>
      <c r="K125" s="772" t="n"/>
      <c r="L125" s="772" t="n"/>
      <c r="M125" s="772" t="n"/>
      <c r="N125" s="772" t="n"/>
      <c r="O125" s="772" t="n"/>
      <c r="P125" s="772" t="n"/>
      <c r="Q125" s="772" t="n"/>
      <c r="R125" s="772" t="n"/>
      <c r="S125" s="772" t="n"/>
      <c r="T125" s="772" t="n"/>
      <c r="U125" s="772" t="n"/>
      <c r="V125" s="772" t="n"/>
      <c r="W125" s="772" t="n"/>
      <c r="X125" s="772" t="n"/>
      <c r="Y125" s="772" t="n"/>
      <c r="Z125" s="772" t="n"/>
      <c r="AA125" s="772" t="n"/>
      <c r="AB125" s="772" t="n"/>
      <c r="AC125" s="772" t="n"/>
      <c r="AD125" s="772" t="n"/>
      <c r="AE125" s="772" t="n"/>
      <c r="AF125" s="772" t="n"/>
      <c r="AG125" s="772" t="n"/>
      <c r="AH125" s="772" t="n"/>
      <c r="AI125" s="772" t="n"/>
      <c r="AJ125" s="772" t="n"/>
      <c r="AK125" s="772" t="n"/>
      <c r="AL125" s="772" t="n"/>
      <c r="AM125" s="772" t="n"/>
      <c r="AN125" s="772" t="n"/>
      <c r="AO125" s="772" t="n"/>
      <c r="AP125" s="772" t="n"/>
      <c r="AQ125" s="772" t="n"/>
      <c r="AR125" s="772" t="n"/>
      <c r="AS125" s="772" t="n"/>
      <c r="AT125" s="772" t="n"/>
      <c r="AU125" s="772" t="n"/>
      <c r="AV125" s="772" t="n"/>
      <c r="AW125" s="772" t="n"/>
      <c r="AX125" s="772" t="n"/>
      <c r="AY125" s="772" t="n"/>
      <c r="AZ125" s="772" t="n"/>
      <c r="BA125" s="731" t="n"/>
      <c r="BB125" s="731" t="n"/>
      <c r="BC125" s="731" t="n"/>
    </row>
    <row r="126">
      <c r="A126" s="772" t="n"/>
      <c r="B126" s="772" t="n"/>
      <c r="C126" s="772" t="n"/>
      <c r="D126" s="772" t="n"/>
      <c r="E126" s="772" t="n"/>
      <c r="F126" s="772" t="n"/>
      <c r="G126" s="772" t="n"/>
      <c r="H126" s="772" t="n"/>
      <c r="I126" s="772" t="n"/>
      <c r="J126" s="772" t="n"/>
      <c r="K126" s="772" t="n"/>
      <c r="L126" s="772" t="n"/>
      <c r="M126" s="772" t="n"/>
      <c r="N126" s="772" t="n"/>
      <c r="O126" s="772" t="n"/>
      <c r="P126" s="772" t="n"/>
      <c r="Q126" s="772" t="n"/>
      <c r="R126" s="772" t="n"/>
      <c r="S126" s="772" t="n"/>
      <c r="T126" s="772" t="n"/>
      <c r="U126" s="772" t="n"/>
      <c r="V126" s="772" t="n"/>
      <c r="W126" s="772" t="n"/>
      <c r="X126" s="772" t="n"/>
      <c r="Y126" s="772" t="n"/>
      <c r="Z126" s="772" t="n"/>
      <c r="AA126" s="772" t="n"/>
      <c r="AB126" s="772" t="n"/>
      <c r="AC126" s="772" t="n"/>
      <c r="AD126" s="772" t="n"/>
      <c r="AE126" s="772" t="n"/>
      <c r="AF126" s="772" t="n"/>
      <c r="AG126" s="772" t="n"/>
      <c r="AH126" s="772" t="n"/>
      <c r="AI126" s="772" t="n"/>
      <c r="AJ126" s="772" t="n"/>
      <c r="AK126" s="772" t="n"/>
      <c r="AL126" s="772" t="n"/>
      <c r="AM126" s="772" t="n"/>
      <c r="AN126" s="772" t="n"/>
      <c r="AO126" s="772" t="n"/>
      <c r="AP126" s="772" t="n"/>
      <c r="AQ126" s="772" t="n"/>
      <c r="AR126" s="772" t="n"/>
      <c r="AS126" s="772" t="n"/>
      <c r="AT126" s="772" t="n"/>
      <c r="AU126" s="772" t="n"/>
      <c r="AV126" s="772" t="n"/>
      <c r="AW126" s="772" t="n"/>
      <c r="AX126" s="772" t="n"/>
      <c r="AY126" s="772" t="n"/>
      <c r="AZ126" s="772" t="n"/>
      <c r="BA126" s="731" t="n"/>
      <c r="BB126" s="731" t="n"/>
      <c r="BC126" s="731" t="n"/>
    </row>
    <row r="127">
      <c r="A127" s="772" t="n"/>
      <c r="B127" s="772" t="n"/>
      <c r="C127" s="772" t="n"/>
      <c r="D127" s="772" t="n"/>
      <c r="E127" s="772" t="n"/>
      <c r="F127" s="772" t="n"/>
      <c r="G127" s="772" t="n"/>
      <c r="H127" s="772" t="n"/>
      <c r="I127" s="772" t="n"/>
      <c r="J127" s="772" t="n"/>
      <c r="K127" s="772" t="n"/>
      <c r="L127" s="772" t="n"/>
      <c r="M127" s="772" t="n"/>
      <c r="N127" s="772" t="n"/>
      <c r="O127" s="772" t="n"/>
      <c r="P127" s="772" t="n"/>
      <c r="Q127" s="772" t="n"/>
      <c r="R127" s="772" t="n"/>
      <c r="S127" s="772" t="n"/>
      <c r="T127" s="772" t="n"/>
      <c r="U127" s="772" t="n"/>
      <c r="V127" s="772" t="n"/>
      <c r="W127" s="772" t="n"/>
      <c r="X127" s="772" t="n"/>
      <c r="Y127" s="772" t="n"/>
      <c r="Z127" s="772" t="n"/>
      <c r="AA127" s="772" t="n"/>
      <c r="AB127" s="772" t="n"/>
      <c r="AC127" s="772" t="n"/>
      <c r="AD127" s="772" t="n"/>
      <c r="AE127" s="772" t="n"/>
      <c r="AF127" s="772" t="n"/>
      <c r="AG127" s="772" t="n"/>
      <c r="AH127" s="772" t="n"/>
      <c r="AI127" s="772" t="n"/>
      <c r="AJ127" s="772" t="n"/>
      <c r="AK127" s="772" t="n"/>
      <c r="AL127" s="772" t="n"/>
      <c r="AM127" s="772" t="n"/>
      <c r="AN127" s="772" t="n"/>
      <c r="AO127" s="772" t="n"/>
      <c r="AP127" s="772" t="n"/>
      <c r="AQ127" s="772" t="n"/>
      <c r="AR127" s="772" t="n"/>
      <c r="AS127" s="772" t="n"/>
      <c r="AT127" s="772" t="n"/>
      <c r="AU127" s="772" t="n"/>
      <c r="AV127" s="772" t="n"/>
      <c r="AW127" s="772" t="n"/>
      <c r="AX127" s="772" t="n"/>
      <c r="AY127" s="772" t="n"/>
      <c r="AZ127" s="772" t="n"/>
      <c r="BA127" s="731" t="n"/>
      <c r="BB127" s="731" t="n"/>
      <c r="BC127" s="731" t="n"/>
    </row>
    <row r="128">
      <c r="A128" s="772" t="n"/>
      <c r="B128" s="772" t="n"/>
      <c r="C128" s="772" t="n"/>
      <c r="D128" s="772" t="n"/>
      <c r="E128" s="772" t="n"/>
      <c r="F128" s="772" t="n"/>
      <c r="G128" s="772" t="n"/>
      <c r="H128" s="772" t="n"/>
      <c r="I128" s="772" t="n"/>
      <c r="J128" s="772" t="n"/>
      <c r="K128" s="772" t="n"/>
      <c r="L128" s="772" t="n"/>
      <c r="M128" s="772" t="n"/>
      <c r="N128" s="772" t="n"/>
      <c r="O128" s="772" t="n"/>
      <c r="P128" s="772" t="n"/>
      <c r="Q128" s="772" t="n"/>
      <c r="R128" s="772" t="n"/>
      <c r="S128" s="772" t="n"/>
      <c r="T128" s="772" t="n"/>
      <c r="U128" s="772" t="n"/>
      <c r="V128" s="772" t="n"/>
      <c r="W128" s="772" t="n"/>
      <c r="X128" s="772" t="n"/>
      <c r="Y128" s="772" t="n"/>
      <c r="Z128" s="772" t="n"/>
      <c r="AA128" s="772" t="n"/>
      <c r="AB128" s="772" t="n"/>
      <c r="AC128" s="772" t="n"/>
      <c r="AD128" s="772" t="n"/>
      <c r="AE128" s="772" t="n"/>
      <c r="AF128" s="772" t="n"/>
      <c r="AG128" s="772" t="n"/>
      <c r="AH128" s="772" t="n"/>
      <c r="AI128" s="772" t="n"/>
      <c r="AJ128" s="772" t="n"/>
      <c r="AK128" s="772" t="n"/>
      <c r="AL128" s="772" t="n"/>
      <c r="AM128" s="772" t="n"/>
      <c r="AN128" s="772" t="n"/>
      <c r="AO128" s="772" t="n"/>
      <c r="AP128" s="772" t="n"/>
      <c r="AQ128" s="772" t="n"/>
      <c r="AR128" s="772" t="n"/>
      <c r="AS128" s="772" t="n"/>
      <c r="AT128" s="772" t="n"/>
      <c r="AU128" s="772" t="n"/>
      <c r="AV128" s="772" t="n"/>
      <c r="AW128" s="772" t="n"/>
      <c r="AX128" s="772" t="n"/>
      <c r="AY128" s="772" t="n"/>
      <c r="AZ128" s="772" t="n"/>
      <c r="BA128" s="731" t="n"/>
      <c r="BB128" s="731" t="n"/>
      <c r="BC128" s="731" t="n"/>
    </row>
    <row r="129">
      <c r="A129" s="772" t="n"/>
      <c r="B129" s="772" t="n"/>
      <c r="C129" s="772" t="n"/>
      <c r="D129" s="772" t="n"/>
      <c r="E129" s="772" t="n"/>
      <c r="F129" s="772" t="n"/>
      <c r="G129" s="772" t="n"/>
      <c r="H129" s="772" t="n"/>
      <c r="I129" s="772" t="n"/>
      <c r="J129" s="772" t="n"/>
      <c r="K129" s="772" t="n"/>
      <c r="L129" s="772" t="n"/>
      <c r="M129" s="772" t="n"/>
      <c r="N129" s="772" t="n"/>
      <c r="O129" s="772" t="n"/>
      <c r="P129" s="772" t="n"/>
      <c r="Q129" s="772" t="n"/>
      <c r="R129" s="772" t="n"/>
      <c r="S129" s="772" t="n"/>
      <c r="T129" s="772" t="n"/>
      <c r="U129" s="772" t="n"/>
      <c r="V129" s="772" t="n"/>
      <c r="W129" s="772" t="n"/>
      <c r="X129" s="772" t="n"/>
      <c r="Y129" s="772" t="n"/>
      <c r="Z129" s="772" t="n"/>
      <c r="AA129" s="772" t="n"/>
      <c r="AB129" s="772" t="n"/>
      <c r="AC129" s="772" t="n"/>
      <c r="AD129" s="772" t="n"/>
      <c r="AE129" s="772" t="n"/>
      <c r="AF129" s="772" t="n"/>
      <c r="AG129" s="772" t="n"/>
      <c r="AH129" s="772" t="n"/>
      <c r="AI129" s="772" t="n"/>
      <c r="AJ129" s="772" t="n"/>
      <c r="AK129" s="772" t="n"/>
      <c r="AL129" s="772" t="n"/>
      <c r="AM129" s="772" t="n"/>
      <c r="AN129" s="772" t="n"/>
      <c r="AO129" s="772" t="n"/>
      <c r="AP129" s="772" t="n"/>
      <c r="AQ129" s="772" t="n"/>
      <c r="AR129" s="772" t="n"/>
      <c r="AS129" s="772" t="n"/>
      <c r="AT129" s="772" t="n"/>
      <c r="AU129" s="772" t="n"/>
      <c r="AV129" s="772" t="n"/>
      <c r="AW129" s="772" t="n"/>
      <c r="AX129" s="772" t="n"/>
      <c r="AY129" s="772" t="n"/>
      <c r="AZ129" s="772" t="n"/>
      <c r="BA129" s="731" t="n"/>
      <c r="BB129" s="731" t="n"/>
      <c r="BC129" s="731" t="n"/>
    </row>
    <row r="130">
      <c r="A130" s="772" t="n"/>
      <c r="B130" s="772" t="n"/>
      <c r="C130" s="772" t="n"/>
      <c r="D130" s="772" t="n"/>
      <c r="E130" s="772" t="n"/>
      <c r="F130" s="772" t="n"/>
      <c r="G130" s="772" t="n"/>
      <c r="H130" s="772" t="n"/>
      <c r="I130" s="772" t="n"/>
      <c r="J130" s="772" t="n"/>
      <c r="K130" s="772" t="n"/>
      <c r="L130" s="772" t="n"/>
      <c r="M130" s="772" t="n"/>
      <c r="N130" s="772" t="n"/>
      <c r="O130" s="772" t="n"/>
      <c r="P130" s="772" t="n"/>
      <c r="Q130" s="772" t="n"/>
      <c r="R130" s="772" t="n"/>
      <c r="S130" s="772" t="n"/>
      <c r="T130" s="772" t="n"/>
      <c r="U130" s="772" t="n"/>
      <c r="V130" s="772" t="n"/>
      <c r="W130" s="772" t="n"/>
      <c r="X130" s="772" t="n"/>
      <c r="Y130" s="772" t="n"/>
      <c r="Z130" s="772" t="n"/>
      <c r="AA130" s="772" t="n"/>
      <c r="AB130" s="772" t="n"/>
      <c r="AC130" s="772" t="n"/>
      <c r="AD130" s="772" t="n"/>
      <c r="AE130" s="772" t="n"/>
      <c r="AF130" s="772" t="n"/>
      <c r="AG130" s="772" t="n"/>
      <c r="AH130" s="772" t="n"/>
      <c r="AI130" s="772" t="n"/>
      <c r="AJ130" s="772" t="n"/>
      <c r="AK130" s="772" t="n"/>
      <c r="AL130" s="772" t="n"/>
      <c r="AM130" s="772" t="n"/>
      <c r="AN130" s="772" t="n"/>
      <c r="AO130" s="772" t="n"/>
      <c r="AP130" s="772" t="n"/>
      <c r="AQ130" s="772" t="n"/>
      <c r="AR130" s="772" t="n"/>
      <c r="AS130" s="772" t="n"/>
      <c r="AT130" s="772" t="n"/>
      <c r="AU130" s="772" t="n"/>
      <c r="AV130" s="772" t="n"/>
      <c r="AW130" s="772" t="n"/>
      <c r="AX130" s="772" t="n"/>
      <c r="AY130" s="772" t="n"/>
      <c r="AZ130" s="772" t="n"/>
      <c r="BA130" s="731" t="n"/>
      <c r="BB130" s="731" t="n"/>
      <c r="BC130" s="731" t="n"/>
    </row>
    <row r="131">
      <c r="A131" s="772" t="n"/>
      <c r="B131" s="772" t="n"/>
      <c r="C131" s="772" t="n"/>
      <c r="D131" s="772" t="n"/>
      <c r="E131" s="772" t="n"/>
      <c r="F131" s="772" t="n"/>
      <c r="G131" s="772" t="n"/>
      <c r="H131" s="772" t="n"/>
      <c r="I131" s="772" t="n"/>
      <c r="J131" s="772" t="n"/>
      <c r="K131" s="772" t="n"/>
      <c r="L131" s="772" t="n"/>
      <c r="M131" s="772" t="n"/>
      <c r="N131" s="772" t="n"/>
      <c r="O131" s="772" t="n"/>
      <c r="P131" s="772" t="n"/>
      <c r="Q131" s="772" t="n"/>
      <c r="R131" s="772" t="n"/>
      <c r="S131" s="772" t="n"/>
      <c r="T131" s="772" t="n"/>
      <c r="U131" s="772" t="n"/>
      <c r="V131" s="772" t="n"/>
      <c r="W131" s="772" t="n"/>
      <c r="X131" s="772" t="n"/>
      <c r="Y131" s="772" t="n"/>
      <c r="Z131" s="772" t="n"/>
      <c r="AA131" s="772" t="n"/>
      <c r="AB131" s="772" t="n"/>
      <c r="AC131" s="772" t="n"/>
      <c r="AD131" s="772" t="n"/>
      <c r="AE131" s="772" t="n"/>
      <c r="AF131" s="772" t="n"/>
      <c r="AG131" s="772" t="n"/>
      <c r="AH131" s="772" t="n"/>
      <c r="AI131" s="772" t="n"/>
      <c r="AJ131" s="772" t="n"/>
      <c r="AK131" s="772" t="n"/>
      <c r="AL131" s="772" t="n"/>
      <c r="AM131" s="772" t="n"/>
      <c r="AN131" s="772" t="n"/>
      <c r="AO131" s="772" t="n"/>
      <c r="AP131" s="772" t="n"/>
      <c r="AQ131" s="772" t="n"/>
      <c r="AR131" s="772" t="n"/>
      <c r="AS131" s="772" t="n"/>
      <c r="AT131" s="772" t="n"/>
      <c r="AU131" s="772" t="n"/>
      <c r="AV131" s="772" t="n"/>
      <c r="AW131" s="772" t="n"/>
      <c r="AX131" s="772" t="n"/>
      <c r="AY131" s="772" t="n"/>
      <c r="AZ131" s="772" t="n"/>
      <c r="BA131" s="731" t="n"/>
      <c r="BB131" s="731" t="n"/>
      <c r="BC131" s="731" t="n"/>
    </row>
    <row r="132">
      <c r="A132" s="772" t="n"/>
      <c r="B132" s="772" t="n"/>
      <c r="C132" s="772" t="n"/>
      <c r="D132" s="772" t="n"/>
      <c r="E132" s="772" t="n"/>
      <c r="F132" s="772" t="n"/>
      <c r="G132" s="772" t="n"/>
      <c r="H132" s="772" t="n"/>
      <c r="I132" s="772" t="n"/>
      <c r="J132" s="772" t="n"/>
      <c r="K132" s="772" t="n"/>
      <c r="L132" s="772" t="n"/>
      <c r="M132" s="772" t="n"/>
      <c r="N132" s="772" t="n"/>
      <c r="O132" s="772" t="n"/>
      <c r="P132" s="772" t="n"/>
      <c r="Q132" s="772" t="n"/>
      <c r="R132" s="772" t="n"/>
      <c r="S132" s="772" t="n"/>
      <c r="T132" s="772" t="n"/>
      <c r="U132" s="772" t="n"/>
      <c r="V132" s="772" t="n"/>
      <c r="W132" s="772" t="n"/>
      <c r="X132" s="772" t="n"/>
      <c r="Y132" s="772" t="n"/>
      <c r="Z132" s="772" t="n"/>
      <c r="AA132" s="772" t="n"/>
      <c r="AB132" s="772" t="n"/>
      <c r="AC132" s="772" t="n"/>
      <c r="AD132" s="772" t="n"/>
      <c r="AE132" s="772" t="n"/>
      <c r="AF132" s="772" t="n"/>
      <c r="AG132" s="772" t="n"/>
      <c r="AH132" s="772" t="n"/>
      <c r="AI132" s="772" t="n"/>
      <c r="AJ132" s="772" t="n"/>
      <c r="AK132" s="772" t="n"/>
      <c r="AL132" s="772" t="n"/>
      <c r="AM132" s="772" t="n"/>
      <c r="AN132" s="772" t="n"/>
      <c r="AO132" s="772" t="n"/>
      <c r="AP132" s="772" t="n"/>
      <c r="AQ132" s="772" t="n"/>
      <c r="AR132" s="772" t="n"/>
      <c r="AS132" s="772" t="n"/>
      <c r="AT132" s="772" t="n"/>
      <c r="AU132" s="772" t="n"/>
      <c r="AV132" s="772" t="n"/>
      <c r="AW132" s="772" t="n"/>
      <c r="AX132" s="772" t="n"/>
      <c r="AY132" s="772" t="n"/>
      <c r="AZ132" s="772" t="n"/>
      <c r="BA132" s="731" t="n"/>
      <c r="BB132" s="731" t="n"/>
      <c r="BC132" s="731" t="n"/>
    </row>
    <row r="133">
      <c r="A133" s="772" t="n"/>
      <c r="B133" s="772" t="n"/>
      <c r="C133" s="772" t="n"/>
      <c r="D133" s="772" t="n"/>
      <c r="E133" s="772" t="n"/>
      <c r="F133" s="772" t="n"/>
      <c r="G133" s="772" t="n"/>
      <c r="H133" s="772" t="n"/>
      <c r="I133" s="772" t="n"/>
      <c r="J133" s="772" t="n"/>
      <c r="K133" s="772" t="n"/>
      <c r="L133" s="772" t="n"/>
      <c r="M133" s="772" t="n"/>
      <c r="N133" s="772" t="n"/>
      <c r="O133" s="772" t="n"/>
      <c r="P133" s="772" t="n"/>
      <c r="Q133" s="772" t="n"/>
      <c r="R133" s="772" t="n"/>
      <c r="S133" s="772" t="n"/>
      <c r="T133" s="772" t="n"/>
      <c r="U133" s="772" t="n"/>
      <c r="V133" s="772" t="n"/>
      <c r="W133" s="772" t="n"/>
      <c r="X133" s="772" t="n"/>
      <c r="Y133" s="772" t="n"/>
      <c r="Z133" s="772" t="n"/>
      <c r="AA133" s="772" t="n"/>
      <c r="AB133" s="772" t="n"/>
      <c r="AC133" s="772" t="n"/>
      <c r="AD133" s="772" t="n"/>
      <c r="AE133" s="772" t="n"/>
      <c r="AF133" s="772" t="n"/>
      <c r="AG133" s="772" t="n"/>
      <c r="AH133" s="772" t="n"/>
      <c r="AI133" s="772" t="n"/>
      <c r="AJ133" s="772" t="n"/>
      <c r="AK133" s="772" t="n"/>
      <c r="AL133" s="772" t="n"/>
      <c r="AM133" s="772" t="n"/>
      <c r="AN133" s="772" t="n"/>
      <c r="AO133" s="772" t="n"/>
      <c r="AP133" s="772" t="n"/>
      <c r="AQ133" s="772" t="n"/>
      <c r="AR133" s="772" t="n"/>
      <c r="AS133" s="772" t="n"/>
      <c r="AT133" s="772" t="n"/>
      <c r="AU133" s="772" t="n"/>
      <c r="AV133" s="772" t="n"/>
      <c r="AW133" s="772" t="n"/>
      <c r="AX133" s="772" t="n"/>
      <c r="AY133" s="772" t="n"/>
      <c r="AZ133" s="772" t="n"/>
      <c r="BA133" s="731" t="n"/>
      <c r="BB133" s="731" t="n"/>
      <c r="BC133" s="731" t="n"/>
    </row>
    <row r="134">
      <c r="A134" s="772" t="n"/>
      <c r="B134" s="772" t="n"/>
      <c r="C134" s="772" t="n"/>
      <c r="D134" s="772" t="n"/>
      <c r="E134" s="772" t="n"/>
      <c r="F134" s="772" t="n"/>
      <c r="G134" s="772" t="n"/>
      <c r="H134" s="772" t="n"/>
      <c r="I134" s="772" t="n"/>
      <c r="J134" s="772" t="n"/>
      <c r="K134" s="772" t="n"/>
      <c r="L134" s="772" t="n"/>
      <c r="M134" s="772" t="n"/>
      <c r="N134" s="772" t="n"/>
      <c r="O134" s="772" t="n"/>
      <c r="P134" s="772" t="n"/>
      <c r="Q134" s="772" t="n"/>
      <c r="R134" s="772" t="n"/>
      <c r="S134" s="772" t="n"/>
      <c r="T134" s="772" t="n"/>
      <c r="U134" s="772" t="n"/>
      <c r="V134" s="772" t="n"/>
      <c r="W134" s="772" t="n"/>
      <c r="X134" s="772" t="n"/>
      <c r="Y134" s="772" t="n"/>
      <c r="Z134" s="772" t="n"/>
      <c r="AA134" s="772" t="n"/>
      <c r="AB134" s="772" t="n"/>
      <c r="AC134" s="772" t="n"/>
      <c r="AD134" s="772" t="n"/>
      <c r="AE134" s="772" t="n"/>
      <c r="AF134" s="772" t="n"/>
      <c r="AG134" s="772" t="n"/>
      <c r="AH134" s="772" t="n"/>
      <c r="AI134" s="772" t="n"/>
      <c r="AJ134" s="772" t="n"/>
      <c r="AK134" s="772" t="n"/>
      <c r="AL134" s="772" t="n"/>
      <c r="AM134" s="772" t="n"/>
      <c r="AN134" s="772" t="n"/>
      <c r="AO134" s="772" t="n"/>
      <c r="AP134" s="772" t="n"/>
      <c r="AQ134" s="772" t="n"/>
      <c r="AR134" s="772" t="n"/>
      <c r="AS134" s="772" t="n"/>
      <c r="AT134" s="772" t="n"/>
      <c r="AU134" s="772" t="n"/>
      <c r="AV134" s="772" t="n"/>
      <c r="AW134" s="772" t="n"/>
      <c r="AX134" s="772" t="n"/>
      <c r="AY134" s="772" t="n"/>
      <c r="AZ134" s="772" t="n"/>
      <c r="BA134" s="731" t="n"/>
      <c r="BB134" s="731" t="n"/>
      <c r="BC134" s="731" t="n"/>
    </row>
    <row r="135">
      <c r="A135" s="772" t="n"/>
      <c r="B135" s="772" t="n"/>
      <c r="C135" s="772" t="n"/>
      <c r="D135" s="772" t="n"/>
      <c r="E135" s="772" t="n"/>
      <c r="F135" s="772" t="n"/>
      <c r="G135" s="772" t="n"/>
      <c r="H135" s="772" t="n"/>
      <c r="I135" s="772" t="n"/>
      <c r="J135" s="772" t="n"/>
      <c r="K135" s="772" t="n"/>
      <c r="L135" s="772" t="n"/>
      <c r="M135" s="772" t="n"/>
      <c r="N135" s="772" t="n"/>
      <c r="O135" s="772" t="n"/>
      <c r="P135" s="772" t="n"/>
      <c r="Q135" s="772" t="n"/>
      <c r="R135" s="772" t="n"/>
      <c r="S135" s="772" t="n"/>
      <c r="T135" s="772" t="n"/>
      <c r="U135" s="772" t="n"/>
      <c r="V135" s="772" t="n"/>
      <c r="W135" s="772" t="n"/>
      <c r="X135" s="772" t="n"/>
      <c r="Y135" s="772" t="n"/>
      <c r="Z135" s="772" t="n"/>
      <c r="AA135" s="772" t="n"/>
      <c r="AB135" s="772" t="n"/>
      <c r="AC135" s="772" t="n"/>
      <c r="AD135" s="772" t="n"/>
      <c r="AE135" s="772" t="n"/>
      <c r="AF135" s="772" t="n"/>
      <c r="AG135" s="772" t="n"/>
      <c r="AH135" s="772" t="n"/>
      <c r="AI135" s="772" t="n"/>
      <c r="AJ135" s="772" t="n"/>
      <c r="AK135" s="772" t="n"/>
      <c r="AL135" s="772" t="n"/>
      <c r="AM135" s="772" t="n"/>
      <c r="AN135" s="772" t="n"/>
      <c r="AO135" s="772" t="n"/>
      <c r="AP135" s="772" t="n"/>
      <c r="AQ135" s="772" t="n"/>
      <c r="AR135" s="772" t="n"/>
      <c r="AS135" s="772" t="n"/>
      <c r="AT135" s="772" t="n"/>
      <c r="AU135" s="772" t="n"/>
      <c r="AV135" s="772" t="n"/>
      <c r="AW135" s="772" t="n"/>
      <c r="AX135" s="772" t="n"/>
      <c r="AY135" s="772" t="n"/>
      <c r="AZ135" s="772" t="n"/>
      <c r="BA135" s="731" t="n"/>
      <c r="BB135" s="731" t="n"/>
      <c r="BC135" s="731" t="n"/>
    </row>
    <row r="136">
      <c r="A136" s="772" t="n"/>
      <c r="B136" s="772" t="n"/>
      <c r="C136" s="772" t="n"/>
      <c r="D136" s="772" t="n"/>
      <c r="E136" s="772" t="n"/>
      <c r="F136" s="772" t="n"/>
      <c r="G136" s="772" t="n"/>
      <c r="H136" s="772" t="n"/>
      <c r="I136" s="772" t="n"/>
      <c r="J136" s="772" t="n"/>
      <c r="K136" s="772" t="n"/>
      <c r="L136" s="772" t="n"/>
      <c r="M136" s="772" t="n"/>
      <c r="N136" s="772" t="n"/>
      <c r="O136" s="772" t="n"/>
      <c r="P136" s="772" t="n"/>
      <c r="Q136" s="772" t="n"/>
      <c r="R136" s="772" t="n"/>
      <c r="S136" s="772" t="n"/>
      <c r="T136" s="772" t="n"/>
      <c r="U136" s="772" t="n"/>
      <c r="V136" s="772" t="n"/>
      <c r="W136" s="772" t="n"/>
      <c r="X136" s="772" t="n"/>
      <c r="Y136" s="772" t="n"/>
      <c r="Z136" s="772" t="n"/>
      <c r="AA136" s="772" t="n"/>
      <c r="AB136" s="772" t="n"/>
      <c r="AC136" s="772" t="n"/>
      <c r="AD136" s="772" t="n"/>
      <c r="AE136" s="772" t="n"/>
      <c r="AF136" s="772" t="n"/>
      <c r="AG136" s="772" t="n"/>
      <c r="AH136" s="772" t="n"/>
      <c r="AI136" s="772" t="n"/>
      <c r="AJ136" s="772" t="n"/>
      <c r="AK136" s="772" t="n"/>
      <c r="AL136" s="772" t="n"/>
      <c r="AM136" s="772" t="n"/>
      <c r="AN136" s="772" t="n"/>
      <c r="AO136" s="772" t="n"/>
      <c r="AP136" s="772" t="n"/>
      <c r="AQ136" s="772" t="n"/>
      <c r="AR136" s="772" t="n"/>
      <c r="AS136" s="772" t="n"/>
      <c r="AT136" s="772" t="n"/>
      <c r="AU136" s="772" t="n"/>
      <c r="AV136" s="772" t="n"/>
      <c r="AW136" s="772" t="n"/>
      <c r="AX136" s="772" t="n"/>
      <c r="AY136" s="772" t="n"/>
      <c r="AZ136" s="772" t="n"/>
      <c r="BA136" s="731" t="n"/>
      <c r="BB136" s="731" t="n"/>
      <c r="BC136" s="731" t="n"/>
    </row>
    <row r="137">
      <c r="A137" s="772" t="n"/>
      <c r="B137" s="772" t="n"/>
      <c r="C137" s="772" t="n"/>
      <c r="D137" s="772" t="n"/>
      <c r="E137" s="772" t="n"/>
      <c r="F137" s="772" t="n"/>
      <c r="G137" s="772" t="n"/>
      <c r="H137" s="772" t="n"/>
      <c r="I137" s="772" t="n"/>
      <c r="J137" s="772" t="n"/>
      <c r="K137" s="772" t="n"/>
      <c r="L137" s="772" t="n"/>
      <c r="M137" s="772" t="n"/>
      <c r="N137" s="772" t="n"/>
      <c r="O137" s="772" t="n"/>
      <c r="P137" s="772" t="n"/>
      <c r="Q137" s="772" t="n"/>
      <c r="R137" s="772" t="n"/>
      <c r="S137" s="772" t="n"/>
      <c r="T137" s="772" t="n"/>
      <c r="U137" s="772" t="n"/>
      <c r="V137" s="772" t="n"/>
      <c r="W137" s="772" t="n"/>
      <c r="X137" s="772" t="n"/>
      <c r="Y137" s="772" t="n"/>
      <c r="Z137" s="772" t="n"/>
      <c r="AA137" s="772" t="n"/>
      <c r="AB137" s="772" t="n"/>
      <c r="AC137" s="772" t="n"/>
      <c r="AD137" s="772" t="n"/>
      <c r="AE137" s="772" t="n"/>
      <c r="AF137" s="772" t="n"/>
      <c r="AG137" s="772" t="n"/>
      <c r="AH137" s="772" t="n"/>
      <c r="AI137" s="772" t="n"/>
      <c r="AJ137" s="772" t="n"/>
      <c r="AK137" s="772" t="n"/>
      <c r="AL137" s="772" t="n"/>
      <c r="AM137" s="772" t="n"/>
      <c r="AN137" s="772" t="n"/>
      <c r="AO137" s="772" t="n"/>
      <c r="AP137" s="772" t="n"/>
      <c r="AQ137" s="772" t="n"/>
      <c r="AR137" s="772" t="n"/>
      <c r="AS137" s="772" t="n"/>
      <c r="AT137" s="772" t="n"/>
      <c r="AU137" s="772" t="n"/>
      <c r="AV137" s="772" t="n"/>
      <c r="AW137" s="772" t="n"/>
      <c r="AX137" s="772" t="n"/>
      <c r="AY137" s="772" t="n"/>
      <c r="AZ137" s="772" t="n"/>
      <c r="BA137" s="731" t="n"/>
      <c r="BB137" s="731" t="n"/>
      <c r="BC137" s="731" t="n"/>
    </row>
    <row r="138">
      <c r="A138" s="772" t="n"/>
      <c r="B138" s="772" t="n"/>
      <c r="C138" s="772" t="n"/>
      <c r="D138" s="772" t="n"/>
      <c r="E138" s="772" t="n"/>
      <c r="F138" s="772" t="n"/>
      <c r="G138" s="772" t="n"/>
      <c r="H138" s="772" t="n"/>
      <c r="I138" s="772" t="n"/>
      <c r="J138" s="772" t="n"/>
      <c r="K138" s="772" t="n"/>
      <c r="L138" s="772" t="n"/>
      <c r="M138" s="772" t="n"/>
      <c r="N138" s="772" t="n"/>
      <c r="O138" s="772" t="n"/>
      <c r="P138" s="772" t="n"/>
      <c r="Q138" s="772" t="n"/>
      <c r="R138" s="772" t="n"/>
      <c r="S138" s="772" t="n"/>
      <c r="T138" s="772" t="n"/>
      <c r="U138" s="772" t="n"/>
      <c r="V138" s="772" t="n"/>
      <c r="W138" s="772" t="n"/>
      <c r="X138" s="772" t="n"/>
      <c r="Y138" s="772" t="n"/>
      <c r="Z138" s="772" t="n"/>
      <c r="AA138" s="772" t="n"/>
      <c r="AB138" s="772" t="n"/>
      <c r="AC138" s="772" t="n"/>
      <c r="AD138" s="772" t="n"/>
      <c r="AE138" s="772" t="n"/>
      <c r="AF138" s="772" t="n"/>
      <c r="AG138" s="772" t="n"/>
      <c r="AH138" s="772" t="n"/>
      <c r="AI138" s="772" t="n"/>
      <c r="AJ138" s="772" t="n"/>
      <c r="AK138" s="772" t="n"/>
      <c r="AL138" s="772" t="n"/>
      <c r="AM138" s="772" t="n"/>
      <c r="AN138" s="772" t="n"/>
      <c r="AO138" s="772" t="n"/>
      <c r="AP138" s="772" t="n"/>
      <c r="AQ138" s="772" t="n"/>
      <c r="AR138" s="772" t="n"/>
      <c r="AS138" s="772" t="n"/>
      <c r="AT138" s="772" t="n"/>
      <c r="AU138" s="772" t="n"/>
      <c r="AV138" s="772" t="n"/>
      <c r="AW138" s="772" t="n"/>
      <c r="AX138" s="772" t="n"/>
      <c r="AY138" s="772" t="n"/>
      <c r="AZ138" s="772" t="n"/>
      <c r="BA138" s="731" t="n"/>
      <c r="BB138" s="731" t="n"/>
      <c r="BC138" s="731" t="n"/>
    </row>
    <row r="139">
      <c r="A139" s="772" t="n"/>
      <c r="B139" s="772" t="n"/>
      <c r="C139" s="772" t="n"/>
      <c r="D139" s="772" t="n"/>
      <c r="E139" s="772" t="n"/>
      <c r="F139" s="772" t="n"/>
      <c r="G139" s="772" t="n"/>
      <c r="H139" s="772" t="n"/>
      <c r="I139" s="772" t="n"/>
      <c r="J139" s="772" t="n"/>
      <c r="K139" s="772" t="n"/>
      <c r="L139" s="772" t="n"/>
      <c r="M139" s="772" t="n"/>
      <c r="N139" s="772" t="n"/>
      <c r="O139" s="772" t="n"/>
      <c r="P139" s="772" t="n"/>
      <c r="Q139" s="772" t="n"/>
      <c r="R139" s="772" t="n"/>
      <c r="S139" s="772" t="n"/>
      <c r="T139" s="772" t="n"/>
      <c r="U139" s="772" t="n"/>
      <c r="V139" s="772" t="n"/>
      <c r="W139" s="772" t="n"/>
      <c r="X139" s="772" t="n"/>
      <c r="Y139" s="772" t="n"/>
      <c r="Z139" s="772" t="n"/>
      <c r="AA139" s="772" t="n"/>
      <c r="AB139" s="772" t="n"/>
      <c r="AC139" s="772" t="n"/>
      <c r="AD139" s="772" t="n"/>
      <c r="AE139" s="772" t="n"/>
      <c r="AF139" s="772" t="n"/>
      <c r="AG139" s="772" t="n"/>
      <c r="AH139" s="772" t="n"/>
      <c r="AI139" s="772" t="n"/>
      <c r="AJ139" s="772" t="n"/>
      <c r="AK139" s="772" t="n"/>
      <c r="AL139" s="772" t="n"/>
      <c r="AM139" s="772" t="n"/>
      <c r="AN139" s="772" t="n"/>
      <c r="AO139" s="772" t="n"/>
      <c r="AP139" s="772" t="n"/>
      <c r="AQ139" s="772" t="n"/>
      <c r="AR139" s="772" t="n"/>
      <c r="AS139" s="772" t="n"/>
      <c r="AT139" s="772" t="n"/>
      <c r="AU139" s="772" t="n"/>
      <c r="AV139" s="772" t="n"/>
      <c r="AW139" s="772" t="n"/>
      <c r="AX139" s="772" t="n"/>
      <c r="AY139" s="772" t="n"/>
      <c r="AZ139" s="772" t="n"/>
      <c r="BA139" s="731" t="n"/>
      <c r="BB139" s="731" t="n"/>
      <c r="BC139" s="731" t="n"/>
    </row>
    <row r="140">
      <c r="A140" s="772" t="n"/>
      <c r="B140" s="772" t="n"/>
      <c r="C140" s="772" t="n"/>
      <c r="D140" s="772" t="n"/>
      <c r="E140" s="772" t="n"/>
      <c r="F140" s="772" t="n"/>
      <c r="G140" s="772" t="n"/>
      <c r="H140" s="772" t="n"/>
      <c r="I140" s="772" t="n"/>
      <c r="J140" s="772" t="n"/>
      <c r="K140" s="772" t="n"/>
      <c r="L140" s="772" t="n"/>
      <c r="M140" s="772" t="n"/>
      <c r="N140" s="772" t="n"/>
      <c r="O140" s="772" t="n"/>
      <c r="P140" s="772" t="n"/>
      <c r="Q140" s="772" t="n"/>
      <c r="R140" s="772" t="n"/>
      <c r="S140" s="772" t="n"/>
      <c r="T140" s="772" t="n"/>
      <c r="U140" s="772" t="n"/>
      <c r="V140" s="772" t="n"/>
      <c r="W140" s="772" t="n"/>
      <c r="X140" s="772" t="n"/>
      <c r="Y140" s="772" t="n"/>
      <c r="Z140" s="772" t="n"/>
      <c r="AA140" s="772" t="n"/>
      <c r="AB140" s="772" t="n"/>
      <c r="AC140" s="772" t="n"/>
      <c r="AD140" s="772" t="n"/>
      <c r="AE140" s="772" t="n"/>
      <c r="AF140" s="772" t="n"/>
      <c r="AG140" s="772" t="n"/>
      <c r="AH140" s="772" t="n"/>
      <c r="AI140" s="772" t="n"/>
      <c r="AJ140" s="772" t="n"/>
      <c r="AK140" s="772" t="n"/>
      <c r="AL140" s="772" t="n"/>
      <c r="AM140" s="772" t="n"/>
      <c r="AN140" s="772" t="n"/>
      <c r="AO140" s="772" t="n"/>
      <c r="AP140" s="772" t="n"/>
      <c r="AQ140" s="772" t="n"/>
      <c r="AR140" s="772" t="n"/>
      <c r="AS140" s="772" t="n"/>
      <c r="AT140" s="772" t="n"/>
      <c r="AU140" s="772" t="n"/>
      <c r="AV140" s="772" t="n"/>
      <c r="AW140" s="772" t="n"/>
      <c r="AX140" s="772" t="n"/>
      <c r="AY140" s="772" t="n"/>
      <c r="AZ140" s="772" t="n"/>
      <c r="BA140" s="731" t="n"/>
      <c r="BB140" s="731" t="n"/>
      <c r="BC140" s="731" t="n"/>
    </row>
    <row r="141">
      <c r="A141" s="772" t="n"/>
      <c r="B141" s="772" t="n"/>
      <c r="C141" s="772" t="n"/>
      <c r="D141" s="772" t="n"/>
      <c r="E141" s="772" t="n"/>
      <c r="F141" s="772" t="n"/>
      <c r="G141" s="772" t="n"/>
      <c r="H141" s="772" t="n"/>
      <c r="I141" s="772" t="n"/>
      <c r="J141" s="772" t="n"/>
      <c r="K141" s="772" t="n"/>
      <c r="L141" s="772" t="n"/>
      <c r="M141" s="772" t="n"/>
      <c r="N141" s="772" t="n"/>
      <c r="O141" s="772" t="n"/>
      <c r="P141" s="772" t="n"/>
      <c r="Q141" s="772" t="n"/>
      <c r="R141" s="772" t="n"/>
      <c r="S141" s="772" t="n"/>
      <c r="T141" s="772" t="n"/>
      <c r="U141" s="772" t="n"/>
      <c r="V141" s="772" t="n"/>
      <c r="W141" s="772" t="n"/>
      <c r="X141" s="772" t="n"/>
      <c r="Y141" s="772" t="n"/>
      <c r="Z141" s="772" t="n"/>
      <c r="AA141" s="772" t="n"/>
      <c r="AB141" s="772" t="n"/>
      <c r="AC141" s="772" t="n"/>
      <c r="AD141" s="772" t="n"/>
      <c r="AE141" s="772" t="n"/>
      <c r="AF141" s="772" t="n"/>
      <c r="AG141" s="772" t="n"/>
      <c r="AH141" s="772" t="n"/>
      <c r="AI141" s="772" t="n"/>
      <c r="AJ141" s="772" t="n"/>
      <c r="AK141" s="772" t="n"/>
      <c r="AL141" s="772" t="n"/>
      <c r="AM141" s="772" t="n"/>
      <c r="AN141" s="772" t="n"/>
      <c r="AO141" s="772" t="n"/>
      <c r="AP141" s="772" t="n"/>
      <c r="AQ141" s="772" t="n"/>
      <c r="AR141" s="772" t="n"/>
      <c r="AS141" s="772" t="n"/>
      <c r="AT141" s="772" t="n"/>
      <c r="AU141" s="772" t="n"/>
      <c r="AV141" s="772" t="n"/>
      <c r="AW141" s="772" t="n"/>
      <c r="AX141" s="772" t="n"/>
      <c r="AY141" s="772" t="n"/>
      <c r="AZ141" s="772" t="n"/>
      <c r="BA141" s="731" t="n"/>
      <c r="BB141" s="731" t="n"/>
      <c r="BC141" s="731" t="n"/>
    </row>
    <row r="142">
      <c r="A142" s="772" t="n"/>
      <c r="B142" s="772" t="n"/>
      <c r="C142" s="772" t="n"/>
      <c r="D142" s="772" t="n"/>
      <c r="E142" s="772" t="n"/>
      <c r="F142" s="772" t="n"/>
      <c r="G142" s="772" t="n"/>
      <c r="H142" s="772" t="n"/>
      <c r="I142" s="772" t="n"/>
      <c r="J142" s="772" t="n"/>
      <c r="K142" s="772" t="n"/>
      <c r="L142" s="772" t="n"/>
      <c r="M142" s="772" t="n"/>
      <c r="N142" s="772" t="n"/>
      <c r="O142" s="772" t="n"/>
      <c r="P142" s="772" t="n"/>
      <c r="Q142" s="772" t="n"/>
      <c r="R142" s="772" t="n"/>
      <c r="S142" s="772" t="n"/>
      <c r="T142" s="772" t="n"/>
      <c r="U142" s="772" t="n"/>
      <c r="V142" s="772" t="n"/>
      <c r="W142" s="772" t="n"/>
      <c r="X142" s="772" t="n"/>
      <c r="Y142" s="772" t="n"/>
      <c r="Z142" s="772" t="n"/>
      <c r="AA142" s="772" t="n"/>
      <c r="AB142" s="772" t="n"/>
      <c r="AC142" s="772" t="n"/>
      <c r="AD142" s="772" t="n"/>
      <c r="AE142" s="772" t="n"/>
      <c r="AF142" s="772" t="n"/>
      <c r="AG142" s="772" t="n"/>
      <c r="AH142" s="772" t="n"/>
      <c r="AI142" s="772" t="n"/>
      <c r="AJ142" s="772" t="n"/>
      <c r="AK142" s="772" t="n"/>
      <c r="AL142" s="772" t="n"/>
      <c r="AM142" s="772" t="n"/>
      <c r="AN142" s="772" t="n"/>
      <c r="AO142" s="772" t="n"/>
      <c r="AP142" s="772" t="n"/>
      <c r="AQ142" s="772" t="n"/>
      <c r="AR142" s="772" t="n"/>
      <c r="AS142" s="772" t="n"/>
      <c r="AT142" s="772" t="n"/>
      <c r="AU142" s="772" t="n"/>
      <c r="AV142" s="772" t="n"/>
      <c r="AW142" s="772" t="n"/>
      <c r="AX142" s="772" t="n"/>
      <c r="AY142" s="772" t="n"/>
      <c r="AZ142" s="772" t="n"/>
      <c r="BA142" s="731" t="n"/>
      <c r="BB142" s="731" t="n"/>
      <c r="BC142" s="731" t="n"/>
    </row>
    <row r="143">
      <c r="A143" s="772" t="n"/>
      <c r="B143" s="772" t="n"/>
      <c r="C143" s="772" t="n"/>
      <c r="D143" s="772" t="n"/>
      <c r="E143" s="772" t="n"/>
      <c r="F143" s="772" t="n"/>
      <c r="G143" s="772" t="n"/>
      <c r="H143" s="772" t="n"/>
      <c r="I143" s="772" t="n"/>
      <c r="J143" s="772" t="n"/>
      <c r="K143" s="772" t="n"/>
      <c r="L143" s="772" t="n"/>
      <c r="M143" s="772" t="n"/>
      <c r="N143" s="772" t="n"/>
      <c r="O143" s="772" t="n"/>
      <c r="P143" s="772" t="n"/>
      <c r="Q143" s="772" t="n"/>
      <c r="R143" s="772" t="n"/>
      <c r="S143" s="772" t="n"/>
      <c r="T143" s="772" t="n"/>
      <c r="U143" s="772" t="n"/>
      <c r="V143" s="772" t="n"/>
      <c r="W143" s="772" t="n"/>
      <c r="X143" s="772" t="n"/>
      <c r="Y143" s="772" t="n"/>
      <c r="Z143" s="772" t="n"/>
      <c r="AA143" s="772" t="n"/>
      <c r="AB143" s="772" t="n"/>
      <c r="AC143" s="772" t="n"/>
      <c r="AD143" s="772" t="n"/>
      <c r="AE143" s="772" t="n"/>
      <c r="AF143" s="772" t="n"/>
      <c r="AG143" s="772" t="n"/>
      <c r="AH143" s="772" t="n"/>
      <c r="AI143" s="772" t="n"/>
      <c r="AJ143" s="772" t="n"/>
      <c r="AK143" s="772" t="n"/>
      <c r="AL143" s="772" t="n"/>
      <c r="AM143" s="772" t="n"/>
      <c r="AN143" s="772" t="n"/>
      <c r="AO143" s="772" t="n"/>
      <c r="AP143" s="772" t="n"/>
      <c r="AQ143" s="772" t="n"/>
      <c r="AR143" s="772" t="n"/>
      <c r="AS143" s="772" t="n"/>
      <c r="AT143" s="772" t="n"/>
      <c r="AU143" s="772" t="n"/>
      <c r="AV143" s="772" t="n"/>
      <c r="AW143" s="772" t="n"/>
      <c r="AX143" s="772" t="n"/>
      <c r="AY143" s="772" t="n"/>
      <c r="AZ143" s="772" t="n"/>
      <c r="BA143" s="731" t="n"/>
      <c r="BB143" s="731" t="n"/>
      <c r="BC143" s="731" t="n"/>
    </row>
    <row r="144">
      <c r="A144" s="772" t="n"/>
      <c r="B144" s="772" t="n"/>
      <c r="C144" s="772" t="n"/>
      <c r="D144" s="772" t="n"/>
      <c r="E144" s="772" t="n"/>
      <c r="F144" s="772" t="n"/>
      <c r="G144" s="772" t="n"/>
      <c r="H144" s="772" t="n"/>
      <c r="I144" s="772" t="n"/>
      <c r="J144" s="772" t="n"/>
      <c r="K144" s="772" t="n"/>
      <c r="L144" s="772" t="n"/>
      <c r="M144" s="772" t="n"/>
      <c r="N144" s="772" t="n"/>
      <c r="O144" s="772" t="n"/>
      <c r="P144" s="772" t="n"/>
      <c r="Q144" s="772" t="n"/>
      <c r="R144" s="772" t="n"/>
      <c r="S144" s="772" t="n"/>
      <c r="T144" s="772" t="n"/>
      <c r="U144" s="772" t="n"/>
      <c r="V144" s="772" t="n"/>
      <c r="W144" s="772" t="n"/>
      <c r="X144" s="772" t="n"/>
      <c r="Y144" s="772" t="n"/>
      <c r="Z144" s="772" t="n"/>
      <c r="AA144" s="772" t="n"/>
      <c r="AB144" s="772" t="n"/>
      <c r="AC144" s="772" t="n"/>
      <c r="AD144" s="772" t="n"/>
      <c r="AE144" s="772" t="n"/>
      <c r="AF144" s="772" t="n"/>
      <c r="AG144" s="772" t="n"/>
      <c r="AH144" s="772" t="n"/>
      <c r="AI144" s="772" t="n"/>
      <c r="AJ144" s="772" t="n"/>
      <c r="AK144" s="772" t="n"/>
      <c r="AL144" s="772" t="n"/>
      <c r="AM144" s="772" t="n"/>
      <c r="AN144" s="772" t="n"/>
      <c r="AO144" s="772" t="n"/>
      <c r="AP144" s="772" t="n"/>
      <c r="AQ144" s="772" t="n"/>
      <c r="AR144" s="772" t="n"/>
      <c r="AS144" s="772" t="n"/>
      <c r="AT144" s="772" t="n"/>
      <c r="AU144" s="772" t="n"/>
      <c r="AV144" s="772" t="n"/>
      <c r="AW144" s="772" t="n"/>
      <c r="AX144" s="772" t="n"/>
      <c r="AY144" s="772" t="n"/>
      <c r="AZ144" s="772" t="n"/>
      <c r="BA144" s="731" t="n"/>
      <c r="BB144" s="731" t="n"/>
      <c r="BC144" s="731" t="n"/>
    </row>
    <row r="145">
      <c r="A145" s="772" t="n"/>
      <c r="B145" s="772" t="n"/>
      <c r="C145" s="772" t="n"/>
      <c r="D145" s="772" t="n"/>
      <c r="E145" s="772" t="n"/>
      <c r="F145" s="772" t="n"/>
      <c r="G145" s="772" t="n"/>
      <c r="H145" s="772" t="n"/>
      <c r="I145" s="772" t="n"/>
      <c r="J145" s="772" t="n"/>
      <c r="K145" s="772" t="n"/>
      <c r="L145" s="772" t="n"/>
      <c r="M145" s="772" t="n"/>
      <c r="N145" s="772" t="n"/>
      <c r="O145" s="772" t="n"/>
      <c r="P145" s="772" t="n"/>
      <c r="Q145" s="772" t="n"/>
      <c r="R145" s="772" t="n"/>
      <c r="S145" s="772" t="n"/>
      <c r="T145" s="772" t="n"/>
      <c r="U145" s="772" t="n"/>
      <c r="V145" s="772" t="n"/>
      <c r="W145" s="772" t="n"/>
      <c r="X145" s="772" t="n"/>
      <c r="Y145" s="772" t="n"/>
      <c r="Z145" s="772" t="n"/>
      <c r="AA145" s="772" t="n"/>
      <c r="AB145" s="772" t="n"/>
      <c r="AC145" s="772" t="n"/>
      <c r="AD145" s="772" t="n"/>
      <c r="AE145" s="772" t="n"/>
      <c r="AF145" s="772" t="n"/>
      <c r="AG145" s="772" t="n"/>
      <c r="AH145" s="772" t="n"/>
      <c r="AI145" s="772" t="n"/>
      <c r="AJ145" s="772" t="n"/>
      <c r="AK145" s="772" t="n"/>
      <c r="AL145" s="772" t="n"/>
      <c r="AM145" s="772" t="n"/>
      <c r="AN145" s="772" t="n"/>
      <c r="AO145" s="772" t="n"/>
      <c r="AP145" s="772" t="n"/>
      <c r="AQ145" s="772" t="n"/>
      <c r="AR145" s="772" t="n"/>
      <c r="AS145" s="772" t="n"/>
      <c r="AT145" s="772" t="n"/>
      <c r="AU145" s="772" t="n"/>
      <c r="AV145" s="772" t="n"/>
      <c r="AW145" s="772" t="n"/>
      <c r="AX145" s="772" t="n"/>
      <c r="AY145" s="772" t="n"/>
      <c r="AZ145" s="772" t="n"/>
      <c r="BA145" s="731" t="n"/>
      <c r="BB145" s="731" t="n"/>
      <c r="BC145" s="731" t="n"/>
    </row>
    <row r="146">
      <c r="A146" s="772" t="n"/>
      <c r="B146" s="772" t="n"/>
      <c r="C146" s="772" t="n"/>
      <c r="D146" s="772" t="n"/>
      <c r="E146" s="772" t="n"/>
      <c r="F146" s="772" t="n"/>
      <c r="G146" s="772" t="n"/>
      <c r="H146" s="772" t="n"/>
      <c r="I146" s="772" t="n"/>
      <c r="J146" s="772" t="n"/>
      <c r="K146" s="772" t="n"/>
      <c r="L146" s="772" t="n"/>
      <c r="M146" s="772" t="n"/>
      <c r="N146" s="772" t="n"/>
      <c r="O146" s="772" t="n"/>
      <c r="P146" s="772" t="n"/>
      <c r="Q146" s="772" t="n"/>
      <c r="R146" s="772" t="n"/>
      <c r="S146" s="772" t="n"/>
      <c r="T146" s="772" t="n"/>
      <c r="U146" s="772" t="n"/>
      <c r="V146" s="772" t="n"/>
      <c r="W146" s="772" t="n"/>
      <c r="X146" s="772" t="n"/>
      <c r="Y146" s="772" t="n"/>
      <c r="Z146" s="772" t="n"/>
      <c r="AA146" s="772" t="n"/>
      <c r="AB146" s="772" t="n"/>
      <c r="AC146" s="772" t="n"/>
      <c r="AD146" s="772" t="n"/>
      <c r="AE146" s="772" t="n"/>
      <c r="AF146" s="772" t="n"/>
      <c r="AG146" s="772" t="n"/>
      <c r="AH146" s="772" t="n"/>
      <c r="AI146" s="772" t="n"/>
      <c r="AJ146" s="772" t="n"/>
      <c r="AK146" s="772" t="n"/>
      <c r="AL146" s="772" t="n"/>
      <c r="AM146" s="772" t="n"/>
      <c r="AN146" s="772" t="n"/>
      <c r="AO146" s="772" t="n"/>
      <c r="AP146" s="772" t="n"/>
      <c r="AQ146" s="772" t="n"/>
      <c r="AR146" s="772" t="n"/>
      <c r="AS146" s="772" t="n"/>
      <c r="AT146" s="772" t="n"/>
      <c r="AU146" s="772" t="n"/>
      <c r="AV146" s="772" t="n"/>
      <c r="AW146" s="772" t="n"/>
      <c r="AX146" s="772" t="n"/>
      <c r="AY146" s="772" t="n"/>
      <c r="AZ146" s="772" t="n"/>
      <c r="BA146" s="731" t="n"/>
      <c r="BB146" s="731" t="n"/>
      <c r="BC146" s="731" t="n"/>
    </row>
    <row r="147">
      <c r="A147" s="772" t="n"/>
      <c r="B147" s="772" t="n"/>
      <c r="C147" s="772" t="n"/>
      <c r="D147" s="772" t="n"/>
      <c r="E147" s="772" t="n"/>
      <c r="F147" s="772" t="n"/>
      <c r="G147" s="772" t="n"/>
      <c r="H147" s="772" t="n"/>
      <c r="I147" s="772" t="n"/>
      <c r="J147" s="772" t="n"/>
      <c r="K147" s="772" t="n"/>
      <c r="L147" s="772" t="n"/>
      <c r="M147" s="772" t="n"/>
      <c r="N147" s="772" t="n"/>
      <c r="O147" s="772" t="n"/>
      <c r="P147" s="772" t="n"/>
      <c r="Q147" s="772" t="n"/>
      <c r="R147" s="772" t="n"/>
      <c r="S147" s="772" t="n"/>
      <c r="T147" s="772" t="n"/>
      <c r="U147" s="772" t="n"/>
      <c r="V147" s="772" t="n"/>
      <c r="W147" s="772" t="n"/>
      <c r="X147" s="772" t="n"/>
      <c r="Y147" s="772" t="n"/>
      <c r="Z147" s="772" t="n"/>
      <c r="AA147" s="772" t="n"/>
      <c r="AB147" s="772" t="n"/>
      <c r="AC147" s="772" t="n"/>
      <c r="AD147" s="772" t="n"/>
      <c r="AE147" s="772" t="n"/>
      <c r="AF147" s="772" t="n"/>
      <c r="AG147" s="772" t="n"/>
      <c r="AH147" s="772" t="n"/>
      <c r="AI147" s="772" t="n"/>
      <c r="AJ147" s="772" t="n"/>
      <c r="AK147" s="772" t="n"/>
      <c r="AL147" s="772" t="n"/>
      <c r="AM147" s="772" t="n"/>
      <c r="AN147" s="772" t="n"/>
      <c r="AO147" s="772" t="n"/>
      <c r="AP147" s="772" t="n"/>
      <c r="AQ147" s="772" t="n"/>
      <c r="AR147" s="772" t="n"/>
      <c r="AS147" s="772" t="n"/>
      <c r="AT147" s="772" t="n"/>
      <c r="AU147" s="772" t="n"/>
      <c r="AV147" s="772" t="n"/>
      <c r="AW147" s="772" t="n"/>
      <c r="AX147" s="772" t="n"/>
      <c r="AY147" s="772" t="n"/>
      <c r="AZ147" s="772" t="n"/>
      <c r="BA147" s="731" t="n"/>
      <c r="BB147" s="731" t="n"/>
      <c r="BC147" s="731" t="n"/>
    </row>
    <row r="148">
      <c r="A148" s="772" t="n"/>
      <c r="B148" s="772" t="n"/>
      <c r="C148" s="772" t="n"/>
      <c r="D148" s="772" t="n"/>
      <c r="E148" s="772" t="n"/>
      <c r="F148" s="772" t="n"/>
      <c r="G148" s="772" t="n"/>
      <c r="H148" s="772" t="n"/>
      <c r="I148" s="772" t="n"/>
      <c r="J148" s="772" t="n"/>
      <c r="K148" s="772" t="n"/>
      <c r="L148" s="772" t="n"/>
      <c r="M148" s="772" t="n"/>
      <c r="N148" s="772" t="n"/>
      <c r="O148" s="772" t="n"/>
      <c r="P148" s="772" t="n"/>
      <c r="Q148" s="772" t="n"/>
      <c r="R148" s="772" t="n"/>
      <c r="S148" s="772" t="n"/>
      <c r="T148" s="772" t="n"/>
      <c r="U148" s="772" t="n"/>
      <c r="V148" s="772" t="n"/>
      <c r="W148" s="772" t="n"/>
      <c r="X148" s="772" t="n"/>
      <c r="Y148" s="772" t="n"/>
      <c r="Z148" s="772" t="n"/>
      <c r="AA148" s="772" t="n"/>
      <c r="AB148" s="772" t="n"/>
      <c r="AC148" s="772" t="n"/>
      <c r="AD148" s="772" t="n"/>
      <c r="AE148" s="772" t="n"/>
      <c r="AF148" s="772" t="n"/>
      <c r="AG148" s="772" t="n"/>
      <c r="AH148" s="772" t="n"/>
      <c r="AI148" s="772" t="n"/>
      <c r="AJ148" s="772" t="n"/>
      <c r="AK148" s="772" t="n"/>
      <c r="AL148" s="772" t="n"/>
      <c r="AM148" s="772" t="n"/>
      <c r="AN148" s="772" t="n"/>
      <c r="AO148" s="772" t="n"/>
      <c r="AP148" s="772" t="n"/>
      <c r="AQ148" s="772" t="n"/>
      <c r="AR148" s="772" t="n"/>
      <c r="AS148" s="772" t="n"/>
      <c r="AT148" s="772" t="n"/>
      <c r="AU148" s="772" t="n"/>
      <c r="AV148" s="772" t="n"/>
      <c r="AW148" s="772" t="n"/>
      <c r="AX148" s="772" t="n"/>
      <c r="AY148" s="772" t="n"/>
      <c r="AZ148" s="772" t="n"/>
      <c r="BA148" s="731" t="n"/>
      <c r="BB148" s="731" t="n"/>
      <c r="BC148" s="731" t="n"/>
    </row>
    <row r="149">
      <c r="A149" s="772" t="n"/>
      <c r="B149" s="772" t="n"/>
      <c r="C149" s="772" t="n"/>
      <c r="D149" s="772" t="n"/>
      <c r="E149" s="772" t="n"/>
      <c r="F149" s="772" t="n"/>
      <c r="G149" s="772" t="n"/>
      <c r="H149" s="772" t="n"/>
      <c r="I149" s="772" t="n"/>
      <c r="J149" s="772" t="n"/>
      <c r="K149" s="772" t="n"/>
      <c r="L149" s="772" t="n"/>
      <c r="M149" s="772" t="n"/>
      <c r="N149" s="772" t="n"/>
      <c r="O149" s="772" t="n"/>
      <c r="P149" s="772" t="n"/>
      <c r="Q149" s="772" t="n"/>
      <c r="R149" s="772" t="n"/>
      <c r="S149" s="772" t="n"/>
      <c r="T149" s="772" t="n"/>
      <c r="U149" s="772" t="n"/>
      <c r="V149" s="772" t="n"/>
      <c r="W149" s="772" t="n"/>
      <c r="X149" s="772" t="n"/>
      <c r="Y149" s="772" t="n"/>
      <c r="Z149" s="772" t="n"/>
      <c r="AA149" s="772" t="n"/>
      <c r="AB149" s="772" t="n"/>
      <c r="AC149" s="772" t="n"/>
      <c r="AD149" s="772" t="n"/>
      <c r="AE149" s="772" t="n"/>
      <c r="AF149" s="772" t="n"/>
      <c r="AG149" s="772" t="n"/>
      <c r="AH149" s="772" t="n"/>
      <c r="AI149" s="772" t="n"/>
      <c r="AJ149" s="772" t="n"/>
      <c r="AK149" s="772" t="n"/>
      <c r="AL149" s="772" t="n"/>
      <c r="AM149" s="772" t="n"/>
      <c r="AN149" s="772" t="n"/>
      <c r="AO149" s="772" t="n"/>
      <c r="AP149" s="772" t="n"/>
      <c r="AQ149" s="772" t="n"/>
      <c r="AR149" s="772" t="n"/>
      <c r="AS149" s="772" t="n"/>
      <c r="AT149" s="772" t="n"/>
      <c r="AU149" s="772" t="n"/>
      <c r="AV149" s="772" t="n"/>
      <c r="AW149" s="772" t="n"/>
      <c r="AX149" s="772" t="n"/>
      <c r="AY149" s="772" t="n"/>
      <c r="AZ149" s="772" t="n"/>
      <c r="BA149" s="731" t="n"/>
      <c r="BB149" s="731" t="n"/>
      <c r="BC149" s="731" t="n"/>
    </row>
    <row r="150">
      <c r="A150" s="772" t="n"/>
      <c r="B150" s="772" t="n"/>
      <c r="C150" s="772" t="n"/>
      <c r="D150" s="772" t="n"/>
      <c r="E150" s="772" t="n"/>
      <c r="F150" s="772" t="n"/>
      <c r="G150" s="772" t="n"/>
      <c r="H150" s="772" t="n"/>
      <c r="I150" s="772" t="n"/>
      <c r="J150" s="772" t="n"/>
      <c r="K150" s="772" t="n"/>
      <c r="L150" s="772" t="n"/>
      <c r="M150" s="772" t="n"/>
      <c r="N150" s="772" t="n"/>
      <c r="O150" s="772" t="n"/>
      <c r="P150" s="772" t="n"/>
      <c r="Q150" s="772" t="n"/>
      <c r="R150" s="772" t="n"/>
      <c r="S150" s="772" t="n"/>
      <c r="T150" s="772" t="n"/>
      <c r="U150" s="772" t="n"/>
      <c r="V150" s="772" t="n"/>
      <c r="W150" s="772" t="n"/>
      <c r="X150" s="772" t="n"/>
      <c r="Y150" s="772" t="n"/>
      <c r="Z150" s="772" t="n"/>
      <c r="AA150" s="772" t="n"/>
      <c r="AB150" s="772" t="n"/>
      <c r="AC150" s="772" t="n"/>
      <c r="AD150" s="772" t="n"/>
      <c r="AE150" s="772" t="n"/>
      <c r="AF150" s="772" t="n"/>
      <c r="AG150" s="772" t="n"/>
      <c r="AH150" s="772" t="n"/>
      <c r="AI150" s="772" t="n"/>
      <c r="AJ150" s="772" t="n"/>
      <c r="AK150" s="772" t="n"/>
      <c r="AL150" s="772" t="n"/>
      <c r="AM150" s="772" t="n"/>
      <c r="AN150" s="772" t="n"/>
      <c r="AO150" s="772" t="n"/>
      <c r="AP150" s="772" t="n"/>
      <c r="AQ150" s="772" t="n"/>
      <c r="AR150" s="772" t="n"/>
      <c r="AS150" s="772" t="n"/>
      <c r="AT150" s="772" t="n"/>
      <c r="AU150" s="772" t="n"/>
      <c r="AV150" s="772" t="n"/>
      <c r="AW150" s="772" t="n"/>
      <c r="AX150" s="772" t="n"/>
      <c r="AY150" s="772" t="n"/>
      <c r="AZ150" s="772" t="n"/>
      <c r="BA150" s="731" t="n"/>
      <c r="BB150" s="731" t="n"/>
      <c r="BC150" s="731" t="n"/>
    </row>
    <row r="151">
      <c r="A151" s="772" t="n"/>
      <c r="B151" s="772" t="n"/>
      <c r="C151" s="772" t="n"/>
      <c r="D151" s="772" t="n"/>
      <c r="E151" s="772" t="n"/>
      <c r="F151" s="772" t="n"/>
      <c r="G151" s="772" t="n"/>
      <c r="H151" s="772" t="n"/>
      <c r="I151" s="772" t="n"/>
      <c r="J151" s="772" t="n"/>
      <c r="K151" s="772" t="n"/>
      <c r="L151" s="772" t="n"/>
      <c r="M151" s="772" t="n"/>
      <c r="N151" s="772" t="n"/>
      <c r="O151" s="772" t="n"/>
      <c r="P151" s="772" t="n"/>
      <c r="Q151" s="772" t="n"/>
      <c r="R151" s="772" t="n"/>
      <c r="S151" s="772" t="n"/>
      <c r="T151" s="772" t="n"/>
      <c r="U151" s="772" t="n"/>
      <c r="V151" s="772" t="n"/>
      <c r="W151" s="772" t="n"/>
      <c r="X151" s="772" t="n"/>
      <c r="Y151" s="772" t="n"/>
      <c r="Z151" s="772" t="n"/>
      <c r="AA151" s="772" t="n"/>
      <c r="AB151" s="772" t="n"/>
      <c r="AC151" s="772" t="n"/>
      <c r="AD151" s="772" t="n"/>
      <c r="AE151" s="772" t="n"/>
      <c r="AF151" s="772" t="n"/>
      <c r="AG151" s="772" t="n"/>
      <c r="AH151" s="772" t="n"/>
      <c r="AI151" s="772" t="n"/>
      <c r="AJ151" s="772" t="n"/>
      <c r="AK151" s="772" t="n"/>
      <c r="AL151" s="772" t="n"/>
      <c r="AM151" s="772" t="n"/>
      <c r="AN151" s="772" t="n"/>
      <c r="AO151" s="772" t="n"/>
      <c r="AP151" s="772" t="n"/>
      <c r="AQ151" s="772" t="n"/>
      <c r="AR151" s="772" t="n"/>
      <c r="AS151" s="772" t="n"/>
      <c r="AT151" s="772" t="n"/>
      <c r="AU151" s="772" t="n"/>
      <c r="AV151" s="772" t="n"/>
      <c r="AW151" s="772" t="n"/>
      <c r="AX151" s="772" t="n"/>
      <c r="AY151" s="772" t="n"/>
      <c r="AZ151" s="772" t="n"/>
      <c r="BA151" s="731" t="n"/>
      <c r="BB151" s="731" t="n"/>
      <c r="BC151" s="731" t="n"/>
    </row>
    <row r="152">
      <c r="A152" s="772" t="n"/>
      <c r="B152" s="772" t="n"/>
      <c r="C152" s="772" t="n"/>
      <c r="D152" s="772" t="n"/>
      <c r="E152" s="772" t="n"/>
      <c r="F152" s="772" t="n"/>
      <c r="G152" s="772" t="n"/>
      <c r="H152" s="772" t="n"/>
      <c r="I152" s="772" t="n"/>
      <c r="J152" s="772" t="n"/>
      <c r="K152" s="772" t="n"/>
      <c r="L152" s="772" t="n"/>
      <c r="M152" s="772" t="n"/>
      <c r="N152" s="772" t="n"/>
      <c r="O152" s="772" t="n"/>
      <c r="P152" s="772" t="n"/>
      <c r="Q152" s="772" t="n"/>
      <c r="R152" s="772" t="n"/>
      <c r="S152" s="772" t="n"/>
      <c r="T152" s="772" t="n"/>
      <c r="U152" s="772" t="n"/>
      <c r="V152" s="772" t="n"/>
      <c r="W152" s="772" t="n"/>
      <c r="X152" s="772" t="n"/>
      <c r="Y152" s="772" t="n"/>
      <c r="Z152" s="772" t="n"/>
      <c r="AA152" s="772" t="n"/>
      <c r="AB152" s="772" t="n"/>
      <c r="AC152" s="772" t="n"/>
      <c r="AD152" s="772" t="n"/>
      <c r="AE152" s="772" t="n"/>
      <c r="AF152" s="772" t="n"/>
      <c r="AG152" s="772" t="n"/>
      <c r="AH152" s="772" t="n"/>
      <c r="AI152" s="772" t="n"/>
      <c r="AJ152" s="772" t="n"/>
      <c r="AK152" s="772" t="n"/>
      <c r="AL152" s="772" t="n"/>
      <c r="AM152" s="772" t="n"/>
      <c r="AN152" s="772" t="n"/>
      <c r="AO152" s="772" t="n"/>
      <c r="AP152" s="772" t="n"/>
      <c r="AQ152" s="772" t="n"/>
      <c r="AR152" s="772" t="n"/>
      <c r="AS152" s="772" t="n"/>
      <c r="AT152" s="772" t="n"/>
      <c r="AU152" s="772" t="n"/>
      <c r="AV152" s="772" t="n"/>
      <c r="AW152" s="772" t="n"/>
      <c r="AX152" s="772" t="n"/>
      <c r="AY152" s="772" t="n"/>
      <c r="AZ152" s="772" t="n"/>
      <c r="BA152" s="731" t="n"/>
      <c r="BB152" s="731" t="n"/>
      <c r="BC152" s="731" t="n"/>
    </row>
    <row r="153">
      <c r="A153" s="772" t="n"/>
      <c r="B153" s="772" t="n"/>
      <c r="C153" s="772" t="n"/>
      <c r="D153" s="772" t="n"/>
      <c r="E153" s="772" t="n"/>
      <c r="F153" s="772" t="n"/>
      <c r="G153" s="772" t="n"/>
      <c r="H153" s="772" t="n"/>
      <c r="I153" s="772" t="n"/>
      <c r="J153" s="772" t="n"/>
      <c r="K153" s="772" t="n"/>
      <c r="L153" s="772" t="n"/>
      <c r="M153" s="772" t="n"/>
      <c r="N153" s="772" t="n"/>
      <c r="O153" s="772" t="n"/>
      <c r="P153" s="772" t="n"/>
      <c r="Q153" s="772" t="n"/>
      <c r="R153" s="772" t="n"/>
      <c r="S153" s="772" t="n"/>
      <c r="T153" s="772" t="n"/>
      <c r="U153" s="772" t="n"/>
      <c r="V153" s="772" t="n"/>
      <c r="W153" s="772" t="n"/>
      <c r="X153" s="772" t="n"/>
      <c r="Y153" s="772" t="n"/>
      <c r="Z153" s="772" t="n"/>
      <c r="AA153" s="772" t="n"/>
      <c r="AB153" s="772" t="n"/>
      <c r="AC153" s="772" t="n"/>
      <c r="AD153" s="772" t="n"/>
      <c r="AE153" s="772" t="n"/>
      <c r="AF153" s="772" t="n"/>
      <c r="AG153" s="772" t="n"/>
      <c r="AH153" s="772" t="n"/>
      <c r="AI153" s="772" t="n"/>
      <c r="AJ153" s="772" t="n"/>
      <c r="AK153" s="772" t="n"/>
      <c r="AL153" s="772" t="n"/>
      <c r="AM153" s="772" t="n"/>
      <c r="AN153" s="772" t="n"/>
      <c r="AO153" s="772" t="n"/>
      <c r="AP153" s="772" t="n"/>
      <c r="AQ153" s="772" t="n"/>
      <c r="AR153" s="772" t="n"/>
      <c r="AS153" s="772" t="n"/>
      <c r="AT153" s="772" t="n"/>
      <c r="AU153" s="772" t="n"/>
      <c r="AV153" s="772" t="n"/>
      <c r="AW153" s="772" t="n"/>
      <c r="AX153" s="772" t="n"/>
      <c r="AY153" s="772" t="n"/>
      <c r="AZ153" s="772" t="n"/>
      <c r="BA153" s="731" t="n"/>
      <c r="BB153" s="731" t="n"/>
      <c r="BC153" s="731" t="n"/>
    </row>
    <row r="154">
      <c r="A154" s="772" t="n"/>
      <c r="B154" s="772" t="n"/>
      <c r="C154" s="772" t="n"/>
      <c r="D154" s="772" t="n"/>
      <c r="E154" s="772" t="n"/>
      <c r="F154" s="772" t="n"/>
      <c r="G154" s="772" t="n"/>
      <c r="H154" s="772" t="n"/>
      <c r="I154" s="772" t="n"/>
      <c r="J154" s="772" t="n"/>
      <c r="K154" s="772" t="n"/>
      <c r="L154" s="772" t="n"/>
      <c r="M154" s="772" t="n"/>
      <c r="N154" s="772" t="n"/>
      <c r="O154" s="772" t="n"/>
      <c r="P154" s="772" t="n"/>
      <c r="Q154" s="772" t="n"/>
      <c r="R154" s="772" t="n"/>
      <c r="S154" s="772" t="n"/>
      <c r="T154" s="772" t="n"/>
      <c r="U154" s="772" t="n"/>
      <c r="V154" s="772" t="n"/>
      <c r="W154" s="772" t="n"/>
      <c r="X154" s="772" t="n"/>
      <c r="Y154" s="772" t="n"/>
      <c r="Z154" s="772" t="n"/>
      <c r="AA154" s="772" t="n"/>
      <c r="AB154" s="772" t="n"/>
      <c r="AC154" s="772" t="n"/>
      <c r="AD154" s="772" t="n"/>
      <c r="AE154" s="772" t="n"/>
      <c r="AF154" s="772" t="n"/>
      <c r="AG154" s="772" t="n"/>
      <c r="AH154" s="772" t="n"/>
      <c r="AI154" s="772" t="n"/>
      <c r="AJ154" s="772" t="n"/>
      <c r="AK154" s="772" t="n"/>
      <c r="AL154" s="772" t="n"/>
      <c r="AM154" s="772" t="n"/>
      <c r="AN154" s="772" t="n"/>
      <c r="AO154" s="772" t="n"/>
      <c r="AP154" s="772" t="n"/>
      <c r="AQ154" s="772" t="n"/>
      <c r="AR154" s="772" t="n"/>
      <c r="AS154" s="772" t="n"/>
      <c r="AT154" s="772" t="n"/>
      <c r="AU154" s="772" t="n"/>
      <c r="AV154" s="772" t="n"/>
      <c r="AW154" s="772" t="n"/>
      <c r="AX154" s="772" t="n"/>
      <c r="AY154" s="772" t="n"/>
      <c r="AZ154" s="772" t="n"/>
      <c r="BA154" s="731" t="n"/>
      <c r="BB154" s="731" t="n"/>
      <c r="BC154" s="731" t="n"/>
    </row>
    <row r="155">
      <c r="A155" s="772" t="n"/>
      <c r="B155" s="772" t="n"/>
      <c r="C155" s="772" t="n"/>
      <c r="D155" s="772" t="n"/>
      <c r="E155" s="772" t="n"/>
      <c r="F155" s="772" t="n"/>
      <c r="G155" s="772" t="n"/>
      <c r="H155" s="772" t="n"/>
      <c r="I155" s="772" t="n"/>
      <c r="J155" s="772" t="n"/>
      <c r="K155" s="772" t="n"/>
      <c r="L155" s="772" t="n"/>
      <c r="M155" s="772" t="n"/>
      <c r="N155" s="772" t="n"/>
      <c r="O155" s="772" t="n"/>
      <c r="P155" s="772" t="n"/>
      <c r="Q155" s="772" t="n"/>
      <c r="R155" s="772" t="n"/>
      <c r="S155" s="772" t="n"/>
      <c r="T155" s="772" t="n"/>
      <c r="U155" s="772" t="n"/>
      <c r="V155" s="772" t="n"/>
      <c r="W155" s="772" t="n"/>
      <c r="X155" s="772" t="n"/>
      <c r="Y155" s="772" t="n"/>
      <c r="Z155" s="772" t="n"/>
      <c r="AA155" s="772" t="n"/>
      <c r="AB155" s="772" t="n"/>
      <c r="AC155" s="772" t="n"/>
      <c r="AD155" s="772" t="n"/>
      <c r="AE155" s="772" t="n"/>
      <c r="AF155" s="772" t="n"/>
      <c r="AG155" s="772" t="n"/>
      <c r="AH155" s="772" t="n"/>
      <c r="AI155" s="772" t="n"/>
      <c r="AJ155" s="772" t="n"/>
      <c r="AK155" s="772" t="n"/>
      <c r="AL155" s="772" t="n"/>
      <c r="AM155" s="772" t="n"/>
      <c r="AN155" s="772" t="n"/>
      <c r="AO155" s="772" t="n"/>
      <c r="AP155" s="772" t="n"/>
      <c r="AQ155" s="772" t="n"/>
      <c r="AR155" s="772" t="n"/>
      <c r="AS155" s="772" t="n"/>
      <c r="AT155" s="772" t="n"/>
      <c r="AU155" s="772" t="n"/>
      <c r="AV155" s="772" t="n"/>
      <c r="AW155" s="772" t="n"/>
      <c r="AX155" s="772" t="n"/>
      <c r="AY155" s="772" t="n"/>
      <c r="AZ155" s="772" t="n"/>
      <c r="BA155" s="731" t="n"/>
      <c r="BB155" s="731" t="n"/>
      <c r="BC155" s="731" t="n"/>
    </row>
    <row r="156">
      <c r="A156" s="772" t="n"/>
      <c r="B156" s="772" t="n"/>
      <c r="C156" s="772" t="n"/>
      <c r="D156" s="772" t="n"/>
      <c r="E156" s="772" t="n"/>
      <c r="F156" s="772" t="n"/>
      <c r="G156" s="772" t="n"/>
      <c r="H156" s="772" t="n"/>
      <c r="I156" s="772" t="n"/>
      <c r="J156" s="772" t="n"/>
      <c r="K156" s="772" t="n"/>
      <c r="L156" s="772" t="n"/>
      <c r="M156" s="772" t="n"/>
      <c r="N156" s="772" t="n"/>
      <c r="O156" s="772" t="n"/>
      <c r="P156" s="772" t="n"/>
      <c r="Q156" s="772" t="n"/>
      <c r="R156" s="772" t="n"/>
      <c r="S156" s="772" t="n"/>
      <c r="T156" s="772" t="n"/>
      <c r="U156" s="772" t="n"/>
      <c r="V156" s="772" t="n"/>
      <c r="W156" s="772" t="n"/>
      <c r="X156" s="772" t="n"/>
      <c r="Y156" s="772" t="n"/>
      <c r="Z156" s="772" t="n"/>
      <c r="AA156" s="772" t="n"/>
      <c r="AB156" s="772" t="n"/>
      <c r="AC156" s="772" t="n"/>
      <c r="AD156" s="772" t="n"/>
      <c r="AE156" s="772" t="n"/>
      <c r="AF156" s="772" t="n"/>
      <c r="AG156" s="772" t="n"/>
      <c r="AH156" s="772" t="n"/>
      <c r="AI156" s="772" t="n"/>
      <c r="AJ156" s="772" t="n"/>
      <c r="AK156" s="772" t="n"/>
      <c r="AL156" s="772" t="n"/>
      <c r="AM156" s="772" t="n"/>
      <c r="AN156" s="772" t="n"/>
      <c r="AO156" s="772" t="n"/>
      <c r="AP156" s="772" t="n"/>
      <c r="AQ156" s="772" t="n"/>
      <c r="AR156" s="772" t="n"/>
      <c r="AS156" s="772" t="n"/>
      <c r="AT156" s="772" t="n"/>
      <c r="AU156" s="772" t="n"/>
      <c r="AV156" s="772" t="n"/>
      <c r="AW156" s="772" t="n"/>
      <c r="AX156" s="772" t="n"/>
      <c r="AY156" s="772" t="n"/>
      <c r="AZ156" s="772" t="n"/>
      <c r="BA156" s="731" t="n"/>
      <c r="BB156" s="731" t="n"/>
      <c r="BC156" s="731" t="n"/>
    </row>
    <row r="157">
      <c r="A157" s="772" t="n"/>
      <c r="B157" s="772" t="n"/>
      <c r="C157" s="772" t="n"/>
      <c r="D157" s="772" t="n"/>
      <c r="E157" s="772" t="n"/>
      <c r="F157" s="772" t="n"/>
      <c r="G157" s="772" t="n"/>
      <c r="H157" s="772" t="n"/>
      <c r="I157" s="772" t="n"/>
      <c r="J157" s="772" t="n"/>
      <c r="K157" s="772" t="n"/>
      <c r="L157" s="772" t="n"/>
      <c r="M157" s="772" t="n"/>
      <c r="N157" s="772" t="n"/>
      <c r="O157" s="772" t="n"/>
      <c r="P157" s="772" t="n"/>
      <c r="Q157" s="772" t="n"/>
      <c r="R157" s="772" t="n"/>
      <c r="S157" s="772" t="n"/>
      <c r="T157" s="772" t="n"/>
      <c r="U157" s="772" t="n"/>
      <c r="V157" s="772" t="n"/>
      <c r="W157" s="772" t="n"/>
      <c r="X157" s="772" t="n"/>
      <c r="Y157" s="772" t="n"/>
      <c r="Z157" s="772" t="n"/>
      <c r="AA157" s="772" t="n"/>
      <c r="AB157" s="772" t="n"/>
      <c r="AC157" s="772" t="n"/>
      <c r="AD157" s="772" t="n"/>
      <c r="AE157" s="772" t="n"/>
      <c r="AF157" s="772" t="n"/>
      <c r="AG157" s="772" t="n"/>
      <c r="AH157" s="772" t="n"/>
      <c r="AI157" s="772" t="n"/>
      <c r="AJ157" s="772" t="n"/>
      <c r="AK157" s="772" t="n"/>
      <c r="AL157" s="772" t="n"/>
      <c r="AM157" s="772" t="n"/>
      <c r="AN157" s="772" t="n"/>
      <c r="AO157" s="772" t="n"/>
      <c r="AP157" s="772" t="n"/>
      <c r="AQ157" s="772" t="n"/>
      <c r="AR157" s="772" t="n"/>
      <c r="AS157" s="772" t="n"/>
      <c r="AT157" s="772" t="n"/>
      <c r="AU157" s="772" t="n"/>
      <c r="AV157" s="772" t="n"/>
      <c r="AW157" s="772" t="n"/>
      <c r="AX157" s="772" t="n"/>
      <c r="AY157" s="772" t="n"/>
      <c r="AZ157" s="772" t="n"/>
      <c r="BA157" s="731" t="n"/>
      <c r="BB157" s="731" t="n"/>
      <c r="BC157" s="731" t="n"/>
    </row>
    <row r="158">
      <c r="A158" s="772" t="n"/>
      <c r="B158" s="772" t="n"/>
      <c r="C158" s="772" t="n"/>
      <c r="D158" s="772" t="n"/>
      <c r="E158" s="772" t="n"/>
      <c r="F158" s="772" t="n"/>
      <c r="G158" s="772" t="n"/>
      <c r="H158" s="772" t="n"/>
      <c r="I158" s="772" t="n"/>
      <c r="J158" s="772" t="n"/>
      <c r="K158" s="772" t="n"/>
      <c r="L158" s="772" t="n"/>
      <c r="M158" s="772" t="n"/>
      <c r="N158" s="772" t="n"/>
      <c r="O158" s="772" t="n"/>
      <c r="P158" s="772" t="n"/>
      <c r="Q158" s="772" t="n"/>
      <c r="R158" s="772" t="n"/>
      <c r="S158" s="772" t="n"/>
      <c r="T158" s="772" t="n"/>
      <c r="U158" s="772" t="n"/>
      <c r="V158" s="772" t="n"/>
      <c r="W158" s="772" t="n"/>
      <c r="X158" s="772" t="n"/>
      <c r="Y158" s="772" t="n"/>
      <c r="Z158" s="772" t="n"/>
      <c r="AA158" s="772" t="n"/>
      <c r="AB158" s="772" t="n"/>
      <c r="AC158" s="772" t="n"/>
      <c r="AD158" s="772" t="n"/>
      <c r="AE158" s="772" t="n"/>
      <c r="AF158" s="772" t="n"/>
      <c r="AG158" s="772" t="n"/>
      <c r="AH158" s="772" t="n"/>
      <c r="AI158" s="772" t="n"/>
      <c r="AJ158" s="772" t="n"/>
      <c r="AK158" s="772" t="n"/>
      <c r="AL158" s="772" t="n"/>
      <c r="AM158" s="772" t="n"/>
      <c r="AN158" s="772" t="n"/>
      <c r="AO158" s="772" t="n"/>
      <c r="AP158" s="772" t="n"/>
      <c r="AQ158" s="772" t="n"/>
      <c r="AR158" s="772" t="n"/>
      <c r="AS158" s="772" t="n"/>
      <c r="AT158" s="772" t="n"/>
      <c r="AU158" s="772" t="n"/>
      <c r="AV158" s="772" t="n"/>
      <c r="AW158" s="772" t="n"/>
      <c r="AX158" s="772" t="n"/>
      <c r="AY158" s="772" t="n"/>
      <c r="AZ158" s="772" t="n"/>
      <c r="BA158" s="731" t="n"/>
      <c r="BB158" s="731" t="n"/>
      <c r="BC158" s="731" t="n"/>
    </row>
    <row r="159">
      <c r="A159" s="772" t="n"/>
      <c r="B159" s="772" t="n"/>
      <c r="C159" s="772" t="n"/>
      <c r="D159" s="772" t="n"/>
      <c r="E159" s="772" t="n"/>
      <c r="F159" s="772" t="n"/>
      <c r="G159" s="772" t="n"/>
      <c r="H159" s="772" t="n"/>
      <c r="I159" s="772" t="n"/>
      <c r="J159" s="772" t="n"/>
      <c r="K159" s="772" t="n"/>
      <c r="L159" s="772" t="n"/>
      <c r="M159" s="772" t="n"/>
      <c r="N159" s="772" t="n"/>
      <c r="O159" s="772" t="n"/>
      <c r="P159" s="772" t="n"/>
      <c r="Q159" s="772" t="n"/>
      <c r="R159" s="772" t="n"/>
      <c r="S159" s="772" t="n"/>
      <c r="T159" s="772" t="n"/>
      <c r="U159" s="772" t="n"/>
      <c r="V159" s="772" t="n"/>
      <c r="W159" s="772" t="n"/>
      <c r="X159" s="772" t="n"/>
      <c r="Y159" s="772" t="n"/>
      <c r="Z159" s="772" t="n"/>
      <c r="AA159" s="772" t="n"/>
      <c r="AB159" s="772" t="n"/>
      <c r="AC159" s="772" t="n"/>
      <c r="AD159" s="772" t="n"/>
      <c r="AE159" s="772" t="n"/>
      <c r="AF159" s="772" t="n"/>
      <c r="AG159" s="772" t="n"/>
      <c r="AH159" s="772" t="n"/>
      <c r="AI159" s="772" t="n"/>
      <c r="AJ159" s="772" t="n"/>
      <c r="AK159" s="772" t="n"/>
      <c r="AL159" s="772" t="n"/>
      <c r="AM159" s="772" t="n"/>
      <c r="AN159" s="772" t="n"/>
      <c r="AO159" s="772" t="n"/>
      <c r="AP159" s="772" t="n"/>
      <c r="AQ159" s="772" t="n"/>
      <c r="AR159" s="772" t="n"/>
      <c r="AS159" s="772" t="n"/>
      <c r="AT159" s="772" t="n"/>
      <c r="AU159" s="772" t="n"/>
      <c r="AV159" s="772" t="n"/>
      <c r="AW159" s="772" t="n"/>
      <c r="AX159" s="772" t="n"/>
      <c r="AY159" s="772" t="n"/>
      <c r="AZ159" s="772" t="n"/>
      <c r="BA159" s="731" t="n"/>
      <c r="BB159" s="731" t="n"/>
      <c r="BC159" s="731" t="n"/>
    </row>
    <row r="160">
      <c r="A160" s="772" t="n"/>
      <c r="B160" s="772" t="n"/>
      <c r="C160" s="772" t="n"/>
      <c r="D160" s="772" t="n"/>
      <c r="E160" s="772" t="n"/>
      <c r="F160" s="772" t="n"/>
      <c r="G160" s="772" t="n"/>
      <c r="H160" s="772" t="n"/>
      <c r="I160" s="772" t="n"/>
      <c r="J160" s="772" t="n"/>
      <c r="K160" s="772" t="n"/>
      <c r="L160" s="772" t="n"/>
      <c r="M160" s="772" t="n"/>
      <c r="N160" s="772" t="n"/>
      <c r="O160" s="772" t="n"/>
      <c r="P160" s="772" t="n"/>
      <c r="Q160" s="772" t="n"/>
      <c r="R160" s="772" t="n"/>
      <c r="S160" s="772" t="n"/>
      <c r="T160" s="772" t="n"/>
      <c r="U160" s="772" t="n"/>
      <c r="V160" s="772" t="n"/>
      <c r="W160" s="772" t="n"/>
      <c r="X160" s="772" t="n"/>
      <c r="Y160" s="772" t="n"/>
      <c r="Z160" s="772" t="n"/>
      <c r="AA160" s="772" t="n"/>
      <c r="AB160" s="772" t="n"/>
      <c r="AC160" s="772" t="n"/>
      <c r="AD160" s="772" t="n"/>
      <c r="AE160" s="772" t="n"/>
      <c r="AF160" s="772" t="n"/>
      <c r="AG160" s="772" t="n"/>
      <c r="AH160" s="772" t="n"/>
      <c r="AI160" s="772" t="n"/>
      <c r="AJ160" s="772" t="n"/>
      <c r="AK160" s="772" t="n"/>
      <c r="AL160" s="772" t="n"/>
      <c r="AM160" s="772" t="n"/>
      <c r="AN160" s="772" t="n"/>
      <c r="AO160" s="772" t="n"/>
      <c r="AP160" s="772" t="n"/>
      <c r="AQ160" s="772" t="n"/>
      <c r="AR160" s="772" t="n"/>
      <c r="AS160" s="772" t="n"/>
      <c r="AT160" s="772" t="n"/>
      <c r="AU160" s="772" t="n"/>
      <c r="AV160" s="772" t="n"/>
      <c r="AW160" s="772" t="n"/>
      <c r="AX160" s="772" t="n"/>
      <c r="AY160" s="772" t="n"/>
      <c r="AZ160" s="772" t="n"/>
      <c r="BA160" s="731" t="n"/>
      <c r="BB160" s="731" t="n"/>
      <c r="BC160" s="731" t="n"/>
    </row>
    <row r="161">
      <c r="A161" s="772" t="n"/>
      <c r="B161" s="772" t="n"/>
      <c r="C161" s="772" t="n"/>
      <c r="D161" s="772" t="n"/>
      <c r="E161" s="772" t="n"/>
      <c r="F161" s="772" t="n"/>
      <c r="G161" s="772" t="n"/>
      <c r="H161" s="772" t="n"/>
      <c r="I161" s="772" t="n"/>
      <c r="J161" s="772" t="n"/>
      <c r="K161" s="772" t="n"/>
      <c r="L161" s="772" t="n"/>
      <c r="M161" s="772" t="n"/>
      <c r="N161" s="772" t="n"/>
      <c r="O161" s="772" t="n"/>
      <c r="P161" s="772" t="n"/>
      <c r="Q161" s="772" t="n"/>
      <c r="R161" s="772" t="n"/>
      <c r="S161" s="772" t="n"/>
      <c r="T161" s="772" t="n"/>
      <c r="U161" s="772" t="n"/>
      <c r="V161" s="772" t="n"/>
      <c r="W161" s="772" t="n"/>
      <c r="X161" s="772" t="n"/>
      <c r="Y161" s="772" t="n"/>
      <c r="Z161" s="772" t="n"/>
      <c r="AA161" s="772" t="n"/>
      <c r="AB161" s="772" t="n"/>
      <c r="AC161" s="772" t="n"/>
      <c r="AD161" s="772" t="n"/>
      <c r="AE161" s="772" t="n"/>
      <c r="AF161" s="772" t="n"/>
      <c r="AG161" s="772" t="n"/>
      <c r="AH161" s="772" t="n"/>
      <c r="AI161" s="772" t="n"/>
      <c r="AJ161" s="772" t="n"/>
      <c r="AK161" s="772" t="n"/>
      <c r="AL161" s="772" t="n"/>
      <c r="AM161" s="772" t="n"/>
      <c r="AN161" s="772" t="n"/>
      <c r="AO161" s="772" t="n"/>
      <c r="AP161" s="772" t="n"/>
      <c r="AQ161" s="772" t="n"/>
      <c r="AR161" s="772" t="n"/>
      <c r="AS161" s="772" t="n"/>
      <c r="AT161" s="772" t="n"/>
      <c r="AU161" s="772" t="n"/>
      <c r="AV161" s="772" t="n"/>
      <c r="AW161" s="772" t="n"/>
      <c r="AX161" s="772" t="n"/>
      <c r="AY161" s="772" t="n"/>
      <c r="AZ161" s="772" t="n"/>
      <c r="BA161" s="731" t="n"/>
      <c r="BB161" s="731" t="n"/>
      <c r="BC161" s="731" t="n"/>
    </row>
    <row r="162">
      <c r="A162" s="772" t="n"/>
      <c r="B162" s="772" t="n"/>
      <c r="C162" s="772" t="n"/>
      <c r="D162" s="772" t="n"/>
      <c r="E162" s="772" t="n"/>
      <c r="F162" s="772" t="n"/>
      <c r="G162" s="772" t="n"/>
      <c r="H162" s="772" t="n"/>
      <c r="I162" s="772" t="n"/>
      <c r="J162" s="772" t="n"/>
      <c r="K162" s="772" t="n"/>
      <c r="L162" s="772" t="n"/>
      <c r="M162" s="772" t="n"/>
      <c r="N162" s="772" t="n"/>
      <c r="O162" s="772" t="n"/>
      <c r="P162" s="772" t="n"/>
      <c r="Q162" s="772" t="n"/>
      <c r="R162" s="772" t="n"/>
      <c r="S162" s="772" t="n"/>
      <c r="T162" s="772" t="n"/>
      <c r="U162" s="772" t="n"/>
      <c r="V162" s="772" t="n"/>
      <c r="W162" s="772" t="n"/>
      <c r="X162" s="772" t="n"/>
      <c r="Y162" s="772" t="n"/>
      <c r="Z162" s="772" t="n"/>
      <c r="AA162" s="772" t="n"/>
      <c r="AB162" s="772" t="n"/>
      <c r="AC162" s="772" t="n"/>
      <c r="AD162" s="772" t="n"/>
      <c r="AE162" s="772" t="n"/>
      <c r="AF162" s="772" t="n"/>
      <c r="AG162" s="772" t="n"/>
      <c r="AH162" s="772" t="n"/>
      <c r="AI162" s="772" t="n"/>
      <c r="AJ162" s="772" t="n"/>
      <c r="AK162" s="772" t="n"/>
      <c r="AL162" s="772" t="n"/>
      <c r="AM162" s="772" t="n"/>
      <c r="AN162" s="772" t="n"/>
      <c r="AO162" s="772" t="n"/>
      <c r="AP162" s="772" t="n"/>
      <c r="AQ162" s="772" t="n"/>
      <c r="AR162" s="772" t="n"/>
      <c r="AS162" s="772" t="n"/>
      <c r="AT162" s="772" t="n"/>
      <c r="AU162" s="772" t="n"/>
      <c r="AV162" s="772" t="n"/>
      <c r="AW162" s="772" t="n"/>
      <c r="AX162" s="772" t="n"/>
      <c r="AY162" s="772" t="n"/>
      <c r="AZ162" s="772" t="n"/>
      <c r="BA162" s="731" t="n"/>
      <c r="BB162" s="731" t="n"/>
      <c r="BC162" s="731" t="n"/>
    </row>
    <row r="163">
      <c r="A163" s="772" t="n"/>
      <c r="B163" s="772" t="n"/>
      <c r="C163" s="772" t="n"/>
      <c r="D163" s="772" t="n"/>
      <c r="E163" s="772" t="n"/>
      <c r="F163" s="772" t="n"/>
      <c r="G163" s="772" t="n"/>
      <c r="H163" s="772" t="n"/>
      <c r="I163" s="772" t="n"/>
      <c r="J163" s="772" t="n"/>
      <c r="K163" s="772" t="n"/>
      <c r="L163" s="772" t="n"/>
      <c r="M163" s="772" t="n"/>
      <c r="N163" s="772" t="n"/>
      <c r="O163" s="772" t="n"/>
      <c r="P163" s="772" t="n"/>
      <c r="Q163" s="772" t="n"/>
      <c r="R163" s="772" t="n"/>
      <c r="S163" s="772" t="n"/>
      <c r="T163" s="772" t="n"/>
      <c r="U163" s="772" t="n"/>
      <c r="V163" s="772" t="n"/>
      <c r="W163" s="772" t="n"/>
      <c r="X163" s="772" t="n"/>
      <c r="Y163" s="772" t="n"/>
      <c r="Z163" s="772" t="n"/>
      <c r="AA163" s="772" t="n"/>
      <c r="AB163" s="772" t="n"/>
      <c r="AC163" s="772" t="n"/>
      <c r="AD163" s="772" t="n"/>
      <c r="AE163" s="772" t="n"/>
      <c r="AF163" s="772" t="n"/>
      <c r="AG163" s="772" t="n"/>
      <c r="AH163" s="772" t="n"/>
      <c r="AI163" s="772" t="n"/>
      <c r="AJ163" s="772" t="n"/>
      <c r="AK163" s="772" t="n"/>
      <c r="AL163" s="772" t="n"/>
      <c r="AM163" s="772" t="n"/>
      <c r="AN163" s="772" t="n"/>
      <c r="AO163" s="772" t="n"/>
      <c r="AP163" s="772" t="n"/>
      <c r="AQ163" s="772" t="n"/>
      <c r="AR163" s="772" t="n"/>
      <c r="AS163" s="772" t="n"/>
      <c r="AT163" s="772" t="n"/>
      <c r="AU163" s="772" t="n"/>
      <c r="AV163" s="772" t="n"/>
      <c r="AW163" s="772" t="n"/>
      <c r="AX163" s="772" t="n"/>
      <c r="AY163" s="772" t="n"/>
      <c r="AZ163" s="772" t="n"/>
      <c r="BA163" s="731" t="n"/>
      <c r="BB163" s="731" t="n"/>
      <c r="BC163" s="731" t="n"/>
    </row>
    <row r="164">
      <c r="A164" s="772" t="n"/>
      <c r="B164" s="772" t="n"/>
      <c r="C164" s="772" t="n"/>
      <c r="D164" s="772" t="n"/>
      <c r="E164" s="772" t="n"/>
      <c r="F164" s="772" t="n"/>
      <c r="G164" s="772" t="n"/>
      <c r="H164" s="772" t="n"/>
      <c r="I164" s="772" t="n"/>
      <c r="J164" s="772" t="n"/>
      <c r="K164" s="772" t="n"/>
      <c r="L164" s="772" t="n"/>
      <c r="M164" s="772" t="n"/>
      <c r="N164" s="772" t="n"/>
      <c r="O164" s="772" t="n"/>
      <c r="P164" s="772" t="n"/>
      <c r="Q164" s="772" t="n"/>
      <c r="R164" s="772" t="n"/>
      <c r="S164" s="772" t="n"/>
      <c r="T164" s="772" t="n"/>
      <c r="U164" s="772" t="n"/>
      <c r="V164" s="772" t="n"/>
      <c r="W164" s="772" t="n"/>
      <c r="X164" s="772" t="n"/>
      <c r="Y164" s="772" t="n"/>
      <c r="Z164" s="772" t="n"/>
      <c r="AA164" s="772" t="n"/>
      <c r="AB164" s="772" t="n"/>
      <c r="AC164" s="772" t="n"/>
      <c r="AD164" s="772" t="n"/>
      <c r="AE164" s="772" t="n"/>
      <c r="AF164" s="772" t="n"/>
      <c r="AG164" s="772" t="n"/>
      <c r="AH164" s="772" t="n"/>
      <c r="AI164" s="772" t="n"/>
      <c r="AJ164" s="772" t="n"/>
      <c r="AK164" s="772" t="n"/>
      <c r="AL164" s="772" t="n"/>
      <c r="AM164" s="772" t="n"/>
      <c r="AN164" s="772" t="n"/>
      <c r="AO164" s="772" t="n"/>
      <c r="AP164" s="772" t="n"/>
      <c r="AQ164" s="772" t="n"/>
      <c r="AR164" s="772" t="n"/>
      <c r="AS164" s="772" t="n"/>
      <c r="AT164" s="772" t="n"/>
      <c r="AU164" s="772" t="n"/>
      <c r="AV164" s="772" t="n"/>
      <c r="AW164" s="772" t="n"/>
      <c r="AX164" s="772" t="n"/>
      <c r="AY164" s="772" t="n"/>
      <c r="AZ164" s="772" t="n"/>
      <c r="BA164" s="731" t="n"/>
      <c r="BB164" s="731" t="n"/>
      <c r="BC164" s="731" t="n"/>
    </row>
    <row r="165">
      <c r="A165" s="772" t="n"/>
      <c r="B165" s="772" t="n"/>
      <c r="C165" s="772" t="n"/>
      <c r="D165" s="772" t="n"/>
      <c r="E165" s="772" t="n"/>
      <c r="F165" s="772" t="n"/>
      <c r="G165" s="772" t="n"/>
      <c r="H165" s="772" t="n"/>
      <c r="I165" s="772" t="n"/>
      <c r="J165" s="772" t="n"/>
      <c r="K165" s="772" t="n"/>
      <c r="L165" s="772" t="n"/>
      <c r="M165" s="772" t="n"/>
      <c r="N165" s="772" t="n"/>
      <c r="O165" s="772" t="n"/>
      <c r="P165" s="772" t="n"/>
      <c r="Q165" s="772" t="n"/>
      <c r="R165" s="772" t="n"/>
      <c r="S165" s="772" t="n"/>
      <c r="T165" s="772" t="n"/>
      <c r="U165" s="772" t="n"/>
      <c r="V165" s="772" t="n"/>
      <c r="W165" s="772" t="n"/>
      <c r="X165" s="772" t="n"/>
      <c r="Y165" s="772" t="n"/>
      <c r="Z165" s="772" t="n"/>
      <c r="AA165" s="772" t="n"/>
      <c r="AB165" s="772" t="n"/>
      <c r="AC165" s="772" t="n"/>
      <c r="AD165" s="772" t="n"/>
      <c r="AE165" s="772" t="n"/>
      <c r="AF165" s="772" t="n"/>
      <c r="AG165" s="772" t="n"/>
      <c r="AH165" s="772" t="n"/>
      <c r="AI165" s="772" t="n"/>
      <c r="AJ165" s="772" t="n"/>
      <c r="AK165" s="772" t="n"/>
      <c r="AL165" s="772" t="n"/>
      <c r="AM165" s="772" t="n"/>
      <c r="AN165" s="772" t="n"/>
      <c r="AO165" s="772" t="n"/>
      <c r="AP165" s="772" t="n"/>
      <c r="AQ165" s="772" t="n"/>
      <c r="AR165" s="772" t="n"/>
      <c r="AS165" s="772" t="n"/>
      <c r="AT165" s="772" t="n"/>
      <c r="AU165" s="772" t="n"/>
      <c r="AV165" s="772" t="n"/>
      <c r="AW165" s="772" t="n"/>
      <c r="AX165" s="772" t="n"/>
      <c r="AY165" s="772" t="n"/>
      <c r="AZ165" s="772" t="n"/>
      <c r="BA165" s="731" t="n"/>
      <c r="BB165" s="731" t="n"/>
      <c r="BC165" s="731" t="n"/>
    </row>
    <row r="166">
      <c r="A166" s="772" t="n"/>
      <c r="B166" s="772" t="n"/>
      <c r="C166" s="772" t="n"/>
      <c r="D166" s="772" t="n"/>
      <c r="E166" s="772" t="n"/>
      <c r="F166" s="772" t="n"/>
      <c r="G166" s="772" t="n"/>
      <c r="H166" s="772" t="n"/>
      <c r="I166" s="772" t="n"/>
      <c r="J166" s="772" t="n"/>
      <c r="K166" s="772" t="n"/>
      <c r="L166" s="772" t="n"/>
      <c r="M166" s="772" t="n"/>
      <c r="N166" s="772" t="n"/>
      <c r="O166" s="772" t="n"/>
      <c r="P166" s="772" t="n"/>
      <c r="Q166" s="772" t="n"/>
      <c r="R166" s="772" t="n"/>
      <c r="S166" s="772" t="n"/>
      <c r="T166" s="772" t="n"/>
      <c r="U166" s="772" t="n"/>
      <c r="V166" s="772" t="n"/>
      <c r="W166" s="772" t="n"/>
      <c r="X166" s="772" t="n"/>
      <c r="Y166" s="772" t="n"/>
      <c r="Z166" s="772" t="n"/>
      <c r="AA166" s="772" t="n"/>
      <c r="AB166" s="772" t="n"/>
      <c r="AC166" s="772" t="n"/>
      <c r="AD166" s="772" t="n"/>
      <c r="AE166" s="772" t="n"/>
      <c r="AF166" s="772" t="n"/>
      <c r="AG166" s="772" t="n"/>
      <c r="AH166" s="772" t="n"/>
      <c r="AI166" s="772" t="n"/>
      <c r="AJ166" s="772" t="n"/>
      <c r="AK166" s="772" t="n"/>
      <c r="AL166" s="772" t="n"/>
      <c r="AM166" s="772" t="n"/>
      <c r="AN166" s="772" t="n"/>
      <c r="AO166" s="772" t="n"/>
      <c r="AP166" s="772" t="n"/>
      <c r="AQ166" s="772" t="n"/>
      <c r="AR166" s="772" t="n"/>
      <c r="AS166" s="772" t="n"/>
      <c r="AT166" s="772" t="n"/>
      <c r="AU166" s="772" t="n"/>
      <c r="AV166" s="772" t="n"/>
      <c r="AW166" s="772" t="n"/>
      <c r="AX166" s="772" t="n"/>
      <c r="AY166" s="772" t="n"/>
      <c r="AZ166" s="772" t="n"/>
      <c r="BA166" s="731" t="n"/>
      <c r="BB166" s="731" t="n"/>
      <c r="BC166" s="731" t="n"/>
    </row>
    <row r="167">
      <c r="A167" s="772" t="n"/>
      <c r="B167" s="772" t="n"/>
      <c r="C167" s="772" t="n"/>
      <c r="D167" s="772" t="n"/>
      <c r="E167" s="772" t="n"/>
      <c r="F167" s="772" t="n"/>
      <c r="G167" s="772" t="n"/>
      <c r="H167" s="772" t="n"/>
      <c r="I167" s="772" t="n"/>
      <c r="J167" s="772" t="n"/>
      <c r="K167" s="772" t="n"/>
      <c r="L167" s="772" t="n"/>
      <c r="M167" s="772" t="n"/>
      <c r="N167" s="772" t="n"/>
      <c r="O167" s="772" t="n"/>
      <c r="P167" s="772" t="n"/>
      <c r="Q167" s="772" t="n"/>
      <c r="R167" s="772" t="n"/>
      <c r="S167" s="772" t="n"/>
      <c r="T167" s="772" t="n"/>
      <c r="U167" s="772" t="n"/>
      <c r="V167" s="772" t="n"/>
      <c r="W167" s="772" t="n"/>
      <c r="X167" s="772" t="n"/>
      <c r="Y167" s="772" t="n"/>
      <c r="Z167" s="772" t="n"/>
      <c r="AA167" s="772" t="n"/>
      <c r="AB167" s="772" t="n"/>
      <c r="AC167" s="772" t="n"/>
      <c r="AD167" s="772" t="n"/>
      <c r="AE167" s="772" t="n"/>
      <c r="AF167" s="772" t="n"/>
      <c r="AG167" s="772" t="n"/>
      <c r="AH167" s="772" t="n"/>
      <c r="AI167" s="772" t="n"/>
      <c r="AJ167" s="772" t="n"/>
      <c r="AK167" s="772" t="n"/>
      <c r="AL167" s="772" t="n"/>
      <c r="AM167" s="772" t="n"/>
      <c r="AN167" s="772" t="n"/>
      <c r="AO167" s="772" t="n"/>
      <c r="AP167" s="772" t="n"/>
      <c r="AQ167" s="772" t="n"/>
      <c r="AR167" s="772" t="n"/>
      <c r="AS167" s="772" t="n"/>
      <c r="AT167" s="772" t="n"/>
      <c r="AU167" s="772" t="n"/>
      <c r="AV167" s="772" t="n"/>
      <c r="AW167" s="772" t="n"/>
      <c r="AX167" s="772" t="n"/>
      <c r="AY167" s="772" t="n"/>
      <c r="AZ167" s="772" t="n"/>
      <c r="BA167" s="731" t="n"/>
      <c r="BB167" s="731" t="n"/>
      <c r="BC167" s="731" t="n"/>
    </row>
    <row r="168">
      <c r="A168" s="772" t="n"/>
      <c r="B168" s="772" t="n"/>
      <c r="C168" s="772" t="n"/>
      <c r="D168" s="772" t="n"/>
      <c r="E168" s="772" t="n"/>
      <c r="F168" s="772" t="n"/>
      <c r="G168" s="772" t="n"/>
      <c r="H168" s="772" t="n"/>
      <c r="I168" s="772" t="n"/>
      <c r="J168" s="772" t="n"/>
      <c r="K168" s="772" t="n"/>
      <c r="L168" s="772" t="n"/>
      <c r="M168" s="772" t="n"/>
      <c r="N168" s="772" t="n"/>
      <c r="O168" s="772" t="n"/>
      <c r="P168" s="772" t="n"/>
      <c r="Q168" s="772" t="n"/>
      <c r="R168" s="772" t="n"/>
      <c r="S168" s="772" t="n"/>
      <c r="T168" s="772" t="n"/>
      <c r="U168" s="772" t="n"/>
      <c r="V168" s="772" t="n"/>
      <c r="W168" s="772" t="n"/>
      <c r="X168" s="772" t="n"/>
      <c r="Y168" s="772" t="n"/>
      <c r="Z168" s="772" t="n"/>
      <c r="AA168" s="772" t="n"/>
      <c r="AB168" s="772" t="n"/>
      <c r="AC168" s="772" t="n"/>
      <c r="AD168" s="772" t="n"/>
      <c r="AE168" s="772" t="n"/>
      <c r="AF168" s="772" t="n"/>
      <c r="AG168" s="772" t="n"/>
      <c r="AH168" s="772" t="n"/>
      <c r="AI168" s="772" t="n"/>
      <c r="AJ168" s="772" t="n"/>
      <c r="AK168" s="772" t="n"/>
      <c r="AL168" s="772" t="n"/>
      <c r="AM168" s="772" t="n"/>
      <c r="AN168" s="772" t="n"/>
      <c r="AO168" s="772" t="n"/>
      <c r="AP168" s="772" t="n"/>
      <c r="AQ168" s="772" t="n"/>
      <c r="AR168" s="772" t="n"/>
      <c r="AS168" s="772" t="n"/>
      <c r="AT168" s="772" t="n"/>
      <c r="AU168" s="772" t="n"/>
      <c r="AV168" s="772" t="n"/>
      <c r="AW168" s="772" t="n"/>
      <c r="AX168" s="772" t="n"/>
      <c r="AY168" s="772" t="n"/>
      <c r="AZ168" s="772" t="n"/>
      <c r="BA168" s="731" t="n"/>
      <c r="BB168" s="731" t="n"/>
      <c r="BC168" s="731" t="n"/>
    </row>
    <row r="169">
      <c r="A169" s="772" t="n"/>
      <c r="B169" s="772" t="n"/>
      <c r="C169" s="772" t="n"/>
      <c r="D169" s="772" t="n"/>
      <c r="E169" s="772" t="n"/>
      <c r="F169" s="772" t="n"/>
      <c r="G169" s="772" t="n"/>
      <c r="H169" s="772" t="n"/>
      <c r="I169" s="772" t="n"/>
      <c r="J169" s="772" t="n"/>
      <c r="K169" s="772" t="n"/>
      <c r="L169" s="772" t="n"/>
      <c r="M169" s="772" t="n"/>
      <c r="N169" s="772" t="n"/>
      <c r="O169" s="772" t="n"/>
      <c r="P169" s="772" t="n"/>
      <c r="Q169" s="772" t="n"/>
      <c r="R169" s="772" t="n"/>
      <c r="S169" s="772" t="n"/>
      <c r="T169" s="772" t="n"/>
      <c r="U169" s="772" t="n"/>
      <c r="V169" s="772" t="n"/>
      <c r="W169" s="772" t="n"/>
      <c r="X169" s="772" t="n"/>
      <c r="Y169" s="772" t="n"/>
      <c r="Z169" s="772" t="n"/>
      <c r="AA169" s="772" t="n"/>
      <c r="AB169" s="772" t="n"/>
      <c r="AC169" s="772" t="n"/>
      <c r="AD169" s="772" t="n"/>
      <c r="AE169" s="772" t="n"/>
      <c r="AF169" s="772" t="n"/>
      <c r="AG169" s="772" t="n"/>
      <c r="AH169" s="772" t="n"/>
      <c r="AI169" s="772" t="n"/>
      <c r="AJ169" s="772" t="n"/>
      <c r="AK169" s="772" t="n"/>
      <c r="AL169" s="772" t="n"/>
      <c r="AM169" s="772" t="n"/>
      <c r="AN169" s="772" t="n"/>
      <c r="AO169" s="772" t="n"/>
      <c r="AP169" s="772" t="n"/>
      <c r="AQ169" s="772" t="n"/>
      <c r="AR169" s="772" t="n"/>
      <c r="AS169" s="772" t="n"/>
      <c r="AT169" s="772" t="n"/>
      <c r="AU169" s="772" t="n"/>
      <c r="AV169" s="772" t="n"/>
      <c r="AW169" s="772" t="n"/>
      <c r="AX169" s="772" t="n"/>
      <c r="AY169" s="772" t="n"/>
      <c r="AZ169" s="772" t="n"/>
      <c r="BA169" s="731" t="n"/>
      <c r="BB169" s="731" t="n"/>
      <c r="BC169" s="731" t="n"/>
    </row>
    <row r="170">
      <c r="A170" s="772" t="n"/>
      <c r="B170" s="772" t="n"/>
      <c r="C170" s="772" t="n"/>
      <c r="D170" s="772" t="n"/>
      <c r="E170" s="772" t="n"/>
      <c r="F170" s="772" t="n"/>
      <c r="G170" s="772" t="n"/>
      <c r="H170" s="772" t="n"/>
      <c r="I170" s="772" t="n"/>
      <c r="J170" s="772" t="n"/>
      <c r="K170" s="772" t="n"/>
      <c r="L170" s="772" t="n"/>
      <c r="M170" s="772" t="n"/>
      <c r="N170" s="772" t="n"/>
      <c r="O170" s="772" t="n"/>
      <c r="P170" s="772" t="n"/>
      <c r="Q170" s="772" t="n"/>
      <c r="R170" s="772" t="n"/>
      <c r="S170" s="772" t="n"/>
      <c r="T170" s="772" t="n"/>
      <c r="U170" s="772" t="n"/>
      <c r="V170" s="772" t="n"/>
      <c r="W170" s="772" t="n"/>
      <c r="X170" s="772" t="n"/>
      <c r="Y170" s="772" t="n"/>
      <c r="Z170" s="772" t="n"/>
      <c r="AA170" s="772" t="n"/>
      <c r="AB170" s="772" t="n"/>
      <c r="AC170" s="772" t="n"/>
      <c r="AD170" s="772" t="n"/>
      <c r="AE170" s="772" t="n"/>
      <c r="AF170" s="772" t="n"/>
      <c r="AG170" s="772" t="n"/>
      <c r="AH170" s="772" t="n"/>
      <c r="AI170" s="772" t="n"/>
      <c r="AJ170" s="772" t="n"/>
      <c r="AK170" s="772" t="n"/>
      <c r="AL170" s="772" t="n"/>
      <c r="AM170" s="772" t="n"/>
      <c r="AN170" s="772" t="n"/>
      <c r="AO170" s="772" t="n"/>
      <c r="AP170" s="772" t="n"/>
      <c r="AQ170" s="772" t="n"/>
      <c r="AR170" s="772" t="n"/>
      <c r="AS170" s="772" t="n"/>
      <c r="AT170" s="772" t="n"/>
      <c r="AU170" s="772" t="n"/>
      <c r="AV170" s="772" t="n"/>
      <c r="AW170" s="772" t="n"/>
      <c r="AX170" s="772" t="n"/>
      <c r="AY170" s="772" t="n"/>
      <c r="AZ170" s="772" t="n"/>
      <c r="BA170" s="731" t="n"/>
      <c r="BB170" s="731" t="n"/>
      <c r="BC170" s="731" t="n"/>
    </row>
    <row r="171">
      <c r="A171" s="772" t="n"/>
      <c r="B171" s="772" t="n"/>
      <c r="C171" s="772" t="n"/>
      <c r="D171" s="772" t="n"/>
      <c r="E171" s="772" t="n"/>
      <c r="F171" s="772" t="n"/>
      <c r="G171" s="772" t="n"/>
      <c r="H171" s="772" t="n"/>
      <c r="I171" s="772" t="n"/>
      <c r="J171" s="772" t="n"/>
      <c r="K171" s="772" t="n"/>
      <c r="L171" s="772" t="n"/>
      <c r="M171" s="772" t="n"/>
      <c r="N171" s="772" t="n"/>
      <c r="O171" s="772" t="n"/>
      <c r="P171" s="772" t="n"/>
      <c r="Q171" s="772" t="n"/>
      <c r="R171" s="772" t="n"/>
      <c r="S171" s="772" t="n"/>
      <c r="T171" s="772" t="n"/>
      <c r="U171" s="772" t="n"/>
      <c r="V171" s="772" t="n"/>
      <c r="W171" s="772" t="n"/>
      <c r="X171" s="772" t="n"/>
      <c r="Y171" s="772" t="n"/>
      <c r="Z171" s="772" t="n"/>
      <c r="AA171" s="772" t="n"/>
      <c r="AB171" s="772" t="n"/>
      <c r="AC171" s="772" t="n"/>
      <c r="AD171" s="772" t="n"/>
      <c r="AE171" s="772" t="n"/>
      <c r="AF171" s="772" t="n"/>
      <c r="AG171" s="772" t="n"/>
      <c r="AH171" s="772" t="n"/>
      <c r="AI171" s="772" t="n"/>
      <c r="AJ171" s="772" t="n"/>
      <c r="AK171" s="772" t="n"/>
      <c r="AL171" s="772" t="n"/>
      <c r="AM171" s="772" t="n"/>
      <c r="AN171" s="772" t="n"/>
      <c r="AO171" s="772" t="n"/>
      <c r="AP171" s="772" t="n"/>
      <c r="AQ171" s="772" t="n"/>
      <c r="AR171" s="772" t="n"/>
      <c r="AS171" s="772" t="n"/>
      <c r="AT171" s="772" t="n"/>
      <c r="AU171" s="772" t="n"/>
      <c r="AV171" s="772" t="n"/>
      <c r="AW171" s="772" t="n"/>
      <c r="AX171" s="772" t="n"/>
      <c r="AY171" s="772" t="n"/>
      <c r="AZ171" s="772" t="n"/>
      <c r="BA171" s="731" t="n"/>
      <c r="BB171" s="731" t="n"/>
      <c r="BC171" s="731" t="n"/>
    </row>
    <row r="172">
      <c r="A172" s="772" t="n"/>
      <c r="B172" s="772" t="n"/>
      <c r="C172" s="772" t="n"/>
      <c r="D172" s="772" t="n"/>
      <c r="E172" s="772" t="n"/>
      <c r="F172" s="772" t="n"/>
      <c r="G172" s="772" t="n"/>
      <c r="H172" s="772" t="n"/>
      <c r="I172" s="772" t="n"/>
      <c r="J172" s="772" t="n"/>
      <c r="K172" s="772" t="n"/>
      <c r="L172" s="772" t="n"/>
      <c r="M172" s="772" t="n"/>
      <c r="N172" s="772" t="n"/>
      <c r="O172" s="772" t="n"/>
      <c r="P172" s="772" t="n"/>
      <c r="Q172" s="772" t="n"/>
      <c r="R172" s="772" t="n"/>
      <c r="S172" s="772" t="n"/>
      <c r="T172" s="772" t="n"/>
      <c r="U172" s="772" t="n"/>
      <c r="V172" s="772" t="n"/>
      <c r="W172" s="772" t="n"/>
      <c r="X172" s="772" t="n"/>
      <c r="Y172" s="772" t="n"/>
      <c r="Z172" s="772" t="n"/>
      <c r="AA172" s="772" t="n"/>
      <c r="AB172" s="772" t="n"/>
      <c r="AC172" s="772" t="n"/>
      <c r="AD172" s="772" t="n"/>
      <c r="AE172" s="772" t="n"/>
      <c r="AF172" s="772" t="n"/>
      <c r="AG172" s="772" t="n"/>
      <c r="AH172" s="772" t="n"/>
      <c r="AI172" s="772" t="n"/>
      <c r="AJ172" s="772" t="n"/>
      <c r="AK172" s="772" t="n"/>
      <c r="AL172" s="772" t="n"/>
      <c r="AM172" s="772" t="n"/>
      <c r="AN172" s="772" t="n"/>
      <c r="AO172" s="772" t="n"/>
      <c r="AP172" s="772" t="n"/>
      <c r="AQ172" s="772" t="n"/>
      <c r="AR172" s="772" t="n"/>
      <c r="AS172" s="772" t="n"/>
      <c r="AT172" s="772" t="n"/>
      <c r="AU172" s="772" t="n"/>
      <c r="AV172" s="772" t="n"/>
      <c r="AW172" s="772" t="n"/>
      <c r="AX172" s="772" t="n"/>
      <c r="AY172" s="772" t="n"/>
      <c r="AZ172" s="772" t="n"/>
      <c r="BA172" s="731" t="n"/>
      <c r="BB172" s="731" t="n"/>
      <c r="BC172" s="731" t="n"/>
    </row>
    <row r="173">
      <c r="A173" s="772" t="n"/>
      <c r="B173" s="772" t="n"/>
      <c r="C173" s="772" t="n"/>
      <c r="D173" s="772" t="n"/>
      <c r="E173" s="772" t="n"/>
      <c r="F173" s="772" t="n"/>
      <c r="G173" s="772" t="n"/>
      <c r="H173" s="772" t="n"/>
      <c r="I173" s="772" t="n"/>
      <c r="J173" s="772" t="n"/>
      <c r="K173" s="772" t="n"/>
      <c r="L173" s="772" t="n"/>
      <c r="M173" s="772" t="n"/>
      <c r="N173" s="772" t="n"/>
      <c r="O173" s="772" t="n"/>
      <c r="P173" s="772" t="n"/>
      <c r="Q173" s="772" t="n"/>
      <c r="R173" s="772" t="n"/>
      <c r="S173" s="772" t="n"/>
      <c r="T173" s="772" t="n"/>
      <c r="U173" s="772" t="n"/>
      <c r="V173" s="772" t="n"/>
      <c r="W173" s="772" t="n"/>
      <c r="X173" s="772" t="n"/>
      <c r="Y173" s="772" t="n"/>
      <c r="Z173" s="772" t="n"/>
      <c r="AA173" s="772" t="n"/>
      <c r="AB173" s="772" t="n"/>
      <c r="AC173" s="772" t="n"/>
      <c r="AD173" s="772" t="n"/>
      <c r="AE173" s="772" t="n"/>
      <c r="AF173" s="772" t="n"/>
      <c r="AG173" s="772" t="n"/>
      <c r="AH173" s="772" t="n"/>
      <c r="AI173" s="772" t="n"/>
      <c r="AJ173" s="772" t="n"/>
      <c r="AK173" s="772" t="n"/>
      <c r="AL173" s="772" t="n"/>
      <c r="AM173" s="772" t="n"/>
      <c r="AN173" s="772" t="n"/>
      <c r="AO173" s="772" t="n"/>
      <c r="AP173" s="772" t="n"/>
      <c r="AQ173" s="772" t="n"/>
      <c r="AR173" s="772" t="n"/>
      <c r="AS173" s="772" t="n"/>
      <c r="AT173" s="772" t="n"/>
      <c r="AU173" s="772" t="n"/>
      <c r="AV173" s="772" t="n"/>
      <c r="AW173" s="772" t="n"/>
      <c r="AX173" s="772" t="n"/>
      <c r="AY173" s="772" t="n"/>
      <c r="AZ173" s="772" t="n"/>
      <c r="BA173" s="731" t="n"/>
      <c r="BB173" s="731" t="n"/>
      <c r="BC173" s="731" t="n"/>
    </row>
    <row r="174">
      <c r="A174" s="772" t="n"/>
      <c r="B174" s="772" t="n"/>
      <c r="C174" s="772" t="n"/>
      <c r="D174" s="772" t="n"/>
      <c r="E174" s="772" t="n"/>
      <c r="F174" s="772" t="n"/>
      <c r="G174" s="772" t="n"/>
      <c r="H174" s="772" t="n"/>
      <c r="I174" s="772" t="n"/>
      <c r="J174" s="772" t="n"/>
      <c r="K174" s="772" t="n"/>
      <c r="L174" s="772" t="n"/>
      <c r="M174" s="772" t="n"/>
      <c r="N174" s="772" t="n"/>
      <c r="O174" s="772" t="n"/>
      <c r="P174" s="772" t="n"/>
      <c r="Q174" s="772" t="n"/>
      <c r="R174" s="772" t="n"/>
      <c r="S174" s="772" t="n"/>
      <c r="T174" s="772" t="n"/>
      <c r="U174" s="772" t="n"/>
      <c r="V174" s="772" t="n"/>
      <c r="W174" s="772" t="n"/>
      <c r="X174" s="772" t="n"/>
      <c r="Y174" s="772" t="n"/>
      <c r="Z174" s="772" t="n"/>
      <c r="AA174" s="772" t="n"/>
      <c r="AB174" s="772" t="n"/>
      <c r="AC174" s="772" t="n"/>
      <c r="AD174" s="772" t="n"/>
      <c r="AE174" s="772" t="n"/>
      <c r="AF174" s="772" t="n"/>
      <c r="AG174" s="772" t="n"/>
      <c r="AH174" s="772" t="n"/>
      <c r="AI174" s="772" t="n"/>
      <c r="AJ174" s="772" t="n"/>
      <c r="AK174" s="772" t="n"/>
      <c r="AL174" s="772" t="n"/>
      <c r="AM174" s="772" t="n"/>
      <c r="AN174" s="772" t="n"/>
      <c r="AO174" s="772" t="n"/>
      <c r="AP174" s="772" t="n"/>
      <c r="AQ174" s="772" t="n"/>
      <c r="AR174" s="772" t="n"/>
      <c r="AS174" s="772" t="n"/>
      <c r="AT174" s="772" t="n"/>
      <c r="AU174" s="772" t="n"/>
      <c r="AV174" s="772" t="n"/>
      <c r="AW174" s="772" t="n"/>
      <c r="AX174" s="772" t="n"/>
      <c r="AY174" s="772" t="n"/>
      <c r="AZ174" s="772" t="n"/>
      <c r="BA174" s="731" t="n"/>
      <c r="BB174" s="731" t="n"/>
      <c r="BC174" s="731" t="n"/>
    </row>
    <row r="175">
      <c r="A175" s="772" t="n"/>
      <c r="B175" s="772" t="n"/>
      <c r="C175" s="772" t="n"/>
      <c r="D175" s="772" t="n"/>
      <c r="E175" s="772" t="n"/>
      <c r="F175" s="772" t="n"/>
      <c r="G175" s="772" t="n"/>
      <c r="H175" s="772" t="n"/>
      <c r="I175" s="772" t="n"/>
      <c r="J175" s="772" t="n"/>
      <c r="K175" s="772" t="n"/>
      <c r="L175" s="772" t="n"/>
      <c r="M175" s="772" t="n"/>
      <c r="N175" s="772" t="n"/>
      <c r="O175" s="772" t="n"/>
      <c r="P175" s="772" t="n"/>
      <c r="Q175" s="772" t="n"/>
      <c r="R175" s="772" t="n"/>
      <c r="S175" s="772" t="n"/>
      <c r="T175" s="772" t="n"/>
      <c r="U175" s="772" t="n"/>
      <c r="V175" s="772" t="n"/>
      <c r="W175" s="772" t="n"/>
      <c r="X175" s="772" t="n"/>
      <c r="Y175" s="772" t="n"/>
      <c r="Z175" s="772" t="n"/>
      <c r="AA175" s="772" t="n"/>
      <c r="AB175" s="772" t="n"/>
      <c r="AC175" s="772" t="n"/>
      <c r="AD175" s="772" t="n"/>
      <c r="AE175" s="772" t="n"/>
      <c r="AF175" s="772" t="n"/>
      <c r="AG175" s="772" t="n"/>
      <c r="AH175" s="772" t="n"/>
      <c r="AI175" s="772" t="n"/>
      <c r="AJ175" s="772" t="n"/>
      <c r="AK175" s="772" t="n"/>
      <c r="AL175" s="772" t="n"/>
      <c r="AM175" s="772" t="n"/>
      <c r="AN175" s="772" t="n"/>
      <c r="AO175" s="772" t="n"/>
      <c r="AP175" s="772" t="n"/>
      <c r="AQ175" s="772" t="n"/>
      <c r="AR175" s="772" t="n"/>
      <c r="AS175" s="772" t="n"/>
      <c r="AT175" s="772" t="n"/>
      <c r="AU175" s="772" t="n"/>
      <c r="AV175" s="772" t="n"/>
      <c r="AW175" s="772" t="n"/>
      <c r="AX175" s="772" t="n"/>
      <c r="AY175" s="772" t="n"/>
      <c r="AZ175" s="772" t="n"/>
      <c r="BA175" s="731" t="n"/>
      <c r="BB175" s="731" t="n"/>
      <c r="BC175" s="731" t="n"/>
    </row>
    <row r="176">
      <c r="A176" s="772" t="n"/>
      <c r="B176" s="772" t="n"/>
      <c r="C176" s="772" t="n"/>
      <c r="D176" s="772" t="n"/>
      <c r="E176" s="772" t="n"/>
      <c r="F176" s="772" t="n"/>
      <c r="G176" s="772" t="n"/>
      <c r="H176" s="772" t="n"/>
      <c r="I176" s="772" t="n"/>
      <c r="J176" s="772" t="n"/>
      <c r="K176" s="772" t="n"/>
      <c r="L176" s="772" t="n"/>
      <c r="M176" s="772" t="n"/>
      <c r="N176" s="772" t="n"/>
      <c r="O176" s="772" t="n"/>
      <c r="P176" s="772" t="n"/>
      <c r="Q176" s="772" t="n"/>
      <c r="R176" s="772" t="n"/>
      <c r="S176" s="772" t="n"/>
      <c r="T176" s="772" t="n"/>
      <c r="U176" s="772" t="n"/>
      <c r="V176" s="772" t="n"/>
      <c r="W176" s="772" t="n"/>
      <c r="X176" s="772" t="n"/>
      <c r="Y176" s="772" t="n"/>
      <c r="Z176" s="772" t="n"/>
      <c r="AA176" s="772" t="n"/>
      <c r="AB176" s="772" t="n"/>
      <c r="AC176" s="772" t="n"/>
      <c r="AD176" s="772" t="n"/>
      <c r="AE176" s="772" t="n"/>
      <c r="AF176" s="772" t="n"/>
      <c r="AG176" s="772" t="n"/>
      <c r="AH176" s="772" t="n"/>
      <c r="AI176" s="772" t="n"/>
      <c r="AJ176" s="772" t="n"/>
      <c r="AK176" s="772" t="n"/>
      <c r="AL176" s="772" t="n"/>
      <c r="AM176" s="772" t="n"/>
      <c r="AN176" s="772" t="n"/>
      <c r="AO176" s="772" t="n"/>
      <c r="AP176" s="772" t="n"/>
      <c r="AQ176" s="772" t="n"/>
      <c r="AR176" s="772" t="n"/>
      <c r="AS176" s="772" t="n"/>
      <c r="AT176" s="772" t="n"/>
      <c r="AU176" s="772" t="n"/>
      <c r="AV176" s="772" t="n"/>
      <c r="AW176" s="772" t="n"/>
      <c r="AX176" s="772" t="n"/>
      <c r="AY176" s="772" t="n"/>
      <c r="AZ176" s="772" t="n"/>
      <c r="BA176" s="731" t="n"/>
      <c r="BB176" s="731" t="n"/>
      <c r="BC176" s="731" t="n"/>
    </row>
    <row r="177">
      <c r="A177" s="772" t="n"/>
      <c r="B177" s="772" t="n"/>
      <c r="C177" s="772" t="n"/>
      <c r="D177" s="772" t="n"/>
      <c r="E177" s="772" t="n"/>
      <c r="F177" s="772" t="n"/>
      <c r="G177" s="772" t="n"/>
      <c r="H177" s="772" t="n"/>
      <c r="I177" s="772" t="n"/>
      <c r="J177" s="772" t="n"/>
      <c r="K177" s="772" t="n"/>
      <c r="L177" s="772" t="n"/>
      <c r="M177" s="772" t="n"/>
      <c r="N177" s="772" t="n"/>
      <c r="O177" s="772" t="n"/>
      <c r="P177" s="772" t="n"/>
      <c r="Q177" s="772" t="n"/>
      <c r="R177" s="772" t="n"/>
      <c r="S177" s="772" t="n"/>
      <c r="T177" s="772" t="n"/>
      <c r="U177" s="772" t="n"/>
      <c r="V177" s="772" t="n"/>
      <c r="W177" s="772" t="n"/>
      <c r="X177" s="772" t="n"/>
      <c r="Y177" s="772" t="n"/>
      <c r="Z177" s="772" t="n"/>
      <c r="AA177" s="772" t="n"/>
      <c r="AB177" s="772" t="n"/>
      <c r="AC177" s="772" t="n"/>
      <c r="AD177" s="772" t="n"/>
      <c r="AE177" s="772" t="n"/>
      <c r="AF177" s="772" t="n"/>
      <c r="AG177" s="772" t="n"/>
      <c r="AH177" s="772" t="n"/>
      <c r="AI177" s="772" t="n"/>
      <c r="AJ177" s="772" t="n"/>
      <c r="AK177" s="772" t="n"/>
      <c r="AL177" s="772" t="n"/>
      <c r="AM177" s="772" t="n"/>
      <c r="AN177" s="772" t="n"/>
      <c r="AO177" s="772" t="n"/>
      <c r="AP177" s="772" t="n"/>
      <c r="AQ177" s="772" t="n"/>
      <c r="AR177" s="772" t="n"/>
      <c r="AS177" s="772" t="n"/>
      <c r="AT177" s="772" t="n"/>
      <c r="AU177" s="772" t="n"/>
      <c r="AV177" s="772" t="n"/>
      <c r="AW177" s="772" t="n"/>
      <c r="AX177" s="772" t="n"/>
      <c r="AY177" s="772" t="n"/>
      <c r="AZ177" s="772" t="n"/>
      <c r="BA177" s="731" t="n"/>
      <c r="BB177" s="731" t="n"/>
      <c r="BC177" s="731" t="n"/>
    </row>
    <row r="178">
      <c r="BA178" s="732" t="n"/>
      <c r="BB178" s="732" t="n"/>
      <c r="BC178" s="732" t="n"/>
    </row>
    <row r="179">
      <c r="BA179" s="732" t="n"/>
      <c r="BB179" s="732" t="n"/>
      <c r="BC179" s="732" t="n"/>
    </row>
    <row r="180">
      <c r="BA180" s="732" t="n"/>
      <c r="BB180" s="732" t="n"/>
      <c r="BC180" s="732" t="n"/>
    </row>
    <row r="181">
      <c r="BA181" s="732" t="n"/>
      <c r="BB181" s="732" t="n"/>
      <c r="BC181" s="732" t="n"/>
    </row>
    <row r="182">
      <c r="BA182" s="732" t="n"/>
      <c r="BB182" s="732" t="n"/>
      <c r="BC182" s="732" t="n"/>
    </row>
    <row r="183">
      <c r="BA183" s="732" t="n"/>
      <c r="BB183" s="732" t="n"/>
      <c r="BC183" s="732" t="n"/>
    </row>
    <row r="184">
      <c r="BA184" s="732" t="n"/>
      <c r="BB184" s="732" t="n"/>
      <c r="BC184" s="732" t="n"/>
    </row>
    <row r="185">
      <c r="BA185" s="732" t="n"/>
      <c r="BB185" s="732" t="n"/>
      <c r="BC185" s="732" t="n"/>
    </row>
    <row r="186">
      <c r="BA186" s="732" t="n"/>
      <c r="BB186" s="732" t="n"/>
      <c r="BC186" s="732" t="n"/>
    </row>
    <row r="187">
      <c r="BA187" s="732" t="n"/>
      <c r="BB187" s="732" t="n"/>
      <c r="BC187" s="732" t="n"/>
    </row>
    <row r="188">
      <c r="BA188" s="732" t="n"/>
      <c r="BB188" s="732" t="n"/>
      <c r="BC188" s="732" t="n"/>
    </row>
    <row r="189">
      <c r="BA189" s="732" t="n"/>
      <c r="BB189" s="732" t="n"/>
      <c r="BC189" s="732" t="n"/>
    </row>
    <row r="190">
      <c r="BA190" s="732" t="n"/>
      <c r="BB190" s="732" t="n"/>
      <c r="BC190" s="732" t="n"/>
    </row>
    <row r="191">
      <c r="BA191" s="732" t="n"/>
      <c r="BB191" s="732" t="n"/>
      <c r="BC191" s="732" t="n"/>
    </row>
    <row r="192">
      <c r="BA192" s="732" t="n"/>
      <c r="BB192" s="732" t="n"/>
      <c r="BC192" s="732" t="n"/>
    </row>
    <row r="193">
      <c r="BA193" s="732" t="n"/>
      <c r="BB193" s="732" t="n"/>
      <c r="BC193" s="732" t="n"/>
    </row>
    <row r="194">
      <c r="BA194" s="732" t="n"/>
      <c r="BB194" s="732" t="n"/>
      <c r="BC194" s="732" t="n"/>
    </row>
    <row r="195">
      <c r="BA195" s="732" t="n"/>
      <c r="BB195" s="732" t="n"/>
      <c r="BC195" s="732" t="n"/>
    </row>
    <row r="196">
      <c r="BA196" s="732" t="n"/>
      <c r="BB196" s="732" t="n"/>
      <c r="BC196" s="732" t="n"/>
    </row>
    <row r="197">
      <c r="BA197" s="732" t="n"/>
      <c r="BB197" s="732" t="n"/>
      <c r="BC197" s="732" t="n"/>
    </row>
    <row r="198">
      <c r="BA198" s="732" t="n"/>
      <c r="BB198" s="732" t="n"/>
      <c r="BC198" s="732" t="n"/>
    </row>
    <row r="199">
      <c r="BA199" s="732" t="n"/>
      <c r="BB199" s="732" t="n"/>
      <c r="BC199" s="732" t="n"/>
    </row>
    <row r="200">
      <c r="BA200" s="732" t="n"/>
      <c r="BB200" s="732" t="n"/>
      <c r="BC200" s="732" t="n"/>
    </row>
    <row r="201">
      <c r="BA201" s="732" t="n"/>
      <c r="BB201" s="732" t="n"/>
      <c r="BC201" s="732" t="n"/>
    </row>
    <row r="202">
      <c r="BA202" s="732" t="n"/>
      <c r="BB202" s="732" t="n"/>
      <c r="BC202" s="732" t="n"/>
    </row>
    <row r="203">
      <c r="BA203" s="732" t="n"/>
      <c r="BB203" s="732" t="n"/>
      <c r="BC203" s="732" t="n"/>
    </row>
    <row r="204">
      <c r="BA204" s="732" t="n"/>
      <c r="BB204" s="732" t="n"/>
      <c r="BC204" s="732" t="n"/>
    </row>
    <row r="205">
      <c r="BA205" s="732" t="n"/>
      <c r="BB205" s="732" t="n"/>
      <c r="BC205" s="732" t="n"/>
    </row>
    <row r="206">
      <c r="BA206" s="732" t="n"/>
      <c r="BB206" s="732" t="n"/>
      <c r="BC206" s="732" t="n"/>
    </row>
    <row r="207">
      <c r="BA207" s="732" t="n"/>
      <c r="BB207" s="732" t="n"/>
      <c r="BC207" s="732" t="n"/>
    </row>
    <row r="208">
      <c r="BA208" s="732" t="n"/>
      <c r="BB208" s="732" t="n"/>
      <c r="BC208" s="732" t="n"/>
    </row>
    <row r="209">
      <c r="BA209" s="732" t="n"/>
      <c r="BB209" s="732" t="n"/>
      <c r="BC209" s="732" t="n"/>
    </row>
    <row r="210">
      <c r="BA210" s="732" t="n"/>
      <c r="BB210" s="732" t="n"/>
      <c r="BC210" s="732" t="n"/>
    </row>
    <row r="211">
      <c r="BA211" s="732" t="n"/>
      <c r="BB211" s="732" t="n"/>
      <c r="BC211" s="732" t="n"/>
    </row>
    <row r="212">
      <c r="BA212" s="732" t="n"/>
      <c r="BB212" s="732" t="n"/>
      <c r="BC212" s="732" t="n"/>
    </row>
    <row r="213">
      <c r="BA213" s="732" t="n"/>
      <c r="BB213" s="732" t="n"/>
      <c r="BC213" s="732" t="n"/>
    </row>
    <row r="214">
      <c r="BA214" s="732" t="n"/>
      <c r="BB214" s="732" t="n"/>
      <c r="BC214" s="732" t="n"/>
    </row>
    <row r="215">
      <c r="BA215" s="732" t="n"/>
      <c r="BB215" s="732" t="n"/>
      <c r="BC215" s="732" t="n"/>
    </row>
    <row r="216">
      <c r="BA216" s="732" t="n"/>
      <c r="BB216" s="732" t="n"/>
      <c r="BC216" s="732" t="n"/>
    </row>
    <row r="217">
      <c r="BA217" s="732" t="n"/>
      <c r="BB217" s="732" t="n"/>
      <c r="BC217" s="732" t="n"/>
    </row>
    <row r="218">
      <c r="BA218" s="732" t="n"/>
      <c r="BB218" s="732" t="n"/>
      <c r="BC218" s="732" t="n"/>
    </row>
    <row r="219">
      <c r="BA219" s="732" t="n"/>
      <c r="BB219" s="732" t="n"/>
      <c r="BC219" s="732" t="n"/>
    </row>
    <row r="220">
      <c r="BA220" s="732" t="n"/>
      <c r="BB220" s="732" t="n"/>
      <c r="BC220" s="732" t="n"/>
    </row>
    <row r="221">
      <c r="BA221" s="732" t="n"/>
      <c r="BB221" s="732" t="n"/>
      <c r="BC221" s="732" t="n"/>
    </row>
    <row r="222">
      <c r="BA222" s="732" t="n"/>
      <c r="BB222" s="732" t="n"/>
      <c r="BC222" s="732" t="n"/>
    </row>
    <row r="223">
      <c r="BA223" s="732" t="n"/>
      <c r="BB223" s="732" t="n"/>
      <c r="BC223" s="732" t="n"/>
    </row>
    <row r="224">
      <c r="BA224" s="732" t="n"/>
      <c r="BB224" s="732" t="n"/>
      <c r="BC224" s="732" t="n"/>
    </row>
    <row r="225">
      <c r="BA225" s="732" t="n"/>
      <c r="BB225" s="732" t="n"/>
      <c r="BC225" s="732" t="n"/>
    </row>
    <row r="226">
      <c r="BA226" s="732" t="n"/>
      <c r="BB226" s="732" t="n"/>
      <c r="BC226" s="732" t="n"/>
    </row>
    <row r="227">
      <c r="BA227" s="732" t="n"/>
      <c r="BB227" s="732" t="n"/>
      <c r="BC227" s="732" t="n"/>
    </row>
    <row r="228">
      <c r="BA228" s="732" t="n"/>
      <c r="BB228" s="732" t="n"/>
      <c r="BC228" s="732" t="n"/>
    </row>
    <row r="229">
      <c r="BA229" s="732" t="n"/>
      <c r="BB229" s="732" t="n"/>
      <c r="BC229" s="732" t="n"/>
    </row>
    <row r="230">
      <c r="BA230" s="732" t="n"/>
      <c r="BB230" s="732" t="n"/>
      <c r="BC230" s="732" t="n"/>
    </row>
    <row r="231">
      <c r="BA231" s="732" t="n"/>
      <c r="BB231" s="732" t="n"/>
      <c r="BC231" s="732" t="n"/>
    </row>
    <row r="232">
      <c r="BA232" s="732" t="n"/>
      <c r="BB232" s="732" t="n"/>
      <c r="BC232" s="732" t="n"/>
    </row>
    <row r="233">
      <c r="BA233" s="732" t="n"/>
      <c r="BB233" s="732" t="n"/>
      <c r="BC233" s="732" t="n"/>
    </row>
    <row r="234">
      <c r="BA234" s="732" t="n"/>
      <c r="BB234" s="732" t="n"/>
      <c r="BC234" s="732" t="n"/>
    </row>
    <row r="235">
      <c r="BA235" s="732" t="n"/>
      <c r="BB235" s="732" t="n"/>
      <c r="BC235" s="732" t="n"/>
    </row>
    <row r="236">
      <c r="BA236" s="732" t="n"/>
      <c r="BB236" s="732" t="n"/>
      <c r="BC236" s="732" t="n"/>
    </row>
    <row r="237">
      <c r="BA237" s="732" t="n"/>
      <c r="BB237" s="732" t="n"/>
      <c r="BC237" s="732" t="n"/>
    </row>
    <row r="238">
      <c r="BA238" s="732" t="n"/>
      <c r="BB238" s="732" t="n"/>
      <c r="BC238" s="732" t="n"/>
    </row>
    <row r="239">
      <c r="BA239" s="732" t="n"/>
      <c r="BB239" s="732" t="n"/>
      <c r="BC239" s="732" t="n"/>
    </row>
    <row r="240">
      <c r="BA240" s="732" t="n"/>
      <c r="BB240" s="732" t="n"/>
      <c r="BC240" s="732" t="n"/>
    </row>
    <row r="241">
      <c r="BA241" s="732" t="n"/>
      <c r="BB241" s="732" t="n"/>
      <c r="BC241" s="732" t="n"/>
    </row>
    <row r="242">
      <c r="BA242" s="732" t="n"/>
      <c r="BB242" s="732" t="n"/>
      <c r="BC242" s="732" t="n"/>
    </row>
    <row r="243">
      <c r="BA243" s="732" t="n"/>
      <c r="BB243" s="732" t="n"/>
      <c r="BC243" s="732" t="n"/>
    </row>
    <row r="244">
      <c r="BA244" s="732" t="n"/>
      <c r="BB244" s="732" t="n"/>
      <c r="BC244" s="732" t="n"/>
    </row>
    <row r="245">
      <c r="BA245" s="732" t="n"/>
      <c r="BB245" s="732" t="n"/>
      <c r="BC245" s="732" t="n"/>
    </row>
    <row r="246">
      <c r="BA246" s="732" t="n"/>
      <c r="BB246" s="732" t="n"/>
      <c r="BC246" s="732" t="n"/>
    </row>
    <row r="247">
      <c r="BA247" s="732" t="n"/>
      <c r="BB247" s="732" t="n"/>
      <c r="BC247" s="732" t="n"/>
    </row>
    <row r="248">
      <c r="BA248" s="732" t="n"/>
      <c r="BB248" s="732" t="n"/>
      <c r="BC248" s="732" t="n"/>
    </row>
    <row r="249">
      <c r="BA249" s="732" t="n"/>
      <c r="BB249" s="732" t="n"/>
      <c r="BC249" s="732" t="n"/>
    </row>
    <row r="250">
      <c r="BA250" s="732" t="n"/>
      <c r="BB250" s="732" t="n"/>
      <c r="BC250" s="732" t="n"/>
    </row>
    <row r="251">
      <c r="BA251" s="732" t="n"/>
      <c r="BB251" s="732" t="n"/>
      <c r="BC251" s="732" t="n"/>
    </row>
    <row r="252">
      <c r="BA252" s="732" t="n"/>
      <c r="BB252" s="732" t="n"/>
      <c r="BC252" s="732" t="n"/>
    </row>
    <row r="253">
      <c r="BA253" s="732" t="n"/>
      <c r="BB253" s="732" t="n"/>
      <c r="BC253" s="732" t="n"/>
    </row>
    <row r="254">
      <c r="BA254" s="732" t="n"/>
      <c r="BB254" s="732" t="n"/>
      <c r="BC254" s="732" t="n"/>
    </row>
    <row r="255">
      <c r="BA255" s="732" t="n"/>
      <c r="BB255" s="732" t="n"/>
      <c r="BC255" s="732" t="n"/>
    </row>
    <row r="256">
      <c r="BA256" s="732" t="n"/>
      <c r="BB256" s="732" t="n"/>
      <c r="BC256" s="732" t="n"/>
    </row>
    <row r="257">
      <c r="BA257" s="732" t="n"/>
      <c r="BB257" s="732" t="n"/>
      <c r="BC257" s="732" t="n"/>
    </row>
    <row r="258">
      <c r="BA258" s="732" t="n"/>
      <c r="BB258" s="732" t="n"/>
      <c r="BC258" s="732" t="n"/>
    </row>
    <row r="259">
      <c r="BA259" s="732" t="n"/>
      <c r="BB259" s="732" t="n"/>
      <c r="BC259" s="732" t="n"/>
    </row>
    <row r="260">
      <c r="BA260" s="732" t="n"/>
      <c r="BB260" s="732" t="n"/>
      <c r="BC260" s="732" t="n"/>
    </row>
    <row r="261">
      <c r="BA261" s="732" t="n"/>
      <c r="BB261" s="732" t="n"/>
      <c r="BC261" s="732" t="n"/>
    </row>
    <row r="262">
      <c r="BA262" s="732" t="n"/>
      <c r="BB262" s="732" t="n"/>
      <c r="BC262" s="732" t="n"/>
    </row>
    <row r="263">
      <c r="BA263" s="732" t="n"/>
      <c r="BB263" s="732" t="n"/>
      <c r="BC263" s="732" t="n"/>
    </row>
    <row r="264">
      <c r="BA264" s="732" t="n"/>
      <c r="BB264" s="732" t="n"/>
      <c r="BC264" s="732" t="n"/>
    </row>
    <row r="265">
      <c r="BA265" s="732" t="n"/>
      <c r="BB265" s="732" t="n"/>
      <c r="BC265" s="732" t="n"/>
    </row>
    <row r="266">
      <c r="BA266" s="732" t="n"/>
      <c r="BB266" s="732" t="n"/>
      <c r="BC266" s="732" t="n"/>
    </row>
    <row r="267">
      <c r="BA267" s="732" t="n"/>
      <c r="BB267" s="732" t="n"/>
      <c r="BC267" s="732" t="n"/>
    </row>
    <row r="268">
      <c r="BA268" s="732" t="n"/>
      <c r="BB268" s="732" t="n"/>
      <c r="BC268" s="732" t="n"/>
    </row>
    <row r="269">
      <c r="BA269" s="732" t="n"/>
      <c r="BB269" s="732" t="n"/>
      <c r="BC269" s="732" t="n"/>
    </row>
    <row r="270">
      <c r="BA270" s="732" t="n"/>
      <c r="BB270" s="732" t="n"/>
      <c r="BC270" s="732" t="n"/>
    </row>
    <row r="271">
      <c r="BA271" s="732" t="n"/>
      <c r="BB271" s="732" t="n"/>
      <c r="BC271" s="732" t="n"/>
    </row>
    <row r="272">
      <c r="BA272" s="732" t="n"/>
      <c r="BB272" s="732" t="n"/>
      <c r="BC272" s="732" t="n"/>
    </row>
    <row r="273">
      <c r="BA273" s="732" t="n"/>
      <c r="BB273" s="732" t="n"/>
      <c r="BC273" s="732" t="n"/>
    </row>
    <row r="274">
      <c r="BA274" s="732" t="n"/>
      <c r="BB274" s="732" t="n"/>
      <c r="BC274" s="732" t="n"/>
    </row>
    <row r="275">
      <c r="BA275" s="732" t="n"/>
      <c r="BB275" s="732" t="n"/>
      <c r="BC275" s="732" t="n"/>
    </row>
    <row r="276">
      <c r="BA276" s="732" t="n"/>
      <c r="BB276" s="732" t="n"/>
      <c r="BC276" s="732" t="n"/>
    </row>
    <row r="277">
      <c r="BA277" s="732" t="n"/>
      <c r="BB277" s="732" t="n"/>
      <c r="BC277" s="732" t="n"/>
    </row>
    <row r="278">
      <c r="BA278" s="732" t="n"/>
      <c r="BB278" s="732" t="n"/>
      <c r="BC278" s="732" t="n"/>
    </row>
    <row r="279">
      <c r="BA279" s="732" t="n"/>
      <c r="BB279" s="732" t="n"/>
      <c r="BC279" s="732" t="n"/>
    </row>
    <row r="280">
      <c r="BA280" s="732" t="n"/>
      <c r="BB280" s="732" t="n"/>
      <c r="BC280" s="732" t="n"/>
    </row>
    <row r="281">
      <c r="BA281" s="732" t="n"/>
      <c r="BB281" s="732" t="n"/>
      <c r="BC281" s="732" t="n"/>
    </row>
    <row r="282">
      <c r="BA282" s="732" t="n"/>
      <c r="BB282" s="732" t="n"/>
      <c r="BC282" s="732" t="n"/>
    </row>
    <row r="283">
      <c r="BA283" s="732" t="n"/>
      <c r="BB283" s="732" t="n"/>
      <c r="BC283" s="732" t="n"/>
    </row>
    <row r="284">
      <c r="BA284" s="732" t="n"/>
      <c r="BB284" s="732" t="n"/>
      <c r="BC284" s="732" t="n"/>
    </row>
    <row r="285">
      <c r="BA285" s="732" t="n"/>
      <c r="BB285" s="732" t="n"/>
      <c r="BC285" s="732" t="n"/>
    </row>
    <row r="286">
      <c r="BA286" s="732" t="n"/>
      <c r="BB286" s="732" t="n"/>
      <c r="BC286" s="732" t="n"/>
    </row>
    <row r="287">
      <c r="BA287" s="732" t="n"/>
      <c r="BB287" s="732" t="n"/>
      <c r="BC287" s="732" t="n"/>
    </row>
    <row r="288">
      <c r="BA288" s="732" t="n"/>
      <c r="BB288" s="732" t="n"/>
      <c r="BC288" s="732" t="n"/>
    </row>
    <row r="289">
      <c r="BA289" s="732" t="n"/>
      <c r="BB289" s="732" t="n"/>
      <c r="BC289" s="732" t="n"/>
    </row>
    <row r="290">
      <c r="BA290" s="732" t="n"/>
      <c r="BB290" s="732" t="n"/>
      <c r="BC290" s="732" t="n"/>
    </row>
    <row r="291">
      <c r="BA291" s="732" t="n"/>
      <c r="BB291" s="732" t="n"/>
      <c r="BC291" s="732" t="n"/>
    </row>
    <row r="292">
      <c r="BA292" s="732" t="n"/>
      <c r="BB292" s="732" t="n"/>
      <c r="BC292" s="732" t="n"/>
    </row>
    <row r="293">
      <c r="BA293" s="732" t="n"/>
      <c r="BB293" s="732" t="n"/>
      <c r="BC293" s="732" t="n"/>
    </row>
    <row r="294">
      <c r="BA294" s="732" t="n"/>
      <c r="BB294" s="732" t="n"/>
      <c r="BC294" s="732" t="n"/>
    </row>
    <row r="295">
      <c r="BA295" s="732" t="n"/>
      <c r="BB295" s="732" t="n"/>
      <c r="BC295" s="732" t="n"/>
    </row>
    <row r="296">
      <c r="BA296" s="732" t="n"/>
      <c r="BB296" s="732" t="n"/>
      <c r="BC296" s="732" t="n"/>
    </row>
    <row r="297">
      <c r="BA297" s="732" t="n"/>
      <c r="BB297" s="732" t="n"/>
      <c r="BC297" s="732" t="n"/>
    </row>
    <row r="298">
      <c r="BA298" s="732" t="n"/>
      <c r="BB298" s="732" t="n"/>
      <c r="BC298" s="732" t="n"/>
    </row>
    <row r="299">
      <c r="BA299" s="732" t="n"/>
      <c r="BB299" s="732" t="n"/>
      <c r="BC299" s="732" t="n"/>
    </row>
    <row r="300">
      <c r="BA300" s="732" t="n"/>
      <c r="BB300" s="732" t="n"/>
      <c r="BC300" s="732" t="n"/>
    </row>
    <row r="301">
      <c r="BA301" s="732" t="n"/>
      <c r="BB301" s="732" t="n"/>
      <c r="BC301" s="732" t="n"/>
    </row>
    <row r="302">
      <c r="BA302" s="732" t="n"/>
      <c r="BB302" s="732" t="n"/>
      <c r="BC302" s="732" t="n"/>
    </row>
    <row r="303">
      <c r="BA303" s="732" t="n"/>
      <c r="BB303" s="732" t="n"/>
      <c r="BC303" s="732" t="n"/>
    </row>
    <row r="304">
      <c r="BA304" s="732" t="n"/>
      <c r="BB304" s="732" t="n"/>
      <c r="BC304" s="732" t="n"/>
    </row>
    <row r="305">
      <c r="BA305" s="732" t="n"/>
      <c r="BB305" s="732" t="n"/>
      <c r="BC305" s="732" t="n"/>
    </row>
    <row r="306">
      <c r="BA306" s="732" t="n"/>
      <c r="BB306" s="732" t="n"/>
      <c r="BC306" s="732" t="n"/>
    </row>
    <row r="307">
      <c r="BA307" s="732" t="n"/>
      <c r="BB307" s="732" t="n"/>
      <c r="BC307" s="732" t="n"/>
    </row>
    <row r="308">
      <c r="BA308" s="732" t="n"/>
      <c r="BB308" s="732" t="n"/>
      <c r="BC308" s="732" t="n"/>
    </row>
    <row r="309">
      <c r="BA309" s="732" t="n"/>
      <c r="BB309" s="732" t="n"/>
      <c r="BC309" s="732" t="n"/>
    </row>
    <row r="310">
      <c r="BA310" s="732" t="n"/>
      <c r="BB310" s="732" t="n"/>
      <c r="BC310" s="732" t="n"/>
    </row>
    <row r="311">
      <c r="BA311" s="732" t="n"/>
      <c r="BB311" s="732" t="n"/>
      <c r="BC311" s="732" t="n"/>
    </row>
    <row r="312">
      <c r="BA312" s="732" t="n"/>
      <c r="BB312" s="732" t="n"/>
      <c r="BC312" s="732" t="n"/>
    </row>
    <row r="313">
      <c r="BA313" s="732" t="n"/>
      <c r="BB313" s="732" t="n"/>
      <c r="BC313" s="732" t="n"/>
    </row>
    <row r="314">
      <c r="BA314" s="732" t="n"/>
      <c r="BB314" s="732" t="n"/>
      <c r="BC314" s="732" t="n"/>
    </row>
    <row r="315">
      <c r="BA315" s="732" t="n"/>
      <c r="BB315" s="732" t="n"/>
      <c r="BC315" s="732" t="n"/>
    </row>
    <row r="316">
      <c r="BA316" s="732" t="n"/>
      <c r="BB316" s="732" t="n"/>
      <c r="BC316" s="732" t="n"/>
    </row>
    <row r="317">
      <c r="BA317" s="732" t="n"/>
      <c r="BB317" s="732" t="n"/>
      <c r="BC317" s="732" t="n"/>
    </row>
    <row r="318">
      <c r="BA318" s="732" t="n"/>
      <c r="BB318" s="732" t="n"/>
      <c r="BC318" s="732" t="n"/>
    </row>
    <row r="319">
      <c r="BA319" s="732" t="n"/>
      <c r="BB319" s="732" t="n"/>
      <c r="BC319" s="732" t="n"/>
    </row>
    <row r="320">
      <c r="BA320" s="732" t="n"/>
      <c r="BB320" s="732" t="n"/>
      <c r="BC320" s="732" t="n"/>
    </row>
    <row r="321">
      <c r="BA321" s="732" t="n"/>
      <c r="BB321" s="732" t="n"/>
      <c r="BC321" s="732" t="n"/>
    </row>
    <row r="322">
      <c r="BA322" s="732" t="n"/>
      <c r="BB322" s="732" t="n"/>
      <c r="BC322" s="732" t="n"/>
    </row>
    <row r="323">
      <c r="BA323" s="732" t="n"/>
      <c r="BB323" s="732" t="n"/>
      <c r="BC323" s="732" t="n"/>
    </row>
    <row r="324">
      <c r="BA324" s="732" t="n"/>
      <c r="BB324" s="732" t="n"/>
      <c r="BC324" s="732" t="n"/>
    </row>
    <row r="325">
      <c r="BA325" s="732" t="n"/>
      <c r="BB325" s="732" t="n"/>
      <c r="BC325" s="732" t="n"/>
    </row>
    <row r="326">
      <c r="BA326" s="732" t="n"/>
      <c r="BB326" s="732" t="n"/>
      <c r="BC326" s="732" t="n"/>
    </row>
    <row r="327">
      <c r="BA327" s="732" t="n"/>
      <c r="BB327" s="732" t="n"/>
      <c r="BC327" s="732" t="n"/>
    </row>
    <row r="328">
      <c r="BA328" s="732" t="n"/>
      <c r="BB328" s="732" t="n"/>
      <c r="BC328" s="732" t="n"/>
    </row>
    <row r="329">
      <c r="BA329" s="732" t="n"/>
      <c r="BB329" s="732" t="n"/>
      <c r="BC329" s="732" t="n"/>
    </row>
    <row r="330">
      <c r="BA330" s="732" t="n"/>
      <c r="BB330" s="732" t="n"/>
      <c r="BC330" s="732" t="n"/>
    </row>
    <row r="331">
      <c r="BA331" s="732" t="n"/>
      <c r="BB331" s="732" t="n"/>
      <c r="BC331" s="732" t="n"/>
    </row>
    <row r="332">
      <c r="BA332" s="732" t="n"/>
      <c r="BB332" s="732" t="n"/>
      <c r="BC332" s="732" t="n"/>
    </row>
    <row r="333">
      <c r="BA333" s="732" t="n"/>
      <c r="BB333" s="732" t="n"/>
      <c r="BC333" s="732" t="n"/>
    </row>
    <row r="334">
      <c r="BA334" s="732" t="n"/>
      <c r="BB334" s="732" t="n"/>
      <c r="BC334" s="732" t="n"/>
    </row>
    <row r="335">
      <c r="BA335" s="732" t="n"/>
      <c r="BB335" s="732" t="n"/>
      <c r="BC335" s="732" t="n"/>
    </row>
    <row r="336">
      <c r="BA336" s="732" t="n"/>
      <c r="BB336" s="732" t="n"/>
      <c r="BC336" s="732" t="n"/>
    </row>
    <row r="337">
      <c r="BA337" s="732" t="n"/>
      <c r="BB337" s="732" t="n"/>
      <c r="BC337" s="732" t="n"/>
    </row>
    <row r="338">
      <c r="BA338" s="732" t="n"/>
      <c r="BB338" s="732" t="n"/>
      <c r="BC338" s="732" t="n"/>
    </row>
    <row r="339">
      <c r="BA339" s="732" t="n"/>
      <c r="BB339" s="732" t="n"/>
      <c r="BC339" s="732" t="n"/>
    </row>
    <row r="340">
      <c r="BA340" s="732" t="n"/>
      <c r="BB340" s="732" t="n"/>
      <c r="BC340" s="732" t="n"/>
    </row>
    <row r="341">
      <c r="BA341" s="732" t="n"/>
      <c r="BB341" s="732" t="n"/>
      <c r="BC341" s="732" t="n"/>
    </row>
    <row r="342">
      <c r="BA342" s="732" t="n"/>
      <c r="BB342" s="732" t="n"/>
      <c r="BC342" s="732" t="n"/>
    </row>
    <row r="343">
      <c r="BA343" s="732" t="n"/>
      <c r="BB343" s="732" t="n"/>
      <c r="BC343" s="732" t="n"/>
    </row>
    <row r="344">
      <c r="BA344" s="732" t="n"/>
      <c r="BB344" s="732" t="n"/>
      <c r="BC344" s="732" t="n"/>
    </row>
    <row r="345">
      <c r="BA345" s="732" t="n"/>
      <c r="BB345" s="732" t="n"/>
      <c r="BC345" s="732" t="n"/>
    </row>
    <row r="346">
      <c r="BA346" s="732" t="n"/>
      <c r="BB346" s="732" t="n"/>
      <c r="BC346" s="732" t="n"/>
    </row>
    <row r="347">
      <c r="BA347" s="732" t="n"/>
      <c r="BB347" s="732" t="n"/>
      <c r="BC347" s="732" t="n"/>
    </row>
    <row r="348">
      <c r="BA348" s="732" t="n"/>
      <c r="BB348" s="732" t="n"/>
      <c r="BC348" s="732" t="n"/>
    </row>
    <row r="349">
      <c r="BA349" s="732" t="n"/>
      <c r="BB349" s="732" t="n"/>
      <c r="BC349" s="732" t="n"/>
    </row>
    <row r="350">
      <c r="BA350" s="732" t="n"/>
      <c r="BB350" s="732" t="n"/>
      <c r="BC350" s="732" t="n"/>
    </row>
    <row r="351">
      <c r="BA351" s="732" t="n"/>
      <c r="BB351" s="732" t="n"/>
      <c r="BC351" s="732" t="n"/>
    </row>
    <row r="352">
      <c r="BA352" s="732" t="n"/>
      <c r="BB352" s="732" t="n"/>
      <c r="BC352" s="732" t="n"/>
    </row>
    <row r="353">
      <c r="BA353" s="732" t="n"/>
      <c r="BB353" s="732" t="n"/>
      <c r="BC353" s="732" t="n"/>
    </row>
    <row r="354">
      <c r="BA354" s="732" t="n"/>
      <c r="BB354" s="732" t="n"/>
      <c r="BC354" s="732" t="n"/>
    </row>
    <row r="355">
      <c r="BA355" s="732" t="n"/>
      <c r="BB355" s="732" t="n"/>
      <c r="BC355" s="732" t="n"/>
    </row>
    <row r="356">
      <c r="BA356" s="732" t="n"/>
      <c r="BB356" s="732" t="n"/>
      <c r="BC356" s="732" t="n"/>
    </row>
    <row r="357">
      <c r="BA357" s="732" t="n"/>
      <c r="BB357" s="732" t="n"/>
      <c r="BC357" s="732" t="n"/>
    </row>
    <row r="358">
      <c r="BA358" s="732" t="n"/>
      <c r="BB358" s="732" t="n"/>
      <c r="BC358" s="732" t="n"/>
    </row>
    <row r="359">
      <c r="BA359" s="732" t="n"/>
      <c r="BB359" s="732" t="n"/>
      <c r="BC359" s="732" t="n"/>
    </row>
    <row r="360">
      <c r="BA360" s="732" t="n"/>
      <c r="BB360" s="732" t="n"/>
      <c r="BC360" s="732" t="n"/>
    </row>
    <row r="361">
      <c r="BA361" s="732" t="n"/>
      <c r="BB361" s="732" t="n"/>
      <c r="BC361" s="732" t="n"/>
    </row>
    <row r="362">
      <c r="BA362" s="732" t="n"/>
      <c r="BB362" s="732" t="n"/>
      <c r="BC362" s="732" t="n"/>
    </row>
    <row r="363">
      <c r="BA363" s="732" t="n"/>
      <c r="BB363" s="732" t="n"/>
      <c r="BC363" s="732" t="n"/>
    </row>
    <row r="364">
      <c r="BA364" s="732" t="n"/>
      <c r="BB364" s="732" t="n"/>
      <c r="BC364" s="732" t="n"/>
    </row>
    <row r="365">
      <c r="BA365" s="732" t="n"/>
      <c r="BB365" s="732" t="n"/>
      <c r="BC365" s="732" t="n"/>
    </row>
    <row r="366">
      <c r="BA366" s="732" t="n"/>
      <c r="BB366" s="732" t="n"/>
      <c r="BC366" s="732" t="n"/>
    </row>
    <row r="367">
      <c r="BA367" s="732" t="n"/>
      <c r="BB367" s="732" t="n"/>
      <c r="BC367" s="732" t="n"/>
    </row>
    <row r="368">
      <c r="BA368" s="732" t="n"/>
      <c r="BB368" s="732" t="n"/>
      <c r="BC368" s="732" t="n"/>
    </row>
    <row r="369">
      <c r="BA369" s="732" t="n"/>
      <c r="BB369" s="732" t="n"/>
      <c r="BC369" s="732" t="n"/>
    </row>
    <row r="370">
      <c r="BA370" s="732" t="n"/>
      <c r="BB370" s="732" t="n"/>
      <c r="BC370" s="732" t="n"/>
    </row>
    <row r="371">
      <c r="BA371" s="732" t="n"/>
      <c r="BB371" s="732" t="n"/>
      <c r="BC371" s="732" t="n"/>
    </row>
    <row r="372">
      <c r="BA372" s="732" t="n"/>
      <c r="BB372" s="732" t="n"/>
      <c r="BC372" s="732" t="n"/>
    </row>
    <row r="373">
      <c r="BA373" s="732" t="n"/>
      <c r="BB373" s="732" t="n"/>
      <c r="BC373" s="732" t="n"/>
    </row>
    <row r="374">
      <c r="BA374" s="732" t="n"/>
      <c r="BB374" s="732" t="n"/>
      <c r="BC374" s="732" t="n"/>
    </row>
    <row r="375">
      <c r="BA375" s="732" t="n"/>
      <c r="BB375" s="732" t="n"/>
      <c r="BC375" s="732" t="n"/>
    </row>
    <row r="376">
      <c r="BA376" s="732" t="n"/>
      <c r="BB376" s="732" t="n"/>
      <c r="BC376" s="732" t="n"/>
    </row>
    <row r="377">
      <c r="BA377" s="732" t="n"/>
      <c r="BB377" s="732" t="n"/>
      <c r="BC377" s="732" t="n"/>
    </row>
    <row r="378">
      <c r="BA378" s="732" t="n"/>
      <c r="BB378" s="732" t="n"/>
      <c r="BC378" s="732" t="n"/>
    </row>
    <row r="379">
      <c r="BA379" s="732" t="n"/>
      <c r="BB379" s="732" t="n"/>
      <c r="BC379" s="732" t="n"/>
    </row>
    <row r="380">
      <c r="BA380" s="732" t="n"/>
      <c r="BB380" s="732" t="n"/>
      <c r="BC380" s="732" t="n"/>
    </row>
    <row r="381">
      <c r="BA381" s="732" t="n"/>
      <c r="BB381" s="732" t="n"/>
      <c r="BC381" s="732" t="n"/>
    </row>
    <row r="382">
      <c r="BA382" s="732" t="n"/>
      <c r="BB382" s="732" t="n"/>
      <c r="BC382" s="732" t="n"/>
    </row>
    <row r="383">
      <c r="BA383" s="732" t="n"/>
      <c r="BB383" s="732" t="n"/>
      <c r="BC383" s="732" t="n"/>
    </row>
    <row r="384">
      <c r="BA384" s="732" t="n"/>
      <c r="BB384" s="732" t="n"/>
      <c r="BC384" s="732" t="n"/>
    </row>
    <row r="385">
      <c r="BA385" s="732" t="n"/>
      <c r="BB385" s="732" t="n"/>
      <c r="BC385" s="732" t="n"/>
    </row>
    <row r="386">
      <c r="BA386" s="732" t="n"/>
      <c r="BB386" s="732" t="n"/>
      <c r="BC386" s="732" t="n"/>
    </row>
    <row r="387">
      <c r="BA387" s="732" t="n"/>
      <c r="BB387" s="732" t="n"/>
      <c r="BC387" s="732" t="n"/>
    </row>
    <row r="388">
      <c r="BA388" s="732" t="n"/>
      <c r="BB388" s="732" t="n"/>
      <c r="BC388" s="732" t="n"/>
    </row>
    <row r="389">
      <c r="BA389" s="732" t="n"/>
      <c r="BB389" s="732" t="n"/>
      <c r="BC389" s="732" t="n"/>
    </row>
    <row r="390">
      <c r="BA390" s="732" t="n"/>
      <c r="BB390" s="732" t="n"/>
      <c r="BC390" s="732" t="n"/>
    </row>
    <row r="391">
      <c r="BA391" s="732" t="n"/>
      <c r="BB391" s="732" t="n"/>
      <c r="BC391" s="732" t="n"/>
    </row>
    <row r="392">
      <c r="BA392" s="732" t="n"/>
      <c r="BB392" s="732" t="n"/>
      <c r="BC392" s="732" t="n"/>
    </row>
    <row r="393">
      <c r="BA393" s="732" t="n"/>
      <c r="BB393" s="732" t="n"/>
      <c r="BC393" s="732" t="n"/>
    </row>
    <row r="394">
      <c r="BA394" s="732" t="n"/>
      <c r="BB394" s="732" t="n"/>
      <c r="BC394" s="732" t="n"/>
    </row>
    <row r="395">
      <c r="BA395" s="732" t="n"/>
      <c r="BB395" s="732" t="n"/>
      <c r="BC395" s="732" t="n"/>
    </row>
    <row r="396">
      <c r="BA396" s="732" t="n"/>
      <c r="BB396" s="732" t="n"/>
      <c r="BC396" s="732" t="n"/>
    </row>
    <row r="397">
      <c r="BA397" s="732" t="n"/>
      <c r="BB397" s="732" t="n"/>
      <c r="BC397" s="732" t="n"/>
    </row>
    <row r="398">
      <c r="BA398" s="732" t="n"/>
      <c r="BB398" s="732" t="n"/>
      <c r="BC398" s="732" t="n"/>
    </row>
    <row r="399">
      <c r="BA399" s="732" t="n"/>
      <c r="BB399" s="732" t="n"/>
      <c r="BC399" s="732" t="n"/>
    </row>
    <row r="400">
      <c r="BA400" s="732" t="n"/>
      <c r="BB400" s="732" t="n"/>
      <c r="BC400" s="732" t="n"/>
    </row>
    <row r="401">
      <c r="BA401" s="732" t="n"/>
      <c r="BB401" s="732" t="n"/>
      <c r="BC401" s="732" t="n"/>
    </row>
    <row r="402">
      <c r="BA402" s="732" t="n"/>
      <c r="BB402" s="732" t="n"/>
      <c r="BC402" s="732" t="n"/>
    </row>
    <row r="403">
      <c r="BA403" s="732" t="n"/>
      <c r="BB403" s="732" t="n"/>
      <c r="BC403" s="732" t="n"/>
    </row>
    <row r="404">
      <c r="BA404" s="732" t="n"/>
      <c r="BB404" s="732" t="n"/>
      <c r="BC404" s="732" t="n"/>
    </row>
    <row r="405">
      <c r="BA405" s="732" t="n"/>
      <c r="BB405" s="732" t="n"/>
      <c r="BC405" s="732" t="n"/>
    </row>
    <row r="406">
      <c r="BA406" s="732" t="n"/>
      <c r="BB406" s="732" t="n"/>
      <c r="BC406" s="732" t="n"/>
    </row>
    <row r="407">
      <c r="BA407" s="732" t="n"/>
      <c r="BB407" s="732" t="n"/>
      <c r="BC407" s="732" t="n"/>
    </row>
    <row r="408">
      <c r="BA408" s="732" t="n"/>
      <c r="BB408" s="732" t="n"/>
      <c r="BC408" s="732" t="n"/>
    </row>
    <row r="409">
      <c r="BA409" s="732" t="n"/>
      <c r="BB409" s="732" t="n"/>
      <c r="BC409" s="732" t="n"/>
    </row>
    <row r="410">
      <c r="BA410" s="732" t="n"/>
      <c r="BB410" s="732" t="n"/>
      <c r="BC410" s="732" t="n"/>
    </row>
    <row r="411">
      <c r="BA411" s="732" t="n"/>
      <c r="BB411" s="732" t="n"/>
      <c r="BC411" s="732" t="n"/>
    </row>
    <row r="412">
      <c r="BA412" s="732" t="n"/>
      <c r="BB412" s="732" t="n"/>
      <c r="BC412" s="732" t="n"/>
    </row>
    <row r="413">
      <c r="BA413" s="732" t="n"/>
      <c r="BB413" s="732" t="n"/>
      <c r="BC413" s="732" t="n"/>
    </row>
    <row r="414">
      <c r="BA414" s="732" t="n"/>
      <c r="BB414" s="732" t="n"/>
      <c r="BC414" s="732" t="n"/>
    </row>
    <row r="415">
      <c r="BA415" s="732" t="n"/>
      <c r="BB415" s="732" t="n"/>
      <c r="BC415" s="732" t="n"/>
    </row>
    <row r="416">
      <c r="BA416" s="732" t="n"/>
      <c r="BB416" s="732" t="n"/>
      <c r="BC416" s="732" t="n"/>
    </row>
    <row r="417">
      <c r="BA417" s="732" t="n"/>
      <c r="BB417" s="732" t="n"/>
      <c r="BC417" s="732" t="n"/>
    </row>
    <row r="418">
      <c r="BA418" s="732" t="n"/>
      <c r="BB418" s="732" t="n"/>
      <c r="BC418" s="732" t="n"/>
    </row>
    <row r="419">
      <c r="BA419" s="732" t="n"/>
      <c r="BB419" s="732" t="n"/>
      <c r="BC419" s="732" t="n"/>
    </row>
    <row r="420">
      <c r="BA420" s="732" t="n"/>
      <c r="BB420" s="732" t="n"/>
      <c r="BC420" s="732" t="n"/>
    </row>
    <row r="421">
      <c r="BA421" s="732" t="n"/>
      <c r="BB421" s="732" t="n"/>
      <c r="BC421" s="732" t="n"/>
    </row>
    <row r="422">
      <c r="BA422" s="732" t="n"/>
      <c r="BB422" s="732" t="n"/>
      <c r="BC422" s="732" t="n"/>
    </row>
    <row r="423">
      <c r="BA423" s="732" t="n"/>
      <c r="BB423" s="732" t="n"/>
      <c r="BC423" s="732" t="n"/>
    </row>
    <row r="424">
      <c r="BA424" s="732" t="n"/>
      <c r="BB424" s="732" t="n"/>
      <c r="BC424" s="732" t="n"/>
    </row>
    <row r="425">
      <c r="BA425" s="732" t="n"/>
      <c r="BB425" s="732" t="n"/>
      <c r="BC425" s="732" t="n"/>
    </row>
    <row r="426">
      <c r="BA426" s="732" t="n"/>
      <c r="BB426" s="732" t="n"/>
      <c r="BC426" s="732" t="n"/>
    </row>
    <row r="427">
      <c r="BA427" s="732" t="n"/>
      <c r="BB427" s="732" t="n"/>
      <c r="BC427" s="732" t="n"/>
    </row>
    <row r="428">
      <c r="BA428" s="732" t="n"/>
      <c r="BB428" s="732" t="n"/>
      <c r="BC428" s="732" t="n"/>
    </row>
    <row r="429">
      <c r="BA429" s="732" t="n"/>
      <c r="BB429" s="732" t="n"/>
      <c r="BC429" s="732" t="n"/>
    </row>
    <row r="430">
      <c r="BA430" s="732" t="n"/>
      <c r="BB430" s="732" t="n"/>
      <c r="BC430" s="732" t="n"/>
    </row>
    <row r="431">
      <c r="BA431" s="732" t="n"/>
      <c r="BB431" s="732" t="n"/>
      <c r="BC431" s="732" t="n"/>
    </row>
    <row r="432">
      <c r="BA432" s="732" t="n"/>
      <c r="BB432" s="732" t="n"/>
      <c r="BC432" s="732" t="n"/>
    </row>
    <row r="433">
      <c r="BA433" s="732" t="n"/>
      <c r="BB433" s="732" t="n"/>
      <c r="BC433" s="732" t="n"/>
    </row>
    <row r="434">
      <c r="BA434" s="732" t="n"/>
      <c r="BB434" s="732" t="n"/>
      <c r="BC434" s="732" t="n"/>
    </row>
    <row r="435">
      <c r="BA435" s="732" t="n"/>
      <c r="BB435" s="732" t="n"/>
      <c r="BC435" s="732" t="n"/>
    </row>
    <row r="436">
      <c r="BA436" s="732" t="n"/>
      <c r="BB436" s="732" t="n"/>
      <c r="BC436" s="732" t="n"/>
    </row>
    <row r="437">
      <c r="BA437" s="732" t="n"/>
      <c r="BB437" s="732" t="n"/>
      <c r="BC437" s="732" t="n"/>
    </row>
    <row r="438">
      <c r="BA438" s="732" t="n"/>
      <c r="BB438" s="732" t="n"/>
      <c r="BC438" s="732" t="n"/>
    </row>
    <row r="439">
      <c r="BA439" s="732" t="n"/>
      <c r="BB439" s="732" t="n"/>
      <c r="BC439" s="732" t="n"/>
    </row>
    <row r="440">
      <c r="BA440" s="732" t="n"/>
      <c r="BB440" s="732" t="n"/>
      <c r="BC440" s="732" t="n"/>
    </row>
    <row r="441">
      <c r="BA441" s="732" t="n"/>
      <c r="BB441" s="732" t="n"/>
      <c r="BC441" s="732" t="n"/>
    </row>
    <row r="442">
      <c r="BA442" s="732" t="n"/>
      <c r="BB442" s="732" t="n"/>
      <c r="BC442" s="732" t="n"/>
    </row>
    <row r="443">
      <c r="BA443" s="732" t="n"/>
      <c r="BB443" s="732" t="n"/>
      <c r="BC443" s="732" t="n"/>
    </row>
    <row r="444">
      <c r="BA444" s="732" t="n"/>
      <c r="BB444" s="732" t="n"/>
      <c r="BC444" s="732" t="n"/>
    </row>
    <row r="445">
      <c r="BA445" s="732" t="n"/>
      <c r="BB445" s="732" t="n"/>
      <c r="BC445" s="732" t="n"/>
    </row>
    <row r="446">
      <c r="BA446" s="732" t="n"/>
      <c r="BB446" s="732" t="n"/>
      <c r="BC446" s="732" t="n"/>
    </row>
    <row r="447">
      <c r="BA447" s="732" t="n"/>
      <c r="BB447" s="732" t="n"/>
      <c r="BC447" s="732" t="n"/>
    </row>
    <row r="448">
      <c r="BA448" s="732" t="n"/>
      <c r="BB448" s="732" t="n"/>
      <c r="BC448" s="732" t="n"/>
    </row>
    <row r="449">
      <c r="BA449" s="732" t="n"/>
      <c r="BB449" s="732" t="n"/>
      <c r="BC449" s="732" t="n"/>
    </row>
    <row r="450">
      <c r="BA450" s="732" t="n"/>
      <c r="BB450" s="732" t="n"/>
      <c r="BC450" s="732" t="n"/>
    </row>
    <row r="451">
      <c r="BA451" s="732" t="n"/>
      <c r="BB451" s="732" t="n"/>
      <c r="BC451" s="732" t="n"/>
    </row>
    <row r="452">
      <c r="BA452" s="732" t="n"/>
      <c r="BB452" s="732" t="n"/>
      <c r="BC452" s="732" t="n"/>
    </row>
    <row r="453">
      <c r="BA453" s="732" t="n"/>
      <c r="BB453" s="732" t="n"/>
      <c r="BC453" s="732" t="n"/>
    </row>
    <row r="454">
      <c r="BA454" s="732" t="n"/>
      <c r="BB454" s="732" t="n"/>
      <c r="BC454" s="732" t="n"/>
    </row>
    <row r="455">
      <c r="BA455" s="732" t="n"/>
      <c r="BB455" s="732" t="n"/>
      <c r="BC455" s="732" t="n"/>
    </row>
    <row r="456">
      <c r="BA456" s="732" t="n"/>
      <c r="BB456" s="732" t="n"/>
      <c r="BC456" s="732" t="n"/>
    </row>
    <row r="457">
      <c r="BA457" s="732" t="n"/>
      <c r="BB457" s="732" t="n"/>
      <c r="BC457" s="732" t="n"/>
    </row>
    <row r="458">
      <c r="BA458" s="732" t="n"/>
      <c r="BB458" s="732" t="n"/>
      <c r="BC458" s="732" t="n"/>
    </row>
    <row r="459">
      <c r="BA459" s="732" t="n"/>
      <c r="BB459" s="732" t="n"/>
      <c r="BC459" s="732" t="n"/>
    </row>
    <row r="460">
      <c r="BA460" s="732" t="n"/>
      <c r="BB460" s="732" t="n"/>
      <c r="BC460" s="732" t="n"/>
    </row>
    <row r="461">
      <c r="BA461" s="732" t="n"/>
      <c r="BB461" s="732" t="n"/>
      <c r="BC461" s="732" t="n"/>
    </row>
    <row r="462">
      <c r="BA462" s="732" t="n"/>
      <c r="BB462" s="732" t="n"/>
      <c r="BC462" s="732" t="n"/>
    </row>
    <row r="463">
      <c r="BA463" s="732" t="n"/>
      <c r="BB463" s="732" t="n"/>
      <c r="BC463" s="732" t="n"/>
    </row>
    <row r="464">
      <c r="BA464" s="732" t="n"/>
      <c r="BB464" s="732" t="n"/>
      <c r="BC464" s="732" t="n"/>
    </row>
    <row r="465">
      <c r="BA465" s="732" t="n"/>
      <c r="BB465" s="732" t="n"/>
      <c r="BC465" s="732" t="n"/>
    </row>
    <row r="466">
      <c r="BA466" s="732" t="n"/>
      <c r="BB466" s="732" t="n"/>
      <c r="BC466" s="732" t="n"/>
    </row>
    <row r="467">
      <c r="BA467" s="732" t="n"/>
      <c r="BB467" s="732" t="n"/>
      <c r="BC467" s="732" t="n"/>
    </row>
    <row r="468">
      <c r="BA468" s="732" t="n"/>
      <c r="BB468" s="732" t="n"/>
      <c r="BC468" s="732" t="n"/>
    </row>
    <row r="469">
      <c r="BA469" s="732" t="n"/>
      <c r="BB469" s="732" t="n"/>
      <c r="BC469" s="732" t="n"/>
    </row>
    <row r="470">
      <c r="BA470" s="732" t="n"/>
      <c r="BB470" s="732" t="n"/>
      <c r="BC470" s="732" t="n"/>
    </row>
    <row r="471">
      <c r="BA471" s="732" t="n"/>
      <c r="BB471" s="732" t="n"/>
      <c r="BC471" s="732" t="n"/>
    </row>
    <row r="472">
      <c r="BA472" s="732" t="n"/>
      <c r="BB472" s="732" t="n"/>
      <c r="BC472" s="732" t="n"/>
    </row>
    <row r="473">
      <c r="BA473" s="732" t="n"/>
      <c r="BB473" s="732" t="n"/>
      <c r="BC473" s="732" t="n"/>
    </row>
    <row r="474">
      <c r="BA474" s="732" t="n"/>
      <c r="BB474" s="732" t="n"/>
      <c r="BC474" s="732" t="n"/>
    </row>
    <row r="475">
      <c r="BA475" s="732" t="n"/>
      <c r="BB475" s="732" t="n"/>
      <c r="BC475" s="732" t="n"/>
    </row>
    <row r="476">
      <c r="BA476" s="732" t="n"/>
      <c r="BB476" s="732" t="n"/>
      <c r="BC476" s="732" t="n"/>
    </row>
    <row r="477">
      <c r="BA477" s="732" t="n"/>
      <c r="BB477" s="732" t="n"/>
      <c r="BC477" s="732" t="n"/>
    </row>
    <row r="478">
      <c r="BA478" s="732" t="n"/>
      <c r="BB478" s="732" t="n"/>
      <c r="BC478" s="732" t="n"/>
    </row>
    <row r="479">
      <c r="BA479" s="732" t="n"/>
      <c r="BB479" s="732" t="n"/>
      <c r="BC479" s="732" t="n"/>
    </row>
    <row r="480">
      <c r="BA480" s="732" t="n"/>
      <c r="BB480" s="732" t="n"/>
      <c r="BC480" s="732" t="n"/>
    </row>
    <row r="481">
      <c r="BA481" s="732" t="n"/>
      <c r="BB481" s="732" t="n"/>
      <c r="BC481" s="732" t="n"/>
    </row>
    <row r="482">
      <c r="BA482" s="732" t="n"/>
      <c r="BB482" s="732" t="n"/>
      <c r="BC482" s="732" t="n"/>
    </row>
    <row r="483">
      <c r="BA483" s="732" t="n"/>
      <c r="BB483" s="732" t="n"/>
      <c r="BC483" s="732" t="n"/>
    </row>
    <row r="484">
      <c r="BA484" s="732" t="n"/>
      <c r="BB484" s="732" t="n"/>
      <c r="BC484" s="732" t="n"/>
    </row>
    <row r="485">
      <c r="BA485" s="732" t="n"/>
      <c r="BB485" s="732" t="n"/>
      <c r="BC485" s="732" t="n"/>
    </row>
    <row r="486">
      <c r="BA486" s="732" t="n"/>
      <c r="BB486" s="732" t="n"/>
      <c r="BC486" s="732" t="n"/>
    </row>
    <row r="487">
      <c r="BA487" s="732" t="n"/>
      <c r="BB487" s="732" t="n"/>
      <c r="BC487" s="732" t="n"/>
    </row>
    <row r="488">
      <c r="BA488" s="732" t="n"/>
      <c r="BB488" s="732" t="n"/>
      <c r="BC488" s="732" t="n"/>
    </row>
    <row r="489">
      <c r="BA489" s="732" t="n"/>
      <c r="BB489" s="732" t="n"/>
      <c r="BC489" s="732" t="n"/>
    </row>
    <row r="490">
      <c r="BA490" s="732" t="n"/>
      <c r="BB490" s="732" t="n"/>
      <c r="BC490" s="732" t="n"/>
    </row>
    <row r="491">
      <c r="BA491" s="732" t="n"/>
      <c r="BB491" s="732" t="n"/>
      <c r="BC491" s="732" t="n"/>
    </row>
    <row r="492">
      <c r="BA492" s="732" t="n"/>
      <c r="BB492" s="732" t="n"/>
      <c r="BC492" s="732" t="n"/>
    </row>
    <row r="493">
      <c r="BA493" s="732" t="n"/>
      <c r="BB493" s="732" t="n"/>
      <c r="BC493" s="732" t="n"/>
    </row>
    <row r="494">
      <c r="BA494" s="732" t="n"/>
      <c r="BB494" s="732" t="n"/>
      <c r="BC494" s="732" t="n"/>
    </row>
    <row r="495">
      <c r="BA495" s="732" t="n"/>
      <c r="BB495" s="732" t="n"/>
      <c r="BC495" s="732" t="n"/>
    </row>
    <row r="496">
      <c r="BA496" s="732" t="n"/>
      <c r="BB496" s="732" t="n"/>
      <c r="BC496" s="732" t="n"/>
    </row>
    <row r="497">
      <c r="BA497" s="732" t="n"/>
      <c r="BB497" s="732" t="n"/>
      <c r="BC497" s="732" t="n"/>
    </row>
    <row r="498">
      <c r="BA498" s="732" t="n"/>
      <c r="BB498" s="732" t="n"/>
      <c r="BC498" s="732" t="n"/>
    </row>
    <row r="499">
      <c r="BA499" s="732" t="n"/>
      <c r="BB499" s="732" t="n"/>
      <c r="BC499" s="732" t="n"/>
    </row>
    <row r="500">
      <c r="BA500" s="732" t="n"/>
      <c r="BB500" s="732" t="n"/>
      <c r="BC500" s="732" t="n"/>
    </row>
    <row r="501">
      <c r="BA501" s="732" t="n"/>
      <c r="BB501" s="732" t="n"/>
      <c r="BC501" s="732" t="n"/>
    </row>
    <row r="502">
      <c r="BA502" s="732" t="n"/>
      <c r="BB502" s="732" t="n"/>
      <c r="BC502" s="732" t="n"/>
    </row>
    <row r="503">
      <c r="BA503" s="732" t="n"/>
      <c r="BB503" s="732" t="n"/>
      <c r="BC503" s="732" t="n"/>
    </row>
    <row r="504">
      <c r="BA504" s="732" t="n"/>
      <c r="BB504" s="732" t="n"/>
      <c r="BC504" s="732" t="n"/>
    </row>
    <row r="505">
      <c r="BA505" s="732" t="n"/>
      <c r="BB505" s="732" t="n"/>
      <c r="BC505" s="732" t="n"/>
    </row>
    <row r="506">
      <c r="BA506" s="732" t="n"/>
      <c r="BB506" s="732" t="n"/>
      <c r="BC506" s="732" t="n"/>
    </row>
    <row r="507">
      <c r="BA507" s="732" t="n"/>
      <c r="BB507" s="732" t="n"/>
      <c r="BC507" s="732" t="n"/>
    </row>
    <row r="508">
      <c r="BA508" s="732" t="n"/>
      <c r="BB508" s="732" t="n"/>
      <c r="BC508" s="732" t="n"/>
    </row>
    <row r="509">
      <c r="BA509" s="732" t="n"/>
      <c r="BB509" s="732" t="n"/>
      <c r="BC509" s="732" t="n"/>
    </row>
    <row r="510">
      <c r="BA510" s="732" t="n"/>
      <c r="BB510" s="732" t="n"/>
      <c r="BC510" s="732" t="n"/>
    </row>
    <row r="511">
      <c r="BA511" s="732" t="n"/>
      <c r="BB511" s="732" t="n"/>
      <c r="BC511" s="732" t="n"/>
    </row>
    <row r="512">
      <c r="BA512" s="732" t="n"/>
      <c r="BB512" s="732" t="n"/>
      <c r="BC512" s="732" t="n"/>
    </row>
    <row r="513">
      <c r="BA513" s="732" t="n"/>
      <c r="BB513" s="732" t="n"/>
      <c r="BC513" s="732" t="n"/>
    </row>
    <row r="514">
      <c r="BA514" s="732" t="n"/>
      <c r="BB514" s="732" t="n"/>
      <c r="BC514" s="732" t="n"/>
    </row>
    <row r="515">
      <c r="BA515" s="732" t="n"/>
      <c r="BB515" s="732" t="n"/>
      <c r="BC515" s="732" t="n"/>
    </row>
    <row r="516">
      <c r="BA516" s="732" t="n"/>
      <c r="BB516" s="732" t="n"/>
      <c r="BC516" s="732" t="n"/>
    </row>
    <row r="517">
      <c r="BA517" s="732" t="n"/>
      <c r="BB517" s="732" t="n"/>
      <c r="BC517" s="732" t="n"/>
    </row>
    <row r="518">
      <c r="BA518" s="732" t="n"/>
      <c r="BB518" s="732" t="n"/>
      <c r="BC518" s="732" t="n"/>
    </row>
    <row r="519">
      <c r="BA519" s="732" t="n"/>
      <c r="BB519" s="732" t="n"/>
      <c r="BC519" s="732" t="n"/>
    </row>
    <row r="520">
      <c r="BA520" s="732" t="n"/>
      <c r="BB520" s="732" t="n"/>
      <c r="BC520" s="732" t="n"/>
    </row>
    <row r="521">
      <c r="BA521" s="732" t="n"/>
      <c r="BB521" s="732" t="n"/>
      <c r="BC521" s="732" t="n"/>
    </row>
    <row r="522">
      <c r="BA522" s="732" t="n"/>
      <c r="BB522" s="732" t="n"/>
      <c r="BC522" s="732" t="n"/>
    </row>
    <row r="523">
      <c r="BA523" s="732" t="n"/>
      <c r="BB523" s="732" t="n"/>
      <c r="BC523" s="732" t="n"/>
    </row>
    <row r="524">
      <c r="BA524" s="732" t="n"/>
      <c r="BB524" s="732" t="n"/>
      <c r="BC524" s="732" t="n"/>
    </row>
    <row r="525">
      <c r="BA525" s="732" t="n"/>
      <c r="BB525" s="732" t="n"/>
      <c r="BC525" s="732" t="n"/>
    </row>
    <row r="526">
      <c r="BA526" s="732" t="n"/>
      <c r="BB526" s="732" t="n"/>
      <c r="BC526" s="732" t="n"/>
    </row>
    <row r="527">
      <c r="BA527" s="732" t="n"/>
      <c r="BB527" s="732" t="n"/>
      <c r="BC527" s="732" t="n"/>
    </row>
    <row r="528">
      <c r="BA528" s="732" t="n"/>
      <c r="BB528" s="732" t="n"/>
      <c r="BC528" s="732" t="n"/>
    </row>
    <row r="529">
      <c r="BA529" s="732" t="n"/>
      <c r="BB529" s="732" t="n"/>
      <c r="BC529" s="732" t="n"/>
    </row>
    <row r="530">
      <c r="BA530" s="732" t="n"/>
      <c r="BB530" s="732" t="n"/>
      <c r="BC530" s="732" t="n"/>
    </row>
    <row r="531">
      <c r="BA531" s="732" t="n"/>
      <c r="BB531" s="732" t="n"/>
      <c r="BC531" s="732" t="n"/>
    </row>
    <row r="532">
      <c r="BA532" s="732" t="n"/>
      <c r="BB532" s="732" t="n"/>
      <c r="BC532" s="732" t="n"/>
    </row>
    <row r="533">
      <c r="BA533" s="732" t="n"/>
      <c r="BB533" s="732" t="n"/>
      <c r="BC533" s="732" t="n"/>
    </row>
    <row r="534">
      <c r="BA534" s="732" t="n"/>
      <c r="BB534" s="732" t="n"/>
      <c r="BC534" s="732" t="n"/>
    </row>
    <row r="535">
      <c r="BA535" s="732" t="n"/>
      <c r="BB535" s="732" t="n"/>
      <c r="BC535" s="732" t="n"/>
    </row>
    <row r="536">
      <c r="BA536" s="732" t="n"/>
      <c r="BB536" s="732" t="n"/>
      <c r="BC536" s="732" t="n"/>
    </row>
    <row r="537">
      <c r="BA537" s="732" t="n"/>
      <c r="BB537" s="732" t="n"/>
      <c r="BC537" s="732" t="n"/>
    </row>
    <row r="538">
      <c r="BA538" s="732" t="n"/>
      <c r="BB538" s="732" t="n"/>
      <c r="BC538" s="732" t="n"/>
    </row>
    <row r="539">
      <c r="BA539" s="732" t="n"/>
      <c r="BB539" s="732" t="n"/>
      <c r="BC539" s="732" t="n"/>
    </row>
    <row r="540">
      <c r="BA540" s="732" t="n"/>
      <c r="BB540" s="732" t="n"/>
      <c r="BC540" s="732" t="n"/>
    </row>
    <row r="541">
      <c r="BA541" s="732" t="n"/>
      <c r="BB541" s="732" t="n"/>
      <c r="BC541" s="732" t="n"/>
    </row>
    <row r="542">
      <c r="BA542" s="732" t="n"/>
      <c r="BB542" s="732" t="n"/>
      <c r="BC542" s="732" t="n"/>
    </row>
    <row r="543">
      <c r="BA543" s="732" t="n"/>
      <c r="BB543" s="732" t="n"/>
      <c r="BC543" s="732" t="n"/>
    </row>
    <row r="544">
      <c r="BA544" s="732" t="n"/>
      <c r="BB544" s="732" t="n"/>
      <c r="BC544" s="732" t="n"/>
    </row>
    <row r="545">
      <c r="BA545" s="732" t="n"/>
      <c r="BB545" s="732" t="n"/>
      <c r="BC545" s="732" t="n"/>
    </row>
    <row r="546">
      <c r="BA546" s="732" t="n"/>
      <c r="BB546" s="732" t="n"/>
      <c r="BC546" s="732" t="n"/>
    </row>
    <row r="547">
      <c r="BA547" s="732" t="n"/>
      <c r="BB547" s="732" t="n"/>
      <c r="BC547" s="732" t="n"/>
    </row>
    <row r="548">
      <c r="BA548" s="732" t="n"/>
      <c r="BB548" s="732" t="n"/>
      <c r="BC548" s="732" t="n"/>
    </row>
    <row r="549">
      <c r="BA549" s="732" t="n"/>
      <c r="BB549" s="732" t="n"/>
      <c r="BC549" s="732" t="n"/>
    </row>
    <row r="550">
      <c r="BA550" s="732" t="n"/>
      <c r="BB550" s="732" t="n"/>
      <c r="BC550" s="732" t="n"/>
    </row>
    <row r="551">
      <c r="BA551" s="732" t="n"/>
      <c r="BB551" s="732" t="n"/>
      <c r="BC551" s="732" t="n"/>
    </row>
    <row r="552">
      <c r="BA552" s="732" t="n"/>
      <c r="BB552" s="732" t="n"/>
      <c r="BC552" s="732" t="n"/>
    </row>
    <row r="553">
      <c r="BA553" s="732" t="n"/>
      <c r="BB553" s="732" t="n"/>
      <c r="BC553" s="732" t="n"/>
    </row>
    <row r="554">
      <c r="BA554" s="732" t="n"/>
      <c r="BB554" s="732" t="n"/>
      <c r="BC554" s="732" t="n"/>
    </row>
    <row r="555">
      <c r="BA555" s="732" t="n"/>
      <c r="BB555" s="732" t="n"/>
      <c r="BC555" s="732" t="n"/>
    </row>
    <row r="556">
      <c r="BA556" s="732" t="n"/>
      <c r="BB556" s="732" t="n"/>
      <c r="BC556" s="732" t="n"/>
    </row>
    <row r="557">
      <c r="BA557" s="732" t="n"/>
      <c r="BB557" s="732" t="n"/>
      <c r="BC557" s="732" t="n"/>
    </row>
    <row r="558">
      <c r="BA558" s="732" t="n"/>
      <c r="BB558" s="732" t="n"/>
      <c r="BC558" s="732" t="n"/>
    </row>
    <row r="559">
      <c r="BA559" s="732" t="n"/>
      <c r="BB559" s="732" t="n"/>
      <c r="BC559" s="732" t="n"/>
    </row>
    <row r="560">
      <c r="BA560" s="732" t="n"/>
      <c r="BB560" s="732" t="n"/>
      <c r="BC560" s="732" t="n"/>
    </row>
    <row r="561">
      <c r="BA561" s="732" t="n"/>
      <c r="BB561" s="732" t="n"/>
      <c r="BC561" s="732" t="n"/>
    </row>
    <row r="562">
      <c r="BA562" s="732" t="n"/>
      <c r="BB562" s="732" t="n"/>
      <c r="BC562" s="732" t="n"/>
    </row>
    <row r="563">
      <c r="BA563" s="732" t="n"/>
      <c r="BB563" s="732" t="n"/>
      <c r="BC563" s="732" t="n"/>
    </row>
    <row r="564">
      <c r="BA564" s="732" t="n"/>
      <c r="BB564" s="732" t="n"/>
      <c r="BC564" s="732" t="n"/>
    </row>
    <row r="565">
      <c r="BA565" s="732" t="n"/>
      <c r="BB565" s="732" t="n"/>
      <c r="BC565" s="732" t="n"/>
    </row>
    <row r="566">
      <c r="BA566" s="732" t="n"/>
      <c r="BB566" s="732" t="n"/>
      <c r="BC566" s="732" t="n"/>
    </row>
    <row r="567">
      <c r="BA567" s="732" t="n"/>
      <c r="BB567" s="732" t="n"/>
      <c r="BC567" s="732" t="n"/>
    </row>
    <row r="568">
      <c r="BA568" s="732" t="n"/>
      <c r="BB568" s="732" t="n"/>
      <c r="BC568" s="732" t="n"/>
    </row>
    <row r="569">
      <c r="BA569" s="732" t="n"/>
      <c r="BB569" s="732" t="n"/>
      <c r="BC569" s="732" t="n"/>
    </row>
    <row r="570">
      <c r="BA570" s="732" t="n"/>
      <c r="BB570" s="732" t="n"/>
      <c r="BC570" s="732" t="n"/>
    </row>
    <row r="571">
      <c r="BA571" s="732" t="n"/>
      <c r="BB571" s="732" t="n"/>
      <c r="BC571" s="732" t="n"/>
    </row>
    <row r="572">
      <c r="BA572" s="732" t="n"/>
      <c r="BB572" s="732" t="n"/>
      <c r="BC572" s="732" t="n"/>
    </row>
    <row r="573">
      <c r="BA573" s="732" t="n"/>
      <c r="BB573" s="732" t="n"/>
      <c r="BC573" s="732" t="n"/>
    </row>
    <row r="574">
      <c r="BA574" s="732" t="n"/>
      <c r="BB574" s="732" t="n"/>
      <c r="BC574" s="732" t="n"/>
    </row>
    <row r="575">
      <c r="BA575" s="732" t="n"/>
      <c r="BB575" s="732" t="n"/>
      <c r="BC575" s="732" t="n"/>
    </row>
    <row r="576">
      <c r="BA576" s="732" t="n"/>
      <c r="BB576" s="732" t="n"/>
      <c r="BC576" s="732" t="n"/>
    </row>
    <row r="577">
      <c r="BA577" s="732" t="n"/>
      <c r="BB577" s="732" t="n"/>
      <c r="BC577" s="732" t="n"/>
    </row>
    <row r="578">
      <c r="BA578" s="732" t="n"/>
      <c r="BB578" s="732" t="n"/>
      <c r="BC578" s="732" t="n"/>
    </row>
    <row r="579">
      <c r="BA579" s="732" t="n"/>
      <c r="BB579" s="732" t="n"/>
      <c r="BC579" s="732" t="n"/>
    </row>
    <row r="580">
      <c r="BA580" s="732" t="n"/>
      <c r="BB580" s="732" t="n"/>
      <c r="BC580" s="732" t="n"/>
    </row>
    <row r="581">
      <c r="BA581" s="732" t="n"/>
      <c r="BB581" s="732" t="n"/>
      <c r="BC581" s="732" t="n"/>
    </row>
    <row r="582">
      <c r="BA582" s="732" t="n"/>
      <c r="BB582" s="732" t="n"/>
      <c r="BC582" s="732" t="n"/>
    </row>
    <row r="583">
      <c r="BA583" s="732" t="n"/>
      <c r="BB583" s="732" t="n"/>
      <c r="BC583" s="732" t="n"/>
    </row>
    <row r="584">
      <c r="BA584" s="732" t="n"/>
      <c r="BB584" s="732" t="n"/>
      <c r="BC584" s="732" t="n"/>
    </row>
    <row r="585">
      <c r="BA585" s="732" t="n"/>
      <c r="BB585" s="732" t="n"/>
      <c r="BC585" s="732" t="n"/>
    </row>
    <row r="586">
      <c r="BA586" s="732" t="n"/>
      <c r="BB586" s="732" t="n"/>
      <c r="BC586" s="732" t="n"/>
    </row>
    <row r="587">
      <c r="BA587" s="732" t="n"/>
      <c r="BB587" s="732" t="n"/>
      <c r="BC587" s="732" t="n"/>
    </row>
    <row r="588">
      <c r="BA588" s="732" t="n"/>
      <c r="BB588" s="732" t="n"/>
      <c r="BC588" s="732" t="n"/>
    </row>
    <row r="589">
      <c r="BA589" s="732" t="n"/>
      <c r="BB589" s="732" t="n"/>
      <c r="BC589" s="732" t="n"/>
    </row>
    <row r="590">
      <c r="BA590" s="732" t="n"/>
      <c r="BB590" s="732" t="n"/>
      <c r="BC590" s="732" t="n"/>
    </row>
    <row r="591">
      <c r="BA591" s="732" t="n"/>
      <c r="BB591" s="732" t="n"/>
      <c r="BC591" s="732" t="n"/>
    </row>
    <row r="592">
      <c r="BA592" s="732" t="n"/>
      <c r="BB592" s="732" t="n"/>
      <c r="BC592" s="732" t="n"/>
    </row>
    <row r="593">
      <c r="BA593" s="732" t="n"/>
      <c r="BB593" s="732" t="n"/>
      <c r="BC593" s="732" t="n"/>
    </row>
    <row r="594">
      <c r="BA594" s="732" t="n"/>
      <c r="BB594" s="732" t="n"/>
      <c r="BC594" s="732" t="n"/>
    </row>
    <row r="595">
      <c r="BA595" s="732" t="n"/>
      <c r="BB595" s="732" t="n"/>
      <c r="BC595" s="732" t="n"/>
    </row>
    <row r="596">
      <c r="BA596" s="732" t="n"/>
      <c r="BB596" s="732" t="n"/>
      <c r="BC596" s="732" t="n"/>
    </row>
    <row r="597">
      <c r="BA597" s="732" t="n"/>
      <c r="BB597" s="732" t="n"/>
      <c r="BC597" s="732" t="n"/>
    </row>
    <row r="598">
      <c r="BA598" s="732" t="n"/>
      <c r="BB598" s="732" t="n"/>
      <c r="BC598" s="732" t="n"/>
    </row>
    <row r="599">
      <c r="BA599" s="732" t="n"/>
      <c r="BB599" s="732" t="n"/>
      <c r="BC599" s="732" t="n"/>
    </row>
    <row r="600">
      <c r="BA600" s="732" t="n"/>
      <c r="BB600" s="732" t="n"/>
      <c r="BC600" s="732" t="n"/>
    </row>
    <row r="601">
      <c r="BA601" s="732" t="n"/>
      <c r="BB601" s="732" t="n"/>
      <c r="BC601" s="732" t="n"/>
    </row>
    <row r="602">
      <c r="BA602" s="732" t="n"/>
      <c r="BB602" s="732" t="n"/>
      <c r="BC602" s="732" t="n"/>
    </row>
    <row r="603">
      <c r="BA603" s="732" t="n"/>
      <c r="BB603" s="732" t="n"/>
      <c r="BC603" s="732" t="n"/>
    </row>
    <row r="604">
      <c r="BA604" s="732" t="n"/>
      <c r="BB604" s="732" t="n"/>
      <c r="BC604" s="732" t="n"/>
    </row>
    <row r="605">
      <c r="BA605" s="732" t="n"/>
      <c r="BB605" s="732" t="n"/>
      <c r="BC605" s="732" t="n"/>
    </row>
    <row r="606">
      <c r="BA606" s="732" t="n"/>
      <c r="BB606" s="732" t="n"/>
      <c r="BC606" s="732" t="n"/>
    </row>
    <row r="607">
      <c r="BA607" s="732" t="n"/>
      <c r="BB607" s="732" t="n"/>
      <c r="BC607" s="732" t="n"/>
    </row>
    <row r="608">
      <c r="BA608" s="732" t="n"/>
      <c r="BB608" s="732" t="n"/>
      <c r="BC608" s="732" t="n"/>
    </row>
    <row r="609">
      <c r="BA609" s="732" t="n"/>
      <c r="BB609" s="732" t="n"/>
      <c r="BC609" s="732" t="n"/>
    </row>
    <row r="610">
      <c r="BA610" s="732" t="n"/>
      <c r="BB610" s="732" t="n"/>
      <c r="BC610" s="732" t="n"/>
    </row>
    <row r="611">
      <c r="BA611" s="732" t="n"/>
      <c r="BB611" s="732" t="n"/>
      <c r="BC611" s="732" t="n"/>
    </row>
    <row r="612">
      <c r="BA612" s="732" t="n"/>
      <c r="BB612" s="732" t="n"/>
      <c r="BC612" s="732" t="n"/>
    </row>
    <row r="613">
      <c r="BA613" s="732" t="n"/>
      <c r="BB613" s="732" t="n"/>
      <c r="BC613" s="732" t="n"/>
    </row>
    <row r="614">
      <c r="BA614" s="732" t="n"/>
      <c r="BB614" s="732" t="n"/>
      <c r="BC614" s="732" t="n"/>
    </row>
    <row r="615">
      <c r="BA615" s="732" t="n"/>
      <c r="BB615" s="732" t="n"/>
      <c r="BC615" s="732" t="n"/>
    </row>
    <row r="616">
      <c r="BA616" s="732" t="n"/>
      <c r="BB616" s="732" t="n"/>
      <c r="BC616" s="732" t="n"/>
    </row>
    <row r="617">
      <c r="BA617" s="732" t="n"/>
      <c r="BB617" s="732" t="n"/>
      <c r="BC617" s="732" t="n"/>
    </row>
    <row r="618">
      <c r="BA618" s="732" t="n"/>
      <c r="BB618" s="732" t="n"/>
      <c r="BC618" s="732" t="n"/>
    </row>
    <row r="619">
      <c r="BA619" s="732" t="n"/>
      <c r="BB619" s="732" t="n"/>
      <c r="BC619" s="732" t="n"/>
    </row>
    <row r="620">
      <c r="BA620" s="732" t="n"/>
      <c r="BB620" s="732" t="n"/>
      <c r="BC620" s="732" t="n"/>
    </row>
    <row r="621">
      <c r="BA621" s="732" t="n"/>
      <c r="BB621" s="732" t="n"/>
      <c r="BC621" s="732" t="n"/>
    </row>
    <row r="622">
      <c r="BA622" s="732" t="n"/>
      <c r="BB622" s="732" t="n"/>
      <c r="BC622" s="732" t="n"/>
    </row>
    <row r="623">
      <c r="BA623" s="732" t="n"/>
      <c r="BB623" s="732" t="n"/>
      <c r="BC623" s="732" t="n"/>
    </row>
    <row r="624">
      <c r="BA624" s="732" t="n"/>
      <c r="BB624" s="732" t="n"/>
      <c r="BC624" s="732" t="n"/>
    </row>
    <row r="625">
      <c r="BA625" s="732" t="n"/>
      <c r="BB625" s="732" t="n"/>
      <c r="BC625" s="732" t="n"/>
    </row>
    <row r="626">
      <c r="BA626" s="732" t="n"/>
      <c r="BB626" s="732" t="n"/>
      <c r="BC626" s="732" t="n"/>
    </row>
    <row r="627">
      <c r="BA627" s="732" t="n"/>
      <c r="BB627" s="732" t="n"/>
      <c r="BC627" s="732" t="n"/>
    </row>
    <row r="628">
      <c r="BA628" s="732" t="n"/>
      <c r="BB628" s="732" t="n"/>
      <c r="BC628" s="732" t="n"/>
    </row>
    <row r="629">
      <c r="BA629" s="732" t="n"/>
      <c r="BB629" s="732" t="n"/>
      <c r="BC629" s="732" t="n"/>
    </row>
    <row r="630">
      <c r="BA630" s="732" t="n"/>
      <c r="BB630" s="732" t="n"/>
      <c r="BC630" s="732" t="n"/>
    </row>
    <row r="631">
      <c r="BA631" s="732" t="n"/>
      <c r="BB631" s="732" t="n"/>
      <c r="BC631" s="732" t="n"/>
    </row>
    <row r="632">
      <c r="BA632" s="732" t="n"/>
      <c r="BB632" s="732" t="n"/>
      <c r="BC632" s="732" t="n"/>
    </row>
    <row r="633">
      <c r="BA633" s="732" t="n"/>
      <c r="BB633" s="732" t="n"/>
      <c r="BC633" s="732" t="n"/>
    </row>
    <row r="634">
      <c r="BA634" s="732" t="n"/>
      <c r="BB634" s="732" t="n"/>
      <c r="BC634" s="732" t="n"/>
    </row>
    <row r="635">
      <c r="BA635" s="732" t="n"/>
      <c r="BB635" s="732" t="n"/>
      <c r="BC635" s="732" t="n"/>
    </row>
    <row r="636">
      <c r="BA636" s="732" t="n"/>
      <c r="BB636" s="732" t="n"/>
      <c r="BC636" s="732" t="n"/>
    </row>
    <row r="637">
      <c r="BA637" s="732" t="n"/>
      <c r="BB637" s="732" t="n"/>
      <c r="BC637" s="732" t="n"/>
    </row>
    <row r="638">
      <c r="BA638" s="732" t="n"/>
      <c r="BB638" s="732" t="n"/>
      <c r="BC638" s="732" t="n"/>
    </row>
    <row r="639">
      <c r="BA639" s="732" t="n"/>
      <c r="BB639" s="732" t="n"/>
      <c r="BC639" s="732" t="n"/>
    </row>
    <row r="640">
      <c r="BA640" s="732" t="n"/>
      <c r="BB640" s="732" t="n"/>
      <c r="BC640" s="732" t="n"/>
    </row>
    <row r="641">
      <c r="BA641" s="732" t="n"/>
      <c r="BB641" s="732" t="n"/>
      <c r="BC641" s="732" t="n"/>
    </row>
    <row r="642">
      <c r="BA642" s="732" t="n"/>
      <c r="BB642" s="732" t="n"/>
      <c r="BC642" s="732" t="n"/>
    </row>
    <row r="643">
      <c r="BA643" s="732" t="n"/>
      <c r="BB643" s="732" t="n"/>
      <c r="BC643" s="732" t="n"/>
    </row>
    <row r="644">
      <c r="BA644" s="732" t="n"/>
      <c r="BB644" s="732" t="n"/>
      <c r="BC644" s="732" t="n"/>
    </row>
    <row r="645">
      <c r="BA645" s="732" t="n"/>
      <c r="BB645" s="732" t="n"/>
      <c r="BC645" s="732" t="n"/>
    </row>
    <row r="646">
      <c r="BA646" s="732" t="n"/>
      <c r="BB646" s="732" t="n"/>
      <c r="BC646" s="732" t="n"/>
    </row>
    <row r="647">
      <c r="BA647" s="732" t="n"/>
      <c r="BB647" s="732" t="n"/>
      <c r="BC647" s="732" t="n"/>
    </row>
    <row r="648">
      <c r="BA648" s="732" t="n"/>
      <c r="BB648" s="732" t="n"/>
      <c r="BC648" s="732" t="n"/>
    </row>
    <row r="649">
      <c r="BA649" s="732" t="n"/>
      <c r="BB649" s="732" t="n"/>
      <c r="BC649" s="732" t="n"/>
    </row>
    <row r="650">
      <c r="BA650" s="732" t="n"/>
      <c r="BB650" s="732" t="n"/>
      <c r="BC650" s="732" t="n"/>
    </row>
    <row r="651">
      <c r="BA651" s="732" t="n"/>
      <c r="BB651" s="732" t="n"/>
      <c r="BC651" s="732" t="n"/>
    </row>
    <row r="652">
      <c r="BA652" s="732" t="n"/>
      <c r="BB652" s="732" t="n"/>
      <c r="BC652" s="732" t="n"/>
    </row>
    <row r="653">
      <c r="BA653" s="732" t="n"/>
      <c r="BB653" s="732" t="n"/>
      <c r="BC653" s="732" t="n"/>
    </row>
    <row r="654">
      <c r="BA654" s="732" t="n"/>
      <c r="BB654" s="732" t="n"/>
      <c r="BC654" s="732" t="n"/>
    </row>
    <row r="655">
      <c r="BA655" s="732" t="n"/>
      <c r="BB655" s="732" t="n"/>
      <c r="BC655" s="732" t="n"/>
    </row>
    <row r="656">
      <c r="BA656" s="732" t="n"/>
      <c r="BB656" s="732" t="n"/>
      <c r="BC656" s="732" t="n"/>
    </row>
    <row r="657">
      <c r="BA657" s="732" t="n"/>
      <c r="BB657" s="732" t="n"/>
      <c r="BC657" s="732" t="n"/>
    </row>
    <row r="658">
      <c r="BA658" s="732" t="n"/>
      <c r="BB658" s="732" t="n"/>
      <c r="BC658" s="732" t="n"/>
    </row>
    <row r="659">
      <c r="BA659" s="732" t="n"/>
      <c r="BB659" s="732" t="n"/>
      <c r="BC659" s="732" t="n"/>
    </row>
    <row r="660">
      <c r="BA660" s="732" t="n"/>
      <c r="BB660" s="732" t="n"/>
      <c r="BC660" s="732" t="n"/>
    </row>
    <row r="661">
      <c r="BA661" s="732" t="n"/>
      <c r="BB661" s="732" t="n"/>
      <c r="BC661" s="732" t="n"/>
    </row>
    <row r="662">
      <c r="BA662" s="732" t="n"/>
      <c r="BB662" s="732" t="n"/>
      <c r="BC662" s="732" t="n"/>
    </row>
    <row r="663">
      <c r="BA663" s="732" t="n"/>
      <c r="BB663" s="732" t="n"/>
      <c r="BC663" s="732" t="n"/>
    </row>
    <row r="664">
      <c r="BA664" s="732" t="n"/>
      <c r="BB664" s="732" t="n"/>
      <c r="BC664" s="732" t="n"/>
    </row>
    <row r="665">
      <c r="BA665" s="732" t="n"/>
      <c r="BB665" s="732" t="n"/>
      <c r="BC665" s="732" t="n"/>
    </row>
    <row r="666">
      <c r="BA666" s="732" t="n"/>
      <c r="BB666" s="732" t="n"/>
      <c r="BC666" s="732" t="n"/>
    </row>
    <row r="667">
      <c r="BA667" s="732" t="n"/>
      <c r="BB667" s="732" t="n"/>
      <c r="BC667" s="732" t="n"/>
    </row>
    <row r="668">
      <c r="BA668" s="732" t="n"/>
      <c r="BB668" s="732" t="n"/>
      <c r="BC668" s="732" t="n"/>
    </row>
    <row r="669">
      <c r="BA669" s="732" t="n"/>
      <c r="BB669" s="732" t="n"/>
      <c r="BC669" s="732" t="n"/>
    </row>
    <row r="670">
      <c r="BA670" s="732" t="n"/>
      <c r="BB670" s="732" t="n"/>
      <c r="BC670" s="732" t="n"/>
    </row>
    <row r="671">
      <c r="BA671" s="732" t="n"/>
      <c r="BB671" s="732" t="n"/>
      <c r="BC671" s="732" t="n"/>
    </row>
    <row r="672">
      <c r="BA672" s="732" t="n"/>
      <c r="BB672" s="732" t="n"/>
      <c r="BC672" s="732" t="n"/>
    </row>
    <row r="673">
      <c r="BA673" s="732" t="n"/>
      <c r="BB673" s="732" t="n"/>
      <c r="BC673" s="732" t="n"/>
    </row>
    <row r="674">
      <c r="BA674" s="732" t="n"/>
      <c r="BB674" s="732" t="n"/>
      <c r="BC674" s="732" t="n"/>
    </row>
    <row r="675">
      <c r="BA675" s="732" t="n"/>
      <c r="BB675" s="732" t="n"/>
      <c r="BC675" s="732" t="n"/>
    </row>
    <row r="676">
      <c r="BA676" s="732" t="n"/>
      <c r="BB676" s="732" t="n"/>
      <c r="BC676" s="732" t="n"/>
    </row>
    <row r="677">
      <c r="BA677" s="732" t="n"/>
      <c r="BB677" s="732" t="n"/>
      <c r="BC677" s="732" t="n"/>
    </row>
    <row r="678">
      <c r="BA678" s="732" t="n"/>
      <c r="BB678" s="732" t="n"/>
      <c r="BC678" s="732" t="n"/>
    </row>
    <row r="679">
      <c r="BA679" s="732" t="n"/>
      <c r="BB679" s="732" t="n"/>
      <c r="BC679" s="732" t="n"/>
    </row>
    <row r="680">
      <c r="BA680" s="732" t="n"/>
      <c r="BB680" s="732" t="n"/>
      <c r="BC680" s="732" t="n"/>
    </row>
    <row r="681">
      <c r="BA681" s="732" t="n"/>
      <c r="BB681" s="732" t="n"/>
      <c r="BC681" s="732" t="n"/>
    </row>
    <row r="682">
      <c r="BA682" s="732" t="n"/>
      <c r="BB682" s="732" t="n"/>
      <c r="BC682" s="732" t="n"/>
    </row>
    <row r="683">
      <c r="BA683" s="732" t="n"/>
      <c r="BB683" s="732" t="n"/>
      <c r="BC683" s="732" t="n"/>
    </row>
    <row r="684">
      <c r="BA684" s="732" t="n"/>
      <c r="BB684" s="732" t="n"/>
      <c r="BC684" s="732" t="n"/>
    </row>
    <row r="685">
      <c r="BA685" s="732" t="n"/>
      <c r="BB685" s="732" t="n"/>
      <c r="BC685" s="732" t="n"/>
    </row>
    <row r="686">
      <c r="BA686" s="732" t="n"/>
      <c r="BB686" s="732" t="n"/>
      <c r="BC686" s="732" t="n"/>
    </row>
    <row r="687">
      <c r="BA687" s="732" t="n"/>
      <c r="BB687" s="732" t="n"/>
      <c r="BC687" s="732" t="n"/>
    </row>
    <row r="688">
      <c r="BA688" s="732" t="n"/>
      <c r="BB688" s="732" t="n"/>
      <c r="BC688" s="732" t="n"/>
    </row>
    <row r="689">
      <c r="BA689" s="732" t="n"/>
      <c r="BB689" s="732" t="n"/>
      <c r="BC689" s="732" t="n"/>
    </row>
    <row r="690">
      <c r="BA690" s="732" t="n"/>
      <c r="BB690" s="732" t="n"/>
      <c r="BC690" s="732" t="n"/>
    </row>
    <row r="691">
      <c r="BA691" s="732" t="n"/>
      <c r="BB691" s="732" t="n"/>
      <c r="BC691" s="732" t="n"/>
    </row>
    <row r="692">
      <c r="BA692" s="732" t="n"/>
      <c r="BB692" s="732" t="n"/>
      <c r="BC692" s="732" t="n"/>
    </row>
    <row r="693">
      <c r="BA693" s="732" t="n"/>
      <c r="BB693" s="732" t="n"/>
      <c r="BC693" s="732" t="n"/>
    </row>
    <row r="694">
      <c r="BA694" s="732" t="n"/>
      <c r="BB694" s="732" t="n"/>
      <c r="BC694" s="732" t="n"/>
    </row>
    <row r="695">
      <c r="BA695" s="732" t="n"/>
      <c r="BB695" s="732" t="n"/>
      <c r="BC695" s="732" t="n"/>
    </row>
    <row r="696">
      <c r="BA696" s="732" t="n"/>
      <c r="BB696" s="732" t="n"/>
      <c r="BC696" s="732" t="n"/>
    </row>
    <row r="697">
      <c r="BA697" s="732" t="n"/>
      <c r="BB697" s="732" t="n"/>
      <c r="BC697" s="732" t="n"/>
    </row>
    <row r="698">
      <c r="BA698" s="732" t="n"/>
      <c r="BB698" s="732" t="n"/>
      <c r="BC698" s="732" t="n"/>
    </row>
    <row r="699">
      <c r="BA699" s="732" t="n"/>
      <c r="BB699" s="732" t="n"/>
      <c r="BC699" s="732" t="n"/>
    </row>
    <row r="700">
      <c r="BA700" s="732" t="n"/>
      <c r="BB700" s="732" t="n"/>
      <c r="BC700" s="732" t="n"/>
    </row>
    <row r="701">
      <c r="BA701" s="732" t="n"/>
      <c r="BB701" s="732" t="n"/>
      <c r="BC701" s="732" t="n"/>
    </row>
    <row r="702">
      <c r="BA702" s="732" t="n"/>
      <c r="BB702" s="732" t="n"/>
      <c r="BC702" s="732" t="n"/>
    </row>
    <row r="703">
      <c r="BA703" s="732" t="n"/>
      <c r="BB703" s="732" t="n"/>
      <c r="BC703" s="732" t="n"/>
    </row>
    <row r="704">
      <c r="BA704" s="732" t="n"/>
      <c r="BB704" s="732" t="n"/>
      <c r="BC704" s="732" t="n"/>
    </row>
    <row r="705">
      <c r="BA705" s="732" t="n"/>
      <c r="BB705" s="732" t="n"/>
      <c r="BC705" s="732" t="n"/>
    </row>
    <row r="706">
      <c r="BA706" s="732" t="n"/>
      <c r="BB706" s="732" t="n"/>
      <c r="BC706" s="732" t="n"/>
    </row>
    <row r="707">
      <c r="BA707" s="732" t="n"/>
      <c r="BB707" s="732" t="n"/>
      <c r="BC707" s="732" t="n"/>
    </row>
    <row r="708">
      <c r="BA708" s="732" t="n"/>
      <c r="BB708" s="732" t="n"/>
      <c r="BC708" s="732" t="n"/>
    </row>
    <row r="709">
      <c r="BA709" s="732" t="n"/>
      <c r="BB709" s="732" t="n"/>
      <c r="BC709" s="732" t="n"/>
    </row>
    <row r="710">
      <c r="BA710" s="732" t="n"/>
      <c r="BB710" s="732" t="n"/>
      <c r="BC710" s="732" t="n"/>
    </row>
    <row r="711">
      <c r="BA711" s="732" t="n"/>
      <c r="BB711" s="732" t="n"/>
      <c r="BC711" s="732" t="n"/>
    </row>
    <row r="712">
      <c r="BA712" s="732" t="n"/>
      <c r="BB712" s="732" t="n"/>
      <c r="BC712" s="732" t="n"/>
    </row>
    <row r="713">
      <c r="BA713" s="732" t="n"/>
      <c r="BB713" s="732" t="n"/>
      <c r="BC713" s="732" t="n"/>
    </row>
    <row r="714">
      <c r="BA714" s="732" t="n"/>
      <c r="BB714" s="732" t="n"/>
      <c r="BC714" s="732" t="n"/>
    </row>
    <row r="715">
      <c r="BA715" s="732" t="n"/>
      <c r="BB715" s="732" t="n"/>
      <c r="BC715" s="732" t="n"/>
    </row>
    <row r="716">
      <c r="BA716" s="732" t="n"/>
      <c r="BB716" s="732" t="n"/>
      <c r="BC716" s="732" t="n"/>
    </row>
    <row r="717">
      <c r="BA717" s="732" t="n"/>
      <c r="BB717" s="732" t="n"/>
      <c r="BC717" s="732" t="n"/>
    </row>
    <row r="718">
      <c r="BA718" s="732" t="n"/>
      <c r="BB718" s="732" t="n"/>
      <c r="BC718" s="732" t="n"/>
    </row>
    <row r="719">
      <c r="BA719" s="732" t="n"/>
      <c r="BB719" s="732" t="n"/>
      <c r="BC719" s="732" t="n"/>
    </row>
    <row r="720">
      <c r="BA720" s="732" t="n"/>
      <c r="BB720" s="732" t="n"/>
      <c r="BC720" s="732" t="n"/>
    </row>
    <row r="721">
      <c r="BA721" s="732" t="n"/>
      <c r="BB721" s="732" t="n"/>
      <c r="BC721" s="732" t="n"/>
    </row>
    <row r="722">
      <c r="BA722" s="732" t="n"/>
      <c r="BB722" s="732" t="n"/>
      <c r="BC722" s="732" t="n"/>
    </row>
    <row r="723">
      <c r="BA723" s="732" t="n"/>
      <c r="BB723" s="732" t="n"/>
      <c r="BC723" s="732" t="n"/>
    </row>
    <row r="724">
      <c r="BA724" s="732" t="n"/>
      <c r="BB724" s="732" t="n"/>
      <c r="BC724" s="732" t="n"/>
    </row>
    <row r="725">
      <c r="BA725" s="732" t="n"/>
      <c r="BB725" s="732" t="n"/>
      <c r="BC725" s="732" t="n"/>
    </row>
    <row r="726">
      <c r="BA726" s="732" t="n"/>
      <c r="BB726" s="732" t="n"/>
      <c r="BC726" s="732" t="n"/>
    </row>
    <row r="727">
      <c r="BA727" s="732" t="n"/>
      <c r="BB727" s="732" t="n"/>
      <c r="BC727" s="732" t="n"/>
    </row>
    <row r="728">
      <c r="BA728" s="732" t="n"/>
      <c r="BB728" s="732" t="n"/>
      <c r="BC728" s="732" t="n"/>
    </row>
    <row r="729">
      <c r="BA729" s="732" t="n"/>
      <c r="BB729" s="732" t="n"/>
      <c r="BC729" s="732" t="n"/>
    </row>
    <row r="730">
      <c r="BA730" s="732" t="n"/>
      <c r="BB730" s="732" t="n"/>
      <c r="BC730" s="732" t="n"/>
    </row>
    <row r="731">
      <c r="BA731" s="732" t="n"/>
      <c r="BB731" s="732" t="n"/>
      <c r="BC731" s="732" t="n"/>
    </row>
    <row r="732">
      <c r="BA732" s="732" t="n"/>
      <c r="BB732" s="732" t="n"/>
      <c r="BC732" s="732" t="n"/>
    </row>
    <row r="733">
      <c r="BA733" s="732" t="n"/>
      <c r="BB733" s="732" t="n"/>
      <c r="BC733" s="732" t="n"/>
    </row>
    <row r="734">
      <c r="BA734" s="732" t="n"/>
      <c r="BB734" s="732" t="n"/>
      <c r="BC734" s="732" t="n"/>
    </row>
    <row r="735">
      <c r="BA735" s="732" t="n"/>
      <c r="BB735" s="732" t="n"/>
      <c r="BC735" s="732" t="n"/>
    </row>
    <row r="736">
      <c r="BA736" s="732" t="n"/>
      <c r="BB736" s="732" t="n"/>
      <c r="BC736" s="732" t="n"/>
    </row>
    <row r="737">
      <c r="BA737" s="732" t="n"/>
      <c r="BB737" s="732" t="n"/>
      <c r="BC737" s="732" t="n"/>
    </row>
    <row r="738">
      <c r="BA738" s="732" t="n"/>
      <c r="BB738" s="732" t="n"/>
      <c r="BC738" s="732" t="n"/>
    </row>
    <row r="739">
      <c r="BA739" s="732" t="n"/>
      <c r="BB739" s="732" t="n"/>
      <c r="BC739" s="732" t="n"/>
    </row>
    <row r="740">
      <c r="BA740" s="732" t="n"/>
      <c r="BB740" s="732" t="n"/>
      <c r="BC740" s="732" t="n"/>
    </row>
    <row r="741">
      <c r="BA741" s="732" t="n"/>
      <c r="BB741" s="732" t="n"/>
      <c r="BC741" s="732" t="n"/>
    </row>
    <row r="742">
      <c r="BA742" s="732" t="n"/>
      <c r="BB742" s="732" t="n"/>
      <c r="BC742" s="732" t="n"/>
    </row>
    <row r="743">
      <c r="BA743" s="732" t="n"/>
      <c r="BB743" s="732" t="n"/>
      <c r="BC743" s="732" t="n"/>
    </row>
    <row r="744">
      <c r="BA744" s="732" t="n"/>
      <c r="BB744" s="732" t="n"/>
      <c r="BC744" s="732" t="n"/>
    </row>
    <row r="745">
      <c r="BA745" s="732" t="n"/>
      <c r="BB745" s="732" t="n"/>
      <c r="BC745" s="732" t="n"/>
    </row>
    <row r="746">
      <c r="BA746" s="732" t="n"/>
      <c r="BB746" s="732" t="n"/>
      <c r="BC746" s="732" t="n"/>
    </row>
    <row r="747">
      <c r="BA747" s="732" t="n"/>
      <c r="BB747" s="732" t="n"/>
      <c r="BC747" s="732" t="n"/>
    </row>
    <row r="748">
      <c r="BA748" s="732" t="n"/>
      <c r="BB748" s="732" t="n"/>
      <c r="BC748" s="732" t="n"/>
    </row>
    <row r="749">
      <c r="BA749" s="732" t="n"/>
      <c r="BB749" s="732" t="n"/>
      <c r="BC749" s="732" t="n"/>
    </row>
    <row r="750">
      <c r="BA750" s="732" t="n"/>
      <c r="BB750" s="732" t="n"/>
      <c r="BC750" s="732" t="n"/>
    </row>
    <row r="751">
      <c r="BA751" s="732" t="n"/>
      <c r="BB751" s="732" t="n"/>
      <c r="BC751" s="732" t="n"/>
    </row>
    <row r="752">
      <c r="BA752" s="732" t="n"/>
      <c r="BB752" s="732" t="n"/>
      <c r="BC752" s="732" t="n"/>
    </row>
    <row r="753">
      <c r="BA753" s="732" t="n"/>
      <c r="BB753" s="732" t="n"/>
      <c r="BC753" s="732" t="n"/>
    </row>
    <row r="754">
      <c r="BA754" s="732" t="n"/>
      <c r="BB754" s="732" t="n"/>
      <c r="BC754" s="732" t="n"/>
    </row>
    <row r="755">
      <c r="BA755" s="732" t="n"/>
      <c r="BB755" s="732" t="n"/>
      <c r="BC755" s="732" t="n"/>
    </row>
    <row r="756">
      <c r="BA756" s="732" t="n"/>
      <c r="BB756" s="732" t="n"/>
      <c r="BC756" s="732" t="n"/>
    </row>
    <row r="757">
      <c r="BA757" s="732" t="n"/>
      <c r="BB757" s="732" t="n"/>
      <c r="BC757" s="732" t="n"/>
    </row>
    <row r="758">
      <c r="BA758" s="732" t="n"/>
      <c r="BB758" s="732" t="n"/>
      <c r="BC758" s="732" t="n"/>
    </row>
    <row r="759">
      <c r="BA759" s="732" t="n"/>
      <c r="BB759" s="732" t="n"/>
      <c r="BC759" s="732" t="n"/>
    </row>
    <row r="760">
      <c r="BA760" s="732" t="n"/>
      <c r="BB760" s="732" t="n"/>
      <c r="BC760" s="732" t="n"/>
    </row>
    <row r="761">
      <c r="BA761" s="732" t="n"/>
      <c r="BB761" s="732" t="n"/>
      <c r="BC761" s="732" t="n"/>
    </row>
    <row r="762">
      <c r="BA762" s="732" t="n"/>
      <c r="BB762" s="732" t="n"/>
      <c r="BC762" s="732" t="n"/>
    </row>
    <row r="763">
      <c r="BA763" s="732" t="n"/>
      <c r="BB763" s="732" t="n"/>
      <c r="BC763" s="732" t="n"/>
    </row>
    <row r="764">
      <c r="BA764" s="732" t="n"/>
      <c r="BB764" s="732" t="n"/>
      <c r="BC764" s="732" t="n"/>
    </row>
    <row r="765">
      <c r="BA765" s="732" t="n"/>
      <c r="BB765" s="732" t="n"/>
      <c r="BC765" s="732" t="n"/>
    </row>
    <row r="766">
      <c r="BA766" s="732" t="n"/>
      <c r="BB766" s="732" t="n"/>
      <c r="BC766" s="732" t="n"/>
    </row>
    <row r="767">
      <c r="BA767" s="732" t="n"/>
      <c r="BB767" s="732" t="n"/>
      <c r="BC767" s="732" t="n"/>
    </row>
    <row r="768">
      <c r="BA768" s="732" t="n"/>
      <c r="BB768" s="732" t="n"/>
      <c r="BC768" s="732" t="n"/>
    </row>
    <row r="769">
      <c r="BA769" s="732" t="n"/>
      <c r="BB769" s="732" t="n"/>
      <c r="BC769" s="732" t="n"/>
    </row>
    <row r="770">
      <c r="BA770" s="732" t="n"/>
      <c r="BB770" s="732" t="n"/>
      <c r="BC770" s="732" t="n"/>
    </row>
    <row r="771">
      <c r="BA771" s="732" t="n"/>
      <c r="BB771" s="732" t="n"/>
      <c r="BC771" s="732" t="n"/>
    </row>
    <row r="772">
      <c r="BA772" s="732" t="n"/>
      <c r="BB772" s="732" t="n"/>
      <c r="BC772" s="732" t="n"/>
    </row>
    <row r="773">
      <c r="BA773" s="732" t="n"/>
      <c r="BB773" s="732" t="n"/>
      <c r="BC773" s="732" t="n"/>
    </row>
    <row r="774">
      <c r="BA774" s="732" t="n"/>
      <c r="BB774" s="732" t="n"/>
      <c r="BC774" s="732" t="n"/>
    </row>
    <row r="775">
      <c r="BA775" s="732" t="n"/>
      <c r="BB775" s="732" t="n"/>
      <c r="BC775" s="732" t="n"/>
    </row>
    <row r="776">
      <c r="BA776" s="732" t="n"/>
      <c r="BB776" s="732" t="n"/>
      <c r="BC776" s="732" t="n"/>
    </row>
    <row r="777">
      <c r="BA777" s="732" t="n"/>
      <c r="BB777" s="732" t="n"/>
      <c r="BC777" s="732" t="n"/>
    </row>
    <row r="778">
      <c r="BA778" s="732" t="n"/>
      <c r="BB778" s="732" t="n"/>
      <c r="BC778" s="732" t="n"/>
    </row>
    <row r="779">
      <c r="BA779" s="732" t="n"/>
      <c r="BB779" s="732" t="n"/>
      <c r="BC779" s="732" t="n"/>
    </row>
    <row r="780">
      <c r="BA780" s="732" t="n"/>
      <c r="BB780" s="732" t="n"/>
      <c r="BC780" s="732" t="n"/>
    </row>
    <row r="781">
      <c r="BA781" s="732" t="n"/>
      <c r="BB781" s="732" t="n"/>
      <c r="BC781" s="732" t="n"/>
    </row>
    <row r="782">
      <c r="BA782" s="732" t="n"/>
      <c r="BB782" s="732" t="n"/>
      <c r="BC782" s="732" t="n"/>
    </row>
    <row r="783">
      <c r="BA783" s="732" t="n"/>
      <c r="BB783" s="732" t="n"/>
      <c r="BC783" s="732" t="n"/>
    </row>
    <row r="784">
      <c r="BA784" s="732" t="n"/>
      <c r="BB784" s="732" t="n"/>
      <c r="BC784" s="732" t="n"/>
    </row>
    <row r="785">
      <c r="BA785" s="732" t="n"/>
      <c r="BB785" s="732" t="n"/>
      <c r="BC785" s="732" t="n"/>
    </row>
    <row r="786">
      <c r="BA786" s="732" t="n"/>
      <c r="BB786" s="732" t="n"/>
      <c r="BC786" s="732" t="n"/>
    </row>
    <row r="787">
      <c r="BA787" s="732" t="n"/>
      <c r="BB787" s="732" t="n"/>
      <c r="BC787" s="732" t="n"/>
    </row>
    <row r="788">
      <c r="BA788" s="732" t="n"/>
      <c r="BB788" s="732" t="n"/>
      <c r="BC788" s="732" t="n"/>
    </row>
    <row r="789">
      <c r="BA789" s="732" t="n"/>
      <c r="BB789" s="732" t="n"/>
      <c r="BC789" s="732" t="n"/>
    </row>
    <row r="790">
      <c r="BA790" s="732" t="n"/>
      <c r="BB790" s="732" t="n"/>
      <c r="BC790" s="732" t="n"/>
    </row>
    <row r="791">
      <c r="BA791" s="732" t="n"/>
      <c r="BB791" s="732" t="n"/>
      <c r="BC791" s="732" t="n"/>
    </row>
    <row r="792">
      <c r="BA792" s="732" t="n"/>
      <c r="BB792" s="732" t="n"/>
      <c r="BC792" s="732" t="n"/>
    </row>
    <row r="793">
      <c r="BA793" s="732" t="n"/>
      <c r="BB793" s="732" t="n"/>
      <c r="BC793" s="732" t="n"/>
    </row>
    <row r="794">
      <c r="BA794" s="732" t="n"/>
      <c r="BB794" s="732" t="n"/>
      <c r="BC794" s="732" t="n"/>
    </row>
    <row r="795">
      <c r="BA795" s="732" t="n"/>
      <c r="BB795" s="732" t="n"/>
      <c r="BC795" s="732" t="n"/>
    </row>
    <row r="796">
      <c r="BA796" s="732" t="n"/>
      <c r="BB796" s="732" t="n"/>
      <c r="BC796" s="732" t="n"/>
    </row>
    <row r="797">
      <c r="BA797" s="732" t="n"/>
      <c r="BB797" s="732" t="n"/>
      <c r="BC797" s="732" t="n"/>
    </row>
    <row r="798">
      <c r="BA798" s="732" t="n"/>
      <c r="BB798" s="732" t="n"/>
      <c r="BC798" s="732" t="n"/>
    </row>
    <row r="799">
      <c r="BA799" s="732" t="n"/>
      <c r="BB799" s="732" t="n"/>
      <c r="BC799" s="732" t="n"/>
    </row>
    <row r="800">
      <c r="BA800" s="732" t="n"/>
      <c r="BB800" s="732" t="n"/>
      <c r="BC800" s="732" t="n"/>
    </row>
    <row r="801">
      <c r="BA801" s="732" t="n"/>
      <c r="BB801" s="732" t="n"/>
      <c r="BC801" s="732" t="n"/>
    </row>
    <row r="802">
      <c r="BA802" s="732" t="n"/>
      <c r="BB802" s="732" t="n"/>
      <c r="BC802" s="732" t="n"/>
    </row>
    <row r="803">
      <c r="BA803" s="732" t="n"/>
      <c r="BB803" s="732" t="n"/>
      <c r="BC803" s="732" t="n"/>
    </row>
    <row r="804">
      <c r="BA804" s="732" t="n"/>
      <c r="BB804" s="732" t="n"/>
      <c r="BC804" s="732" t="n"/>
    </row>
    <row r="805">
      <c r="BA805" s="732" t="n"/>
      <c r="BB805" s="732" t="n"/>
      <c r="BC805" s="732" t="n"/>
    </row>
    <row r="806">
      <c r="BA806" s="732" t="n"/>
      <c r="BB806" s="732" t="n"/>
      <c r="BC806" s="732" t="n"/>
    </row>
    <row r="807">
      <c r="BA807" s="732" t="n"/>
      <c r="BB807" s="732" t="n"/>
      <c r="BC807" s="732" t="n"/>
    </row>
    <row r="808">
      <c r="BA808" s="732" t="n"/>
      <c r="BB808" s="732" t="n"/>
      <c r="BC808" s="732" t="n"/>
    </row>
    <row r="809">
      <c r="BA809" s="732" t="n"/>
      <c r="BB809" s="732" t="n"/>
      <c r="BC809" s="732" t="n"/>
    </row>
    <row r="810">
      <c r="BA810" s="732" t="n"/>
      <c r="BB810" s="732" t="n"/>
      <c r="BC810" s="732" t="n"/>
    </row>
    <row r="811">
      <c r="BA811" s="732" t="n"/>
      <c r="BB811" s="732" t="n"/>
      <c r="BC811" s="732" t="n"/>
    </row>
    <row r="812">
      <c r="BA812" s="732" t="n"/>
      <c r="BB812" s="732" t="n"/>
      <c r="BC812" s="732" t="n"/>
    </row>
    <row r="813">
      <c r="BA813" s="732" t="n"/>
      <c r="BB813" s="732" t="n"/>
      <c r="BC813" s="732" t="n"/>
    </row>
    <row r="814">
      <c r="BA814" s="732" t="n"/>
      <c r="BB814" s="732" t="n"/>
      <c r="BC814" s="732" t="n"/>
    </row>
    <row r="815">
      <c r="BA815" s="732" t="n"/>
      <c r="BB815" s="732" t="n"/>
      <c r="BC815" s="732" t="n"/>
    </row>
    <row r="816">
      <c r="BA816" s="732" t="n"/>
      <c r="BB816" s="732" t="n"/>
      <c r="BC816" s="732" t="n"/>
    </row>
    <row r="817">
      <c r="BA817" s="732" t="n"/>
      <c r="BB817" s="732" t="n"/>
      <c r="BC817" s="732" t="n"/>
    </row>
    <row r="818">
      <c r="BA818" s="732" t="n"/>
      <c r="BB818" s="732" t="n"/>
      <c r="BC818" s="732" t="n"/>
    </row>
    <row r="819">
      <c r="BA819" s="732" t="n"/>
      <c r="BB819" s="732" t="n"/>
      <c r="BC819" s="732" t="n"/>
    </row>
    <row r="820">
      <c r="BA820" s="732" t="n"/>
      <c r="BB820" s="732" t="n"/>
      <c r="BC820" s="732" t="n"/>
    </row>
    <row r="821">
      <c r="BA821" s="732" t="n"/>
      <c r="BB821" s="732" t="n"/>
      <c r="BC821" s="732" t="n"/>
    </row>
    <row r="822">
      <c r="BA822" s="732" t="n"/>
      <c r="BB822" s="732" t="n"/>
      <c r="BC822" s="732" t="n"/>
    </row>
    <row r="823">
      <c r="BA823" s="732" t="n"/>
      <c r="BB823" s="732" t="n"/>
      <c r="BC823" s="732" t="n"/>
    </row>
    <row r="824">
      <c r="BA824" s="732" t="n"/>
      <c r="BB824" s="732" t="n"/>
      <c r="BC824" s="732" t="n"/>
    </row>
    <row r="825">
      <c r="BA825" s="732" t="n"/>
      <c r="BB825" s="732" t="n"/>
      <c r="BC825" s="732" t="n"/>
    </row>
    <row r="826">
      <c r="BA826" s="732" t="n"/>
      <c r="BB826" s="732" t="n"/>
      <c r="BC826" s="732" t="n"/>
    </row>
    <row r="827">
      <c r="BA827" s="732" t="n"/>
      <c r="BB827" s="732" t="n"/>
      <c r="BC827" s="732" t="n"/>
    </row>
    <row r="828">
      <c r="BA828" s="732" t="n"/>
      <c r="BB828" s="732" t="n"/>
      <c r="BC828" s="732" t="n"/>
    </row>
    <row r="829">
      <c r="BA829" s="732" t="n"/>
      <c r="BB829" s="732" t="n"/>
      <c r="BC829" s="732" t="n"/>
    </row>
    <row r="830">
      <c r="BA830" s="732" t="n"/>
      <c r="BB830" s="732" t="n"/>
      <c r="BC830" s="732" t="n"/>
    </row>
    <row r="831">
      <c r="BA831" s="732" t="n"/>
      <c r="BB831" s="732" t="n"/>
      <c r="BC831" s="732" t="n"/>
    </row>
    <row r="832">
      <c r="BA832" s="732" t="n"/>
      <c r="BB832" s="732" t="n"/>
      <c r="BC832" s="732" t="n"/>
    </row>
    <row r="833">
      <c r="BA833" s="732" t="n"/>
      <c r="BB833" s="732" t="n"/>
      <c r="BC833" s="732" t="n"/>
    </row>
    <row r="834">
      <c r="BA834" s="732" t="n"/>
      <c r="BB834" s="732" t="n"/>
      <c r="BC834" s="732" t="n"/>
    </row>
    <row r="835">
      <c r="BA835" s="732" t="n"/>
      <c r="BB835" s="732" t="n"/>
      <c r="BC835" s="732" t="n"/>
    </row>
    <row r="836">
      <c r="BA836" s="732" t="n"/>
      <c r="BB836" s="732" t="n"/>
      <c r="BC836" s="732" t="n"/>
    </row>
    <row r="837">
      <c r="BA837" s="732" t="n"/>
      <c r="BB837" s="732" t="n"/>
      <c r="BC837" s="732" t="n"/>
    </row>
    <row r="838">
      <c r="BA838" s="732" t="n"/>
      <c r="BB838" s="732" t="n"/>
      <c r="BC838" s="732" t="n"/>
    </row>
    <row r="839">
      <c r="BA839" s="732" t="n"/>
      <c r="BB839" s="732" t="n"/>
      <c r="BC839" s="732" t="n"/>
    </row>
    <row r="840">
      <c r="BA840" s="732" t="n"/>
      <c r="BB840" s="732" t="n"/>
      <c r="BC840" s="732" t="n"/>
    </row>
    <row r="841">
      <c r="BA841" s="732" t="n"/>
      <c r="BB841" s="732" t="n"/>
      <c r="BC841" s="732" t="n"/>
    </row>
    <row r="842">
      <c r="BA842" s="732" t="n"/>
      <c r="BB842" s="732" t="n"/>
      <c r="BC842" s="732" t="n"/>
    </row>
    <row r="843">
      <c r="BA843" s="732" t="n"/>
      <c r="BB843" s="732" t="n"/>
      <c r="BC843" s="732" t="n"/>
    </row>
    <row r="844">
      <c r="BA844" s="732" t="n"/>
      <c r="BB844" s="732" t="n"/>
      <c r="BC844" s="732" t="n"/>
    </row>
    <row r="845">
      <c r="BA845" s="732" t="n"/>
      <c r="BB845" s="732" t="n"/>
      <c r="BC845" s="732" t="n"/>
    </row>
    <row r="846">
      <c r="BA846" s="732" t="n"/>
      <c r="BB846" s="732" t="n"/>
      <c r="BC846" s="732" t="n"/>
    </row>
    <row r="847">
      <c r="BA847" s="732" t="n"/>
      <c r="BB847" s="732" t="n"/>
      <c r="BC847" s="732" t="n"/>
    </row>
    <row r="848">
      <c r="BA848" s="732" t="n"/>
      <c r="BB848" s="732" t="n"/>
      <c r="BC848" s="732" t="n"/>
    </row>
    <row r="849">
      <c r="BA849" s="732" t="n"/>
      <c r="BB849" s="732" t="n"/>
      <c r="BC849" s="732" t="n"/>
    </row>
    <row r="850">
      <c r="BA850" s="732" t="n"/>
      <c r="BB850" s="732" t="n"/>
      <c r="BC850" s="732" t="n"/>
    </row>
    <row r="851">
      <c r="BA851" s="732" t="n"/>
      <c r="BB851" s="732" t="n"/>
      <c r="BC851" s="732" t="n"/>
    </row>
    <row r="852">
      <c r="BA852" s="732" t="n"/>
      <c r="BB852" s="732" t="n"/>
      <c r="BC852" s="732" t="n"/>
    </row>
    <row r="853">
      <c r="BA853" s="732" t="n"/>
      <c r="BB853" s="732" t="n"/>
      <c r="BC853" s="732" t="n"/>
    </row>
    <row r="854">
      <c r="BA854" s="732" t="n"/>
      <c r="BB854" s="732" t="n"/>
      <c r="BC854" s="732" t="n"/>
    </row>
    <row r="855">
      <c r="BA855" s="732" t="n"/>
      <c r="BB855" s="732" t="n"/>
      <c r="BC855" s="732" t="n"/>
    </row>
    <row r="856">
      <c r="BA856" s="732" t="n"/>
      <c r="BB856" s="732" t="n"/>
      <c r="BC856" s="732" t="n"/>
    </row>
    <row r="857">
      <c r="BA857" s="732" t="n"/>
      <c r="BB857" s="732" t="n"/>
      <c r="BC857" s="732" t="n"/>
    </row>
    <row r="858">
      <c r="BA858" s="732" t="n"/>
      <c r="BB858" s="732" t="n"/>
      <c r="BC858" s="732" t="n"/>
    </row>
    <row r="859">
      <c r="BA859" s="732" t="n"/>
      <c r="BB859" s="732" t="n"/>
      <c r="BC859" s="732" t="n"/>
    </row>
    <row r="860">
      <c r="BA860" s="732" t="n"/>
      <c r="BB860" s="732" t="n"/>
      <c r="BC860" s="732" t="n"/>
    </row>
    <row r="861">
      <c r="BA861" s="732" t="n"/>
      <c r="BB861" s="732" t="n"/>
      <c r="BC861" s="732" t="n"/>
    </row>
    <row r="862">
      <c r="BA862" s="732" t="n"/>
      <c r="BB862" s="732" t="n"/>
      <c r="BC862" s="732" t="n"/>
    </row>
    <row r="863">
      <c r="BA863" s="732" t="n"/>
      <c r="BB863" s="732" t="n"/>
      <c r="BC863" s="732" t="n"/>
    </row>
    <row r="864">
      <c r="BA864" s="732" t="n"/>
      <c r="BB864" s="732" t="n"/>
      <c r="BC864" s="732" t="n"/>
    </row>
    <row r="865">
      <c r="BA865" s="732" t="n"/>
      <c r="BB865" s="732" t="n"/>
      <c r="BC865" s="732" t="n"/>
    </row>
    <row r="866">
      <c r="BA866" s="732" t="n"/>
      <c r="BB866" s="732" t="n"/>
      <c r="BC866" s="732" t="n"/>
    </row>
    <row r="867">
      <c r="BA867" s="732" t="n"/>
      <c r="BB867" s="732" t="n"/>
      <c r="BC867" s="732" t="n"/>
    </row>
    <row r="868">
      <c r="BA868" s="732" t="n"/>
      <c r="BB868" s="732" t="n"/>
      <c r="BC868" s="732" t="n"/>
    </row>
    <row r="869">
      <c r="BA869" s="732" t="n"/>
      <c r="BB869" s="732" t="n"/>
      <c r="BC869" s="732" t="n"/>
    </row>
    <row r="870">
      <c r="BA870" s="732" t="n"/>
      <c r="BB870" s="732" t="n"/>
      <c r="BC870" s="732" t="n"/>
    </row>
    <row r="871">
      <c r="BA871" s="732" t="n"/>
      <c r="BB871" s="732" t="n"/>
      <c r="BC871" s="732" t="n"/>
    </row>
    <row r="872">
      <c r="BA872" s="732" t="n"/>
      <c r="BB872" s="732" t="n"/>
      <c r="BC872" s="732" t="n"/>
    </row>
    <row r="873">
      <c r="BA873" s="732" t="n"/>
      <c r="BB873" s="732" t="n"/>
      <c r="BC873" s="732" t="n"/>
    </row>
    <row r="874">
      <c r="BA874" s="732" t="n"/>
      <c r="BB874" s="732" t="n"/>
      <c r="BC874" s="732" t="n"/>
    </row>
    <row r="875">
      <c r="BA875" s="732" t="n"/>
      <c r="BB875" s="732" t="n"/>
      <c r="BC875" s="732" t="n"/>
    </row>
    <row r="876">
      <c r="BA876" s="732" t="n"/>
      <c r="BB876" s="732" t="n"/>
      <c r="BC876" s="732" t="n"/>
    </row>
    <row r="877">
      <c r="BA877" s="732" t="n"/>
      <c r="BB877" s="732" t="n"/>
      <c r="BC877" s="732" t="n"/>
    </row>
    <row r="878">
      <c r="BA878" s="732" t="n"/>
      <c r="BB878" s="732" t="n"/>
      <c r="BC878" s="732" t="n"/>
    </row>
    <row r="879">
      <c r="BA879" s="732" t="n"/>
      <c r="BB879" s="732" t="n"/>
      <c r="BC879" s="732" t="n"/>
    </row>
    <row r="880">
      <c r="BA880" s="732" t="n"/>
      <c r="BB880" s="732" t="n"/>
      <c r="BC880" s="732" t="n"/>
    </row>
    <row r="881">
      <c r="BA881" s="732" t="n"/>
      <c r="BB881" s="732" t="n"/>
      <c r="BC881" s="732" t="n"/>
    </row>
    <row r="882">
      <c r="BA882" s="732" t="n"/>
      <c r="BB882" s="732" t="n"/>
      <c r="BC882" s="732" t="n"/>
    </row>
    <row r="883">
      <c r="BA883" s="732" t="n"/>
      <c r="BB883" s="732" t="n"/>
      <c r="BC883" s="732" t="n"/>
    </row>
    <row r="884">
      <c r="BA884" s="732" t="n"/>
      <c r="BB884" s="732" t="n"/>
      <c r="BC884" s="732" t="n"/>
    </row>
    <row r="885">
      <c r="BA885" s="732" t="n"/>
      <c r="BB885" s="732" t="n"/>
      <c r="BC885" s="732" t="n"/>
    </row>
    <row r="886">
      <c r="BA886" s="732" t="n"/>
      <c r="BB886" s="732" t="n"/>
      <c r="BC886" s="732" t="n"/>
    </row>
    <row r="887">
      <c r="BA887" s="732" t="n"/>
      <c r="BB887" s="732" t="n"/>
      <c r="BC887" s="732" t="n"/>
    </row>
    <row r="888">
      <c r="BA888" s="732" t="n"/>
      <c r="BB888" s="732" t="n"/>
      <c r="BC888" s="732" t="n"/>
    </row>
    <row r="889">
      <c r="BA889" s="732" t="n"/>
      <c r="BB889" s="732" t="n"/>
      <c r="BC889" s="732" t="n"/>
    </row>
    <row r="890">
      <c r="BA890" s="732" t="n"/>
      <c r="BB890" s="732" t="n"/>
      <c r="BC890" s="732" t="n"/>
    </row>
    <row r="891">
      <c r="BA891" s="732" t="n"/>
      <c r="BB891" s="732" t="n"/>
      <c r="BC891" s="732" t="n"/>
    </row>
    <row r="892">
      <c r="BA892" s="732" t="n"/>
      <c r="BB892" s="732" t="n"/>
      <c r="BC892" s="732" t="n"/>
    </row>
    <row r="893">
      <c r="BA893" s="732" t="n"/>
      <c r="BB893" s="732" t="n"/>
      <c r="BC893" s="732" t="n"/>
    </row>
    <row r="894">
      <c r="BA894" s="732" t="n"/>
      <c r="BB894" s="732" t="n"/>
      <c r="BC894" s="732" t="n"/>
    </row>
    <row r="895">
      <c r="BA895" s="732" t="n"/>
      <c r="BB895" s="732" t="n"/>
      <c r="BC895" s="732" t="n"/>
    </row>
    <row r="896">
      <c r="BA896" s="732" t="n"/>
      <c r="BB896" s="732" t="n"/>
      <c r="BC896" s="732" t="n"/>
    </row>
    <row r="897">
      <c r="BA897" s="732" t="n"/>
      <c r="BB897" s="732" t="n"/>
      <c r="BC897" s="732" t="n"/>
    </row>
    <row r="898">
      <c r="BA898" s="732" t="n"/>
      <c r="BB898" s="732" t="n"/>
      <c r="BC898" s="732" t="n"/>
    </row>
    <row r="899">
      <c r="BA899" s="732" t="n"/>
      <c r="BB899" s="732" t="n"/>
      <c r="BC899" s="732" t="n"/>
    </row>
    <row r="900">
      <c r="BA900" s="732" t="n"/>
      <c r="BB900" s="732" t="n"/>
      <c r="BC900" s="732" t="n"/>
    </row>
    <row r="901">
      <c r="BA901" s="732" t="n"/>
      <c r="BB901" s="732" t="n"/>
      <c r="BC901" s="732" t="n"/>
    </row>
    <row r="902">
      <c r="BA902" s="732" t="n"/>
      <c r="BB902" s="732" t="n"/>
      <c r="BC902" s="732" t="n"/>
    </row>
    <row r="903">
      <c r="BA903" s="732" t="n"/>
      <c r="BB903" s="732" t="n"/>
      <c r="BC903" s="732" t="n"/>
    </row>
    <row r="904">
      <c r="BA904" s="732" t="n"/>
      <c r="BB904" s="732" t="n"/>
      <c r="BC904" s="732" t="n"/>
    </row>
    <row r="905">
      <c r="BA905" s="732" t="n"/>
      <c r="BB905" s="732" t="n"/>
      <c r="BC905" s="732" t="n"/>
    </row>
    <row r="906">
      <c r="BA906" s="732" t="n"/>
      <c r="BB906" s="732" t="n"/>
      <c r="BC906" s="732" t="n"/>
    </row>
    <row r="907">
      <c r="BA907" s="732" t="n"/>
      <c r="BB907" s="732" t="n"/>
      <c r="BC907" s="732" t="n"/>
    </row>
    <row r="908">
      <c r="BA908" s="732" t="n"/>
      <c r="BB908" s="732" t="n"/>
      <c r="BC908" s="732" t="n"/>
    </row>
    <row r="909">
      <c r="BA909" s="732" t="n"/>
      <c r="BB909" s="732" t="n"/>
      <c r="BC909" s="732" t="n"/>
    </row>
    <row r="910">
      <c r="BA910" s="732" t="n"/>
      <c r="BB910" s="732" t="n"/>
      <c r="BC910" s="732" t="n"/>
    </row>
    <row r="911">
      <c r="BA911" s="732" t="n"/>
      <c r="BB911" s="732" t="n"/>
      <c r="BC911" s="732" t="n"/>
    </row>
    <row r="912">
      <c r="BA912" s="732" t="n"/>
      <c r="BB912" s="732" t="n"/>
      <c r="BC912" s="732" t="n"/>
    </row>
    <row r="913">
      <c r="BA913" s="732" t="n"/>
      <c r="BB913" s="732" t="n"/>
      <c r="BC913" s="732" t="n"/>
    </row>
    <row r="914">
      <c r="BA914" s="732" t="n"/>
      <c r="BB914" s="732" t="n"/>
      <c r="BC914" s="732" t="n"/>
    </row>
    <row r="915">
      <c r="BA915" s="732" t="n"/>
      <c r="BB915" s="732" t="n"/>
      <c r="BC915" s="732" t="n"/>
    </row>
    <row r="916">
      <c r="BA916" s="732" t="n"/>
      <c r="BB916" s="732" t="n"/>
      <c r="BC916" s="732" t="n"/>
    </row>
    <row r="917">
      <c r="BA917" s="732" t="n"/>
      <c r="BB917" s="732" t="n"/>
      <c r="BC917" s="732" t="n"/>
    </row>
    <row r="918">
      <c r="BA918" s="732" t="n"/>
      <c r="BB918" s="732" t="n"/>
      <c r="BC918" s="732" t="n"/>
    </row>
    <row r="919">
      <c r="BA919" s="732" t="n"/>
      <c r="BB919" s="732" t="n"/>
      <c r="BC919" s="732" t="n"/>
    </row>
    <row r="920">
      <c r="BA920" s="732" t="n"/>
      <c r="BB920" s="732" t="n"/>
      <c r="BC920" s="732" t="n"/>
    </row>
    <row r="921">
      <c r="BA921" s="732" t="n"/>
      <c r="BB921" s="732" t="n"/>
      <c r="BC921" s="732" t="n"/>
    </row>
    <row r="922">
      <c r="BA922" s="732" t="n"/>
      <c r="BB922" s="732" t="n"/>
      <c r="BC922" s="732" t="n"/>
    </row>
    <row r="923">
      <c r="BA923" s="732" t="n"/>
      <c r="BB923" s="732" t="n"/>
      <c r="BC923" s="732" t="n"/>
    </row>
    <row r="924">
      <c r="BA924" s="732" t="n"/>
      <c r="BB924" s="732" t="n"/>
      <c r="BC924" s="732" t="n"/>
    </row>
    <row r="925">
      <c r="BA925" s="732" t="n"/>
      <c r="BB925" s="732" t="n"/>
      <c r="BC925" s="732" t="n"/>
    </row>
    <row r="926">
      <c r="BA926" s="732" t="n"/>
      <c r="BB926" s="732" t="n"/>
      <c r="BC926" s="732" t="n"/>
    </row>
    <row r="927">
      <c r="BA927" s="732" t="n"/>
      <c r="BB927" s="732" t="n"/>
      <c r="BC927" s="732" t="n"/>
    </row>
    <row r="928">
      <c r="BA928" s="732" t="n"/>
      <c r="BB928" s="732" t="n"/>
      <c r="BC928" s="732" t="n"/>
    </row>
    <row r="929">
      <c r="BA929" s="732" t="n"/>
      <c r="BB929" s="732" t="n"/>
      <c r="BC929" s="732" t="n"/>
    </row>
    <row r="930">
      <c r="BA930" s="732" t="n"/>
      <c r="BB930" s="732" t="n"/>
      <c r="BC930" s="732" t="n"/>
    </row>
    <row r="931">
      <c r="BA931" s="732" t="n"/>
      <c r="BB931" s="732" t="n"/>
      <c r="BC931" s="732" t="n"/>
    </row>
    <row r="932">
      <c r="BA932" s="732" t="n"/>
      <c r="BB932" s="732" t="n"/>
      <c r="BC932" s="732" t="n"/>
    </row>
    <row r="933">
      <c r="BA933" s="732" t="n"/>
      <c r="BB933" s="732" t="n"/>
      <c r="BC933" s="732" t="n"/>
    </row>
    <row r="934">
      <c r="BA934" s="732" t="n"/>
      <c r="BB934" s="732" t="n"/>
      <c r="BC934" s="732" t="n"/>
    </row>
    <row r="935">
      <c r="BA935" s="732" t="n"/>
      <c r="BB935" s="732" t="n"/>
      <c r="BC935" s="732" t="n"/>
    </row>
    <row r="936">
      <c r="BA936" s="732" t="n"/>
      <c r="BB936" s="732" t="n"/>
      <c r="BC936" s="732" t="n"/>
    </row>
    <row r="937">
      <c r="BA937" s="732" t="n"/>
      <c r="BB937" s="732" t="n"/>
      <c r="BC937" s="732" t="n"/>
    </row>
    <row r="938">
      <c r="BA938" s="732" t="n"/>
      <c r="BB938" s="732" t="n"/>
      <c r="BC938" s="732" t="n"/>
    </row>
    <row r="939">
      <c r="BA939" s="732" t="n"/>
      <c r="BB939" s="732" t="n"/>
      <c r="BC939" s="732" t="n"/>
    </row>
    <row r="940">
      <c r="BA940" s="732" t="n"/>
      <c r="BB940" s="732" t="n"/>
      <c r="BC940" s="732" t="n"/>
    </row>
    <row r="941">
      <c r="BA941" s="732" t="n"/>
      <c r="BB941" s="732" t="n"/>
      <c r="BC941" s="732" t="n"/>
    </row>
    <row r="942">
      <c r="BA942" s="732" t="n"/>
      <c r="BB942" s="732" t="n"/>
      <c r="BC942" s="732" t="n"/>
    </row>
    <row r="943">
      <c r="BA943" s="732" t="n"/>
      <c r="BB943" s="732" t="n"/>
      <c r="BC943" s="732" t="n"/>
    </row>
    <row r="944">
      <c r="BA944" s="732" t="n"/>
      <c r="BB944" s="732" t="n"/>
      <c r="BC944" s="732" t="n"/>
    </row>
    <row r="945">
      <c r="BA945" s="732" t="n"/>
      <c r="BB945" s="732" t="n"/>
      <c r="BC945" s="732" t="n"/>
    </row>
    <row r="946">
      <c r="BA946" s="732" t="n"/>
      <c r="BB946" s="732" t="n"/>
      <c r="BC946" s="732" t="n"/>
    </row>
    <row r="947">
      <c r="BA947" s="732" t="n"/>
      <c r="BB947" s="732" t="n"/>
      <c r="BC947" s="732" t="n"/>
    </row>
    <row r="948">
      <c r="BA948" s="732" t="n"/>
      <c r="BB948" s="732" t="n"/>
      <c r="BC948" s="732" t="n"/>
    </row>
    <row r="949">
      <c r="BA949" s="732" t="n"/>
      <c r="BB949" s="732" t="n"/>
      <c r="BC949" s="732" t="n"/>
    </row>
    <row r="950">
      <c r="BA950" s="732" t="n"/>
      <c r="BB950" s="732" t="n"/>
      <c r="BC950" s="732" t="n"/>
    </row>
    <row r="951">
      <c r="BA951" s="732" t="n"/>
      <c r="BB951" s="732" t="n"/>
      <c r="BC951" s="732" t="n"/>
    </row>
    <row r="952">
      <c r="BA952" s="732" t="n"/>
      <c r="BB952" s="732" t="n"/>
      <c r="BC952" s="732" t="n"/>
    </row>
    <row r="953">
      <c r="BA953" s="732" t="n"/>
      <c r="BB953" s="732" t="n"/>
      <c r="BC953" s="732" t="n"/>
    </row>
    <row r="954">
      <c r="BA954" s="732" t="n"/>
      <c r="BB954" s="732" t="n"/>
      <c r="BC954" s="732" t="n"/>
    </row>
    <row r="955">
      <c r="BA955" s="732" t="n"/>
      <c r="BB955" s="732" t="n"/>
      <c r="BC955" s="732" t="n"/>
    </row>
    <row r="956">
      <c r="BA956" s="732" t="n"/>
      <c r="BB956" s="732" t="n"/>
      <c r="BC956" s="732" t="n"/>
    </row>
    <row r="957">
      <c r="BA957" s="732" t="n"/>
      <c r="BB957" s="732" t="n"/>
      <c r="BC957" s="732" t="n"/>
    </row>
    <row r="958">
      <c r="BA958" s="732" t="n"/>
      <c r="BB958" s="732" t="n"/>
      <c r="BC958" s="732" t="n"/>
    </row>
    <row r="959">
      <c r="BA959" s="732" t="n"/>
      <c r="BB959" s="732" t="n"/>
      <c r="BC959" s="732" t="n"/>
    </row>
    <row r="960">
      <c r="BA960" s="732" t="n"/>
      <c r="BB960" s="732" t="n"/>
      <c r="BC960" s="732" t="n"/>
    </row>
    <row r="961">
      <c r="BA961" s="732" t="n"/>
      <c r="BB961" s="732" t="n"/>
      <c r="BC961" s="732" t="n"/>
    </row>
    <row r="962">
      <c r="BA962" s="732" t="n"/>
      <c r="BB962" s="732" t="n"/>
      <c r="BC962" s="732" t="n"/>
    </row>
    <row r="963">
      <c r="BA963" s="732" t="n"/>
      <c r="BB963" s="732" t="n"/>
      <c r="BC963" s="732" t="n"/>
    </row>
    <row r="964">
      <c r="BA964" s="732" t="n"/>
      <c r="BB964" s="732" t="n"/>
      <c r="BC964" s="732" t="n"/>
    </row>
    <row r="965">
      <c r="BA965" s="732" t="n"/>
      <c r="BB965" s="732" t="n"/>
      <c r="BC965" s="732" t="n"/>
    </row>
    <row r="966">
      <c r="BA966" s="732" t="n"/>
      <c r="BB966" s="732" t="n"/>
      <c r="BC966" s="732" t="n"/>
    </row>
    <row r="967">
      <c r="BA967" s="732" t="n"/>
      <c r="BB967" s="732" t="n"/>
      <c r="BC967" s="732" t="n"/>
    </row>
    <row r="968">
      <c r="BA968" s="732" t="n"/>
      <c r="BB968" s="732" t="n"/>
      <c r="BC968" s="732" t="n"/>
    </row>
    <row r="969">
      <c r="BA969" s="732" t="n"/>
      <c r="BB969" s="732" t="n"/>
      <c r="BC969" s="732" t="n"/>
    </row>
    <row r="970">
      <c r="BA970" s="732" t="n"/>
      <c r="BB970" s="732" t="n"/>
      <c r="BC970" s="732" t="n"/>
    </row>
    <row r="971">
      <c r="BA971" s="732" t="n"/>
      <c r="BB971" s="732" t="n"/>
      <c r="BC971" s="732" t="n"/>
    </row>
    <row r="972">
      <c r="BA972" s="732" t="n"/>
      <c r="BB972" s="732" t="n"/>
      <c r="BC972" s="732" t="n"/>
    </row>
    <row r="973">
      <c r="BA973" s="732" t="n"/>
      <c r="BB973" s="732" t="n"/>
      <c r="BC973" s="732" t="n"/>
    </row>
    <row r="974">
      <c r="BA974" s="732" t="n"/>
      <c r="BB974" s="732" t="n"/>
      <c r="BC974" s="732" t="n"/>
    </row>
    <row r="975">
      <c r="BA975" s="732" t="n"/>
      <c r="BB975" s="732" t="n"/>
      <c r="BC975" s="732" t="n"/>
    </row>
    <row r="976">
      <c r="BA976" s="732" t="n"/>
      <c r="BB976" s="732" t="n"/>
      <c r="BC976" s="732" t="n"/>
    </row>
    <row r="977">
      <c r="BA977" s="732" t="n"/>
      <c r="BB977" s="732" t="n"/>
      <c r="BC977" s="732" t="n"/>
    </row>
    <row r="978">
      <c r="BA978" s="732" t="n"/>
      <c r="BB978" s="732" t="n"/>
      <c r="BC978" s="732" t="n"/>
    </row>
    <row r="979">
      <c r="BA979" s="732" t="n"/>
      <c r="BB979" s="732" t="n"/>
      <c r="BC979" s="732" t="n"/>
    </row>
    <row r="980">
      <c r="BA980" s="732" t="n"/>
      <c r="BB980" s="732" t="n"/>
      <c r="BC980" s="732" t="n"/>
    </row>
    <row r="981">
      <c r="BA981" s="732" t="n"/>
      <c r="BB981" s="732" t="n"/>
      <c r="BC981" s="732" t="n"/>
    </row>
    <row r="982">
      <c r="BA982" s="732" t="n"/>
      <c r="BB982" s="732" t="n"/>
      <c r="BC982" s="732" t="n"/>
    </row>
    <row r="983">
      <c r="BA983" s="732" t="n"/>
      <c r="BB983" s="732" t="n"/>
      <c r="BC983" s="732" t="n"/>
    </row>
    <row r="984">
      <c r="BA984" s="732" t="n"/>
      <c r="BB984" s="732" t="n"/>
      <c r="BC984" s="732" t="n"/>
    </row>
    <row r="985">
      <c r="BA985" s="732" t="n"/>
      <c r="BB985" s="732" t="n"/>
      <c r="BC985" s="732" t="n"/>
    </row>
    <row r="986">
      <c r="BA986" s="732" t="n"/>
      <c r="BB986" s="732" t="n"/>
      <c r="BC986" s="732" t="n"/>
    </row>
    <row r="987">
      <c r="BA987" s="732" t="n"/>
      <c r="BB987" s="732" t="n"/>
      <c r="BC987" s="732" t="n"/>
    </row>
    <row r="988">
      <c r="BA988" s="732" t="n"/>
      <c r="BB988" s="732" t="n"/>
      <c r="BC988" s="732" t="n"/>
    </row>
    <row r="989">
      <c r="BA989" s="732" t="n"/>
      <c r="BB989" s="732" t="n"/>
      <c r="BC989" s="732" t="n"/>
    </row>
    <row r="990">
      <c r="BA990" s="732" t="n"/>
      <c r="BB990" s="732" t="n"/>
      <c r="BC990" s="732" t="n"/>
    </row>
    <row r="991">
      <c r="BA991" s="732" t="n"/>
      <c r="BB991" s="732" t="n"/>
      <c r="BC991" s="732" t="n"/>
    </row>
    <row r="992">
      <c r="BA992" s="732" t="n"/>
      <c r="BB992" s="732" t="n"/>
      <c r="BC992" s="732" t="n"/>
    </row>
    <row r="993">
      <c r="BA993" s="732" t="n"/>
      <c r="BB993" s="732" t="n"/>
      <c r="BC993" s="732" t="n"/>
    </row>
    <row r="994">
      <c r="BA994" s="732" t="n"/>
      <c r="BB994" s="732" t="n"/>
      <c r="BC994" s="732" t="n"/>
    </row>
    <row r="995">
      <c r="BA995" s="732" t="n"/>
      <c r="BB995" s="732" t="n"/>
      <c r="BC995" s="732" t="n"/>
    </row>
    <row r="996">
      <c r="BA996" s="732" t="n"/>
      <c r="BB996" s="732" t="n"/>
      <c r="BC996" s="732" t="n"/>
    </row>
    <row r="997">
      <c r="BA997" s="732" t="n"/>
      <c r="BB997" s="732" t="n"/>
      <c r="BC997" s="732" t="n"/>
    </row>
    <row r="998">
      <c r="BA998" s="732" t="n"/>
      <c r="BB998" s="732" t="n"/>
      <c r="BC998" s="732" t="n"/>
    </row>
  </sheetData>
  <mergeCells count="74">
    <mergeCell ref="O3:P3"/>
    <mergeCell ref="AY3:AZ3"/>
    <mergeCell ref="Q3:R3"/>
    <mergeCell ref="AM2:AN2"/>
    <mergeCell ref="G2:H2"/>
    <mergeCell ref="AO2:AP2"/>
    <mergeCell ref="AG1:AH1"/>
    <mergeCell ref="I2:J2"/>
    <mergeCell ref="AW2:AX2"/>
    <mergeCell ref="AI1:AJ1"/>
    <mergeCell ref="Y3:Z3"/>
    <mergeCell ref="AA1:AB1"/>
    <mergeCell ref="AS1:AT1"/>
    <mergeCell ref="AU1:AV1"/>
    <mergeCell ref="M1:N1"/>
    <mergeCell ref="S3:T3"/>
    <mergeCell ref="AC3:AD3"/>
    <mergeCell ref="BA84:BB84"/>
    <mergeCell ref="M2:N2"/>
    <mergeCell ref="S2:T2"/>
    <mergeCell ref="AE3:AF3"/>
    <mergeCell ref="AK3:AL3"/>
    <mergeCell ref="U2:V2"/>
    <mergeCell ref="AW3:AX3"/>
    <mergeCell ref="BB3:BB4"/>
    <mergeCell ref="AO3:AP3"/>
    <mergeCell ref="Y2:Z2"/>
    <mergeCell ref="AE2:AF2"/>
    <mergeCell ref="K1:L1"/>
    <mergeCell ref="W1:X1"/>
    <mergeCell ref="AG2:AH2"/>
    <mergeCell ref="AQ3:AR3"/>
    <mergeCell ref="O1:P1"/>
    <mergeCell ref="Y1:Z1"/>
    <mergeCell ref="BC3:BC4"/>
    <mergeCell ref="BA3:BA4"/>
    <mergeCell ref="W3:X3"/>
    <mergeCell ref="G3:H3"/>
    <mergeCell ref="AM1:AN1"/>
    <mergeCell ref="I3:J3"/>
    <mergeCell ref="Q1:R1"/>
    <mergeCell ref="AQ2:AR2"/>
    <mergeCell ref="U3:V3"/>
    <mergeCell ref="K2:L2"/>
    <mergeCell ref="AS2:AT2"/>
    <mergeCell ref="AK1:AL1"/>
    <mergeCell ref="AC1:AD1"/>
    <mergeCell ref="AO1:AP1"/>
    <mergeCell ref="AY2:AZ2"/>
    <mergeCell ref="AE1:AF1"/>
    <mergeCell ref="A77:A78"/>
    <mergeCell ref="AW1:AX1"/>
    <mergeCell ref="AQ1:AR1"/>
    <mergeCell ref="M3:N3"/>
    <mergeCell ref="AY1:AZ1"/>
    <mergeCell ref="O2:P2"/>
    <mergeCell ref="AG3:AH3"/>
    <mergeCell ref="AA3:AB3"/>
    <mergeCell ref="Q2:R2"/>
    <mergeCell ref="W2:X2"/>
    <mergeCell ref="AI3:AJ3"/>
    <mergeCell ref="AU3:AV3"/>
    <mergeCell ref="AS3:AT3"/>
    <mergeCell ref="AA2:AB2"/>
    <mergeCell ref="AM3:AN3"/>
    <mergeCell ref="S1:T1"/>
    <mergeCell ref="AC2:AD2"/>
    <mergeCell ref="AI2:AJ2"/>
    <mergeCell ref="U1:V1"/>
    <mergeCell ref="AU2:AV2"/>
    <mergeCell ref="AK2:AL2"/>
    <mergeCell ref="C3:D3"/>
    <mergeCell ref="E3:F3"/>
    <mergeCell ref="K3:L3"/>
  </mergeCell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640625" defaultRowHeight="15.75" customHeight="1"/>
  <cols>
    <col width="45.88671875" customWidth="1" style="1127" min="1" max="1"/>
  </cols>
  <sheetData>
    <row r="1">
      <c r="A1" s="1230" t="inlineStr">
        <is>
          <t>Сатья расхода</t>
        </is>
      </c>
      <c r="B1" s="1237" t="inlineStr">
        <is>
          <t>Безналичныйрасчёт</t>
        </is>
      </c>
      <c r="C1" s="1209" t="n"/>
      <c r="D1" s="1209" t="n"/>
      <c r="E1" s="1209" t="n"/>
      <c r="F1" s="1209" t="n"/>
      <c r="G1" s="1210" t="n"/>
      <c r="H1" s="1237" t="inlineStr">
        <is>
          <t>Наличныйрасчёт</t>
        </is>
      </c>
      <c r="I1" s="1209" t="n"/>
      <c r="J1" s="1209" t="n"/>
      <c r="K1" s="1209" t="n"/>
      <c r="L1" s="1209" t="n"/>
      <c r="M1" s="1210" t="n"/>
      <c r="N1" s="1238" t="inlineStr">
        <is>
          <t>Итого Расходы май</t>
        </is>
      </c>
      <c r="O1" s="845" t="n"/>
      <c r="P1" s="845" t="n"/>
      <c r="Q1" s="845" t="n"/>
      <c r="R1" s="845" t="n"/>
      <c r="S1" s="845" t="n"/>
      <c r="T1" s="845" t="n"/>
      <c r="U1" s="845" t="n"/>
      <c r="V1" s="845" t="n"/>
      <c r="W1" s="845" t="n"/>
      <c r="X1" s="845" t="n"/>
      <c r="Y1" s="845" t="n"/>
      <c r="Z1" s="845" t="n"/>
    </row>
    <row r="2">
      <c r="A2" s="1233" t="n"/>
      <c r="B2" s="1237" t="inlineStr">
        <is>
          <t>МАЙ 2026 года</t>
        </is>
      </c>
      <c r="C2" s="1209" t="n"/>
      <c r="D2" s="1209" t="n"/>
      <c r="E2" s="1209" t="n"/>
      <c r="F2" s="1210" t="n"/>
      <c r="G2" s="1239" t="inlineStr">
        <is>
          <t>Итого без.нал</t>
        </is>
      </c>
      <c r="H2" s="1237" t="inlineStr">
        <is>
          <t>МАЙ 2026 года</t>
        </is>
      </c>
      <c r="I2" s="1209" t="n"/>
      <c r="J2" s="1209" t="n"/>
      <c r="K2" s="1209" t="n"/>
      <c r="L2" s="1210" t="n"/>
      <c r="M2" s="1240" t="inlineStr">
        <is>
          <t>Итого нал</t>
        </is>
      </c>
      <c r="N2" s="1233" t="n"/>
      <c r="O2" s="845" t="n"/>
      <c r="P2" s="845" t="n"/>
      <c r="Q2" s="845" t="n"/>
      <c r="R2" s="845" t="n"/>
      <c r="S2" s="845" t="n"/>
      <c r="T2" s="845" t="n"/>
      <c r="U2" s="845" t="n"/>
      <c r="V2" s="845" t="n"/>
      <c r="W2" s="845" t="n"/>
      <c r="X2" s="845" t="n"/>
      <c r="Y2" s="845" t="n"/>
      <c r="Z2" s="845" t="n"/>
    </row>
    <row r="3">
      <c r="A3" s="1236" t="n"/>
      <c r="B3" s="870" t="inlineStr">
        <is>
          <t>1 неделя</t>
        </is>
      </c>
      <c r="C3" s="870" t="inlineStr">
        <is>
          <t>2 неделя</t>
        </is>
      </c>
      <c r="D3" s="870" t="inlineStr">
        <is>
          <t>3 неделя</t>
        </is>
      </c>
      <c r="E3" s="870" t="inlineStr">
        <is>
          <t>4 неделя</t>
        </is>
      </c>
      <c r="F3" s="870" t="inlineStr">
        <is>
          <t>5 неделя</t>
        </is>
      </c>
      <c r="G3" s="1236" t="n"/>
      <c r="H3" s="870" t="inlineStr">
        <is>
          <t>1 неделя</t>
        </is>
      </c>
      <c r="I3" s="870" t="inlineStr">
        <is>
          <t>2 неделя</t>
        </is>
      </c>
      <c r="J3" s="870" t="inlineStr">
        <is>
          <t>3 неделя</t>
        </is>
      </c>
      <c r="K3" s="870" t="inlineStr">
        <is>
          <t>4 неделя</t>
        </is>
      </c>
      <c r="L3" s="870" t="inlineStr">
        <is>
          <t>5 неделя</t>
        </is>
      </c>
      <c r="M3" s="1236" t="n"/>
      <c r="N3" s="1236" t="n"/>
      <c r="O3" s="845" t="n"/>
      <c r="P3" s="845" t="n"/>
      <c r="Q3" s="845" t="n"/>
      <c r="R3" s="845" t="n"/>
      <c r="S3" s="845" t="n"/>
      <c r="T3" s="845" t="n"/>
      <c r="U3" s="845" t="n"/>
      <c r="V3" s="845" t="n"/>
      <c r="W3" s="845" t="n"/>
      <c r="X3" s="845" t="n"/>
      <c r="Y3" s="845" t="n"/>
      <c r="Z3" s="845" t="n"/>
    </row>
    <row r="4">
      <c r="A4" s="847" t="inlineStr">
        <is>
          <t>IT-обслуживание,телефония,интернет</t>
        </is>
      </c>
      <c r="B4" s="874" t="inlineStr">
        <is>
          <t>170 577</t>
        </is>
      </c>
      <c r="C4" s="874" t="inlineStr">
        <is>
          <t>310 400</t>
        </is>
      </c>
      <c r="D4" s="874" t="n"/>
      <c r="E4" s="875" t="n"/>
      <c r="F4" s="875" t="n"/>
      <c r="G4" s="874" t="inlineStr">
        <is>
          <t>480 977</t>
        </is>
      </c>
      <c r="H4" s="875" t="n"/>
      <c r="I4" s="875" t="n"/>
      <c r="J4" s="875" t="n"/>
      <c r="K4" s="875" t="n"/>
      <c r="L4" s="875" t="n"/>
      <c r="M4" s="874" t="n">
        <v>0</v>
      </c>
      <c r="N4" s="874" t="inlineStr">
        <is>
          <t>480 977</t>
        </is>
      </c>
      <c r="O4" s="845" t="n"/>
      <c r="P4" s="845" t="n"/>
      <c r="Q4" s="845" t="n"/>
      <c r="R4" s="845" t="n"/>
      <c r="S4" s="845" t="n"/>
      <c r="T4" s="845" t="n"/>
      <c r="U4" s="845" t="n"/>
      <c r="V4" s="845" t="n"/>
      <c r="W4" s="845" t="n"/>
      <c r="X4" s="845" t="n"/>
      <c r="Y4" s="845" t="n"/>
      <c r="Z4" s="845" t="n"/>
    </row>
    <row r="5">
      <c r="A5" s="847" t="inlineStr">
        <is>
          <t>Авансы поставщикам</t>
        </is>
      </c>
      <c r="B5" s="875" t="n"/>
      <c r="C5" s="875" t="n"/>
      <c r="D5" s="875" t="n"/>
      <c r="E5" s="875" t="n"/>
      <c r="F5" s="875" t="n"/>
      <c r="G5" s="874" t="n">
        <v>0</v>
      </c>
      <c r="H5" s="875" t="n"/>
      <c r="I5" s="875" t="n"/>
      <c r="J5" s="875" t="n"/>
      <c r="K5" s="875" t="n"/>
      <c r="L5" s="875" t="n"/>
      <c r="M5" s="874" t="n">
        <v>0</v>
      </c>
      <c r="N5" s="874" t="n">
        <v>0</v>
      </c>
      <c r="O5" s="845" t="n"/>
      <c r="P5" s="845" t="n"/>
      <c r="Q5" s="845" t="n"/>
      <c r="R5" s="845" t="n"/>
      <c r="S5" s="845" t="n"/>
      <c r="T5" s="845" t="n"/>
      <c r="U5" s="845" t="n"/>
      <c r="V5" s="845" t="n"/>
      <c r="W5" s="845" t="n"/>
      <c r="X5" s="845" t="n"/>
      <c r="Y5" s="845" t="n"/>
      <c r="Z5" s="845" t="n"/>
    </row>
    <row r="6">
      <c r="A6" s="847" t="inlineStr">
        <is>
          <t>Административные расходы</t>
        </is>
      </c>
      <c r="B6" s="874" t="inlineStr">
        <is>
          <t>555 000</t>
        </is>
      </c>
      <c r="C6" s="875" t="n"/>
      <c r="D6" s="874" t="inlineStr">
        <is>
          <t>555 000</t>
        </is>
      </c>
      <c r="E6" s="874" t="n"/>
      <c r="F6" s="875" t="n"/>
      <c r="G6" s="874" t="inlineStr">
        <is>
          <t>1 110 000</t>
        </is>
      </c>
      <c r="H6" s="875" t="n"/>
      <c r="I6" s="875" t="n"/>
      <c r="J6" s="874" t="n">
        <v>690000</v>
      </c>
      <c r="K6" s="874" t="n">
        <v>350000</v>
      </c>
      <c r="L6" s="875" t="n"/>
      <c r="M6" s="874" t="n">
        <v>1040000</v>
      </c>
      <c r="N6" s="874" t="inlineStr">
        <is>
          <t>2 150 000</t>
        </is>
      </c>
      <c r="O6" s="845" t="n"/>
      <c r="P6" s="845" t="n"/>
      <c r="Q6" s="845" t="n"/>
      <c r="R6" s="845" t="n"/>
      <c r="S6" s="845" t="n"/>
      <c r="T6" s="845" t="n"/>
      <c r="U6" s="845" t="n"/>
      <c r="V6" s="845" t="n"/>
      <c r="W6" s="845" t="n"/>
      <c r="X6" s="845" t="n"/>
      <c r="Y6" s="845" t="n"/>
      <c r="Z6" s="845" t="n"/>
    </row>
    <row r="7">
      <c r="A7" s="847" t="inlineStr">
        <is>
          <t>Страховка сотрудников</t>
        </is>
      </c>
      <c r="B7" s="874" t="n"/>
      <c r="C7" s="875" t="n"/>
      <c r="D7" s="874" t="n"/>
      <c r="E7" s="874" t="inlineStr">
        <is>
          <t>427 718</t>
        </is>
      </c>
      <c r="F7" s="874" t="n"/>
      <c r="G7" s="874" t="inlineStr">
        <is>
          <t>427 718</t>
        </is>
      </c>
      <c r="H7" s="875" t="n"/>
      <c r="I7" s="875" t="n"/>
      <c r="J7" s="875" t="n"/>
      <c r="K7" s="875" t="n"/>
      <c r="L7" s="875" t="n"/>
      <c r="M7" s="874" t="n">
        <v>0</v>
      </c>
      <c r="N7" s="874" t="inlineStr">
        <is>
          <t>427 718</t>
        </is>
      </c>
      <c r="O7" s="845" t="n"/>
      <c r="P7" s="845" t="n"/>
      <c r="Q7" s="845" t="n"/>
      <c r="R7" s="845" t="n"/>
      <c r="S7" s="845" t="n"/>
      <c r="T7" s="845" t="n"/>
      <c r="U7" s="845" t="n"/>
      <c r="V7" s="845" t="n"/>
      <c r="W7" s="845" t="n"/>
      <c r="X7" s="845" t="n"/>
      <c r="Y7" s="845" t="n"/>
      <c r="Z7" s="845" t="n"/>
    </row>
    <row r="8">
      <c r="A8" s="847" t="inlineStr">
        <is>
          <t>Возврат ВФП</t>
        </is>
      </c>
      <c r="B8" s="875" t="n"/>
      <c r="C8" s="875" t="n"/>
      <c r="D8" s="875" t="n"/>
      <c r="E8" s="875" t="n"/>
      <c r="F8" s="875" t="n"/>
      <c r="G8" s="874" t="n">
        <v>0</v>
      </c>
      <c r="H8" s="875" t="n"/>
      <c r="I8" s="875" t="n"/>
      <c r="J8" s="875" t="n"/>
      <c r="K8" s="875" t="n"/>
      <c r="L8" s="875" t="n"/>
      <c r="M8" s="874" t="n">
        <v>0</v>
      </c>
      <c r="N8" s="874" t="n">
        <v>0</v>
      </c>
      <c r="O8" s="845" t="n"/>
      <c r="P8" s="845" t="n"/>
      <c r="Q8" s="845" t="n"/>
      <c r="R8" s="845" t="n"/>
      <c r="S8" s="845" t="n"/>
      <c r="T8" s="845" t="n"/>
      <c r="U8" s="845" t="n"/>
      <c r="V8" s="845" t="n"/>
      <c r="W8" s="845" t="n"/>
      <c r="X8" s="845" t="n"/>
      <c r="Y8" s="845" t="n"/>
      <c r="Z8" s="845" t="n"/>
    </row>
    <row r="9">
      <c r="A9" s="847" t="inlineStr">
        <is>
          <t>Представительские расходы</t>
        </is>
      </c>
      <c r="B9" s="875" t="n"/>
      <c r="C9" s="875" t="n"/>
      <c r="D9" s="875" t="n"/>
      <c r="E9" s="875" t="n"/>
      <c r="F9" s="875" t="n"/>
      <c r="G9" s="874" t="n">
        <v>0</v>
      </c>
      <c r="H9" s="875" t="n"/>
      <c r="I9" s="875" t="n"/>
      <c r="J9" s="875" t="n"/>
      <c r="K9" s="875" t="n"/>
      <c r="L9" s="875" t="n"/>
      <c r="M9" s="874" t="n">
        <v>0</v>
      </c>
      <c r="N9" s="874" t="n">
        <v>0</v>
      </c>
      <c r="O9" s="845" t="n"/>
      <c r="P9" s="845" t="n"/>
      <c r="Q9" s="845" t="n"/>
      <c r="R9" s="845" t="n"/>
      <c r="S9" s="845" t="n"/>
      <c r="T9" s="845" t="n"/>
      <c r="U9" s="845" t="n"/>
      <c r="V9" s="845" t="n"/>
      <c r="W9" s="845" t="n"/>
      <c r="X9" s="845" t="n"/>
      <c r="Y9" s="845" t="n"/>
      <c r="Z9" s="845" t="n"/>
    </row>
    <row r="10">
      <c r="A10" s="847" t="inlineStr">
        <is>
          <t>Аренда помещений</t>
        </is>
      </c>
      <c r="B10" s="875" t="n"/>
      <c r="C10" s="875" t="n"/>
      <c r="D10" s="874" t="inlineStr">
        <is>
          <t>6 050 000</t>
        </is>
      </c>
      <c r="E10" s="875" t="n"/>
      <c r="F10" s="875" t="n"/>
      <c r="G10" s="874" t="inlineStr">
        <is>
          <t>6 050 000</t>
        </is>
      </c>
      <c r="H10" s="875" t="n"/>
      <c r="I10" s="875" t="n"/>
      <c r="J10" s="875" t="n"/>
      <c r="K10" s="875" t="n"/>
      <c r="L10" s="875" t="n"/>
      <c r="M10" s="874" t="n">
        <v>0</v>
      </c>
      <c r="N10" s="874" t="inlineStr">
        <is>
          <t>6 050 000</t>
        </is>
      </c>
      <c r="O10" s="845" t="n"/>
      <c r="P10" s="845" t="n"/>
      <c r="Q10" s="845" t="n"/>
      <c r="R10" s="845" t="n"/>
      <c r="S10" s="845" t="n"/>
      <c r="T10" s="845" t="n"/>
      <c r="U10" s="845" t="n"/>
      <c r="V10" s="845" t="n"/>
      <c r="W10" s="845" t="n"/>
      <c r="X10" s="845" t="n"/>
      <c r="Y10" s="845" t="n"/>
      <c r="Z10" s="845" t="n"/>
    </row>
    <row r="11">
      <c r="A11" s="847" t="inlineStr">
        <is>
          <t>Газ</t>
        </is>
      </c>
      <c r="B11" s="875" t="n"/>
      <c r="C11" s="875" t="n"/>
      <c r="D11" s="875" t="n"/>
      <c r="E11" s="874" t="n"/>
      <c r="F11" s="875" t="n"/>
      <c r="G11" s="874" t="n">
        <v>0</v>
      </c>
      <c r="H11" s="874" t="n">
        <v>90000</v>
      </c>
      <c r="I11" s="874" t="n">
        <v>90000</v>
      </c>
      <c r="J11" s="874" t="n">
        <v>90000</v>
      </c>
      <c r="K11" s="874" t="n">
        <v>90000</v>
      </c>
      <c r="L11" s="874" t="n">
        <v>90000</v>
      </c>
      <c r="M11" s="874" t="n">
        <v>450000</v>
      </c>
      <c r="N11" s="874" t="inlineStr">
        <is>
          <t>450 000</t>
        </is>
      </c>
      <c r="O11" s="845" t="n"/>
      <c r="P11" s="845" t="n"/>
      <c r="Q11" s="845" t="n"/>
      <c r="R11" s="845" t="n"/>
      <c r="S11" s="845" t="n"/>
      <c r="T11" s="845" t="n"/>
      <c r="U11" s="845" t="n"/>
      <c r="V11" s="845" t="n"/>
      <c r="W11" s="845" t="n"/>
      <c r="X11" s="845" t="n"/>
      <c r="Y11" s="845" t="n"/>
      <c r="Z11" s="845" t="n"/>
    </row>
    <row r="12">
      <c r="A12" s="847" t="inlineStr">
        <is>
          <t>Маркетинг</t>
        </is>
      </c>
      <c r="B12" s="875" t="n"/>
      <c r="C12" s="875" t="n"/>
      <c r="D12" s="875" t="n"/>
      <c r="E12" s="875" t="n"/>
      <c r="F12" s="875" t="n"/>
      <c r="G12" s="874" t="n">
        <v>0</v>
      </c>
      <c r="H12" s="875" t="n"/>
      <c r="I12" s="875" t="n"/>
      <c r="J12" s="875" t="n"/>
      <c r="K12" s="875" t="n"/>
      <c r="L12" s="875" t="n"/>
      <c r="M12" s="874" t="n">
        <v>0</v>
      </c>
      <c r="N12" s="874" t="n">
        <v>0</v>
      </c>
      <c r="O12" s="845" t="n"/>
      <c r="P12" s="845" t="n"/>
      <c r="Q12" s="845" t="n"/>
      <c r="R12" s="845" t="n"/>
      <c r="S12" s="845" t="n"/>
      <c r="T12" s="845" t="n"/>
      <c r="U12" s="845" t="n"/>
      <c r="V12" s="845" t="n"/>
      <c r="W12" s="845" t="n"/>
      <c r="X12" s="845" t="n"/>
      <c r="Y12" s="845" t="n"/>
      <c r="Z12" s="845" t="n"/>
    </row>
    <row r="13">
      <c r="A13" s="847" t="inlineStr">
        <is>
          <t>Мусор</t>
        </is>
      </c>
      <c r="B13" s="875" t="n"/>
      <c r="C13" s="875" t="n"/>
      <c r="D13" s="874" t="inlineStr">
        <is>
          <t>750 000</t>
        </is>
      </c>
      <c r="E13" s="875" t="n"/>
      <c r="F13" s="875" t="n"/>
      <c r="G13" s="874" t="inlineStr">
        <is>
          <t>750 000</t>
        </is>
      </c>
      <c r="H13" s="875" t="n"/>
      <c r="I13" s="875" t="n"/>
      <c r="J13" s="875" t="n"/>
      <c r="K13" s="875" t="n"/>
      <c r="L13" s="875" t="n"/>
      <c r="M13" s="874" t="n">
        <v>0</v>
      </c>
      <c r="N13" s="874" t="inlineStr">
        <is>
          <t>750 000</t>
        </is>
      </c>
      <c r="O13" s="845" t="n"/>
      <c r="P13" s="845" t="n"/>
      <c r="Q13" s="845" t="n"/>
      <c r="R13" s="845" t="n"/>
      <c r="S13" s="845" t="n"/>
      <c r="T13" s="845" t="n"/>
      <c r="U13" s="845" t="n"/>
      <c r="V13" s="845" t="n"/>
      <c r="W13" s="845" t="n"/>
      <c r="X13" s="845" t="n"/>
      <c r="Y13" s="845" t="n"/>
      <c r="Z13" s="845" t="n"/>
    </row>
    <row r="14">
      <c r="A14" s="847" t="inlineStr">
        <is>
          <t>Налоги и другие платежи в бюджет</t>
        </is>
      </c>
      <c r="B14" s="877" t="inlineStr">
        <is>
          <t>7 000 000</t>
        </is>
      </c>
      <c r="C14" s="877" t="inlineStr">
        <is>
          <t>7 000 000</t>
        </is>
      </c>
      <c r="D14" s="877" t="inlineStr">
        <is>
          <t>7 000 000</t>
        </is>
      </c>
      <c r="E14" s="877" t="inlineStr">
        <is>
          <t>15 340 839</t>
        </is>
      </c>
      <c r="F14" s="877" t="n"/>
      <c r="G14" s="877" t="inlineStr">
        <is>
          <t>36 340 839</t>
        </is>
      </c>
      <c r="H14" s="875" t="n"/>
      <c r="I14" s="875" t="n"/>
      <c r="J14" s="875" t="n"/>
      <c r="K14" s="875" t="n"/>
      <c r="L14" s="875" t="n"/>
      <c r="M14" s="874" t="n">
        <v>0</v>
      </c>
      <c r="N14" s="874" t="inlineStr">
        <is>
          <t>36 340 839</t>
        </is>
      </c>
      <c r="O14" s="845" t="n"/>
      <c r="P14" s="845" t="n"/>
      <c r="Q14" s="845" t="n"/>
      <c r="R14" s="845" t="n"/>
      <c r="S14" s="845" t="n"/>
      <c r="T14" s="845" t="n"/>
      <c r="U14" s="845" t="n"/>
      <c r="V14" s="845" t="n"/>
      <c r="W14" s="845" t="n"/>
      <c r="X14" s="845" t="n"/>
      <c r="Y14" s="845" t="n"/>
      <c r="Z14" s="845" t="n"/>
    </row>
    <row r="15">
      <c r="A15" s="847" t="inlineStr">
        <is>
          <t>Оплата труда (пятница-уволенные) (четверг-лагманщики) каждую неделю</t>
        </is>
      </c>
      <c r="B15" s="875" t="n"/>
      <c r="C15" s="875" t="n"/>
      <c r="D15" s="875" t="n"/>
      <c r="E15" s="875" t="n"/>
      <c r="F15" s="875" t="n"/>
      <c r="G15" s="874" t="n">
        <v>0</v>
      </c>
      <c r="H15" s="874" t="inlineStr">
        <is>
          <t>2 400 000</t>
        </is>
      </c>
      <c r="I15" s="874" t="inlineStr">
        <is>
          <t>3 000 000</t>
        </is>
      </c>
      <c r="J15" s="874" t="inlineStr">
        <is>
          <t>2 400 000</t>
        </is>
      </c>
      <c r="K15" s="874" t="inlineStr">
        <is>
          <t>2 400 000</t>
        </is>
      </c>
      <c r="L15" s="874" t="inlineStr">
        <is>
          <t>2 400 000</t>
        </is>
      </c>
      <c r="M15" s="874" t="n">
        <v>12600000</v>
      </c>
      <c r="N15" s="874" t="inlineStr">
        <is>
          <t>12 600 000</t>
        </is>
      </c>
      <c r="O15" s="845" t="n"/>
      <c r="P15" s="845" t="n"/>
      <c r="Q15" s="845" t="n"/>
      <c r="R15" s="845" t="n"/>
      <c r="S15" s="845" t="n"/>
      <c r="T15" s="845" t="n"/>
      <c r="U15" s="845" t="n"/>
      <c r="V15" s="845" t="n"/>
      <c r="W15" s="845" t="n"/>
      <c r="X15" s="845" t="n"/>
      <c r="Y15" s="845" t="n"/>
      <c r="Z15" s="845" t="n"/>
    </row>
    <row r="16">
      <c r="A16" s="847" t="inlineStr">
        <is>
          <t>Оплата труда</t>
        </is>
      </c>
      <c r="B16" s="875" t="n"/>
      <c r="C16" s="874" t="inlineStr">
        <is>
          <t>16 000 000</t>
        </is>
      </c>
      <c r="D16" s="875" t="n"/>
      <c r="E16" s="874" t="n">
        <v>2000000</v>
      </c>
      <c r="F16" s="874" t="n"/>
      <c r="G16" s="874" t="inlineStr">
        <is>
          <t>18 000 000</t>
        </is>
      </c>
      <c r="H16" s="875" t="n"/>
      <c r="I16" s="874" t="inlineStr">
        <is>
          <t>20 000 000</t>
        </is>
      </c>
      <c r="J16" s="874" t="inlineStr">
        <is>
          <t>20 000 000</t>
        </is>
      </c>
      <c r="K16" s="874" t="inlineStr">
        <is>
          <t>20 000 000</t>
        </is>
      </c>
      <c r="L16" s="874" t="inlineStr">
        <is>
          <t>2 000 000</t>
        </is>
      </c>
      <c r="M16" s="874" t="n">
        <v>62000000</v>
      </c>
      <c r="N16" s="874" t="inlineStr">
        <is>
          <t>80 000 000</t>
        </is>
      </c>
      <c r="O16" s="845" t="n"/>
      <c r="P16" s="845" t="n"/>
      <c r="Q16" s="845" t="n"/>
      <c r="R16" s="845" t="n"/>
      <c r="S16" s="845" t="n"/>
      <c r="T16" s="845" t="n"/>
      <c r="U16" s="845" t="n"/>
      <c r="V16" s="845" t="n"/>
      <c r="W16" s="845" t="n"/>
      <c r="X16" s="845" t="n"/>
      <c r="Y16" s="845" t="n"/>
      <c r="Z16" s="845" t="n"/>
    </row>
    <row r="17">
      <c r="A17" s="847" t="inlineStr">
        <is>
          <t>Охрана</t>
        </is>
      </c>
      <c r="B17" s="875" t="n"/>
      <c r="C17" s="875" t="n"/>
      <c r="D17" s="875" t="n"/>
      <c r="E17" s="875" t="n"/>
      <c r="F17" s="875" t="n"/>
      <c r="G17" s="874" t="n">
        <v>0</v>
      </c>
      <c r="H17" s="875" t="n"/>
      <c r="I17" s="875" t="n"/>
      <c r="J17" s="875" t="n"/>
      <c r="K17" s="875" t="n"/>
      <c r="L17" s="875" t="n"/>
      <c r="M17" s="874" t="n">
        <v>0</v>
      </c>
      <c r="N17" s="874" t="n">
        <v>0</v>
      </c>
      <c r="O17" s="845" t="n"/>
      <c r="P17" s="845" t="n"/>
      <c r="Q17" s="845" t="n"/>
      <c r="R17" s="845" t="n"/>
      <c r="S17" s="845" t="n"/>
      <c r="T17" s="845" t="n"/>
      <c r="U17" s="845" t="n"/>
      <c r="V17" s="845" t="n"/>
      <c r="W17" s="845" t="n"/>
      <c r="X17" s="845" t="n"/>
      <c r="Y17" s="845" t="n"/>
      <c r="Z17" s="845" t="n"/>
    </row>
    <row r="18">
      <c r="A18" s="847" t="inlineStr">
        <is>
          <t>Платежи поставщикам Прочее</t>
        </is>
      </c>
      <c r="B18" s="875" t="n"/>
      <c r="C18" s="874" t="inlineStr">
        <is>
          <t>950 000</t>
        </is>
      </c>
      <c r="D18" s="874" t="inlineStr">
        <is>
          <t>172 450</t>
        </is>
      </c>
      <c r="E18" s="874" t="n"/>
      <c r="F18" s="875" t="n"/>
      <c r="G18" s="874" t="inlineStr">
        <is>
          <t>1 122 450</t>
        </is>
      </c>
      <c r="H18" s="875" t="n"/>
      <c r="I18" s="875" t="n"/>
      <c r="J18" s="875" t="n"/>
      <c r="K18" s="875" t="n"/>
      <c r="L18" s="875" t="n"/>
      <c r="M18" s="874" t="n">
        <v>0</v>
      </c>
      <c r="N18" s="874" t="inlineStr">
        <is>
          <t>1 122 450</t>
        </is>
      </c>
      <c r="O18" s="845" t="n"/>
      <c r="P18" s="845" t="n"/>
      <c r="Q18" s="845" t="n"/>
      <c r="R18" s="845" t="n"/>
      <c r="S18" s="845" t="n"/>
      <c r="T18" s="845" t="n"/>
      <c r="U18" s="845" t="n"/>
      <c r="V18" s="845" t="n"/>
      <c r="W18" s="845" t="n"/>
      <c r="X18" s="845" t="n"/>
      <c r="Y18" s="845" t="n"/>
      <c r="Z18" s="845" t="n"/>
    </row>
    <row r="19">
      <c r="A19" s="847" t="inlineStr">
        <is>
          <t>Производственные расходы</t>
        </is>
      </c>
      <c r="B19" s="875" t="n"/>
      <c r="C19" s="875" t="n"/>
      <c r="D19" s="875" t="n"/>
      <c r="E19" s="875" t="n"/>
      <c r="F19" s="875" t="n"/>
      <c r="G19" s="874" t="n">
        <v>0</v>
      </c>
      <c r="H19" s="874" t="inlineStr">
        <is>
          <t>100 000</t>
        </is>
      </c>
      <c r="I19" s="874" t="inlineStr">
        <is>
          <t>100 000</t>
        </is>
      </c>
      <c r="J19" s="874" t="inlineStr">
        <is>
          <t>100 000</t>
        </is>
      </c>
      <c r="K19" s="874" t="inlineStr">
        <is>
          <t>100 000</t>
        </is>
      </c>
      <c r="L19" s="874" t="inlineStr">
        <is>
          <t>100 000</t>
        </is>
      </c>
      <c r="M19" s="874" t="n">
        <v>500000</v>
      </c>
      <c r="N19" s="874" t="inlineStr">
        <is>
          <t>500 000</t>
        </is>
      </c>
      <c r="O19" s="845" t="n"/>
      <c r="P19" s="845" t="n"/>
      <c r="Q19" s="845" t="n"/>
      <c r="R19" s="845" t="n"/>
      <c r="S19" s="845" t="n"/>
      <c r="T19" s="845" t="n"/>
      <c r="U19" s="845" t="n"/>
      <c r="V19" s="845" t="n"/>
      <c r="W19" s="845" t="n"/>
      <c r="X19" s="845" t="n"/>
      <c r="Y19" s="845" t="n"/>
      <c r="Z19" s="845" t="n"/>
    </row>
    <row r="20">
      <c r="A20" s="847" t="inlineStr">
        <is>
          <t>Инвентарь</t>
        </is>
      </c>
      <c r="B20" s="875" t="n"/>
      <c r="C20" s="875" t="n"/>
      <c r="D20" s="875" t="n"/>
      <c r="E20" s="875" t="n"/>
      <c r="F20" s="875" t="n"/>
      <c r="G20" s="874" t="n">
        <v>0</v>
      </c>
      <c r="H20" s="875" t="n"/>
      <c r="I20" s="875" t="n"/>
      <c r="J20" s="875" t="n"/>
      <c r="K20" s="875" t="n"/>
      <c r="L20" s="875" t="n"/>
      <c r="M20" s="874" t="n">
        <v>0</v>
      </c>
      <c r="N20" s="874" t="n">
        <v>0</v>
      </c>
      <c r="O20" s="845" t="n"/>
      <c r="P20" s="845" t="n"/>
      <c r="Q20" s="845" t="n"/>
      <c r="R20" s="845" t="n"/>
      <c r="S20" s="845" t="n"/>
      <c r="T20" s="845" t="n"/>
      <c r="U20" s="845" t="n"/>
      <c r="V20" s="845" t="n"/>
      <c r="W20" s="845" t="n"/>
      <c r="X20" s="845" t="n"/>
      <c r="Y20" s="845" t="n"/>
      <c r="Z20" s="845" t="n"/>
    </row>
    <row r="21">
      <c r="A21" s="847" t="inlineStr">
        <is>
          <t>Униформа</t>
        </is>
      </c>
      <c r="B21" s="875" t="n"/>
      <c r="C21" s="875" t="n"/>
      <c r="D21" s="875" t="n"/>
      <c r="E21" s="875" t="n"/>
      <c r="F21" s="875" t="n"/>
      <c r="G21" s="874" t="n">
        <v>0</v>
      </c>
      <c r="H21" s="875" t="n"/>
      <c r="I21" s="875" t="n"/>
      <c r="J21" s="875" t="n"/>
      <c r="K21" s="875" t="n"/>
      <c r="L21" s="875" t="n"/>
      <c r="M21" s="874" t="n">
        <v>0</v>
      </c>
      <c r="N21" s="874" t="n">
        <v>0</v>
      </c>
      <c r="O21" s="845" t="n"/>
      <c r="P21" s="845" t="n"/>
      <c r="Q21" s="845" t="n"/>
      <c r="R21" s="845" t="n"/>
      <c r="S21" s="845" t="n"/>
      <c r="T21" s="845" t="n"/>
      <c r="U21" s="845" t="n"/>
      <c r="V21" s="845" t="n"/>
      <c r="W21" s="845" t="n"/>
      <c r="X21" s="845" t="n"/>
      <c r="Y21" s="845" t="n"/>
      <c r="Z21" s="845" t="n"/>
    </row>
    <row r="22">
      <c r="A22" s="847" t="inlineStr">
        <is>
          <t>Упаковка</t>
        </is>
      </c>
      <c r="B22" s="875" t="n"/>
      <c r="C22" s="875" t="n"/>
      <c r="D22" s="875" t="n"/>
      <c r="E22" s="875" t="n"/>
      <c r="F22" s="875" t="n"/>
      <c r="G22" s="874" t="n">
        <v>0</v>
      </c>
      <c r="H22" s="875" t="n"/>
      <c r="I22" s="875" t="n"/>
      <c r="J22" s="875" t="n"/>
      <c r="K22" s="875" t="n"/>
      <c r="L22" s="875" t="n"/>
      <c r="M22" s="874" t="n">
        <v>0</v>
      </c>
      <c r="N22" s="874" t="n">
        <v>0</v>
      </c>
      <c r="O22" s="845" t="n"/>
      <c r="P22" s="845" t="n"/>
      <c r="Q22" s="845" t="n"/>
      <c r="R22" s="845" t="n"/>
      <c r="S22" s="845" t="n"/>
      <c r="T22" s="845" t="n"/>
      <c r="U22" s="845" t="n"/>
      <c r="V22" s="845" t="n"/>
      <c r="W22" s="845" t="n"/>
      <c r="X22" s="845" t="n"/>
      <c r="Y22" s="845" t="n"/>
      <c r="Z22" s="845" t="n"/>
    </row>
    <row r="23">
      <c r="A23" s="847" t="inlineStr">
        <is>
          <t>Хоз.товары</t>
        </is>
      </c>
      <c r="B23" s="875" t="n"/>
      <c r="C23" s="875" t="n"/>
      <c r="D23" s="875" t="n"/>
      <c r="E23" s="875" t="n"/>
      <c r="F23" s="875" t="n"/>
      <c r="G23" s="874" t="n">
        <v>0</v>
      </c>
      <c r="H23" s="875" t="n"/>
      <c r="I23" s="875" t="n"/>
      <c r="J23" s="875" t="n"/>
      <c r="K23" s="875" t="n"/>
      <c r="L23" s="875" t="n"/>
      <c r="M23" s="874" t="n">
        <v>0</v>
      </c>
      <c r="N23" s="874" t="n">
        <v>0</v>
      </c>
      <c r="O23" s="845" t="n"/>
      <c r="P23" s="845" t="n"/>
      <c r="Q23" s="845" t="n"/>
      <c r="R23" s="845" t="n"/>
      <c r="S23" s="845" t="n"/>
      <c r="T23" s="845" t="n"/>
      <c r="U23" s="845" t="n"/>
      <c r="V23" s="845" t="n"/>
      <c r="W23" s="845" t="n"/>
      <c r="X23" s="845" t="n"/>
      <c r="Y23" s="845" t="n"/>
      <c r="Z23" s="845" t="n"/>
    </row>
    <row r="24">
      <c r="A24" s="847" t="inlineStr">
        <is>
          <t>Погашение кредита и %%</t>
        </is>
      </c>
      <c r="B24" s="874" t="inlineStr">
        <is>
          <t>1 749 942</t>
        </is>
      </c>
      <c r="C24" s="875" t="n"/>
      <c r="D24" s="875" t="n"/>
      <c r="E24" s="874" t="n">
        <v>4013564</v>
      </c>
      <c r="F24" s="874" t="n"/>
      <c r="G24" s="874" t="inlineStr">
        <is>
          <t>5 763 506</t>
        </is>
      </c>
      <c r="H24" s="875" t="n"/>
      <c r="I24" s="875" t="n"/>
      <c r="J24" s="875" t="n"/>
      <c r="K24" s="875" t="n"/>
      <c r="L24" s="875" t="n"/>
      <c r="M24" s="874" t="n">
        <v>0</v>
      </c>
      <c r="N24" s="874" t="inlineStr">
        <is>
          <t>5 763 506</t>
        </is>
      </c>
      <c r="O24" s="845" t="n"/>
      <c r="P24" s="845" t="n"/>
      <c r="Q24" s="845" t="n"/>
      <c r="R24" s="845" t="n"/>
      <c r="S24" s="845" t="n"/>
      <c r="T24" s="845" t="n"/>
      <c r="U24" s="845" t="n"/>
      <c r="V24" s="845" t="n"/>
      <c r="W24" s="845" t="n"/>
      <c r="X24" s="845" t="n"/>
      <c r="Y24" s="845" t="n"/>
      <c r="Z24" s="845" t="n"/>
    </row>
    <row r="25">
      <c r="A25" s="853" t="inlineStr">
        <is>
          <t>Расходы по реализации Разные(Логистика)</t>
        </is>
      </c>
      <c r="B25" s="878" t="n"/>
      <c r="C25" s="878" t="n"/>
      <c r="D25" s="877" t="inlineStr">
        <is>
          <t>1 500 000</t>
        </is>
      </c>
      <c r="E25" s="878" t="n"/>
      <c r="F25" s="877" t="inlineStr">
        <is>
          <t>2 000 000</t>
        </is>
      </c>
      <c r="G25" s="877" t="inlineStr">
        <is>
          <t>3 500 000</t>
        </is>
      </c>
      <c r="H25" s="878" t="n"/>
      <c r="I25" s="878" t="n"/>
      <c r="J25" s="878" t="n"/>
      <c r="K25" s="878" t="n"/>
      <c r="L25" s="878" t="n"/>
      <c r="M25" s="874" t="n">
        <v>0</v>
      </c>
      <c r="N25" s="874" t="inlineStr">
        <is>
          <t>3 500 000</t>
        </is>
      </c>
      <c r="O25" s="855" t="n"/>
      <c r="P25" s="855" t="n"/>
      <c r="Q25" s="855" t="n"/>
      <c r="R25" s="855" t="n"/>
      <c r="S25" s="855" t="n"/>
      <c r="T25" s="855" t="n"/>
      <c r="U25" s="855" t="n"/>
      <c r="V25" s="855" t="n"/>
      <c r="W25" s="855" t="n"/>
      <c r="X25" s="855" t="n"/>
      <c r="Y25" s="855" t="n"/>
      <c r="Z25" s="855" t="n"/>
    </row>
    <row r="26">
      <c r="A26" s="847" t="inlineStr">
        <is>
          <t>Ремонт помещений</t>
        </is>
      </c>
      <c r="B26" s="874" t="n">
        <v>500000</v>
      </c>
      <c r="C26" s="874" t="n">
        <v>500000</v>
      </c>
      <c r="D26" s="874" t="n">
        <v>500000</v>
      </c>
      <c r="E26" s="874" t="n">
        <v>500000</v>
      </c>
      <c r="F26" s="875" t="n"/>
      <c r="G26" s="874" t="inlineStr">
        <is>
          <t>2 000 000</t>
        </is>
      </c>
      <c r="H26" s="875" t="n"/>
      <c r="I26" s="875" t="n"/>
      <c r="J26" s="875" t="n"/>
      <c r="K26" s="875" t="n"/>
      <c r="L26" s="875" t="n"/>
      <c r="M26" s="874" t="n">
        <v>0</v>
      </c>
      <c r="N26" s="874" t="inlineStr">
        <is>
          <t>2 000 000</t>
        </is>
      </c>
      <c r="O26" s="845" t="n"/>
      <c r="P26" s="845" t="n"/>
      <c r="Q26" s="845" t="n"/>
      <c r="R26" s="845" t="n"/>
      <c r="S26" s="845" t="n"/>
      <c r="T26" s="845" t="n"/>
      <c r="U26" s="845" t="n"/>
      <c r="V26" s="845" t="n"/>
      <c r="W26" s="845" t="n"/>
      <c r="X26" s="845" t="n"/>
      <c r="Y26" s="845" t="n"/>
      <c r="Z26" s="845" t="n"/>
    </row>
    <row r="27">
      <c r="A27" s="847" t="inlineStr">
        <is>
          <t>Ремонт оборудования</t>
        </is>
      </c>
      <c r="B27" s="874" t="n">
        <v>1000000</v>
      </c>
      <c r="C27" s="874" t="n">
        <v>500000</v>
      </c>
      <c r="D27" s="874" t="n">
        <v>500000</v>
      </c>
      <c r="E27" s="874" t="n">
        <v>1000000</v>
      </c>
      <c r="F27" s="875" t="n"/>
      <c r="G27" s="874" t="inlineStr">
        <is>
          <t>3 000 000</t>
        </is>
      </c>
      <c r="H27" s="875" t="n"/>
      <c r="I27" s="875" t="n"/>
      <c r="J27" s="875" t="n"/>
      <c r="K27" s="875" t="n"/>
      <c r="L27" s="875" t="n"/>
      <c r="M27" s="874" t="n">
        <v>0</v>
      </c>
      <c r="N27" s="874" t="inlineStr">
        <is>
          <t>3 000 000</t>
        </is>
      </c>
      <c r="O27" s="845" t="n"/>
      <c r="P27" s="845" t="n"/>
      <c r="Q27" s="845" t="n"/>
      <c r="R27" s="845" t="n"/>
      <c r="S27" s="845" t="n"/>
      <c r="T27" s="845" t="n"/>
      <c r="U27" s="845" t="n"/>
      <c r="V27" s="845" t="n"/>
      <c r="W27" s="845" t="n"/>
      <c r="X27" s="845" t="n"/>
      <c r="Y27" s="845" t="n"/>
      <c r="Z27" s="845" t="n"/>
    </row>
    <row r="28">
      <c r="A28" s="847" t="inlineStr">
        <is>
          <t>Приобретение основных средств</t>
        </is>
      </c>
      <c r="B28" s="875" t="n"/>
      <c r="C28" s="875" t="n"/>
      <c r="D28" s="875" t="n"/>
      <c r="E28" s="875" t="n"/>
      <c r="F28" s="875" t="n"/>
      <c r="G28" s="874" t="n">
        <v>0</v>
      </c>
      <c r="H28" s="875" t="n"/>
      <c r="I28" s="875" t="n"/>
      <c r="J28" s="875" t="n"/>
      <c r="K28" s="875" t="n"/>
      <c r="L28" s="875" t="n"/>
      <c r="M28" s="874" t="n">
        <v>0</v>
      </c>
      <c r="N28" s="874" t="n">
        <v>0</v>
      </c>
      <c r="O28" s="845" t="n"/>
      <c r="P28" s="845" t="n"/>
      <c r="Q28" s="845" t="n"/>
      <c r="R28" s="845" t="n"/>
      <c r="S28" s="845" t="n"/>
      <c r="T28" s="845" t="n"/>
      <c r="U28" s="845" t="n"/>
      <c r="V28" s="845" t="n"/>
      <c r="W28" s="845" t="n"/>
      <c r="X28" s="845" t="n"/>
      <c r="Y28" s="845" t="n"/>
      <c r="Z28" s="845" t="n"/>
    </row>
    <row r="29">
      <c r="A29" s="847" t="inlineStr">
        <is>
          <t>Сырье Платежи поставщикам Стас</t>
        </is>
      </c>
      <c r="B29" s="875" t="n"/>
      <c r="C29" s="875" t="n"/>
      <c r="D29" s="875" t="n"/>
      <c r="E29" s="875" t="n"/>
      <c r="F29" s="875" t="n"/>
      <c r="G29" s="874" t="n">
        <v>0</v>
      </c>
      <c r="H29" s="874" t="inlineStr">
        <is>
          <t>2 000 000</t>
        </is>
      </c>
      <c r="I29" s="874" t="inlineStr">
        <is>
          <t>2 000 000</t>
        </is>
      </c>
      <c r="J29" s="874" t="inlineStr">
        <is>
          <t>2 000 000</t>
        </is>
      </c>
      <c r="K29" s="874" t="inlineStr">
        <is>
          <t>2 000 000</t>
        </is>
      </c>
      <c r="L29" s="874" t="inlineStr">
        <is>
          <t>2 000 000</t>
        </is>
      </c>
      <c r="M29" s="874" t="n">
        <v>10000000</v>
      </c>
      <c r="N29" s="874" t="inlineStr">
        <is>
          <t>10 000 000</t>
        </is>
      </c>
      <c r="O29" s="845" t="n"/>
      <c r="P29" s="845" t="n"/>
      <c r="Q29" s="845" t="n"/>
      <c r="R29" s="845" t="n"/>
      <c r="S29" s="845" t="n"/>
      <c r="T29" s="845" t="n"/>
      <c r="U29" s="845" t="n"/>
      <c r="V29" s="845" t="n"/>
      <c r="W29" s="845" t="n"/>
      <c r="X29" s="845" t="n"/>
      <c r="Y29" s="845" t="n"/>
      <c r="Z29" s="845" t="n"/>
    </row>
    <row r="30">
      <c r="A30" s="847" t="inlineStr">
        <is>
          <t>Электроэнергия и комун расходы</t>
        </is>
      </c>
      <c r="B30" s="875" t="n"/>
      <c r="C30" s="875" t="n"/>
      <c r="D30" s="875" t="n"/>
      <c r="E30" s="874" t="inlineStr">
        <is>
          <t>9 000 000</t>
        </is>
      </c>
      <c r="F30" s="875" t="n"/>
      <c r="G30" s="874" t="inlineStr">
        <is>
          <t>9 000 000</t>
        </is>
      </c>
      <c r="H30" s="875" t="n"/>
      <c r="I30" s="875" t="n"/>
      <c r="J30" s="875" t="n"/>
      <c r="K30" s="875" t="n"/>
      <c r="L30" s="875" t="n"/>
      <c r="M30" s="874" t="n">
        <v>0</v>
      </c>
      <c r="N30" s="874" t="inlineStr">
        <is>
          <t>9 000 000</t>
        </is>
      </c>
      <c r="O30" s="845" t="n"/>
      <c r="P30" s="845" t="n"/>
      <c r="Q30" s="845" t="n"/>
      <c r="R30" s="845" t="n"/>
      <c r="S30" s="845" t="n"/>
      <c r="T30" s="845" t="n"/>
      <c r="U30" s="845" t="n"/>
      <c r="V30" s="845" t="n"/>
      <c r="W30" s="845" t="n"/>
      <c r="X30" s="845" t="n"/>
      <c r="Y30" s="845" t="n"/>
      <c r="Z30" s="845" t="n"/>
    </row>
    <row r="31" ht="15.75" customHeight="1" s="1127">
      <c r="A31" s="856" t="inlineStr">
        <is>
          <t>ИТОГО</t>
        </is>
      </c>
      <c r="B31" s="874" t="inlineStr">
        <is>
          <t>10 975 519</t>
        </is>
      </c>
      <c r="C31" s="874" t="inlineStr">
        <is>
          <t>25 260 400</t>
        </is>
      </c>
      <c r="D31" s="874" t="inlineStr">
        <is>
          <t>17 027 450</t>
        </is>
      </c>
      <c r="E31" s="874" t="inlineStr">
        <is>
          <t>32 282 121</t>
        </is>
      </c>
      <c r="F31" s="874" t="inlineStr">
        <is>
          <t>2 000 000</t>
        </is>
      </c>
      <c r="G31" s="874" t="inlineStr">
        <is>
          <t>87 545 490</t>
        </is>
      </c>
      <c r="H31" s="874" t="inlineStr">
        <is>
          <t>4 590 000</t>
        </is>
      </c>
      <c r="I31" s="874" t="inlineStr">
        <is>
          <t>25 190 000</t>
        </is>
      </c>
      <c r="J31" s="874" t="inlineStr">
        <is>
          <t>25 280 000</t>
        </is>
      </c>
      <c r="K31" s="874" t="inlineStr">
        <is>
          <t>24 940 000</t>
        </is>
      </c>
      <c r="L31" s="874" t="inlineStr">
        <is>
          <t>6 590 000</t>
        </is>
      </c>
      <c r="M31" s="874" t="n">
        <v>86590000</v>
      </c>
      <c r="N31" s="874" t="inlineStr">
        <is>
          <t>174 135 490</t>
        </is>
      </c>
      <c r="O31" s="845" t="n"/>
      <c r="P31" s="845" t="n"/>
      <c r="Q31" s="845" t="n"/>
      <c r="R31" s="845" t="n"/>
      <c r="S31" s="845" t="n"/>
      <c r="T31" s="845" t="n"/>
      <c r="U31" s="845" t="n"/>
      <c r="V31" s="845" t="n"/>
      <c r="W31" s="845" t="n"/>
      <c r="X31" s="845" t="n"/>
      <c r="Y31" s="845" t="n"/>
      <c r="Z31" s="845" t="n"/>
    </row>
    <row r="32" ht="13.2" customHeight="1" s="1127">
      <c r="A32" s="845" t="n"/>
      <c r="B32" s="845" t="n"/>
      <c r="C32" s="845" t="n"/>
      <c r="D32" s="845" t="n"/>
      <c r="E32" s="845" t="n"/>
      <c r="F32" s="845" t="n"/>
      <c r="G32" s="879" t="n"/>
      <c r="H32" s="845" t="n"/>
      <c r="I32" s="845" t="n"/>
      <c r="J32" s="845" t="n"/>
      <c r="K32" s="845" t="n"/>
      <c r="L32" s="845" t="n"/>
      <c r="M32" s="845" t="n"/>
      <c r="N32" s="845" t="n"/>
      <c r="O32" s="845" t="n"/>
      <c r="P32" s="845" t="n"/>
      <c r="Q32" s="845" t="n"/>
      <c r="R32" s="845" t="n"/>
      <c r="S32" s="845" t="n"/>
      <c r="T32" s="845" t="n"/>
      <c r="U32" s="845" t="n"/>
      <c r="V32" s="845" t="n"/>
      <c r="W32" s="845" t="n"/>
      <c r="X32" s="845" t="n"/>
      <c r="Y32" s="845" t="n"/>
      <c r="Z32" s="845" t="n"/>
    </row>
    <row r="33" ht="13.2" customHeight="1" s="1127">
      <c r="A33" s="845" t="n"/>
      <c r="B33" s="845" t="n"/>
      <c r="C33" s="845" t="n"/>
      <c r="D33" s="845" t="n"/>
      <c r="E33" s="845" t="n"/>
      <c r="F33" s="845" t="n"/>
      <c r="G33" s="879" t="n"/>
      <c r="H33" s="845" t="n"/>
      <c r="I33" s="845" t="n"/>
      <c r="J33" s="845" t="n"/>
      <c r="K33" s="845" t="n"/>
      <c r="L33" s="845" t="n"/>
      <c r="M33" s="845" t="n"/>
      <c r="N33" s="845" t="n"/>
      <c r="O33" s="845" t="n"/>
      <c r="P33" s="845" t="n"/>
      <c r="Q33" s="845" t="n"/>
      <c r="R33" s="845" t="n"/>
      <c r="S33" s="845" t="n"/>
      <c r="T33" s="845" t="n"/>
      <c r="U33" s="845" t="n"/>
      <c r="V33" s="845" t="n"/>
      <c r="W33" s="845" t="n"/>
      <c r="X33" s="845" t="n"/>
      <c r="Y33" s="845" t="n"/>
      <c r="Z33" s="845" t="n"/>
    </row>
    <row r="34" ht="13.2" customHeight="1" s="1127">
      <c r="A34" s="845" t="n"/>
      <c r="B34" s="845" t="n"/>
      <c r="C34" s="845" t="n"/>
      <c r="D34" s="845" t="n"/>
      <c r="E34" s="845" t="n"/>
      <c r="F34" s="845" t="n"/>
      <c r="G34" s="879" t="n"/>
      <c r="H34" s="845" t="n"/>
      <c r="I34" s="845" t="n"/>
      <c r="J34" s="845" t="n"/>
      <c r="K34" s="845" t="n"/>
      <c r="L34" s="845" t="n"/>
      <c r="M34" s="845" t="n"/>
      <c r="N34" s="845" t="n"/>
      <c r="O34" s="845" t="n"/>
      <c r="P34" s="845" t="n"/>
      <c r="Q34" s="845" t="n"/>
      <c r="R34" s="845" t="n"/>
      <c r="S34" s="845" t="n"/>
      <c r="T34" s="845" t="n"/>
      <c r="U34" s="845" t="n"/>
      <c r="V34" s="845" t="n"/>
      <c r="W34" s="845" t="n"/>
      <c r="X34" s="845" t="n"/>
      <c r="Y34" s="845" t="n"/>
      <c r="Z34" s="845" t="n"/>
    </row>
    <row r="35" ht="13.2" customHeight="1" s="1127">
      <c r="A35" s="845" t="n"/>
      <c r="B35" s="845" t="n"/>
      <c r="C35" s="845" t="n"/>
      <c r="D35" s="845" t="n"/>
      <c r="E35" s="845" t="n"/>
      <c r="F35" s="845" t="n"/>
      <c r="G35" s="879" t="n"/>
      <c r="H35" s="845" t="n"/>
      <c r="I35" s="845" t="n"/>
      <c r="J35" s="845" t="n"/>
      <c r="K35" s="845" t="n"/>
      <c r="L35" s="845" t="n"/>
      <c r="M35" s="845" t="n"/>
      <c r="N35" s="845" t="n"/>
      <c r="O35" s="845" t="n"/>
      <c r="P35" s="845" t="n"/>
      <c r="Q35" s="845" t="n"/>
      <c r="R35" s="845" t="n"/>
      <c r="S35" s="845" t="n"/>
      <c r="T35" s="845" t="n"/>
      <c r="U35" s="845" t="n"/>
      <c r="V35" s="845" t="n"/>
      <c r="W35" s="845" t="n"/>
      <c r="X35" s="845" t="n"/>
      <c r="Y35" s="845" t="n"/>
      <c r="Z35" s="845" t="n"/>
    </row>
    <row r="36" ht="13.2" customHeight="1" s="1127">
      <c r="A36" s="845" t="n"/>
      <c r="B36" s="845" t="n"/>
      <c r="C36" s="845" t="n"/>
      <c r="D36" s="845" t="n"/>
      <c r="E36" s="845" t="n"/>
      <c r="F36" s="845" t="n"/>
      <c r="G36" s="879" t="n"/>
      <c r="H36" s="845" t="n"/>
      <c r="I36" s="845" t="n"/>
      <c r="J36" s="845" t="n"/>
      <c r="K36" s="845" t="n"/>
      <c r="L36" s="845" t="n"/>
      <c r="M36" s="845" t="n"/>
      <c r="N36" s="845" t="n"/>
      <c r="O36" s="845" t="n"/>
      <c r="P36" s="845" t="n"/>
      <c r="Q36" s="845" t="n"/>
      <c r="R36" s="845" t="n"/>
      <c r="S36" s="845" t="n"/>
      <c r="T36" s="845" t="n"/>
      <c r="U36" s="845" t="n"/>
      <c r="V36" s="845" t="n"/>
      <c r="W36" s="845" t="n"/>
      <c r="X36" s="845" t="n"/>
      <c r="Y36" s="845" t="n"/>
      <c r="Z36" s="845" t="n"/>
    </row>
    <row r="37" ht="13.2" customHeight="1" s="1127">
      <c r="A37" s="845" t="n"/>
      <c r="B37" s="845" t="n"/>
      <c r="C37" s="845" t="n"/>
      <c r="D37" s="845" t="n"/>
      <c r="E37" s="845" t="n"/>
      <c r="F37" s="845" t="n"/>
      <c r="G37" s="879" t="n"/>
      <c r="H37" s="845" t="n"/>
      <c r="I37" s="845" t="n"/>
      <c r="J37" s="845" t="n"/>
      <c r="K37" s="845" t="n"/>
      <c r="L37" s="845" t="n"/>
      <c r="M37" s="845" t="n"/>
      <c r="N37" s="845" t="n"/>
      <c r="O37" s="845" t="n"/>
      <c r="P37" s="845" t="n"/>
      <c r="Q37" s="845" t="n"/>
      <c r="R37" s="845" t="n"/>
      <c r="S37" s="845" t="n"/>
      <c r="T37" s="845" t="n"/>
      <c r="U37" s="845" t="n"/>
      <c r="V37" s="845" t="n"/>
      <c r="W37" s="845" t="n"/>
      <c r="X37" s="845" t="n"/>
      <c r="Y37" s="845" t="n"/>
      <c r="Z37" s="845" t="n"/>
    </row>
    <row r="38" ht="13.2" customHeight="1" s="1127">
      <c r="A38" s="845" t="n"/>
      <c r="B38" s="845" t="n"/>
      <c r="C38" s="845" t="n"/>
      <c r="D38" s="845" t="n"/>
      <c r="E38" s="845" t="n"/>
      <c r="F38" s="845" t="n"/>
      <c r="G38" s="879" t="n"/>
      <c r="H38" s="845" t="n"/>
      <c r="I38" s="845" t="n"/>
      <c r="J38" s="845" t="n"/>
      <c r="K38" s="845" t="n"/>
      <c r="L38" s="845" t="n"/>
      <c r="M38" s="845" t="n"/>
      <c r="N38" s="845" t="n"/>
      <c r="O38" s="845" t="n"/>
      <c r="P38" s="845" t="n"/>
      <c r="Q38" s="845" t="n"/>
      <c r="R38" s="845" t="n"/>
      <c r="S38" s="845" t="n"/>
      <c r="T38" s="845" t="n"/>
      <c r="U38" s="845" t="n"/>
      <c r="V38" s="845" t="n"/>
      <c r="W38" s="845" t="n"/>
      <c r="X38" s="845" t="n"/>
      <c r="Y38" s="845" t="n"/>
      <c r="Z38" s="845" t="n"/>
    </row>
    <row r="39" ht="13.2" customHeight="1" s="1127">
      <c r="A39" s="845" t="n"/>
      <c r="B39" s="845" t="n"/>
      <c r="C39" s="845" t="n"/>
      <c r="D39" s="845" t="n"/>
      <c r="E39" s="845" t="n"/>
      <c r="F39" s="845" t="n"/>
      <c r="G39" s="879" t="n"/>
      <c r="H39" s="845" t="n"/>
      <c r="I39" s="845" t="n"/>
      <c r="J39" s="845" t="n"/>
      <c r="K39" s="845" t="n"/>
      <c r="L39" s="845" t="n"/>
      <c r="M39" s="845" t="n"/>
      <c r="N39" s="845" t="n"/>
      <c r="O39" s="845" t="n"/>
      <c r="P39" s="845" t="n"/>
      <c r="Q39" s="845" t="n"/>
      <c r="R39" s="845" t="n"/>
      <c r="S39" s="845" t="n"/>
      <c r="T39" s="845" t="n"/>
      <c r="U39" s="845" t="n"/>
      <c r="V39" s="845" t="n"/>
      <c r="W39" s="845" t="n"/>
      <c r="X39" s="845" t="n"/>
      <c r="Y39" s="845" t="n"/>
      <c r="Z39" s="845" t="n"/>
    </row>
    <row r="40" ht="13.2" customHeight="1" s="1127">
      <c r="A40" s="845" t="n"/>
      <c r="B40" s="845" t="n"/>
      <c r="C40" s="845" t="n"/>
      <c r="D40" s="845" t="n"/>
      <c r="E40" s="845" t="n"/>
      <c r="F40" s="845" t="n"/>
      <c r="G40" s="879" t="n"/>
      <c r="H40" s="845" t="n"/>
      <c r="I40" s="845" t="n"/>
      <c r="J40" s="845" t="n"/>
      <c r="K40" s="845" t="n"/>
      <c r="L40" s="845" t="n"/>
      <c r="M40" s="845" t="n"/>
      <c r="N40" s="845" t="n"/>
      <c r="O40" s="845" t="n"/>
      <c r="P40" s="845" t="n"/>
      <c r="Q40" s="845" t="n"/>
      <c r="R40" s="845" t="n"/>
      <c r="S40" s="845" t="n"/>
      <c r="T40" s="845" t="n"/>
      <c r="U40" s="845" t="n"/>
      <c r="V40" s="845" t="n"/>
      <c r="W40" s="845" t="n"/>
      <c r="X40" s="845" t="n"/>
      <c r="Y40" s="845" t="n"/>
      <c r="Z40" s="845" t="n"/>
    </row>
    <row r="41" ht="13.2" customHeight="1" s="1127">
      <c r="A41" s="845" t="n"/>
      <c r="B41" s="845" t="n"/>
      <c r="C41" s="845" t="n"/>
      <c r="D41" s="845" t="n"/>
      <c r="E41" s="845" t="n"/>
      <c r="F41" s="845" t="n"/>
      <c r="G41" s="879" t="n"/>
      <c r="H41" s="845" t="n"/>
      <c r="I41" s="845" t="n"/>
      <c r="J41" s="845" t="n"/>
      <c r="K41" s="845" t="n"/>
      <c r="L41" s="845" t="n"/>
      <c r="M41" s="845" t="n"/>
      <c r="N41" s="845" t="n"/>
      <c r="O41" s="845" t="n"/>
      <c r="P41" s="845" t="n"/>
      <c r="Q41" s="845" t="n"/>
      <c r="R41" s="845" t="n"/>
      <c r="S41" s="845" t="n"/>
      <c r="T41" s="845" t="n"/>
      <c r="U41" s="845" t="n"/>
      <c r="V41" s="845" t="n"/>
      <c r="W41" s="845" t="n"/>
      <c r="X41" s="845" t="n"/>
      <c r="Y41" s="845" t="n"/>
      <c r="Z41" s="845" t="n"/>
    </row>
    <row r="42" ht="13.2" customHeight="1" s="1127">
      <c r="A42" s="845" t="n"/>
      <c r="B42" s="845" t="n"/>
      <c r="C42" s="845" t="n"/>
      <c r="D42" s="845" t="n"/>
      <c r="E42" s="845" t="n"/>
      <c r="F42" s="845" t="n"/>
      <c r="G42" s="879" t="n"/>
      <c r="H42" s="845" t="n"/>
      <c r="I42" s="845" t="n"/>
      <c r="J42" s="845" t="n"/>
      <c r="K42" s="845" t="n"/>
      <c r="L42" s="845" t="n"/>
      <c r="M42" s="845" t="n"/>
      <c r="N42" s="845" t="n"/>
      <c r="O42" s="845" t="n"/>
      <c r="P42" s="845" t="n"/>
      <c r="Q42" s="845" t="n"/>
      <c r="R42" s="845" t="n"/>
      <c r="S42" s="845" t="n"/>
      <c r="T42" s="845" t="n"/>
      <c r="U42" s="845" t="n"/>
      <c r="V42" s="845" t="n"/>
      <c r="W42" s="845" t="n"/>
      <c r="X42" s="845" t="n"/>
      <c r="Y42" s="845" t="n"/>
      <c r="Z42" s="845" t="n"/>
    </row>
    <row r="43" ht="13.2" customHeight="1" s="1127">
      <c r="A43" s="845" t="n"/>
      <c r="B43" s="845" t="n"/>
      <c r="C43" s="845" t="n"/>
      <c r="D43" s="845" t="n"/>
      <c r="E43" s="845" t="n"/>
      <c r="F43" s="845" t="n"/>
      <c r="G43" s="879" t="n"/>
      <c r="H43" s="845" t="n"/>
      <c r="I43" s="845" t="n"/>
      <c r="J43" s="845" t="n"/>
      <c r="K43" s="845" t="n"/>
      <c r="L43" s="845" t="n"/>
      <c r="M43" s="845" t="n"/>
      <c r="N43" s="845" t="n"/>
      <c r="O43" s="845" t="n"/>
      <c r="P43" s="845" t="n"/>
      <c r="Q43" s="845" t="n"/>
      <c r="R43" s="845" t="n"/>
      <c r="S43" s="845" t="n"/>
      <c r="T43" s="845" t="n"/>
      <c r="U43" s="845" t="n"/>
      <c r="V43" s="845" t="n"/>
      <c r="W43" s="845" t="n"/>
      <c r="X43" s="845" t="n"/>
      <c r="Y43" s="845" t="n"/>
      <c r="Z43" s="845" t="n"/>
    </row>
    <row r="44" ht="13.2" customHeight="1" s="1127">
      <c r="A44" s="845" t="n"/>
      <c r="B44" s="845" t="n"/>
      <c r="C44" s="845" t="n"/>
      <c r="D44" s="845" t="n"/>
      <c r="E44" s="845" t="n"/>
      <c r="F44" s="845" t="n"/>
      <c r="G44" s="879" t="n"/>
      <c r="H44" s="845" t="n"/>
      <c r="I44" s="845" t="n"/>
      <c r="J44" s="845" t="n"/>
      <c r="K44" s="845" t="n"/>
      <c r="L44" s="845" t="n"/>
      <c r="M44" s="845" t="n"/>
      <c r="N44" s="845" t="n"/>
      <c r="O44" s="845" t="n"/>
      <c r="P44" s="845" t="n"/>
      <c r="Q44" s="845" t="n"/>
      <c r="R44" s="845" t="n"/>
      <c r="S44" s="845" t="n"/>
      <c r="T44" s="845" t="n"/>
      <c r="U44" s="845" t="n"/>
      <c r="V44" s="845" t="n"/>
      <c r="W44" s="845" t="n"/>
      <c r="X44" s="845" t="n"/>
      <c r="Y44" s="845" t="n"/>
      <c r="Z44" s="845" t="n"/>
    </row>
    <row r="45" ht="13.2" customHeight="1" s="1127">
      <c r="A45" s="845" t="n"/>
      <c r="B45" s="845" t="n"/>
      <c r="C45" s="845" t="n"/>
      <c r="D45" s="845" t="n"/>
      <c r="E45" s="845" t="n"/>
      <c r="F45" s="845" t="n"/>
      <c r="G45" s="879" t="n"/>
      <c r="H45" s="845" t="n"/>
      <c r="I45" s="845" t="n"/>
      <c r="J45" s="845" t="n"/>
      <c r="K45" s="845" t="n"/>
      <c r="L45" s="845" t="n"/>
      <c r="M45" s="845" t="n"/>
      <c r="N45" s="845" t="n"/>
      <c r="O45" s="845" t="n"/>
      <c r="P45" s="845" t="n"/>
      <c r="Q45" s="845" t="n"/>
      <c r="R45" s="845" t="n"/>
      <c r="S45" s="845" t="n"/>
      <c r="T45" s="845" t="n"/>
      <c r="U45" s="845" t="n"/>
      <c r="V45" s="845" t="n"/>
      <c r="W45" s="845" t="n"/>
      <c r="X45" s="845" t="n"/>
      <c r="Y45" s="845" t="n"/>
      <c r="Z45" s="845" t="n"/>
    </row>
    <row r="46" ht="13.2" customHeight="1" s="1127">
      <c r="A46" s="845" t="n"/>
      <c r="B46" s="845" t="n"/>
      <c r="C46" s="845" t="n"/>
      <c r="D46" s="845" t="n"/>
      <c r="E46" s="845" t="n"/>
      <c r="F46" s="845" t="n"/>
      <c r="G46" s="879" t="n"/>
      <c r="H46" s="845" t="n"/>
      <c r="I46" s="845" t="n"/>
      <c r="J46" s="845" t="n"/>
      <c r="K46" s="845" t="n"/>
      <c r="L46" s="845" t="n"/>
      <c r="M46" s="845" t="n"/>
      <c r="N46" s="845" t="n"/>
      <c r="O46" s="845" t="n"/>
      <c r="P46" s="845" t="n"/>
      <c r="Q46" s="845" t="n"/>
      <c r="R46" s="845" t="n"/>
      <c r="S46" s="845" t="n"/>
      <c r="T46" s="845" t="n"/>
      <c r="U46" s="845" t="n"/>
      <c r="V46" s="845" t="n"/>
      <c r="W46" s="845" t="n"/>
      <c r="X46" s="845" t="n"/>
      <c r="Y46" s="845" t="n"/>
      <c r="Z46" s="845" t="n"/>
    </row>
    <row r="47" ht="13.2" customHeight="1" s="1127">
      <c r="A47" s="845" t="n"/>
      <c r="B47" s="845" t="n"/>
      <c r="C47" s="845" t="n"/>
      <c r="D47" s="845" t="n"/>
      <c r="E47" s="845" t="n"/>
      <c r="F47" s="845" t="n"/>
      <c r="G47" s="879" t="n"/>
      <c r="H47" s="845" t="n"/>
      <c r="I47" s="845" t="n"/>
      <c r="J47" s="845" t="n"/>
      <c r="K47" s="845" t="n"/>
      <c r="L47" s="845" t="n"/>
      <c r="M47" s="845" t="n"/>
      <c r="N47" s="845" t="n"/>
      <c r="O47" s="845" t="n"/>
      <c r="P47" s="845" t="n"/>
      <c r="Q47" s="845" t="n"/>
      <c r="R47" s="845" t="n"/>
      <c r="S47" s="845" t="n"/>
      <c r="T47" s="845" t="n"/>
      <c r="U47" s="845" t="n"/>
      <c r="V47" s="845" t="n"/>
      <c r="W47" s="845" t="n"/>
      <c r="X47" s="845" t="n"/>
      <c r="Y47" s="845" t="n"/>
      <c r="Z47" s="845" t="n"/>
    </row>
    <row r="48" ht="13.2" customHeight="1" s="1127">
      <c r="A48" s="845" t="n"/>
      <c r="B48" s="845" t="n"/>
      <c r="C48" s="845" t="n"/>
      <c r="D48" s="845" t="n"/>
      <c r="E48" s="845" t="n"/>
      <c r="F48" s="845" t="n"/>
      <c r="G48" s="879" t="n"/>
      <c r="H48" s="845" t="n"/>
      <c r="I48" s="845" t="n"/>
      <c r="J48" s="845" t="n"/>
      <c r="K48" s="845" t="n"/>
      <c r="L48" s="845" t="n"/>
      <c r="M48" s="845" t="n"/>
      <c r="N48" s="845" t="n"/>
      <c r="O48" s="845" t="n"/>
      <c r="P48" s="845" t="n"/>
      <c r="Q48" s="845" t="n"/>
      <c r="R48" s="845" t="n"/>
      <c r="S48" s="845" t="n"/>
      <c r="T48" s="845" t="n"/>
      <c r="U48" s="845" t="n"/>
      <c r="V48" s="845" t="n"/>
      <c r="W48" s="845" t="n"/>
      <c r="X48" s="845" t="n"/>
      <c r="Y48" s="845" t="n"/>
      <c r="Z48" s="845" t="n"/>
    </row>
    <row r="49" ht="13.2" customHeight="1" s="1127">
      <c r="A49" s="845" t="n"/>
      <c r="B49" s="845" t="n"/>
      <c r="C49" s="845" t="n"/>
      <c r="D49" s="845" t="n"/>
      <c r="E49" s="845" t="n"/>
      <c r="F49" s="845" t="n"/>
      <c r="G49" s="879" t="n"/>
      <c r="H49" s="845" t="n"/>
      <c r="I49" s="845" t="n"/>
      <c r="J49" s="845" t="n"/>
      <c r="K49" s="845" t="n"/>
      <c r="L49" s="845" t="n"/>
      <c r="M49" s="845" t="n"/>
      <c r="N49" s="845" t="n"/>
      <c r="O49" s="845" t="n"/>
      <c r="P49" s="845" t="n"/>
      <c r="Q49" s="845" t="n"/>
      <c r="R49" s="845" t="n"/>
      <c r="S49" s="845" t="n"/>
      <c r="T49" s="845" t="n"/>
      <c r="U49" s="845" t="n"/>
      <c r="V49" s="845" t="n"/>
      <c r="W49" s="845" t="n"/>
      <c r="X49" s="845" t="n"/>
      <c r="Y49" s="845" t="n"/>
      <c r="Z49" s="845" t="n"/>
    </row>
    <row r="50" ht="13.2" customHeight="1" s="1127">
      <c r="A50" s="845" t="n"/>
      <c r="B50" s="845" t="n"/>
      <c r="C50" s="845" t="n"/>
      <c r="D50" s="845" t="n"/>
      <c r="E50" s="845" t="n"/>
      <c r="F50" s="845" t="n"/>
      <c r="G50" s="879" t="n"/>
      <c r="H50" s="845" t="n"/>
      <c r="I50" s="845" t="n"/>
      <c r="J50" s="845" t="n"/>
      <c r="K50" s="845" t="n"/>
      <c r="L50" s="845" t="n"/>
      <c r="M50" s="845" t="n"/>
      <c r="N50" s="845" t="n"/>
      <c r="O50" s="845" t="n"/>
      <c r="P50" s="845" t="n"/>
      <c r="Q50" s="845" t="n"/>
      <c r="R50" s="845" t="n"/>
      <c r="S50" s="845" t="n"/>
      <c r="T50" s="845" t="n"/>
      <c r="U50" s="845" t="n"/>
      <c r="V50" s="845" t="n"/>
      <c r="W50" s="845" t="n"/>
      <c r="X50" s="845" t="n"/>
      <c r="Y50" s="845" t="n"/>
      <c r="Z50" s="845" t="n"/>
    </row>
    <row r="51" ht="13.2" customHeight="1" s="1127">
      <c r="A51" s="845" t="n"/>
      <c r="B51" s="845" t="n"/>
      <c r="C51" s="845" t="n"/>
      <c r="D51" s="845" t="n"/>
      <c r="E51" s="845" t="n"/>
      <c r="F51" s="845" t="n"/>
      <c r="G51" s="879" t="n"/>
      <c r="H51" s="845" t="n"/>
      <c r="I51" s="845" t="n"/>
      <c r="J51" s="845" t="n"/>
      <c r="K51" s="845" t="n"/>
      <c r="L51" s="845" t="n"/>
      <c r="M51" s="845" t="n"/>
      <c r="N51" s="845" t="n"/>
      <c r="O51" s="845" t="n"/>
      <c r="P51" s="845" t="n"/>
      <c r="Q51" s="845" t="n"/>
      <c r="R51" s="845" t="n"/>
      <c r="S51" s="845" t="n"/>
      <c r="T51" s="845" t="n"/>
      <c r="U51" s="845" t="n"/>
      <c r="V51" s="845" t="n"/>
      <c r="W51" s="845" t="n"/>
      <c r="X51" s="845" t="n"/>
      <c r="Y51" s="845" t="n"/>
      <c r="Z51" s="845" t="n"/>
    </row>
    <row r="52" ht="13.2" customHeight="1" s="1127">
      <c r="A52" s="845" t="n"/>
      <c r="B52" s="845" t="n"/>
      <c r="C52" s="845" t="n"/>
      <c r="D52" s="845" t="n"/>
      <c r="E52" s="845" t="n"/>
      <c r="F52" s="845" t="n"/>
      <c r="G52" s="879" t="n"/>
      <c r="H52" s="845" t="n"/>
      <c r="I52" s="845" t="n"/>
      <c r="J52" s="845" t="n"/>
      <c r="K52" s="845" t="n"/>
      <c r="L52" s="845" t="n"/>
      <c r="M52" s="845" t="n"/>
      <c r="N52" s="845" t="n"/>
      <c r="O52" s="845" t="n"/>
      <c r="P52" s="845" t="n"/>
      <c r="Q52" s="845" t="n"/>
      <c r="R52" s="845" t="n"/>
      <c r="S52" s="845" t="n"/>
      <c r="T52" s="845" t="n"/>
      <c r="U52" s="845" t="n"/>
      <c r="V52" s="845" t="n"/>
      <c r="W52" s="845" t="n"/>
      <c r="X52" s="845" t="n"/>
      <c r="Y52" s="845" t="n"/>
      <c r="Z52" s="845" t="n"/>
    </row>
    <row r="53" ht="13.2" customHeight="1" s="1127">
      <c r="A53" s="845" t="n"/>
      <c r="B53" s="845" t="n"/>
      <c r="C53" s="845" t="n"/>
      <c r="D53" s="845" t="n"/>
      <c r="E53" s="845" t="n"/>
      <c r="F53" s="845" t="n"/>
      <c r="G53" s="879" t="n"/>
      <c r="H53" s="845" t="n"/>
      <c r="I53" s="845" t="n"/>
      <c r="J53" s="845" t="n"/>
      <c r="K53" s="845" t="n"/>
      <c r="L53" s="845" t="n"/>
      <c r="M53" s="845" t="n"/>
      <c r="N53" s="845" t="n"/>
      <c r="O53" s="845" t="n"/>
      <c r="P53" s="845" t="n"/>
      <c r="Q53" s="845" t="n"/>
      <c r="R53" s="845" t="n"/>
      <c r="S53" s="845" t="n"/>
      <c r="T53" s="845" t="n"/>
      <c r="U53" s="845" t="n"/>
      <c r="V53" s="845" t="n"/>
      <c r="W53" s="845" t="n"/>
      <c r="X53" s="845" t="n"/>
      <c r="Y53" s="845" t="n"/>
      <c r="Z53" s="845" t="n"/>
    </row>
    <row r="54" ht="13.2" customHeight="1" s="1127">
      <c r="A54" s="845" t="n"/>
      <c r="B54" s="845" t="n"/>
      <c r="C54" s="845" t="n"/>
      <c r="D54" s="845" t="n"/>
      <c r="E54" s="845" t="n"/>
      <c r="F54" s="845" t="n"/>
      <c r="G54" s="879" t="n"/>
      <c r="H54" s="845" t="n"/>
      <c r="I54" s="845" t="n"/>
      <c r="J54" s="845" t="n"/>
      <c r="K54" s="845" t="n"/>
      <c r="L54" s="845" t="n"/>
      <c r="M54" s="845" t="n"/>
      <c r="N54" s="845" t="n"/>
      <c r="O54" s="845" t="n"/>
      <c r="P54" s="845" t="n"/>
      <c r="Q54" s="845" t="n"/>
      <c r="R54" s="845" t="n"/>
      <c r="S54" s="845" t="n"/>
      <c r="T54" s="845" t="n"/>
      <c r="U54" s="845" t="n"/>
      <c r="V54" s="845" t="n"/>
      <c r="W54" s="845" t="n"/>
      <c r="X54" s="845" t="n"/>
      <c r="Y54" s="845" t="n"/>
      <c r="Z54" s="845" t="n"/>
    </row>
    <row r="55" ht="13.2" customHeight="1" s="1127">
      <c r="A55" s="845" t="n"/>
      <c r="B55" s="845" t="n"/>
      <c r="C55" s="845" t="n"/>
      <c r="D55" s="845" t="n"/>
      <c r="E55" s="845" t="n"/>
      <c r="F55" s="845" t="n"/>
      <c r="G55" s="879" t="n"/>
      <c r="H55" s="845" t="n"/>
      <c r="I55" s="845" t="n"/>
      <c r="J55" s="845" t="n"/>
      <c r="K55" s="845" t="n"/>
      <c r="L55" s="845" t="n"/>
      <c r="M55" s="845" t="n"/>
      <c r="N55" s="845" t="n"/>
      <c r="O55" s="845" t="n"/>
      <c r="P55" s="845" t="n"/>
      <c r="Q55" s="845" t="n"/>
      <c r="R55" s="845" t="n"/>
      <c r="S55" s="845" t="n"/>
      <c r="T55" s="845" t="n"/>
      <c r="U55" s="845" t="n"/>
      <c r="V55" s="845" t="n"/>
      <c r="W55" s="845" t="n"/>
      <c r="X55" s="845" t="n"/>
      <c r="Y55" s="845" t="n"/>
      <c r="Z55" s="845" t="n"/>
    </row>
    <row r="56" ht="13.2" customHeight="1" s="1127">
      <c r="A56" s="845" t="n"/>
      <c r="B56" s="845" t="n"/>
      <c r="C56" s="845" t="n"/>
      <c r="D56" s="845" t="n"/>
      <c r="E56" s="845" t="n"/>
      <c r="F56" s="845" t="n"/>
      <c r="G56" s="879" t="n"/>
      <c r="H56" s="845" t="n"/>
      <c r="I56" s="845" t="n"/>
      <c r="J56" s="845" t="n"/>
      <c r="K56" s="845" t="n"/>
      <c r="L56" s="845" t="n"/>
      <c r="M56" s="845" t="n"/>
      <c r="N56" s="845" t="n"/>
      <c r="O56" s="845" t="n"/>
      <c r="P56" s="845" t="n"/>
      <c r="Q56" s="845" t="n"/>
      <c r="R56" s="845" t="n"/>
      <c r="S56" s="845" t="n"/>
      <c r="T56" s="845" t="n"/>
      <c r="U56" s="845" t="n"/>
      <c r="V56" s="845" t="n"/>
      <c r="W56" s="845" t="n"/>
      <c r="X56" s="845" t="n"/>
      <c r="Y56" s="845" t="n"/>
      <c r="Z56" s="845" t="n"/>
    </row>
    <row r="57" ht="13.2" customHeight="1" s="1127">
      <c r="A57" s="845" t="n"/>
      <c r="B57" s="845" t="n"/>
      <c r="C57" s="845" t="n"/>
      <c r="D57" s="845" t="n"/>
      <c r="E57" s="845" t="n"/>
      <c r="F57" s="845" t="n"/>
      <c r="G57" s="879" t="n"/>
      <c r="H57" s="845" t="n"/>
      <c r="I57" s="845" t="n"/>
      <c r="J57" s="845" t="n"/>
      <c r="K57" s="845" t="n"/>
      <c r="L57" s="845" t="n"/>
      <c r="M57" s="845" t="n"/>
      <c r="N57" s="845" t="n"/>
      <c r="O57" s="845" t="n"/>
      <c r="P57" s="845" t="n"/>
      <c r="Q57" s="845" t="n"/>
      <c r="R57" s="845" t="n"/>
      <c r="S57" s="845" t="n"/>
      <c r="T57" s="845" t="n"/>
      <c r="U57" s="845" t="n"/>
      <c r="V57" s="845" t="n"/>
      <c r="W57" s="845" t="n"/>
      <c r="X57" s="845" t="n"/>
      <c r="Y57" s="845" t="n"/>
      <c r="Z57" s="845" t="n"/>
    </row>
    <row r="58" ht="13.2" customHeight="1" s="1127">
      <c r="A58" s="845" t="n"/>
      <c r="B58" s="845" t="n"/>
      <c r="C58" s="845" t="n"/>
      <c r="D58" s="845" t="n"/>
      <c r="E58" s="845" t="n"/>
      <c r="F58" s="845" t="n"/>
      <c r="G58" s="879" t="n"/>
      <c r="H58" s="845" t="n"/>
      <c r="I58" s="845" t="n"/>
      <c r="J58" s="845" t="n"/>
      <c r="K58" s="845" t="n"/>
      <c r="L58" s="845" t="n"/>
      <c r="M58" s="845" t="n"/>
      <c r="N58" s="845" t="n"/>
      <c r="O58" s="845" t="n"/>
      <c r="P58" s="845" t="n"/>
      <c r="Q58" s="845" t="n"/>
      <c r="R58" s="845" t="n"/>
      <c r="S58" s="845" t="n"/>
      <c r="T58" s="845" t="n"/>
      <c r="U58" s="845" t="n"/>
      <c r="V58" s="845" t="n"/>
      <c r="W58" s="845" t="n"/>
      <c r="X58" s="845" t="n"/>
      <c r="Y58" s="845" t="n"/>
      <c r="Z58" s="845" t="n"/>
    </row>
    <row r="59" ht="13.2" customHeight="1" s="1127">
      <c r="A59" s="845" t="n"/>
      <c r="B59" s="845" t="n"/>
      <c r="C59" s="845" t="n"/>
      <c r="D59" s="845" t="n"/>
      <c r="E59" s="845" t="n"/>
      <c r="F59" s="845" t="n"/>
      <c r="G59" s="879" t="n"/>
      <c r="H59" s="845" t="n"/>
      <c r="I59" s="845" t="n"/>
      <c r="J59" s="845" t="n"/>
      <c r="K59" s="845" t="n"/>
      <c r="L59" s="845" t="n"/>
      <c r="M59" s="845" t="n"/>
      <c r="N59" s="845" t="n"/>
      <c r="O59" s="845" t="n"/>
      <c r="P59" s="845" t="n"/>
      <c r="Q59" s="845" t="n"/>
      <c r="R59" s="845" t="n"/>
      <c r="S59" s="845" t="n"/>
      <c r="T59" s="845" t="n"/>
      <c r="U59" s="845" t="n"/>
      <c r="V59" s="845" t="n"/>
      <c r="W59" s="845" t="n"/>
      <c r="X59" s="845" t="n"/>
      <c r="Y59" s="845" t="n"/>
      <c r="Z59" s="845" t="n"/>
    </row>
    <row r="60" ht="13.2" customHeight="1" s="1127">
      <c r="A60" s="845" t="n"/>
      <c r="B60" s="845" t="n"/>
      <c r="C60" s="845" t="n"/>
      <c r="D60" s="845" t="n"/>
      <c r="E60" s="845" t="n"/>
      <c r="F60" s="845" t="n"/>
      <c r="G60" s="879" t="n"/>
      <c r="H60" s="845" t="n"/>
      <c r="I60" s="845" t="n"/>
      <c r="J60" s="845" t="n"/>
      <c r="K60" s="845" t="n"/>
      <c r="L60" s="845" t="n"/>
      <c r="M60" s="845" t="n"/>
      <c r="N60" s="845" t="n"/>
      <c r="O60" s="845" t="n"/>
      <c r="P60" s="845" t="n"/>
      <c r="Q60" s="845" t="n"/>
      <c r="R60" s="845" t="n"/>
      <c r="S60" s="845" t="n"/>
      <c r="T60" s="845" t="n"/>
      <c r="U60" s="845" t="n"/>
      <c r="V60" s="845" t="n"/>
      <c r="W60" s="845" t="n"/>
      <c r="X60" s="845" t="n"/>
      <c r="Y60" s="845" t="n"/>
      <c r="Z60" s="845" t="n"/>
    </row>
    <row r="61" ht="13.2" customHeight="1" s="1127">
      <c r="A61" s="845" t="n"/>
      <c r="B61" s="845" t="n"/>
      <c r="C61" s="845" t="n"/>
      <c r="D61" s="845" t="n"/>
      <c r="E61" s="845" t="n"/>
      <c r="F61" s="845" t="n"/>
      <c r="G61" s="879" t="n"/>
      <c r="H61" s="845" t="n"/>
      <c r="I61" s="845" t="n"/>
      <c r="J61" s="845" t="n"/>
      <c r="K61" s="845" t="n"/>
      <c r="L61" s="845" t="n"/>
      <c r="M61" s="845" t="n"/>
      <c r="N61" s="845" t="n"/>
      <c r="O61" s="845" t="n"/>
      <c r="P61" s="845" t="n"/>
      <c r="Q61" s="845" t="n"/>
      <c r="R61" s="845" t="n"/>
      <c r="S61" s="845" t="n"/>
      <c r="T61" s="845" t="n"/>
      <c r="U61" s="845" t="n"/>
      <c r="V61" s="845" t="n"/>
      <c r="W61" s="845" t="n"/>
      <c r="X61" s="845" t="n"/>
      <c r="Y61" s="845" t="n"/>
      <c r="Z61" s="845" t="n"/>
    </row>
    <row r="62" ht="13.2" customHeight="1" s="1127">
      <c r="A62" s="845" t="n"/>
      <c r="B62" s="845" t="n"/>
      <c r="C62" s="845" t="n"/>
      <c r="D62" s="845" t="n"/>
      <c r="E62" s="845" t="n"/>
      <c r="F62" s="845" t="n"/>
      <c r="G62" s="879" t="n"/>
      <c r="H62" s="845" t="n"/>
      <c r="I62" s="845" t="n"/>
      <c r="J62" s="845" t="n"/>
      <c r="K62" s="845" t="n"/>
      <c r="L62" s="845" t="n"/>
      <c r="M62" s="845" t="n"/>
      <c r="N62" s="845" t="n"/>
      <c r="O62" s="845" t="n"/>
      <c r="P62" s="845" t="n"/>
      <c r="Q62" s="845" t="n"/>
      <c r="R62" s="845" t="n"/>
      <c r="S62" s="845" t="n"/>
      <c r="T62" s="845" t="n"/>
      <c r="U62" s="845" t="n"/>
      <c r="V62" s="845" t="n"/>
      <c r="W62" s="845" t="n"/>
      <c r="X62" s="845" t="n"/>
      <c r="Y62" s="845" t="n"/>
      <c r="Z62" s="845" t="n"/>
    </row>
    <row r="63" ht="13.2" customHeight="1" s="1127">
      <c r="A63" s="845" t="n"/>
      <c r="B63" s="845" t="n"/>
      <c r="C63" s="845" t="n"/>
      <c r="D63" s="845" t="n"/>
      <c r="E63" s="845" t="n"/>
      <c r="F63" s="845" t="n"/>
      <c r="G63" s="879" t="n"/>
      <c r="H63" s="845" t="n"/>
      <c r="I63" s="845" t="n"/>
      <c r="J63" s="845" t="n"/>
      <c r="K63" s="845" t="n"/>
      <c r="L63" s="845" t="n"/>
      <c r="M63" s="845" t="n"/>
      <c r="N63" s="845" t="n"/>
      <c r="O63" s="845" t="n"/>
      <c r="P63" s="845" t="n"/>
      <c r="Q63" s="845" t="n"/>
      <c r="R63" s="845" t="n"/>
      <c r="S63" s="845" t="n"/>
      <c r="T63" s="845" t="n"/>
      <c r="U63" s="845" t="n"/>
      <c r="V63" s="845" t="n"/>
      <c r="W63" s="845" t="n"/>
      <c r="X63" s="845" t="n"/>
      <c r="Y63" s="845" t="n"/>
      <c r="Z63" s="845" t="n"/>
    </row>
    <row r="64" ht="13.2" customHeight="1" s="1127">
      <c r="A64" s="845" t="n"/>
      <c r="B64" s="845" t="n"/>
      <c r="C64" s="845" t="n"/>
      <c r="D64" s="845" t="n"/>
      <c r="E64" s="845" t="n"/>
      <c r="F64" s="845" t="n"/>
      <c r="G64" s="879" t="n"/>
      <c r="H64" s="845" t="n"/>
      <c r="I64" s="845" t="n"/>
      <c r="J64" s="845" t="n"/>
      <c r="K64" s="845" t="n"/>
      <c r="L64" s="845" t="n"/>
      <c r="M64" s="845" t="n"/>
      <c r="N64" s="845" t="n"/>
      <c r="O64" s="845" t="n"/>
      <c r="P64" s="845" t="n"/>
      <c r="Q64" s="845" t="n"/>
      <c r="R64" s="845" t="n"/>
      <c r="S64" s="845" t="n"/>
      <c r="T64" s="845" t="n"/>
      <c r="U64" s="845" t="n"/>
      <c r="V64" s="845" t="n"/>
      <c r="W64" s="845" t="n"/>
      <c r="X64" s="845" t="n"/>
      <c r="Y64" s="845" t="n"/>
      <c r="Z64" s="845" t="n"/>
    </row>
    <row r="65" ht="13.2" customHeight="1" s="1127">
      <c r="A65" s="845" t="n"/>
      <c r="B65" s="845" t="n"/>
      <c r="C65" s="845" t="n"/>
      <c r="D65" s="845" t="n"/>
      <c r="E65" s="845" t="n"/>
      <c r="F65" s="845" t="n"/>
      <c r="G65" s="879" t="n"/>
      <c r="H65" s="845" t="n"/>
      <c r="I65" s="845" t="n"/>
      <c r="J65" s="845" t="n"/>
      <c r="K65" s="845" t="n"/>
      <c r="L65" s="845" t="n"/>
      <c r="M65" s="845" t="n"/>
      <c r="N65" s="845" t="n"/>
      <c r="O65" s="845" t="n"/>
      <c r="P65" s="845" t="n"/>
      <c r="Q65" s="845" t="n"/>
      <c r="R65" s="845" t="n"/>
      <c r="S65" s="845" t="n"/>
      <c r="T65" s="845" t="n"/>
      <c r="U65" s="845" t="n"/>
      <c r="V65" s="845" t="n"/>
      <c r="W65" s="845" t="n"/>
      <c r="X65" s="845" t="n"/>
      <c r="Y65" s="845" t="n"/>
      <c r="Z65" s="845" t="n"/>
    </row>
    <row r="66" ht="13.2" customHeight="1" s="1127">
      <c r="A66" s="845" t="n"/>
      <c r="B66" s="845" t="n"/>
      <c r="C66" s="845" t="n"/>
      <c r="D66" s="845" t="n"/>
      <c r="E66" s="845" t="n"/>
      <c r="F66" s="845" t="n"/>
      <c r="G66" s="879" t="n"/>
      <c r="H66" s="845" t="n"/>
      <c r="I66" s="845" t="n"/>
      <c r="J66" s="845" t="n"/>
      <c r="K66" s="845" t="n"/>
      <c r="L66" s="845" t="n"/>
      <c r="M66" s="845" t="n"/>
      <c r="N66" s="845" t="n"/>
      <c r="O66" s="845" t="n"/>
      <c r="P66" s="845" t="n"/>
      <c r="Q66" s="845" t="n"/>
      <c r="R66" s="845" t="n"/>
      <c r="S66" s="845" t="n"/>
      <c r="T66" s="845" t="n"/>
      <c r="U66" s="845" t="n"/>
      <c r="V66" s="845" t="n"/>
      <c r="W66" s="845" t="n"/>
      <c r="X66" s="845" t="n"/>
      <c r="Y66" s="845" t="n"/>
      <c r="Z66" s="845" t="n"/>
    </row>
    <row r="67" ht="13.2" customHeight="1" s="1127">
      <c r="A67" s="845" t="n"/>
      <c r="B67" s="845" t="n"/>
      <c r="C67" s="845" t="n"/>
      <c r="D67" s="845" t="n"/>
      <c r="E67" s="845" t="n"/>
      <c r="F67" s="845" t="n"/>
      <c r="G67" s="879" t="n"/>
      <c r="H67" s="845" t="n"/>
      <c r="I67" s="845" t="n"/>
      <c r="J67" s="845" t="n"/>
      <c r="K67" s="845" t="n"/>
      <c r="L67" s="845" t="n"/>
      <c r="M67" s="845" t="n"/>
      <c r="N67" s="845" t="n"/>
      <c r="O67" s="845" t="n"/>
      <c r="P67" s="845" t="n"/>
      <c r="Q67" s="845" t="n"/>
      <c r="R67" s="845" t="n"/>
      <c r="S67" s="845" t="n"/>
      <c r="T67" s="845" t="n"/>
      <c r="U67" s="845" t="n"/>
      <c r="V67" s="845" t="n"/>
      <c r="W67" s="845" t="n"/>
      <c r="X67" s="845" t="n"/>
      <c r="Y67" s="845" t="n"/>
      <c r="Z67" s="845" t="n"/>
    </row>
    <row r="68" ht="13.2" customHeight="1" s="1127">
      <c r="A68" s="845" t="n"/>
      <c r="B68" s="845" t="n"/>
      <c r="C68" s="845" t="n"/>
      <c r="D68" s="845" t="n"/>
      <c r="E68" s="845" t="n"/>
      <c r="F68" s="845" t="n"/>
      <c r="G68" s="879" t="n"/>
      <c r="H68" s="845" t="n"/>
      <c r="I68" s="845" t="n"/>
      <c r="J68" s="845" t="n"/>
      <c r="K68" s="845" t="n"/>
      <c r="L68" s="845" t="n"/>
      <c r="M68" s="845" t="n"/>
      <c r="N68" s="845" t="n"/>
      <c r="O68" s="845" t="n"/>
      <c r="P68" s="845" t="n"/>
      <c r="Q68" s="845" t="n"/>
      <c r="R68" s="845" t="n"/>
      <c r="S68" s="845" t="n"/>
      <c r="T68" s="845" t="n"/>
      <c r="U68" s="845" t="n"/>
      <c r="V68" s="845" t="n"/>
      <c r="W68" s="845" t="n"/>
      <c r="X68" s="845" t="n"/>
      <c r="Y68" s="845" t="n"/>
      <c r="Z68" s="845" t="n"/>
    </row>
    <row r="69" ht="13.2" customHeight="1" s="1127">
      <c r="A69" s="845" t="n"/>
      <c r="B69" s="845" t="n"/>
      <c r="C69" s="845" t="n"/>
      <c r="D69" s="845" t="n"/>
      <c r="E69" s="845" t="n"/>
      <c r="F69" s="845" t="n"/>
      <c r="G69" s="879" t="n"/>
      <c r="H69" s="845" t="n"/>
      <c r="I69" s="845" t="n"/>
      <c r="J69" s="845" t="n"/>
      <c r="K69" s="845" t="n"/>
      <c r="L69" s="845" t="n"/>
      <c r="M69" s="845" t="n"/>
      <c r="N69" s="845" t="n"/>
      <c r="O69" s="845" t="n"/>
      <c r="P69" s="845" t="n"/>
      <c r="Q69" s="845" t="n"/>
      <c r="R69" s="845" t="n"/>
      <c r="S69" s="845" t="n"/>
      <c r="T69" s="845" t="n"/>
      <c r="U69" s="845" t="n"/>
      <c r="V69" s="845" t="n"/>
      <c r="W69" s="845" t="n"/>
      <c r="X69" s="845" t="n"/>
      <c r="Y69" s="845" t="n"/>
      <c r="Z69" s="845" t="n"/>
    </row>
    <row r="70" ht="13.2" customHeight="1" s="1127">
      <c r="A70" s="845" t="n"/>
      <c r="B70" s="845" t="n"/>
      <c r="C70" s="845" t="n"/>
      <c r="D70" s="845" t="n"/>
      <c r="E70" s="845" t="n"/>
      <c r="F70" s="845" t="n"/>
      <c r="G70" s="879" t="n"/>
      <c r="H70" s="845" t="n"/>
      <c r="I70" s="845" t="n"/>
      <c r="J70" s="845" t="n"/>
      <c r="K70" s="845" t="n"/>
      <c r="L70" s="845" t="n"/>
      <c r="M70" s="845" t="n"/>
      <c r="N70" s="845" t="n"/>
      <c r="O70" s="845" t="n"/>
      <c r="P70" s="845" t="n"/>
      <c r="Q70" s="845" t="n"/>
      <c r="R70" s="845" t="n"/>
      <c r="S70" s="845" t="n"/>
      <c r="T70" s="845" t="n"/>
      <c r="U70" s="845" t="n"/>
      <c r="V70" s="845" t="n"/>
      <c r="W70" s="845" t="n"/>
      <c r="X70" s="845" t="n"/>
      <c r="Y70" s="845" t="n"/>
      <c r="Z70" s="845" t="n"/>
    </row>
    <row r="71" ht="13.2" customHeight="1" s="1127">
      <c r="A71" s="845" t="n"/>
      <c r="B71" s="845" t="n"/>
      <c r="C71" s="845" t="n"/>
      <c r="D71" s="845" t="n"/>
      <c r="E71" s="845" t="n"/>
      <c r="F71" s="845" t="n"/>
      <c r="G71" s="879" t="n"/>
      <c r="H71" s="845" t="n"/>
      <c r="I71" s="845" t="n"/>
      <c r="J71" s="845" t="n"/>
      <c r="K71" s="845" t="n"/>
      <c r="L71" s="845" t="n"/>
      <c r="M71" s="845" t="n"/>
      <c r="N71" s="845" t="n"/>
      <c r="O71" s="845" t="n"/>
      <c r="P71" s="845" t="n"/>
      <c r="Q71" s="845" t="n"/>
      <c r="R71" s="845" t="n"/>
      <c r="S71" s="845" t="n"/>
      <c r="T71" s="845" t="n"/>
      <c r="U71" s="845" t="n"/>
      <c r="V71" s="845" t="n"/>
      <c r="W71" s="845" t="n"/>
      <c r="X71" s="845" t="n"/>
      <c r="Y71" s="845" t="n"/>
      <c r="Z71" s="845" t="n"/>
    </row>
    <row r="72" ht="13.2" customHeight="1" s="1127">
      <c r="A72" s="845" t="n"/>
      <c r="B72" s="845" t="n"/>
      <c r="C72" s="845" t="n"/>
      <c r="D72" s="845" t="n"/>
      <c r="E72" s="845" t="n"/>
      <c r="F72" s="845" t="n"/>
      <c r="G72" s="879" t="n"/>
      <c r="H72" s="845" t="n"/>
      <c r="I72" s="845" t="n"/>
      <c r="J72" s="845" t="n"/>
      <c r="K72" s="845" t="n"/>
      <c r="L72" s="845" t="n"/>
      <c r="M72" s="845" t="n"/>
      <c r="N72" s="845" t="n"/>
      <c r="O72" s="845" t="n"/>
      <c r="P72" s="845" t="n"/>
      <c r="Q72" s="845" t="n"/>
      <c r="R72" s="845" t="n"/>
      <c r="S72" s="845" t="n"/>
      <c r="T72" s="845" t="n"/>
      <c r="U72" s="845" t="n"/>
      <c r="V72" s="845" t="n"/>
      <c r="W72" s="845" t="n"/>
      <c r="X72" s="845" t="n"/>
      <c r="Y72" s="845" t="n"/>
      <c r="Z72" s="845" t="n"/>
    </row>
    <row r="73" ht="13.2" customHeight="1" s="1127">
      <c r="A73" s="845" t="n"/>
      <c r="B73" s="845" t="n"/>
      <c r="C73" s="845" t="n"/>
      <c r="D73" s="845" t="n"/>
      <c r="E73" s="845" t="n"/>
      <c r="F73" s="845" t="n"/>
      <c r="G73" s="879" t="n"/>
      <c r="H73" s="845" t="n"/>
      <c r="I73" s="845" t="n"/>
      <c r="J73" s="845" t="n"/>
      <c r="K73" s="845" t="n"/>
      <c r="L73" s="845" t="n"/>
      <c r="M73" s="845" t="n"/>
      <c r="N73" s="845" t="n"/>
      <c r="O73" s="845" t="n"/>
      <c r="P73" s="845" t="n"/>
      <c r="Q73" s="845" t="n"/>
      <c r="R73" s="845" t="n"/>
      <c r="S73" s="845" t="n"/>
      <c r="T73" s="845" t="n"/>
      <c r="U73" s="845" t="n"/>
      <c r="V73" s="845" t="n"/>
      <c r="W73" s="845" t="n"/>
      <c r="X73" s="845" t="n"/>
      <c r="Y73" s="845" t="n"/>
      <c r="Z73" s="845" t="n"/>
    </row>
    <row r="74" ht="13.2" customHeight="1" s="1127">
      <c r="A74" s="845" t="n"/>
      <c r="B74" s="845" t="n"/>
      <c r="C74" s="845" t="n"/>
      <c r="D74" s="845" t="n"/>
      <c r="E74" s="845" t="n"/>
      <c r="F74" s="845" t="n"/>
      <c r="G74" s="879" t="n"/>
      <c r="H74" s="845" t="n"/>
      <c r="I74" s="845" t="n"/>
      <c r="J74" s="845" t="n"/>
      <c r="K74" s="845" t="n"/>
      <c r="L74" s="845" t="n"/>
      <c r="M74" s="845" t="n"/>
      <c r="N74" s="845" t="n"/>
      <c r="O74" s="845" t="n"/>
      <c r="P74" s="845" t="n"/>
      <c r="Q74" s="845" t="n"/>
      <c r="R74" s="845" t="n"/>
      <c r="S74" s="845" t="n"/>
      <c r="T74" s="845" t="n"/>
      <c r="U74" s="845" t="n"/>
      <c r="V74" s="845" t="n"/>
      <c r="W74" s="845" t="n"/>
      <c r="X74" s="845" t="n"/>
      <c r="Y74" s="845" t="n"/>
      <c r="Z74" s="845" t="n"/>
    </row>
    <row r="75" ht="13.2" customHeight="1" s="1127">
      <c r="A75" s="845" t="n"/>
      <c r="B75" s="845" t="n"/>
      <c r="C75" s="845" t="n"/>
      <c r="D75" s="845" t="n"/>
      <c r="E75" s="845" t="n"/>
      <c r="F75" s="845" t="n"/>
      <c r="G75" s="879" t="n"/>
      <c r="H75" s="845" t="n"/>
      <c r="I75" s="845" t="n"/>
      <c r="J75" s="845" t="n"/>
      <c r="K75" s="845" t="n"/>
      <c r="L75" s="845" t="n"/>
      <c r="M75" s="845" t="n"/>
      <c r="N75" s="845" t="n"/>
      <c r="O75" s="845" t="n"/>
      <c r="P75" s="845" t="n"/>
      <c r="Q75" s="845" t="n"/>
      <c r="R75" s="845" t="n"/>
      <c r="S75" s="845" t="n"/>
      <c r="T75" s="845" t="n"/>
      <c r="U75" s="845" t="n"/>
      <c r="V75" s="845" t="n"/>
      <c r="W75" s="845" t="n"/>
      <c r="X75" s="845" t="n"/>
      <c r="Y75" s="845" t="n"/>
      <c r="Z75" s="845" t="n"/>
    </row>
    <row r="76" ht="13.2" customHeight="1" s="1127">
      <c r="A76" s="845" t="n"/>
      <c r="B76" s="845" t="n"/>
      <c r="C76" s="845" t="n"/>
      <c r="D76" s="845" t="n"/>
      <c r="E76" s="845" t="n"/>
      <c r="F76" s="845" t="n"/>
      <c r="G76" s="879" t="n"/>
      <c r="H76" s="845" t="n"/>
      <c r="I76" s="845" t="n"/>
      <c r="J76" s="845" t="n"/>
      <c r="K76" s="845" t="n"/>
      <c r="L76" s="845" t="n"/>
      <c r="M76" s="845" t="n"/>
      <c r="N76" s="845" t="n"/>
      <c r="O76" s="845" t="n"/>
      <c r="P76" s="845" t="n"/>
      <c r="Q76" s="845" t="n"/>
      <c r="R76" s="845" t="n"/>
      <c r="S76" s="845" t="n"/>
      <c r="T76" s="845" t="n"/>
      <c r="U76" s="845" t="n"/>
      <c r="V76" s="845" t="n"/>
      <c r="W76" s="845" t="n"/>
      <c r="X76" s="845" t="n"/>
      <c r="Y76" s="845" t="n"/>
      <c r="Z76" s="845" t="n"/>
    </row>
    <row r="77" ht="13.2" customHeight="1" s="1127">
      <c r="A77" s="845" t="n"/>
      <c r="B77" s="845" t="n"/>
      <c r="C77" s="845" t="n"/>
      <c r="D77" s="845" t="n"/>
      <c r="E77" s="845" t="n"/>
      <c r="F77" s="845" t="n"/>
      <c r="G77" s="879" t="n"/>
      <c r="H77" s="845" t="n"/>
      <c r="I77" s="845" t="n"/>
      <c r="J77" s="845" t="n"/>
      <c r="K77" s="845" t="n"/>
      <c r="L77" s="845" t="n"/>
      <c r="M77" s="845" t="n"/>
      <c r="N77" s="845" t="n"/>
      <c r="O77" s="845" t="n"/>
      <c r="P77" s="845" t="n"/>
      <c r="Q77" s="845" t="n"/>
      <c r="R77" s="845" t="n"/>
      <c r="S77" s="845" t="n"/>
      <c r="T77" s="845" t="n"/>
      <c r="U77" s="845" t="n"/>
      <c r="V77" s="845" t="n"/>
      <c r="W77" s="845" t="n"/>
      <c r="X77" s="845" t="n"/>
      <c r="Y77" s="845" t="n"/>
      <c r="Z77" s="845" t="n"/>
    </row>
    <row r="78" ht="13.2" customHeight="1" s="1127">
      <c r="A78" s="845" t="n"/>
      <c r="B78" s="845" t="n"/>
      <c r="C78" s="845" t="n"/>
      <c r="D78" s="845" t="n"/>
      <c r="E78" s="845" t="n"/>
      <c r="F78" s="845" t="n"/>
      <c r="G78" s="879" t="n"/>
      <c r="H78" s="845" t="n"/>
      <c r="I78" s="845" t="n"/>
      <c r="J78" s="845" t="n"/>
      <c r="K78" s="845" t="n"/>
      <c r="L78" s="845" t="n"/>
      <c r="M78" s="845" t="n"/>
      <c r="N78" s="845" t="n"/>
      <c r="O78" s="845" t="n"/>
      <c r="P78" s="845" t="n"/>
      <c r="Q78" s="845" t="n"/>
      <c r="R78" s="845" t="n"/>
      <c r="S78" s="845" t="n"/>
      <c r="T78" s="845" t="n"/>
      <c r="U78" s="845" t="n"/>
      <c r="V78" s="845" t="n"/>
      <c r="W78" s="845" t="n"/>
      <c r="X78" s="845" t="n"/>
      <c r="Y78" s="845" t="n"/>
      <c r="Z78" s="845" t="n"/>
    </row>
    <row r="79" ht="13.2" customHeight="1" s="1127">
      <c r="A79" s="845" t="n"/>
      <c r="B79" s="845" t="n"/>
      <c r="C79" s="845" t="n"/>
      <c r="D79" s="845" t="n"/>
      <c r="E79" s="845" t="n"/>
      <c r="F79" s="845" t="n"/>
      <c r="G79" s="879" t="n"/>
      <c r="H79" s="845" t="n"/>
      <c r="I79" s="845" t="n"/>
      <c r="J79" s="845" t="n"/>
      <c r="K79" s="845" t="n"/>
      <c r="L79" s="845" t="n"/>
      <c r="M79" s="845" t="n"/>
      <c r="N79" s="845" t="n"/>
      <c r="O79" s="845" t="n"/>
      <c r="P79" s="845" t="n"/>
      <c r="Q79" s="845" t="n"/>
      <c r="R79" s="845" t="n"/>
      <c r="S79" s="845" t="n"/>
      <c r="T79" s="845" t="n"/>
      <c r="U79" s="845" t="n"/>
      <c r="V79" s="845" t="n"/>
      <c r="W79" s="845" t="n"/>
      <c r="X79" s="845" t="n"/>
      <c r="Y79" s="845" t="n"/>
      <c r="Z79" s="845" t="n"/>
    </row>
    <row r="80" ht="13.2" customHeight="1" s="1127">
      <c r="A80" s="845" t="n"/>
      <c r="B80" s="845" t="n"/>
      <c r="C80" s="845" t="n"/>
      <c r="D80" s="845" t="n"/>
      <c r="E80" s="845" t="n"/>
      <c r="F80" s="845" t="n"/>
      <c r="G80" s="879" t="n"/>
      <c r="H80" s="845" t="n"/>
      <c r="I80" s="845" t="n"/>
      <c r="J80" s="845" t="n"/>
      <c r="K80" s="845" t="n"/>
      <c r="L80" s="845" t="n"/>
      <c r="M80" s="845" t="n"/>
      <c r="N80" s="845" t="n"/>
      <c r="O80" s="845" t="n"/>
      <c r="P80" s="845" t="n"/>
      <c r="Q80" s="845" t="n"/>
      <c r="R80" s="845" t="n"/>
      <c r="S80" s="845" t="n"/>
      <c r="T80" s="845" t="n"/>
      <c r="U80" s="845" t="n"/>
      <c r="V80" s="845" t="n"/>
      <c r="W80" s="845" t="n"/>
      <c r="X80" s="845" t="n"/>
      <c r="Y80" s="845" t="n"/>
      <c r="Z80" s="845" t="n"/>
    </row>
    <row r="81" ht="13.2" customHeight="1" s="1127">
      <c r="A81" s="845" t="n"/>
      <c r="B81" s="845" t="n"/>
      <c r="C81" s="845" t="n"/>
      <c r="D81" s="845" t="n"/>
      <c r="E81" s="845" t="n"/>
      <c r="F81" s="845" t="n"/>
      <c r="G81" s="879" t="n"/>
      <c r="H81" s="845" t="n"/>
      <c r="I81" s="845" t="n"/>
      <c r="J81" s="845" t="n"/>
      <c r="K81" s="845" t="n"/>
      <c r="L81" s="845" t="n"/>
      <c r="M81" s="845" t="n"/>
      <c r="N81" s="845" t="n"/>
      <c r="O81" s="845" t="n"/>
      <c r="P81" s="845" t="n"/>
      <c r="Q81" s="845" t="n"/>
      <c r="R81" s="845" t="n"/>
      <c r="S81" s="845" t="n"/>
      <c r="T81" s="845" t="n"/>
      <c r="U81" s="845" t="n"/>
      <c r="V81" s="845" t="n"/>
      <c r="W81" s="845" t="n"/>
      <c r="X81" s="845" t="n"/>
      <c r="Y81" s="845" t="n"/>
      <c r="Z81" s="845" t="n"/>
    </row>
    <row r="82" ht="13.2" customHeight="1" s="1127">
      <c r="A82" s="845" t="n"/>
      <c r="B82" s="845" t="n"/>
      <c r="C82" s="845" t="n"/>
      <c r="D82" s="845" t="n"/>
      <c r="E82" s="845" t="n"/>
      <c r="F82" s="845" t="n"/>
      <c r="G82" s="879" t="n"/>
      <c r="H82" s="845" t="n"/>
      <c r="I82" s="845" t="n"/>
      <c r="J82" s="845" t="n"/>
      <c r="K82" s="845" t="n"/>
      <c r="L82" s="845" t="n"/>
      <c r="M82" s="845" t="n"/>
      <c r="N82" s="845" t="n"/>
      <c r="O82" s="845" t="n"/>
      <c r="P82" s="845" t="n"/>
      <c r="Q82" s="845" t="n"/>
      <c r="R82" s="845" t="n"/>
      <c r="S82" s="845" t="n"/>
      <c r="T82" s="845" t="n"/>
      <c r="U82" s="845" t="n"/>
      <c r="V82" s="845" t="n"/>
      <c r="W82" s="845" t="n"/>
      <c r="X82" s="845" t="n"/>
      <c r="Y82" s="845" t="n"/>
      <c r="Z82" s="845" t="n"/>
    </row>
    <row r="83" ht="13.2" customHeight="1" s="1127">
      <c r="A83" s="845" t="n"/>
      <c r="B83" s="845" t="n"/>
      <c r="C83" s="845" t="n"/>
      <c r="D83" s="845" t="n"/>
      <c r="E83" s="845" t="n"/>
      <c r="F83" s="845" t="n"/>
      <c r="G83" s="879" t="n"/>
      <c r="H83" s="845" t="n"/>
      <c r="I83" s="845" t="n"/>
      <c r="J83" s="845" t="n"/>
      <c r="K83" s="845" t="n"/>
      <c r="L83" s="845" t="n"/>
      <c r="M83" s="845" t="n"/>
      <c r="N83" s="845" t="n"/>
      <c r="O83" s="845" t="n"/>
      <c r="P83" s="845" t="n"/>
      <c r="Q83" s="845" t="n"/>
      <c r="R83" s="845" t="n"/>
      <c r="S83" s="845" t="n"/>
      <c r="T83" s="845" t="n"/>
      <c r="U83" s="845" t="n"/>
      <c r="V83" s="845" t="n"/>
      <c r="W83" s="845" t="n"/>
      <c r="X83" s="845" t="n"/>
      <c r="Y83" s="845" t="n"/>
      <c r="Z83" s="845" t="n"/>
    </row>
    <row r="84" ht="13.2" customHeight="1" s="1127">
      <c r="A84" s="845" t="n"/>
      <c r="B84" s="845" t="n"/>
      <c r="C84" s="845" t="n"/>
      <c r="D84" s="845" t="n"/>
      <c r="E84" s="845" t="n"/>
      <c r="F84" s="845" t="n"/>
      <c r="G84" s="879" t="n"/>
      <c r="H84" s="845" t="n"/>
      <c r="I84" s="845" t="n"/>
      <c r="J84" s="845" t="n"/>
      <c r="K84" s="845" t="n"/>
      <c r="L84" s="845" t="n"/>
      <c r="M84" s="845" t="n"/>
      <c r="N84" s="845" t="n"/>
      <c r="O84" s="845" t="n"/>
      <c r="P84" s="845" t="n"/>
      <c r="Q84" s="845" t="n"/>
      <c r="R84" s="845" t="n"/>
      <c r="S84" s="845" t="n"/>
      <c r="T84" s="845" t="n"/>
      <c r="U84" s="845" t="n"/>
      <c r="V84" s="845" t="n"/>
      <c r="W84" s="845" t="n"/>
      <c r="X84" s="845" t="n"/>
      <c r="Y84" s="845" t="n"/>
      <c r="Z84" s="845" t="n"/>
    </row>
    <row r="85" ht="13.2" customHeight="1" s="1127">
      <c r="A85" s="845" t="n"/>
      <c r="B85" s="845" t="n"/>
      <c r="C85" s="845" t="n"/>
      <c r="D85" s="845" t="n"/>
      <c r="E85" s="845" t="n"/>
      <c r="F85" s="845" t="n"/>
      <c r="G85" s="879" t="n"/>
      <c r="H85" s="845" t="n"/>
      <c r="I85" s="845" t="n"/>
      <c r="J85" s="845" t="n"/>
      <c r="K85" s="845" t="n"/>
      <c r="L85" s="845" t="n"/>
      <c r="M85" s="845" t="n"/>
      <c r="N85" s="845" t="n"/>
      <c r="O85" s="845" t="n"/>
      <c r="P85" s="845" t="n"/>
      <c r="Q85" s="845" t="n"/>
      <c r="R85" s="845" t="n"/>
      <c r="S85" s="845" t="n"/>
      <c r="T85" s="845" t="n"/>
      <c r="U85" s="845" t="n"/>
      <c r="V85" s="845" t="n"/>
      <c r="W85" s="845" t="n"/>
      <c r="X85" s="845" t="n"/>
      <c r="Y85" s="845" t="n"/>
      <c r="Z85" s="845" t="n"/>
    </row>
    <row r="86" ht="13.2" customHeight="1" s="1127">
      <c r="A86" s="845" t="n"/>
      <c r="B86" s="845" t="n"/>
      <c r="C86" s="845" t="n"/>
      <c r="D86" s="845" t="n"/>
      <c r="E86" s="845" t="n"/>
      <c r="F86" s="845" t="n"/>
      <c r="G86" s="879" t="n"/>
      <c r="H86" s="845" t="n"/>
      <c r="I86" s="845" t="n"/>
      <c r="J86" s="845" t="n"/>
      <c r="K86" s="845" t="n"/>
      <c r="L86" s="845" t="n"/>
      <c r="M86" s="845" t="n"/>
      <c r="N86" s="845" t="n"/>
      <c r="O86" s="845" t="n"/>
      <c r="P86" s="845" t="n"/>
      <c r="Q86" s="845" t="n"/>
      <c r="R86" s="845" t="n"/>
      <c r="S86" s="845" t="n"/>
      <c r="T86" s="845" t="n"/>
      <c r="U86" s="845" t="n"/>
      <c r="V86" s="845" t="n"/>
      <c r="W86" s="845" t="n"/>
      <c r="X86" s="845" t="n"/>
      <c r="Y86" s="845" t="n"/>
      <c r="Z86" s="845" t="n"/>
    </row>
    <row r="87" ht="13.2" customHeight="1" s="1127">
      <c r="A87" s="845" t="n"/>
      <c r="B87" s="845" t="n"/>
      <c r="C87" s="845" t="n"/>
      <c r="D87" s="845" t="n"/>
      <c r="E87" s="845" t="n"/>
      <c r="F87" s="845" t="n"/>
      <c r="G87" s="879" t="n"/>
      <c r="H87" s="845" t="n"/>
      <c r="I87" s="845" t="n"/>
      <c r="J87" s="845" t="n"/>
      <c r="K87" s="845" t="n"/>
      <c r="L87" s="845" t="n"/>
      <c r="M87" s="845" t="n"/>
      <c r="N87" s="845" t="n"/>
      <c r="O87" s="845" t="n"/>
      <c r="P87" s="845" t="n"/>
      <c r="Q87" s="845" t="n"/>
      <c r="R87" s="845" t="n"/>
      <c r="S87" s="845" t="n"/>
      <c r="T87" s="845" t="n"/>
      <c r="U87" s="845" t="n"/>
      <c r="V87" s="845" t="n"/>
      <c r="W87" s="845" t="n"/>
      <c r="X87" s="845" t="n"/>
      <c r="Y87" s="845" t="n"/>
      <c r="Z87" s="845" t="n"/>
    </row>
    <row r="88" ht="13.2" customHeight="1" s="1127">
      <c r="A88" s="845" t="n"/>
      <c r="B88" s="845" t="n"/>
      <c r="C88" s="845" t="n"/>
      <c r="D88" s="845" t="n"/>
      <c r="E88" s="845" t="n"/>
      <c r="F88" s="845" t="n"/>
      <c r="G88" s="879" t="n"/>
      <c r="H88" s="845" t="n"/>
      <c r="I88" s="845" t="n"/>
      <c r="J88" s="845" t="n"/>
      <c r="K88" s="845" t="n"/>
      <c r="L88" s="845" t="n"/>
      <c r="M88" s="845" t="n"/>
      <c r="N88" s="845" t="n"/>
      <c r="O88" s="845" t="n"/>
      <c r="P88" s="845" t="n"/>
      <c r="Q88" s="845" t="n"/>
      <c r="R88" s="845" t="n"/>
      <c r="S88" s="845" t="n"/>
      <c r="T88" s="845" t="n"/>
      <c r="U88" s="845" t="n"/>
      <c r="V88" s="845" t="n"/>
      <c r="W88" s="845" t="n"/>
      <c r="X88" s="845" t="n"/>
      <c r="Y88" s="845" t="n"/>
      <c r="Z88" s="845" t="n"/>
    </row>
    <row r="89" ht="13.2" customHeight="1" s="1127">
      <c r="A89" s="845" t="n"/>
      <c r="B89" s="845" t="n"/>
      <c r="C89" s="845" t="n"/>
      <c r="D89" s="845" t="n"/>
      <c r="E89" s="845" t="n"/>
      <c r="F89" s="845" t="n"/>
      <c r="G89" s="879" t="n"/>
      <c r="H89" s="845" t="n"/>
      <c r="I89" s="845" t="n"/>
      <c r="J89" s="845" t="n"/>
      <c r="K89" s="845" t="n"/>
      <c r="L89" s="845" t="n"/>
      <c r="M89" s="845" t="n"/>
      <c r="N89" s="845" t="n"/>
      <c r="O89" s="845" t="n"/>
      <c r="P89" s="845" t="n"/>
      <c r="Q89" s="845" t="n"/>
      <c r="R89" s="845" t="n"/>
      <c r="S89" s="845" t="n"/>
      <c r="T89" s="845" t="n"/>
      <c r="U89" s="845" t="n"/>
      <c r="V89" s="845" t="n"/>
      <c r="W89" s="845" t="n"/>
      <c r="X89" s="845" t="n"/>
      <c r="Y89" s="845" t="n"/>
      <c r="Z89" s="845" t="n"/>
    </row>
    <row r="90" ht="13.2" customHeight="1" s="1127">
      <c r="A90" s="845" t="n"/>
      <c r="B90" s="845" t="n"/>
      <c r="C90" s="845" t="n"/>
      <c r="D90" s="845" t="n"/>
      <c r="E90" s="845" t="n"/>
      <c r="F90" s="845" t="n"/>
      <c r="G90" s="879" t="n"/>
      <c r="H90" s="845" t="n"/>
      <c r="I90" s="845" t="n"/>
      <c r="J90" s="845" t="n"/>
      <c r="K90" s="845" t="n"/>
      <c r="L90" s="845" t="n"/>
      <c r="M90" s="845" t="n"/>
      <c r="N90" s="845" t="n"/>
      <c r="O90" s="845" t="n"/>
      <c r="P90" s="845" t="n"/>
      <c r="Q90" s="845" t="n"/>
      <c r="R90" s="845" t="n"/>
      <c r="S90" s="845" t="n"/>
      <c r="T90" s="845" t="n"/>
      <c r="U90" s="845" t="n"/>
      <c r="V90" s="845" t="n"/>
      <c r="W90" s="845" t="n"/>
      <c r="X90" s="845" t="n"/>
      <c r="Y90" s="845" t="n"/>
      <c r="Z90" s="845" t="n"/>
    </row>
    <row r="91" ht="13.2" customHeight="1" s="1127">
      <c r="A91" s="845" t="n"/>
      <c r="B91" s="845" t="n"/>
      <c r="C91" s="845" t="n"/>
      <c r="D91" s="845" t="n"/>
      <c r="E91" s="845" t="n"/>
      <c r="F91" s="845" t="n"/>
      <c r="G91" s="879" t="n"/>
      <c r="H91" s="845" t="n"/>
      <c r="I91" s="845" t="n"/>
      <c r="J91" s="845" t="n"/>
      <c r="K91" s="845" t="n"/>
      <c r="L91" s="845" t="n"/>
      <c r="M91" s="845" t="n"/>
      <c r="N91" s="845" t="n"/>
      <c r="O91" s="845" t="n"/>
      <c r="P91" s="845" t="n"/>
      <c r="Q91" s="845" t="n"/>
      <c r="R91" s="845" t="n"/>
      <c r="S91" s="845" t="n"/>
      <c r="T91" s="845" t="n"/>
      <c r="U91" s="845" t="n"/>
      <c r="V91" s="845" t="n"/>
      <c r="W91" s="845" t="n"/>
      <c r="X91" s="845" t="n"/>
      <c r="Y91" s="845" t="n"/>
      <c r="Z91" s="845" t="n"/>
    </row>
    <row r="92" ht="13.2" customHeight="1" s="1127">
      <c r="A92" s="845" t="n"/>
      <c r="B92" s="845" t="n"/>
      <c r="C92" s="845" t="n"/>
      <c r="D92" s="845" t="n"/>
      <c r="E92" s="845" t="n"/>
      <c r="F92" s="845" t="n"/>
      <c r="G92" s="879" t="n"/>
      <c r="H92" s="845" t="n"/>
      <c r="I92" s="845" t="n"/>
      <c r="J92" s="845" t="n"/>
      <c r="K92" s="845" t="n"/>
      <c r="L92" s="845" t="n"/>
      <c r="M92" s="845" t="n"/>
      <c r="N92" s="845" t="n"/>
      <c r="O92" s="845" t="n"/>
      <c r="P92" s="845" t="n"/>
      <c r="Q92" s="845" t="n"/>
      <c r="R92" s="845" t="n"/>
      <c r="S92" s="845" t="n"/>
      <c r="T92" s="845" t="n"/>
      <c r="U92" s="845" t="n"/>
      <c r="V92" s="845" t="n"/>
      <c r="W92" s="845" t="n"/>
      <c r="X92" s="845" t="n"/>
      <c r="Y92" s="845" t="n"/>
      <c r="Z92" s="845" t="n"/>
    </row>
    <row r="93" ht="13.2" customHeight="1" s="1127">
      <c r="A93" s="845" t="n"/>
      <c r="B93" s="845" t="n"/>
      <c r="C93" s="845" t="n"/>
      <c r="D93" s="845" t="n"/>
      <c r="E93" s="845" t="n"/>
      <c r="F93" s="845" t="n"/>
      <c r="G93" s="879" t="n"/>
      <c r="H93" s="845" t="n"/>
      <c r="I93" s="845" t="n"/>
      <c r="J93" s="845" t="n"/>
      <c r="K93" s="845" t="n"/>
      <c r="L93" s="845" t="n"/>
      <c r="M93" s="845" t="n"/>
      <c r="N93" s="845" t="n"/>
      <c r="O93" s="845" t="n"/>
      <c r="P93" s="845" t="n"/>
      <c r="Q93" s="845" t="n"/>
      <c r="R93" s="845" t="n"/>
      <c r="S93" s="845" t="n"/>
      <c r="T93" s="845" t="n"/>
      <c r="U93" s="845" t="n"/>
      <c r="V93" s="845" t="n"/>
      <c r="W93" s="845" t="n"/>
      <c r="X93" s="845" t="n"/>
      <c r="Y93" s="845" t="n"/>
      <c r="Z93" s="845" t="n"/>
    </row>
    <row r="94" ht="13.2" customHeight="1" s="1127">
      <c r="A94" s="845" t="n"/>
      <c r="B94" s="845" t="n"/>
      <c r="C94" s="845" t="n"/>
      <c r="D94" s="845" t="n"/>
      <c r="E94" s="845" t="n"/>
      <c r="F94" s="845" t="n"/>
      <c r="G94" s="879" t="n"/>
      <c r="H94" s="845" t="n"/>
      <c r="I94" s="845" t="n"/>
      <c r="J94" s="845" t="n"/>
      <c r="K94" s="845" t="n"/>
      <c r="L94" s="845" t="n"/>
      <c r="M94" s="845" t="n"/>
      <c r="N94" s="845" t="n"/>
      <c r="O94" s="845" t="n"/>
      <c r="P94" s="845" t="n"/>
      <c r="Q94" s="845" t="n"/>
      <c r="R94" s="845" t="n"/>
      <c r="S94" s="845" t="n"/>
      <c r="T94" s="845" t="n"/>
      <c r="U94" s="845" t="n"/>
      <c r="V94" s="845" t="n"/>
      <c r="W94" s="845" t="n"/>
      <c r="X94" s="845" t="n"/>
      <c r="Y94" s="845" t="n"/>
      <c r="Z94" s="845" t="n"/>
    </row>
    <row r="95" ht="13.2" customHeight="1" s="1127">
      <c r="A95" s="845" t="n"/>
      <c r="B95" s="845" t="n"/>
      <c r="C95" s="845" t="n"/>
      <c r="D95" s="845" t="n"/>
      <c r="E95" s="845" t="n"/>
      <c r="F95" s="845" t="n"/>
      <c r="G95" s="879" t="n"/>
      <c r="H95" s="845" t="n"/>
      <c r="I95" s="845" t="n"/>
      <c r="J95" s="845" t="n"/>
      <c r="K95" s="845" t="n"/>
      <c r="L95" s="845" t="n"/>
      <c r="M95" s="845" t="n"/>
      <c r="N95" s="845" t="n"/>
      <c r="O95" s="845" t="n"/>
      <c r="P95" s="845" t="n"/>
      <c r="Q95" s="845" t="n"/>
      <c r="R95" s="845" t="n"/>
      <c r="S95" s="845" t="n"/>
      <c r="T95" s="845" t="n"/>
      <c r="U95" s="845" t="n"/>
      <c r="V95" s="845" t="n"/>
      <c r="W95" s="845" t="n"/>
      <c r="X95" s="845" t="n"/>
      <c r="Y95" s="845" t="n"/>
      <c r="Z95" s="845" t="n"/>
    </row>
    <row r="96" ht="13.2" customHeight="1" s="1127">
      <c r="A96" s="845" t="n"/>
      <c r="B96" s="845" t="n"/>
      <c r="C96" s="845" t="n"/>
      <c r="D96" s="845" t="n"/>
      <c r="E96" s="845" t="n"/>
      <c r="F96" s="845" t="n"/>
      <c r="G96" s="879" t="n"/>
      <c r="H96" s="845" t="n"/>
      <c r="I96" s="845" t="n"/>
      <c r="J96" s="845" t="n"/>
      <c r="K96" s="845" t="n"/>
      <c r="L96" s="845" t="n"/>
      <c r="M96" s="845" t="n"/>
      <c r="N96" s="845" t="n"/>
      <c r="O96" s="845" t="n"/>
      <c r="P96" s="845" t="n"/>
      <c r="Q96" s="845" t="n"/>
      <c r="R96" s="845" t="n"/>
      <c r="S96" s="845" t="n"/>
      <c r="T96" s="845" t="n"/>
      <c r="U96" s="845" t="n"/>
      <c r="V96" s="845" t="n"/>
      <c r="W96" s="845" t="n"/>
      <c r="X96" s="845" t="n"/>
      <c r="Y96" s="845" t="n"/>
      <c r="Z96" s="845" t="n"/>
    </row>
    <row r="97" ht="13.2" customHeight="1" s="1127">
      <c r="A97" s="845" t="n"/>
      <c r="B97" s="845" t="n"/>
      <c r="C97" s="845" t="n"/>
      <c r="D97" s="845" t="n"/>
      <c r="E97" s="845" t="n"/>
      <c r="F97" s="845" t="n"/>
      <c r="G97" s="879" t="n"/>
      <c r="H97" s="845" t="n"/>
      <c r="I97" s="845" t="n"/>
      <c r="J97" s="845" t="n"/>
      <c r="K97" s="845" t="n"/>
      <c r="L97" s="845" t="n"/>
      <c r="M97" s="845" t="n"/>
      <c r="N97" s="845" t="n"/>
      <c r="O97" s="845" t="n"/>
      <c r="P97" s="845" t="n"/>
      <c r="Q97" s="845" t="n"/>
      <c r="R97" s="845" t="n"/>
      <c r="S97" s="845" t="n"/>
      <c r="T97" s="845" t="n"/>
      <c r="U97" s="845" t="n"/>
      <c r="V97" s="845" t="n"/>
      <c r="W97" s="845" t="n"/>
      <c r="X97" s="845" t="n"/>
      <c r="Y97" s="845" t="n"/>
      <c r="Z97" s="845" t="n"/>
    </row>
    <row r="98" ht="13.2" customHeight="1" s="1127">
      <c r="A98" s="845" t="n"/>
      <c r="B98" s="845" t="n"/>
      <c r="C98" s="845" t="n"/>
      <c r="D98" s="845" t="n"/>
      <c r="E98" s="845" t="n"/>
      <c r="F98" s="845" t="n"/>
      <c r="G98" s="879" t="n"/>
      <c r="H98" s="845" t="n"/>
      <c r="I98" s="845" t="n"/>
      <c r="J98" s="845" t="n"/>
      <c r="K98" s="845" t="n"/>
      <c r="L98" s="845" t="n"/>
      <c r="M98" s="845" t="n"/>
      <c r="N98" s="845" t="n"/>
      <c r="O98" s="845" t="n"/>
      <c r="P98" s="845" t="n"/>
      <c r="Q98" s="845" t="n"/>
      <c r="R98" s="845" t="n"/>
      <c r="S98" s="845" t="n"/>
      <c r="T98" s="845" t="n"/>
      <c r="U98" s="845" t="n"/>
      <c r="V98" s="845" t="n"/>
      <c r="W98" s="845" t="n"/>
      <c r="X98" s="845" t="n"/>
      <c r="Y98" s="845" t="n"/>
      <c r="Z98" s="845" t="n"/>
    </row>
    <row r="99" ht="13.2" customHeight="1" s="1127">
      <c r="A99" s="845" t="n"/>
      <c r="B99" s="845" t="n"/>
      <c r="C99" s="845" t="n"/>
      <c r="D99" s="845" t="n"/>
      <c r="E99" s="845" t="n"/>
      <c r="F99" s="845" t="n"/>
      <c r="G99" s="879" t="n"/>
      <c r="H99" s="845" t="n"/>
      <c r="I99" s="845" t="n"/>
      <c r="J99" s="845" t="n"/>
      <c r="K99" s="845" t="n"/>
      <c r="L99" s="845" t="n"/>
      <c r="M99" s="845" t="n"/>
      <c r="N99" s="845" t="n"/>
      <c r="O99" s="845" t="n"/>
      <c r="P99" s="845" t="n"/>
      <c r="Q99" s="845" t="n"/>
      <c r="R99" s="845" t="n"/>
      <c r="S99" s="845" t="n"/>
      <c r="T99" s="845" t="n"/>
      <c r="U99" s="845" t="n"/>
      <c r="V99" s="845" t="n"/>
      <c r="W99" s="845" t="n"/>
      <c r="X99" s="845" t="n"/>
      <c r="Y99" s="845" t="n"/>
      <c r="Z99" s="845" t="n"/>
    </row>
    <row r="100" ht="13.2" customHeight="1" s="1127">
      <c r="A100" s="845" t="n"/>
      <c r="B100" s="845" t="n"/>
      <c r="C100" s="845" t="n"/>
      <c r="D100" s="845" t="n"/>
      <c r="E100" s="845" t="n"/>
      <c r="F100" s="845" t="n"/>
      <c r="G100" s="879" t="n"/>
      <c r="H100" s="845" t="n"/>
      <c r="I100" s="845" t="n"/>
      <c r="J100" s="845" t="n"/>
      <c r="K100" s="845" t="n"/>
      <c r="L100" s="845" t="n"/>
      <c r="M100" s="845" t="n"/>
      <c r="N100" s="845" t="n"/>
      <c r="O100" s="845" t="n"/>
      <c r="P100" s="845" t="n"/>
      <c r="Q100" s="845" t="n"/>
      <c r="R100" s="845" t="n"/>
      <c r="S100" s="845" t="n"/>
      <c r="T100" s="845" t="n"/>
      <c r="U100" s="845" t="n"/>
      <c r="V100" s="845" t="n"/>
      <c r="W100" s="845" t="n"/>
      <c r="X100" s="845" t="n"/>
      <c r="Y100" s="845" t="n"/>
      <c r="Z100" s="845" t="n"/>
    </row>
    <row r="101" ht="13.2" customHeight="1" s="1127">
      <c r="A101" s="845" t="n"/>
      <c r="B101" s="845" t="n"/>
      <c r="C101" s="845" t="n"/>
      <c r="D101" s="845" t="n"/>
      <c r="E101" s="845" t="n"/>
      <c r="F101" s="845" t="n"/>
      <c r="G101" s="879" t="n"/>
      <c r="H101" s="845" t="n"/>
      <c r="I101" s="845" t="n"/>
      <c r="J101" s="845" t="n"/>
      <c r="K101" s="845" t="n"/>
      <c r="L101" s="845" t="n"/>
      <c r="M101" s="845" t="n"/>
      <c r="N101" s="845" t="n"/>
      <c r="O101" s="845" t="n"/>
      <c r="P101" s="845" t="n"/>
      <c r="Q101" s="845" t="n"/>
      <c r="R101" s="845" t="n"/>
      <c r="S101" s="845" t="n"/>
      <c r="T101" s="845" t="n"/>
      <c r="U101" s="845" t="n"/>
      <c r="V101" s="845" t="n"/>
      <c r="W101" s="845" t="n"/>
      <c r="X101" s="845" t="n"/>
      <c r="Y101" s="845" t="n"/>
      <c r="Z101" s="845" t="n"/>
    </row>
    <row r="102" ht="13.2" customHeight="1" s="1127">
      <c r="A102" s="845" t="n"/>
      <c r="B102" s="845" t="n"/>
      <c r="C102" s="845" t="n"/>
      <c r="D102" s="845" t="n"/>
      <c r="E102" s="845" t="n"/>
      <c r="F102" s="845" t="n"/>
      <c r="G102" s="879" t="n"/>
      <c r="H102" s="845" t="n"/>
      <c r="I102" s="845" t="n"/>
      <c r="J102" s="845" t="n"/>
      <c r="K102" s="845" t="n"/>
      <c r="L102" s="845" t="n"/>
      <c r="M102" s="845" t="n"/>
      <c r="N102" s="845" t="n"/>
      <c r="O102" s="845" t="n"/>
      <c r="P102" s="845" t="n"/>
      <c r="Q102" s="845" t="n"/>
      <c r="R102" s="845" t="n"/>
      <c r="S102" s="845" t="n"/>
      <c r="T102" s="845" t="n"/>
      <c r="U102" s="845" t="n"/>
      <c r="V102" s="845" t="n"/>
      <c r="W102" s="845" t="n"/>
      <c r="X102" s="845" t="n"/>
      <c r="Y102" s="845" t="n"/>
      <c r="Z102" s="845" t="n"/>
    </row>
    <row r="103" ht="13.2" customHeight="1" s="1127">
      <c r="A103" s="845" t="n"/>
      <c r="B103" s="845" t="n"/>
      <c r="C103" s="845" t="n"/>
      <c r="D103" s="845" t="n"/>
      <c r="E103" s="845" t="n"/>
      <c r="F103" s="845" t="n"/>
      <c r="G103" s="879" t="n"/>
      <c r="H103" s="845" t="n"/>
      <c r="I103" s="845" t="n"/>
      <c r="J103" s="845" t="n"/>
      <c r="K103" s="845" t="n"/>
      <c r="L103" s="845" t="n"/>
      <c r="M103" s="845" t="n"/>
      <c r="N103" s="845" t="n"/>
      <c r="O103" s="845" t="n"/>
      <c r="P103" s="845" t="n"/>
      <c r="Q103" s="845" t="n"/>
      <c r="R103" s="845" t="n"/>
      <c r="S103" s="845" t="n"/>
      <c r="T103" s="845" t="n"/>
      <c r="U103" s="845" t="n"/>
      <c r="V103" s="845" t="n"/>
      <c r="W103" s="845" t="n"/>
      <c r="X103" s="845" t="n"/>
      <c r="Y103" s="845" t="n"/>
      <c r="Z103" s="845" t="n"/>
    </row>
    <row r="104" ht="13.2" customHeight="1" s="1127">
      <c r="A104" s="845" t="n"/>
      <c r="B104" s="845" t="n"/>
      <c r="C104" s="845" t="n"/>
      <c r="D104" s="845" t="n"/>
      <c r="E104" s="845" t="n"/>
      <c r="F104" s="845" t="n"/>
      <c r="G104" s="879" t="n"/>
      <c r="H104" s="845" t="n"/>
      <c r="I104" s="845" t="n"/>
      <c r="J104" s="845" t="n"/>
      <c r="K104" s="845" t="n"/>
      <c r="L104" s="845" t="n"/>
      <c r="M104" s="845" t="n"/>
      <c r="N104" s="845" t="n"/>
      <c r="O104" s="845" t="n"/>
      <c r="P104" s="845" t="n"/>
      <c r="Q104" s="845" t="n"/>
      <c r="R104" s="845" t="n"/>
      <c r="S104" s="845" t="n"/>
      <c r="T104" s="845" t="n"/>
      <c r="U104" s="845" t="n"/>
      <c r="V104" s="845" t="n"/>
      <c r="W104" s="845" t="n"/>
      <c r="X104" s="845" t="n"/>
      <c r="Y104" s="845" t="n"/>
      <c r="Z104" s="845" t="n"/>
    </row>
    <row r="105" ht="13.2" customHeight="1" s="1127">
      <c r="A105" s="845" t="n"/>
      <c r="B105" s="845" t="n"/>
      <c r="C105" s="845" t="n"/>
      <c r="D105" s="845" t="n"/>
      <c r="E105" s="845" t="n"/>
      <c r="F105" s="845" t="n"/>
      <c r="G105" s="879" t="n"/>
      <c r="H105" s="845" t="n"/>
      <c r="I105" s="845" t="n"/>
      <c r="J105" s="845" t="n"/>
      <c r="K105" s="845" t="n"/>
      <c r="L105" s="845" t="n"/>
      <c r="M105" s="845" t="n"/>
      <c r="N105" s="845" t="n"/>
      <c r="O105" s="845" t="n"/>
      <c r="P105" s="845" t="n"/>
      <c r="Q105" s="845" t="n"/>
      <c r="R105" s="845" t="n"/>
      <c r="S105" s="845" t="n"/>
      <c r="T105" s="845" t="n"/>
      <c r="U105" s="845" t="n"/>
      <c r="V105" s="845" t="n"/>
      <c r="W105" s="845" t="n"/>
      <c r="X105" s="845" t="n"/>
      <c r="Y105" s="845" t="n"/>
      <c r="Z105" s="845" t="n"/>
    </row>
    <row r="106" ht="13.2" customHeight="1" s="1127">
      <c r="A106" s="845" t="n"/>
      <c r="B106" s="845" t="n"/>
      <c r="C106" s="845" t="n"/>
      <c r="D106" s="845" t="n"/>
      <c r="E106" s="845" t="n"/>
      <c r="F106" s="845" t="n"/>
      <c r="G106" s="879" t="n"/>
      <c r="H106" s="845" t="n"/>
      <c r="I106" s="845" t="n"/>
      <c r="J106" s="845" t="n"/>
      <c r="K106" s="845" t="n"/>
      <c r="L106" s="845" t="n"/>
      <c r="M106" s="845" t="n"/>
      <c r="N106" s="845" t="n"/>
      <c r="O106" s="845" t="n"/>
      <c r="P106" s="845" t="n"/>
      <c r="Q106" s="845" t="n"/>
      <c r="R106" s="845" t="n"/>
      <c r="S106" s="845" t="n"/>
      <c r="T106" s="845" t="n"/>
      <c r="U106" s="845" t="n"/>
      <c r="V106" s="845" t="n"/>
      <c r="W106" s="845" t="n"/>
      <c r="X106" s="845" t="n"/>
      <c r="Y106" s="845" t="n"/>
      <c r="Z106" s="845" t="n"/>
    </row>
    <row r="107" ht="13.2" customHeight="1" s="1127">
      <c r="A107" s="845" t="n"/>
      <c r="B107" s="845" t="n"/>
      <c r="C107" s="845" t="n"/>
      <c r="D107" s="845" t="n"/>
      <c r="E107" s="845" t="n"/>
      <c r="F107" s="845" t="n"/>
      <c r="G107" s="879" t="n"/>
      <c r="H107" s="845" t="n"/>
      <c r="I107" s="845" t="n"/>
      <c r="J107" s="845" t="n"/>
      <c r="K107" s="845" t="n"/>
      <c r="L107" s="845" t="n"/>
      <c r="M107" s="845" t="n"/>
      <c r="N107" s="845" t="n"/>
      <c r="O107" s="845" t="n"/>
      <c r="P107" s="845" t="n"/>
      <c r="Q107" s="845" t="n"/>
      <c r="R107" s="845" t="n"/>
      <c r="S107" s="845" t="n"/>
      <c r="T107" s="845" t="n"/>
      <c r="U107" s="845" t="n"/>
      <c r="V107" s="845" t="n"/>
      <c r="W107" s="845" t="n"/>
      <c r="X107" s="845" t="n"/>
      <c r="Y107" s="845" t="n"/>
      <c r="Z107" s="845" t="n"/>
    </row>
    <row r="108" ht="13.2" customHeight="1" s="1127">
      <c r="A108" s="845" t="n"/>
      <c r="B108" s="845" t="n"/>
      <c r="C108" s="845" t="n"/>
      <c r="D108" s="845" t="n"/>
      <c r="E108" s="845" t="n"/>
      <c r="F108" s="845" t="n"/>
      <c r="G108" s="879" t="n"/>
      <c r="H108" s="845" t="n"/>
      <c r="I108" s="845" t="n"/>
      <c r="J108" s="845" t="n"/>
      <c r="K108" s="845" t="n"/>
      <c r="L108" s="845" t="n"/>
      <c r="M108" s="845" t="n"/>
      <c r="N108" s="845" t="n"/>
      <c r="O108" s="845" t="n"/>
      <c r="P108" s="845" t="n"/>
      <c r="Q108" s="845" t="n"/>
      <c r="R108" s="845" t="n"/>
      <c r="S108" s="845" t="n"/>
      <c r="T108" s="845" t="n"/>
      <c r="U108" s="845" t="n"/>
      <c r="V108" s="845" t="n"/>
      <c r="W108" s="845" t="n"/>
      <c r="X108" s="845" t="n"/>
      <c r="Y108" s="845" t="n"/>
      <c r="Z108" s="845" t="n"/>
    </row>
    <row r="109" ht="13.2" customHeight="1" s="1127">
      <c r="A109" s="845" t="n"/>
      <c r="B109" s="845" t="n"/>
      <c r="C109" s="845" t="n"/>
      <c r="D109" s="845" t="n"/>
      <c r="E109" s="845" t="n"/>
      <c r="F109" s="845" t="n"/>
      <c r="G109" s="879" t="n"/>
      <c r="H109" s="845" t="n"/>
      <c r="I109" s="845" t="n"/>
      <c r="J109" s="845" t="n"/>
      <c r="K109" s="845" t="n"/>
      <c r="L109" s="845" t="n"/>
      <c r="M109" s="845" t="n"/>
      <c r="N109" s="845" t="n"/>
      <c r="O109" s="845" t="n"/>
      <c r="P109" s="845" t="n"/>
      <c r="Q109" s="845" t="n"/>
      <c r="R109" s="845" t="n"/>
      <c r="S109" s="845" t="n"/>
      <c r="T109" s="845" t="n"/>
      <c r="U109" s="845" t="n"/>
      <c r="V109" s="845" t="n"/>
      <c r="W109" s="845" t="n"/>
      <c r="X109" s="845" t="n"/>
      <c r="Y109" s="845" t="n"/>
      <c r="Z109" s="845" t="n"/>
    </row>
    <row r="110" ht="13.2" customHeight="1" s="1127">
      <c r="A110" s="845" t="n"/>
      <c r="B110" s="845" t="n"/>
      <c r="C110" s="845" t="n"/>
      <c r="D110" s="845" t="n"/>
      <c r="E110" s="845" t="n"/>
      <c r="F110" s="845" t="n"/>
      <c r="G110" s="879" t="n"/>
      <c r="H110" s="845" t="n"/>
      <c r="I110" s="845" t="n"/>
      <c r="J110" s="845" t="n"/>
      <c r="K110" s="845" t="n"/>
      <c r="L110" s="845" t="n"/>
      <c r="M110" s="845" t="n"/>
      <c r="N110" s="845" t="n"/>
      <c r="O110" s="845" t="n"/>
      <c r="P110" s="845" t="n"/>
      <c r="Q110" s="845" t="n"/>
      <c r="R110" s="845" t="n"/>
      <c r="S110" s="845" t="n"/>
      <c r="T110" s="845" t="n"/>
      <c r="U110" s="845" t="n"/>
      <c r="V110" s="845" t="n"/>
      <c r="W110" s="845" t="n"/>
      <c r="X110" s="845" t="n"/>
      <c r="Y110" s="845" t="n"/>
      <c r="Z110" s="845" t="n"/>
    </row>
    <row r="111" ht="13.2" customHeight="1" s="1127">
      <c r="A111" s="845" t="n"/>
      <c r="B111" s="845" t="n"/>
      <c r="C111" s="845" t="n"/>
      <c r="D111" s="845" t="n"/>
      <c r="E111" s="845" t="n"/>
      <c r="F111" s="845" t="n"/>
      <c r="G111" s="879" t="n"/>
      <c r="H111" s="845" t="n"/>
      <c r="I111" s="845" t="n"/>
      <c r="J111" s="845" t="n"/>
      <c r="K111" s="845" t="n"/>
      <c r="L111" s="845" t="n"/>
      <c r="M111" s="845" t="n"/>
      <c r="N111" s="845" t="n"/>
      <c r="O111" s="845" t="n"/>
      <c r="P111" s="845" t="n"/>
      <c r="Q111" s="845" t="n"/>
      <c r="R111" s="845" t="n"/>
      <c r="S111" s="845" t="n"/>
      <c r="T111" s="845" t="n"/>
      <c r="U111" s="845" t="n"/>
      <c r="V111" s="845" t="n"/>
      <c r="W111" s="845" t="n"/>
      <c r="X111" s="845" t="n"/>
      <c r="Y111" s="845" t="n"/>
      <c r="Z111" s="845" t="n"/>
    </row>
    <row r="112" ht="13.2" customHeight="1" s="1127">
      <c r="A112" s="845" t="n"/>
      <c r="B112" s="845" t="n"/>
      <c r="C112" s="845" t="n"/>
      <c r="D112" s="845" t="n"/>
      <c r="E112" s="845" t="n"/>
      <c r="F112" s="845" t="n"/>
      <c r="G112" s="879" t="n"/>
      <c r="H112" s="845" t="n"/>
      <c r="I112" s="845" t="n"/>
      <c r="J112" s="845" t="n"/>
      <c r="K112" s="845" t="n"/>
      <c r="L112" s="845" t="n"/>
      <c r="M112" s="845" t="n"/>
      <c r="N112" s="845" t="n"/>
      <c r="O112" s="845" t="n"/>
      <c r="P112" s="845" t="n"/>
      <c r="Q112" s="845" t="n"/>
      <c r="R112" s="845" t="n"/>
      <c r="S112" s="845" t="n"/>
      <c r="T112" s="845" t="n"/>
      <c r="U112" s="845" t="n"/>
      <c r="V112" s="845" t="n"/>
      <c r="W112" s="845" t="n"/>
      <c r="X112" s="845" t="n"/>
      <c r="Y112" s="845" t="n"/>
      <c r="Z112" s="845" t="n"/>
    </row>
    <row r="113" ht="13.2" customHeight="1" s="1127">
      <c r="A113" s="845" t="n"/>
      <c r="B113" s="845" t="n"/>
      <c r="C113" s="845" t="n"/>
      <c r="D113" s="845" t="n"/>
      <c r="E113" s="845" t="n"/>
      <c r="F113" s="845" t="n"/>
      <c r="G113" s="879" t="n"/>
      <c r="H113" s="845" t="n"/>
      <c r="I113" s="845" t="n"/>
      <c r="J113" s="845" t="n"/>
      <c r="K113" s="845" t="n"/>
      <c r="L113" s="845" t="n"/>
      <c r="M113" s="845" t="n"/>
      <c r="N113" s="845" t="n"/>
      <c r="O113" s="845" t="n"/>
      <c r="P113" s="845" t="n"/>
      <c r="Q113" s="845" t="n"/>
      <c r="R113" s="845" t="n"/>
      <c r="S113" s="845" t="n"/>
      <c r="T113" s="845" t="n"/>
      <c r="U113" s="845" t="n"/>
      <c r="V113" s="845" t="n"/>
      <c r="W113" s="845" t="n"/>
      <c r="X113" s="845" t="n"/>
      <c r="Y113" s="845" t="n"/>
      <c r="Z113" s="845" t="n"/>
    </row>
    <row r="114" ht="13.2" customHeight="1" s="1127">
      <c r="A114" s="845" t="n"/>
      <c r="B114" s="845" t="n"/>
      <c r="C114" s="845" t="n"/>
      <c r="D114" s="845" t="n"/>
      <c r="E114" s="845" t="n"/>
      <c r="F114" s="845" t="n"/>
      <c r="G114" s="879" t="n"/>
      <c r="H114" s="845" t="n"/>
      <c r="I114" s="845" t="n"/>
      <c r="J114" s="845" t="n"/>
      <c r="K114" s="845" t="n"/>
      <c r="L114" s="845" t="n"/>
      <c r="M114" s="845" t="n"/>
      <c r="N114" s="845" t="n"/>
      <c r="O114" s="845" t="n"/>
      <c r="P114" s="845" t="n"/>
      <c r="Q114" s="845" t="n"/>
      <c r="R114" s="845" t="n"/>
      <c r="S114" s="845" t="n"/>
      <c r="T114" s="845" t="n"/>
      <c r="U114" s="845" t="n"/>
      <c r="V114" s="845" t="n"/>
      <c r="W114" s="845" t="n"/>
      <c r="X114" s="845" t="n"/>
      <c r="Y114" s="845" t="n"/>
      <c r="Z114" s="845" t="n"/>
    </row>
    <row r="115" ht="13.2" customHeight="1" s="1127">
      <c r="A115" s="845" t="n"/>
      <c r="B115" s="845" t="n"/>
      <c r="C115" s="845" t="n"/>
      <c r="D115" s="845" t="n"/>
      <c r="E115" s="845" t="n"/>
      <c r="F115" s="845" t="n"/>
      <c r="G115" s="879" t="n"/>
      <c r="H115" s="845" t="n"/>
      <c r="I115" s="845" t="n"/>
      <c r="J115" s="845" t="n"/>
      <c r="K115" s="845" t="n"/>
      <c r="L115" s="845" t="n"/>
      <c r="M115" s="845" t="n"/>
      <c r="N115" s="845" t="n"/>
      <c r="O115" s="845" t="n"/>
      <c r="P115" s="845" t="n"/>
      <c r="Q115" s="845" t="n"/>
      <c r="R115" s="845" t="n"/>
      <c r="S115" s="845" t="n"/>
      <c r="T115" s="845" t="n"/>
      <c r="U115" s="845" t="n"/>
      <c r="V115" s="845" t="n"/>
      <c r="W115" s="845" t="n"/>
      <c r="X115" s="845" t="n"/>
      <c r="Y115" s="845" t="n"/>
      <c r="Z115" s="845" t="n"/>
    </row>
    <row r="116" ht="13.2" customHeight="1" s="1127">
      <c r="A116" s="845" t="n"/>
      <c r="B116" s="845" t="n"/>
      <c r="C116" s="845" t="n"/>
      <c r="D116" s="845" t="n"/>
      <c r="E116" s="845" t="n"/>
      <c r="F116" s="845" t="n"/>
      <c r="G116" s="879" t="n"/>
      <c r="H116" s="845" t="n"/>
      <c r="I116" s="845" t="n"/>
      <c r="J116" s="845" t="n"/>
      <c r="K116" s="845" t="n"/>
      <c r="L116" s="845" t="n"/>
      <c r="M116" s="845" t="n"/>
      <c r="N116" s="845" t="n"/>
      <c r="O116" s="845" t="n"/>
      <c r="P116" s="845" t="n"/>
      <c r="Q116" s="845" t="n"/>
      <c r="R116" s="845" t="n"/>
      <c r="S116" s="845" t="n"/>
      <c r="T116" s="845" t="n"/>
      <c r="U116" s="845" t="n"/>
      <c r="V116" s="845" t="n"/>
      <c r="W116" s="845" t="n"/>
      <c r="X116" s="845" t="n"/>
      <c r="Y116" s="845" t="n"/>
      <c r="Z116" s="845" t="n"/>
    </row>
    <row r="117" ht="13.2" customHeight="1" s="1127">
      <c r="A117" s="845" t="n"/>
      <c r="B117" s="845" t="n"/>
      <c r="C117" s="845" t="n"/>
      <c r="D117" s="845" t="n"/>
      <c r="E117" s="845" t="n"/>
      <c r="F117" s="845" t="n"/>
      <c r="G117" s="879" t="n"/>
      <c r="H117" s="845" t="n"/>
      <c r="I117" s="845" t="n"/>
      <c r="J117" s="845" t="n"/>
      <c r="K117" s="845" t="n"/>
      <c r="L117" s="845" t="n"/>
      <c r="M117" s="845" t="n"/>
      <c r="N117" s="845" t="n"/>
      <c r="O117" s="845" t="n"/>
      <c r="P117" s="845" t="n"/>
      <c r="Q117" s="845" t="n"/>
      <c r="R117" s="845" t="n"/>
      <c r="S117" s="845" t="n"/>
      <c r="T117" s="845" t="n"/>
      <c r="U117" s="845" t="n"/>
      <c r="V117" s="845" t="n"/>
      <c r="W117" s="845" t="n"/>
      <c r="X117" s="845" t="n"/>
      <c r="Y117" s="845" t="n"/>
      <c r="Z117" s="845" t="n"/>
    </row>
    <row r="118" ht="13.2" customHeight="1" s="1127">
      <c r="A118" s="845" t="n"/>
      <c r="B118" s="845" t="n"/>
      <c r="C118" s="845" t="n"/>
      <c r="D118" s="845" t="n"/>
      <c r="E118" s="845" t="n"/>
      <c r="F118" s="845" t="n"/>
      <c r="G118" s="879" t="n"/>
      <c r="H118" s="845" t="n"/>
      <c r="I118" s="845" t="n"/>
      <c r="J118" s="845" t="n"/>
      <c r="K118" s="845" t="n"/>
      <c r="L118" s="845" t="n"/>
      <c r="M118" s="845" t="n"/>
      <c r="N118" s="845" t="n"/>
      <c r="O118" s="845" t="n"/>
      <c r="P118" s="845" t="n"/>
      <c r="Q118" s="845" t="n"/>
      <c r="R118" s="845" t="n"/>
      <c r="S118" s="845" t="n"/>
      <c r="T118" s="845" t="n"/>
      <c r="U118" s="845" t="n"/>
      <c r="V118" s="845" t="n"/>
      <c r="W118" s="845" t="n"/>
      <c r="X118" s="845" t="n"/>
      <c r="Y118" s="845" t="n"/>
      <c r="Z118" s="845" t="n"/>
    </row>
    <row r="119" ht="13.2" customHeight="1" s="1127">
      <c r="A119" s="845" t="n"/>
      <c r="B119" s="845" t="n"/>
      <c r="C119" s="845" t="n"/>
      <c r="D119" s="845" t="n"/>
      <c r="E119" s="845" t="n"/>
      <c r="F119" s="845" t="n"/>
      <c r="G119" s="879" t="n"/>
      <c r="H119" s="845" t="n"/>
      <c r="I119" s="845" t="n"/>
      <c r="J119" s="845" t="n"/>
      <c r="K119" s="845" t="n"/>
      <c r="L119" s="845" t="n"/>
      <c r="M119" s="845" t="n"/>
      <c r="N119" s="845" t="n"/>
      <c r="O119" s="845" t="n"/>
      <c r="P119" s="845" t="n"/>
      <c r="Q119" s="845" t="n"/>
      <c r="R119" s="845" t="n"/>
      <c r="S119" s="845" t="n"/>
      <c r="T119" s="845" t="n"/>
      <c r="U119" s="845" t="n"/>
      <c r="V119" s="845" t="n"/>
      <c r="W119" s="845" t="n"/>
      <c r="X119" s="845" t="n"/>
      <c r="Y119" s="845" t="n"/>
      <c r="Z119" s="845" t="n"/>
    </row>
    <row r="120" ht="13.2" customHeight="1" s="1127">
      <c r="A120" s="845" t="n"/>
      <c r="B120" s="845" t="n"/>
      <c r="C120" s="845" t="n"/>
      <c r="D120" s="845" t="n"/>
      <c r="E120" s="845" t="n"/>
      <c r="F120" s="845" t="n"/>
      <c r="G120" s="879" t="n"/>
      <c r="H120" s="845" t="n"/>
      <c r="I120" s="845" t="n"/>
      <c r="J120" s="845" t="n"/>
      <c r="K120" s="845" t="n"/>
      <c r="L120" s="845" t="n"/>
      <c r="M120" s="845" t="n"/>
      <c r="N120" s="845" t="n"/>
      <c r="O120" s="845" t="n"/>
      <c r="P120" s="845" t="n"/>
      <c r="Q120" s="845" t="n"/>
      <c r="R120" s="845" t="n"/>
      <c r="S120" s="845" t="n"/>
      <c r="T120" s="845" t="n"/>
      <c r="U120" s="845" t="n"/>
      <c r="V120" s="845" t="n"/>
      <c r="W120" s="845" t="n"/>
      <c r="X120" s="845" t="n"/>
      <c r="Y120" s="845" t="n"/>
      <c r="Z120" s="845" t="n"/>
    </row>
    <row r="121" ht="13.2" customHeight="1" s="1127">
      <c r="A121" s="845" t="n"/>
      <c r="B121" s="845" t="n"/>
      <c r="C121" s="845" t="n"/>
      <c r="D121" s="845" t="n"/>
      <c r="E121" s="845" t="n"/>
      <c r="F121" s="845" t="n"/>
      <c r="G121" s="879" t="n"/>
      <c r="H121" s="845" t="n"/>
      <c r="I121" s="845" t="n"/>
      <c r="J121" s="845" t="n"/>
      <c r="K121" s="845" t="n"/>
      <c r="L121" s="845" t="n"/>
      <c r="M121" s="845" t="n"/>
      <c r="N121" s="845" t="n"/>
      <c r="O121" s="845" t="n"/>
      <c r="P121" s="845" t="n"/>
      <c r="Q121" s="845" t="n"/>
      <c r="R121" s="845" t="n"/>
      <c r="S121" s="845" t="n"/>
      <c r="T121" s="845" t="n"/>
      <c r="U121" s="845" t="n"/>
      <c r="V121" s="845" t="n"/>
      <c r="W121" s="845" t="n"/>
      <c r="X121" s="845" t="n"/>
      <c r="Y121" s="845" t="n"/>
      <c r="Z121" s="845" t="n"/>
    </row>
    <row r="122" ht="13.2" customHeight="1" s="1127">
      <c r="A122" s="845" t="n"/>
      <c r="B122" s="845" t="n"/>
      <c r="C122" s="845" t="n"/>
      <c r="D122" s="845" t="n"/>
      <c r="E122" s="845" t="n"/>
      <c r="F122" s="845" t="n"/>
      <c r="G122" s="879" t="n"/>
      <c r="H122" s="845" t="n"/>
      <c r="I122" s="845" t="n"/>
      <c r="J122" s="845" t="n"/>
      <c r="K122" s="845" t="n"/>
      <c r="L122" s="845" t="n"/>
      <c r="M122" s="845" t="n"/>
      <c r="N122" s="845" t="n"/>
      <c r="O122" s="845" t="n"/>
      <c r="P122" s="845" t="n"/>
      <c r="Q122" s="845" t="n"/>
      <c r="R122" s="845" t="n"/>
      <c r="S122" s="845" t="n"/>
      <c r="T122" s="845" t="n"/>
      <c r="U122" s="845" t="n"/>
      <c r="V122" s="845" t="n"/>
      <c r="W122" s="845" t="n"/>
      <c r="X122" s="845" t="n"/>
      <c r="Y122" s="845" t="n"/>
      <c r="Z122" s="845" t="n"/>
    </row>
    <row r="123" ht="13.2" customHeight="1" s="1127">
      <c r="A123" s="845" t="n"/>
      <c r="B123" s="845" t="n"/>
      <c r="C123" s="845" t="n"/>
      <c r="D123" s="845" t="n"/>
      <c r="E123" s="845" t="n"/>
      <c r="F123" s="845" t="n"/>
      <c r="G123" s="879" t="n"/>
      <c r="H123" s="845" t="n"/>
      <c r="I123" s="845" t="n"/>
      <c r="J123" s="845" t="n"/>
      <c r="K123" s="845" t="n"/>
      <c r="L123" s="845" t="n"/>
      <c r="M123" s="845" t="n"/>
      <c r="N123" s="845" t="n"/>
      <c r="O123" s="845" t="n"/>
      <c r="P123" s="845" t="n"/>
      <c r="Q123" s="845" t="n"/>
      <c r="R123" s="845" t="n"/>
      <c r="S123" s="845" t="n"/>
      <c r="T123" s="845" t="n"/>
      <c r="U123" s="845" t="n"/>
      <c r="V123" s="845" t="n"/>
      <c r="W123" s="845" t="n"/>
      <c r="X123" s="845" t="n"/>
      <c r="Y123" s="845" t="n"/>
      <c r="Z123" s="845" t="n"/>
    </row>
    <row r="124" ht="13.2" customHeight="1" s="1127">
      <c r="A124" s="845" t="n"/>
      <c r="B124" s="845" t="n"/>
      <c r="C124" s="845" t="n"/>
      <c r="D124" s="845" t="n"/>
      <c r="E124" s="845" t="n"/>
      <c r="F124" s="845" t="n"/>
      <c r="G124" s="879" t="n"/>
      <c r="H124" s="845" t="n"/>
      <c r="I124" s="845" t="n"/>
      <c r="J124" s="845" t="n"/>
      <c r="K124" s="845" t="n"/>
      <c r="L124" s="845" t="n"/>
      <c r="M124" s="845" t="n"/>
      <c r="N124" s="845" t="n"/>
      <c r="O124" s="845" t="n"/>
      <c r="P124" s="845" t="n"/>
      <c r="Q124" s="845" t="n"/>
      <c r="R124" s="845" t="n"/>
      <c r="S124" s="845" t="n"/>
      <c r="T124" s="845" t="n"/>
      <c r="U124" s="845" t="n"/>
      <c r="V124" s="845" t="n"/>
      <c r="W124" s="845" t="n"/>
      <c r="X124" s="845" t="n"/>
      <c r="Y124" s="845" t="n"/>
      <c r="Z124" s="845" t="n"/>
    </row>
    <row r="125" ht="13.2" customHeight="1" s="1127">
      <c r="A125" s="845" t="n"/>
      <c r="B125" s="845" t="n"/>
      <c r="C125" s="845" t="n"/>
      <c r="D125" s="845" t="n"/>
      <c r="E125" s="845" t="n"/>
      <c r="F125" s="845" t="n"/>
      <c r="G125" s="879" t="n"/>
      <c r="H125" s="845" t="n"/>
      <c r="I125" s="845" t="n"/>
      <c r="J125" s="845" t="n"/>
      <c r="K125" s="845" t="n"/>
      <c r="L125" s="845" t="n"/>
      <c r="M125" s="845" t="n"/>
      <c r="N125" s="845" t="n"/>
      <c r="O125" s="845" t="n"/>
      <c r="P125" s="845" t="n"/>
      <c r="Q125" s="845" t="n"/>
      <c r="R125" s="845" t="n"/>
      <c r="S125" s="845" t="n"/>
      <c r="T125" s="845" t="n"/>
      <c r="U125" s="845" t="n"/>
      <c r="V125" s="845" t="n"/>
      <c r="W125" s="845" t="n"/>
      <c r="X125" s="845" t="n"/>
      <c r="Y125" s="845" t="n"/>
      <c r="Z125" s="845" t="n"/>
    </row>
    <row r="126" ht="13.2" customHeight="1" s="1127">
      <c r="A126" s="845" t="n"/>
      <c r="B126" s="845" t="n"/>
      <c r="C126" s="845" t="n"/>
      <c r="D126" s="845" t="n"/>
      <c r="E126" s="845" t="n"/>
      <c r="F126" s="845" t="n"/>
      <c r="G126" s="879" t="n"/>
      <c r="H126" s="845" t="n"/>
      <c r="I126" s="845" t="n"/>
      <c r="J126" s="845" t="n"/>
      <c r="K126" s="845" t="n"/>
      <c r="L126" s="845" t="n"/>
      <c r="M126" s="845" t="n"/>
      <c r="N126" s="845" t="n"/>
      <c r="O126" s="845" t="n"/>
      <c r="P126" s="845" t="n"/>
      <c r="Q126" s="845" t="n"/>
      <c r="R126" s="845" t="n"/>
      <c r="S126" s="845" t="n"/>
      <c r="T126" s="845" t="n"/>
      <c r="U126" s="845" t="n"/>
      <c r="V126" s="845" t="n"/>
      <c r="W126" s="845" t="n"/>
      <c r="X126" s="845" t="n"/>
      <c r="Y126" s="845" t="n"/>
      <c r="Z126" s="845" t="n"/>
    </row>
    <row r="127" ht="13.2" customHeight="1" s="1127">
      <c r="A127" s="845" t="n"/>
      <c r="B127" s="845" t="n"/>
      <c r="C127" s="845" t="n"/>
      <c r="D127" s="845" t="n"/>
      <c r="E127" s="845" t="n"/>
      <c r="F127" s="845" t="n"/>
      <c r="G127" s="879" t="n"/>
      <c r="H127" s="845" t="n"/>
      <c r="I127" s="845" t="n"/>
      <c r="J127" s="845" t="n"/>
      <c r="K127" s="845" t="n"/>
      <c r="L127" s="845" t="n"/>
      <c r="M127" s="845" t="n"/>
      <c r="N127" s="845" t="n"/>
      <c r="O127" s="845" t="n"/>
      <c r="P127" s="845" t="n"/>
      <c r="Q127" s="845" t="n"/>
      <c r="R127" s="845" t="n"/>
      <c r="S127" s="845" t="n"/>
      <c r="T127" s="845" t="n"/>
      <c r="U127" s="845" t="n"/>
      <c r="V127" s="845" t="n"/>
      <c r="W127" s="845" t="n"/>
      <c r="X127" s="845" t="n"/>
      <c r="Y127" s="845" t="n"/>
      <c r="Z127" s="845" t="n"/>
    </row>
    <row r="128" ht="13.2" customHeight="1" s="1127">
      <c r="A128" s="845" t="n"/>
      <c r="B128" s="845" t="n"/>
      <c r="C128" s="845" t="n"/>
      <c r="D128" s="845" t="n"/>
      <c r="E128" s="845" t="n"/>
      <c r="F128" s="845" t="n"/>
      <c r="G128" s="879" t="n"/>
      <c r="H128" s="845" t="n"/>
      <c r="I128" s="845" t="n"/>
      <c r="J128" s="845" t="n"/>
      <c r="K128" s="845" t="n"/>
      <c r="L128" s="845" t="n"/>
      <c r="M128" s="845" t="n"/>
      <c r="N128" s="845" t="n"/>
      <c r="O128" s="845" t="n"/>
      <c r="P128" s="845" t="n"/>
      <c r="Q128" s="845" t="n"/>
      <c r="R128" s="845" t="n"/>
      <c r="S128" s="845" t="n"/>
      <c r="T128" s="845" t="n"/>
      <c r="U128" s="845" t="n"/>
      <c r="V128" s="845" t="n"/>
      <c r="W128" s="845" t="n"/>
      <c r="X128" s="845" t="n"/>
      <c r="Y128" s="845" t="n"/>
      <c r="Z128" s="845" t="n"/>
    </row>
    <row r="129" ht="13.2" customHeight="1" s="1127">
      <c r="A129" s="845" t="n"/>
      <c r="B129" s="845" t="n"/>
      <c r="C129" s="845" t="n"/>
      <c r="D129" s="845" t="n"/>
      <c r="E129" s="845" t="n"/>
      <c r="F129" s="845" t="n"/>
      <c r="G129" s="879" t="n"/>
      <c r="H129" s="845" t="n"/>
      <c r="I129" s="845" t="n"/>
      <c r="J129" s="845" t="n"/>
      <c r="K129" s="845" t="n"/>
      <c r="L129" s="845" t="n"/>
      <c r="M129" s="845" t="n"/>
      <c r="N129" s="845" t="n"/>
      <c r="O129" s="845" t="n"/>
      <c r="P129" s="845" t="n"/>
      <c r="Q129" s="845" t="n"/>
      <c r="R129" s="845" t="n"/>
      <c r="S129" s="845" t="n"/>
      <c r="T129" s="845" t="n"/>
      <c r="U129" s="845" t="n"/>
      <c r="V129" s="845" t="n"/>
      <c r="W129" s="845" t="n"/>
      <c r="X129" s="845" t="n"/>
      <c r="Y129" s="845" t="n"/>
      <c r="Z129" s="845" t="n"/>
    </row>
    <row r="130" ht="13.2" customHeight="1" s="1127">
      <c r="A130" s="845" t="n"/>
      <c r="B130" s="845" t="n"/>
      <c r="C130" s="845" t="n"/>
      <c r="D130" s="845" t="n"/>
      <c r="E130" s="845" t="n"/>
      <c r="F130" s="845" t="n"/>
      <c r="G130" s="879" t="n"/>
      <c r="H130" s="845" t="n"/>
      <c r="I130" s="845" t="n"/>
      <c r="J130" s="845" t="n"/>
      <c r="K130" s="845" t="n"/>
      <c r="L130" s="845" t="n"/>
      <c r="M130" s="845" t="n"/>
      <c r="N130" s="845" t="n"/>
      <c r="O130" s="845" t="n"/>
      <c r="P130" s="845" t="n"/>
      <c r="Q130" s="845" t="n"/>
      <c r="R130" s="845" t="n"/>
      <c r="S130" s="845" t="n"/>
      <c r="T130" s="845" t="n"/>
      <c r="U130" s="845" t="n"/>
      <c r="V130" s="845" t="n"/>
      <c r="W130" s="845" t="n"/>
      <c r="X130" s="845" t="n"/>
      <c r="Y130" s="845" t="n"/>
      <c r="Z130" s="845" t="n"/>
    </row>
    <row r="131" ht="13.2" customHeight="1" s="1127">
      <c r="A131" s="845" t="n"/>
      <c r="B131" s="845" t="n"/>
      <c r="C131" s="845" t="n"/>
      <c r="D131" s="845" t="n"/>
      <c r="E131" s="845" t="n"/>
      <c r="F131" s="845" t="n"/>
      <c r="G131" s="879" t="n"/>
      <c r="H131" s="845" t="n"/>
      <c r="I131" s="845" t="n"/>
      <c r="J131" s="845" t="n"/>
      <c r="K131" s="845" t="n"/>
      <c r="L131" s="845" t="n"/>
      <c r="M131" s="845" t="n"/>
      <c r="N131" s="845" t="n"/>
      <c r="O131" s="845" t="n"/>
      <c r="P131" s="845" t="n"/>
      <c r="Q131" s="845" t="n"/>
      <c r="R131" s="845" t="n"/>
      <c r="S131" s="845" t="n"/>
      <c r="T131" s="845" t="n"/>
      <c r="U131" s="845" t="n"/>
      <c r="V131" s="845" t="n"/>
      <c r="W131" s="845" t="n"/>
      <c r="X131" s="845" t="n"/>
      <c r="Y131" s="845" t="n"/>
      <c r="Z131" s="845" t="n"/>
    </row>
    <row r="132" ht="13.2" customHeight="1" s="1127">
      <c r="A132" s="845" t="n"/>
      <c r="B132" s="845" t="n"/>
      <c r="C132" s="845" t="n"/>
      <c r="D132" s="845" t="n"/>
      <c r="E132" s="845" t="n"/>
      <c r="F132" s="845" t="n"/>
      <c r="G132" s="879" t="n"/>
      <c r="H132" s="845" t="n"/>
      <c r="I132" s="845" t="n"/>
      <c r="J132" s="845" t="n"/>
      <c r="K132" s="845" t="n"/>
      <c r="L132" s="845" t="n"/>
      <c r="M132" s="845" t="n"/>
      <c r="N132" s="845" t="n"/>
      <c r="O132" s="845" t="n"/>
      <c r="P132" s="845" t="n"/>
      <c r="Q132" s="845" t="n"/>
      <c r="R132" s="845" t="n"/>
      <c r="S132" s="845" t="n"/>
      <c r="T132" s="845" t="n"/>
      <c r="U132" s="845" t="n"/>
      <c r="V132" s="845" t="n"/>
      <c r="W132" s="845" t="n"/>
      <c r="X132" s="845" t="n"/>
      <c r="Y132" s="845" t="n"/>
      <c r="Z132" s="845" t="n"/>
    </row>
    <row r="133" ht="13.2" customHeight="1" s="1127">
      <c r="A133" s="845" t="n"/>
      <c r="B133" s="845" t="n"/>
      <c r="C133" s="845" t="n"/>
      <c r="D133" s="845" t="n"/>
      <c r="E133" s="845" t="n"/>
      <c r="F133" s="845" t="n"/>
      <c r="G133" s="879" t="n"/>
      <c r="H133" s="845" t="n"/>
      <c r="I133" s="845" t="n"/>
      <c r="J133" s="845" t="n"/>
      <c r="K133" s="845" t="n"/>
      <c r="L133" s="845" t="n"/>
      <c r="M133" s="845" t="n"/>
      <c r="N133" s="845" t="n"/>
      <c r="O133" s="845" t="n"/>
      <c r="P133" s="845" t="n"/>
      <c r="Q133" s="845" t="n"/>
      <c r="R133" s="845" t="n"/>
      <c r="S133" s="845" t="n"/>
      <c r="T133" s="845" t="n"/>
      <c r="U133" s="845" t="n"/>
      <c r="V133" s="845" t="n"/>
      <c r="W133" s="845" t="n"/>
      <c r="X133" s="845" t="n"/>
      <c r="Y133" s="845" t="n"/>
      <c r="Z133" s="845" t="n"/>
    </row>
    <row r="134" ht="13.2" customHeight="1" s="1127">
      <c r="A134" s="845" t="n"/>
      <c r="B134" s="845" t="n"/>
      <c r="C134" s="845" t="n"/>
      <c r="D134" s="845" t="n"/>
      <c r="E134" s="845" t="n"/>
      <c r="F134" s="845" t="n"/>
      <c r="G134" s="879" t="n"/>
      <c r="H134" s="845" t="n"/>
      <c r="I134" s="845" t="n"/>
      <c r="J134" s="845" t="n"/>
      <c r="K134" s="845" t="n"/>
      <c r="L134" s="845" t="n"/>
      <c r="M134" s="845" t="n"/>
      <c r="N134" s="845" t="n"/>
      <c r="O134" s="845" t="n"/>
      <c r="P134" s="845" t="n"/>
      <c r="Q134" s="845" t="n"/>
      <c r="R134" s="845" t="n"/>
      <c r="S134" s="845" t="n"/>
      <c r="T134" s="845" t="n"/>
      <c r="U134" s="845" t="n"/>
      <c r="V134" s="845" t="n"/>
      <c r="W134" s="845" t="n"/>
      <c r="X134" s="845" t="n"/>
      <c r="Y134" s="845" t="n"/>
      <c r="Z134" s="845" t="n"/>
    </row>
    <row r="135" ht="13.2" customHeight="1" s="1127">
      <c r="A135" s="845" t="n"/>
      <c r="B135" s="845" t="n"/>
      <c r="C135" s="845" t="n"/>
      <c r="D135" s="845" t="n"/>
      <c r="E135" s="845" t="n"/>
      <c r="F135" s="845" t="n"/>
      <c r="G135" s="879" t="n"/>
      <c r="H135" s="845" t="n"/>
      <c r="I135" s="845" t="n"/>
      <c r="J135" s="845" t="n"/>
      <c r="K135" s="845" t="n"/>
      <c r="L135" s="845" t="n"/>
      <c r="M135" s="845" t="n"/>
      <c r="N135" s="845" t="n"/>
      <c r="O135" s="845" t="n"/>
      <c r="P135" s="845" t="n"/>
      <c r="Q135" s="845" t="n"/>
      <c r="R135" s="845" t="n"/>
      <c r="S135" s="845" t="n"/>
      <c r="T135" s="845" t="n"/>
      <c r="U135" s="845" t="n"/>
      <c r="V135" s="845" t="n"/>
      <c r="W135" s="845" t="n"/>
      <c r="X135" s="845" t="n"/>
      <c r="Y135" s="845" t="n"/>
      <c r="Z135" s="845" t="n"/>
    </row>
    <row r="136" ht="13.2" customHeight="1" s="1127">
      <c r="A136" s="845" t="n"/>
      <c r="B136" s="845" t="n"/>
      <c r="C136" s="845" t="n"/>
      <c r="D136" s="845" t="n"/>
      <c r="E136" s="845" t="n"/>
      <c r="F136" s="845" t="n"/>
      <c r="G136" s="879" t="n"/>
      <c r="H136" s="845" t="n"/>
      <c r="I136" s="845" t="n"/>
      <c r="J136" s="845" t="n"/>
      <c r="K136" s="845" t="n"/>
      <c r="L136" s="845" t="n"/>
      <c r="M136" s="845" t="n"/>
      <c r="N136" s="845" t="n"/>
      <c r="O136" s="845" t="n"/>
      <c r="P136" s="845" t="n"/>
      <c r="Q136" s="845" t="n"/>
      <c r="R136" s="845" t="n"/>
      <c r="S136" s="845" t="n"/>
      <c r="T136" s="845" t="n"/>
      <c r="U136" s="845" t="n"/>
      <c r="V136" s="845" t="n"/>
      <c r="W136" s="845" t="n"/>
      <c r="X136" s="845" t="n"/>
      <c r="Y136" s="845" t="n"/>
      <c r="Z136" s="845" t="n"/>
    </row>
    <row r="137" ht="13.2" customHeight="1" s="1127">
      <c r="A137" s="845" t="n"/>
      <c r="B137" s="845" t="n"/>
      <c r="C137" s="845" t="n"/>
      <c r="D137" s="845" t="n"/>
      <c r="E137" s="845" t="n"/>
      <c r="F137" s="845" t="n"/>
      <c r="G137" s="879" t="n"/>
      <c r="H137" s="845" t="n"/>
      <c r="I137" s="845" t="n"/>
      <c r="J137" s="845" t="n"/>
      <c r="K137" s="845" t="n"/>
      <c r="L137" s="845" t="n"/>
      <c r="M137" s="845" t="n"/>
      <c r="N137" s="845" t="n"/>
      <c r="O137" s="845" t="n"/>
      <c r="P137" s="845" t="n"/>
      <c r="Q137" s="845" t="n"/>
      <c r="R137" s="845" t="n"/>
      <c r="S137" s="845" t="n"/>
      <c r="T137" s="845" t="n"/>
      <c r="U137" s="845" t="n"/>
      <c r="V137" s="845" t="n"/>
      <c r="W137" s="845" t="n"/>
      <c r="X137" s="845" t="n"/>
      <c r="Y137" s="845" t="n"/>
      <c r="Z137" s="845" t="n"/>
    </row>
    <row r="138" ht="13.2" customHeight="1" s="1127">
      <c r="A138" s="845" t="n"/>
      <c r="B138" s="845" t="n"/>
      <c r="C138" s="845" t="n"/>
      <c r="D138" s="845" t="n"/>
      <c r="E138" s="845" t="n"/>
      <c r="F138" s="845" t="n"/>
      <c r="G138" s="879" t="n"/>
      <c r="H138" s="845" t="n"/>
      <c r="I138" s="845" t="n"/>
      <c r="J138" s="845" t="n"/>
      <c r="K138" s="845" t="n"/>
      <c r="L138" s="845" t="n"/>
      <c r="M138" s="845" t="n"/>
      <c r="N138" s="845" t="n"/>
      <c r="O138" s="845" t="n"/>
      <c r="P138" s="845" t="n"/>
      <c r="Q138" s="845" t="n"/>
      <c r="R138" s="845" t="n"/>
      <c r="S138" s="845" t="n"/>
      <c r="T138" s="845" t="n"/>
      <c r="U138" s="845" t="n"/>
      <c r="V138" s="845" t="n"/>
      <c r="W138" s="845" t="n"/>
      <c r="X138" s="845" t="n"/>
      <c r="Y138" s="845" t="n"/>
      <c r="Z138" s="845" t="n"/>
    </row>
    <row r="139" ht="13.2" customHeight="1" s="1127">
      <c r="A139" s="845" t="n"/>
      <c r="B139" s="845" t="n"/>
      <c r="C139" s="845" t="n"/>
      <c r="D139" s="845" t="n"/>
      <c r="E139" s="845" t="n"/>
      <c r="F139" s="845" t="n"/>
      <c r="G139" s="879" t="n"/>
      <c r="H139" s="845" t="n"/>
      <c r="I139" s="845" t="n"/>
      <c r="J139" s="845" t="n"/>
      <c r="K139" s="845" t="n"/>
      <c r="L139" s="845" t="n"/>
      <c r="M139" s="845" t="n"/>
      <c r="N139" s="845" t="n"/>
      <c r="O139" s="845" t="n"/>
      <c r="P139" s="845" t="n"/>
      <c r="Q139" s="845" t="n"/>
      <c r="R139" s="845" t="n"/>
      <c r="S139" s="845" t="n"/>
      <c r="T139" s="845" t="n"/>
      <c r="U139" s="845" t="n"/>
      <c r="V139" s="845" t="n"/>
      <c r="W139" s="845" t="n"/>
      <c r="X139" s="845" t="n"/>
      <c r="Y139" s="845" t="n"/>
      <c r="Z139" s="845" t="n"/>
    </row>
    <row r="140" ht="13.2" customHeight="1" s="1127">
      <c r="A140" s="845" t="n"/>
      <c r="B140" s="845" t="n"/>
      <c r="C140" s="845" t="n"/>
      <c r="D140" s="845" t="n"/>
      <c r="E140" s="845" t="n"/>
      <c r="F140" s="845" t="n"/>
      <c r="G140" s="879" t="n"/>
      <c r="H140" s="845" t="n"/>
      <c r="I140" s="845" t="n"/>
      <c r="J140" s="845" t="n"/>
      <c r="K140" s="845" t="n"/>
      <c r="L140" s="845" t="n"/>
      <c r="M140" s="845" t="n"/>
      <c r="N140" s="845" t="n"/>
      <c r="O140" s="845" t="n"/>
      <c r="P140" s="845" t="n"/>
      <c r="Q140" s="845" t="n"/>
      <c r="R140" s="845" t="n"/>
      <c r="S140" s="845" t="n"/>
      <c r="T140" s="845" t="n"/>
      <c r="U140" s="845" t="n"/>
      <c r="V140" s="845" t="n"/>
      <c r="W140" s="845" t="n"/>
      <c r="X140" s="845" t="n"/>
      <c r="Y140" s="845" t="n"/>
      <c r="Z140" s="845" t="n"/>
    </row>
    <row r="141" ht="13.2" customHeight="1" s="1127">
      <c r="A141" s="845" t="n"/>
      <c r="B141" s="845" t="n"/>
      <c r="C141" s="845" t="n"/>
      <c r="D141" s="845" t="n"/>
      <c r="E141" s="845" t="n"/>
      <c r="F141" s="845" t="n"/>
      <c r="G141" s="879" t="n"/>
      <c r="H141" s="845" t="n"/>
      <c r="I141" s="845" t="n"/>
      <c r="J141" s="845" t="n"/>
      <c r="K141" s="845" t="n"/>
      <c r="L141" s="845" t="n"/>
      <c r="M141" s="845" t="n"/>
      <c r="N141" s="845" t="n"/>
      <c r="O141" s="845" t="n"/>
      <c r="P141" s="845" t="n"/>
      <c r="Q141" s="845" t="n"/>
      <c r="R141" s="845" t="n"/>
      <c r="S141" s="845" t="n"/>
      <c r="T141" s="845" t="n"/>
      <c r="U141" s="845" t="n"/>
      <c r="V141" s="845" t="n"/>
      <c r="W141" s="845" t="n"/>
      <c r="X141" s="845" t="n"/>
      <c r="Y141" s="845" t="n"/>
      <c r="Z141" s="845" t="n"/>
    </row>
    <row r="142" ht="13.2" customHeight="1" s="1127">
      <c r="A142" s="845" t="n"/>
      <c r="B142" s="845" t="n"/>
      <c r="C142" s="845" t="n"/>
      <c r="D142" s="845" t="n"/>
      <c r="E142" s="845" t="n"/>
      <c r="F142" s="845" t="n"/>
      <c r="G142" s="879" t="n"/>
      <c r="H142" s="845" t="n"/>
      <c r="I142" s="845" t="n"/>
      <c r="J142" s="845" t="n"/>
      <c r="K142" s="845" t="n"/>
      <c r="L142" s="845" t="n"/>
      <c r="M142" s="845" t="n"/>
      <c r="N142" s="845" t="n"/>
      <c r="O142" s="845" t="n"/>
      <c r="P142" s="845" t="n"/>
      <c r="Q142" s="845" t="n"/>
      <c r="R142" s="845" t="n"/>
      <c r="S142" s="845" t="n"/>
      <c r="T142" s="845" t="n"/>
      <c r="U142" s="845" t="n"/>
      <c r="V142" s="845" t="n"/>
      <c r="W142" s="845" t="n"/>
      <c r="X142" s="845" t="n"/>
      <c r="Y142" s="845" t="n"/>
      <c r="Z142" s="845" t="n"/>
    </row>
    <row r="143" ht="13.2" customHeight="1" s="1127">
      <c r="A143" s="845" t="n"/>
      <c r="B143" s="845" t="n"/>
      <c r="C143" s="845" t="n"/>
      <c r="D143" s="845" t="n"/>
      <c r="E143" s="845" t="n"/>
      <c r="F143" s="845" t="n"/>
      <c r="G143" s="879" t="n"/>
      <c r="H143" s="845" t="n"/>
      <c r="I143" s="845" t="n"/>
      <c r="J143" s="845" t="n"/>
      <c r="K143" s="845" t="n"/>
      <c r="L143" s="845" t="n"/>
      <c r="M143" s="845" t="n"/>
      <c r="N143" s="845" t="n"/>
      <c r="O143" s="845" t="n"/>
      <c r="P143" s="845" t="n"/>
      <c r="Q143" s="845" t="n"/>
      <c r="R143" s="845" t="n"/>
      <c r="S143" s="845" t="n"/>
      <c r="T143" s="845" t="n"/>
      <c r="U143" s="845" t="n"/>
      <c r="V143" s="845" t="n"/>
      <c r="W143" s="845" t="n"/>
      <c r="X143" s="845" t="n"/>
      <c r="Y143" s="845" t="n"/>
      <c r="Z143" s="845" t="n"/>
    </row>
    <row r="144" ht="13.2" customHeight="1" s="1127">
      <c r="A144" s="845" t="n"/>
      <c r="B144" s="845" t="n"/>
      <c r="C144" s="845" t="n"/>
      <c r="D144" s="845" t="n"/>
      <c r="E144" s="845" t="n"/>
      <c r="F144" s="845" t="n"/>
      <c r="G144" s="879" t="n"/>
      <c r="H144" s="845" t="n"/>
      <c r="I144" s="845" t="n"/>
      <c r="J144" s="845" t="n"/>
      <c r="K144" s="845" t="n"/>
      <c r="L144" s="845" t="n"/>
      <c r="M144" s="845" t="n"/>
      <c r="N144" s="845" t="n"/>
      <c r="O144" s="845" t="n"/>
      <c r="P144" s="845" t="n"/>
      <c r="Q144" s="845" t="n"/>
      <c r="R144" s="845" t="n"/>
      <c r="S144" s="845" t="n"/>
      <c r="T144" s="845" t="n"/>
      <c r="U144" s="845" t="n"/>
      <c r="V144" s="845" t="n"/>
      <c r="W144" s="845" t="n"/>
      <c r="X144" s="845" t="n"/>
      <c r="Y144" s="845" t="n"/>
      <c r="Z144" s="845" t="n"/>
    </row>
    <row r="145" ht="13.2" customHeight="1" s="1127">
      <c r="A145" s="845" t="n"/>
      <c r="B145" s="845" t="n"/>
      <c r="C145" s="845" t="n"/>
      <c r="D145" s="845" t="n"/>
      <c r="E145" s="845" t="n"/>
      <c r="F145" s="845" t="n"/>
      <c r="G145" s="879" t="n"/>
      <c r="H145" s="845" t="n"/>
      <c r="I145" s="845" t="n"/>
      <c r="J145" s="845" t="n"/>
      <c r="K145" s="845" t="n"/>
      <c r="L145" s="845" t="n"/>
      <c r="M145" s="845" t="n"/>
      <c r="N145" s="845" t="n"/>
      <c r="O145" s="845" t="n"/>
      <c r="P145" s="845" t="n"/>
      <c r="Q145" s="845" t="n"/>
      <c r="R145" s="845" t="n"/>
      <c r="S145" s="845" t="n"/>
      <c r="T145" s="845" t="n"/>
      <c r="U145" s="845" t="n"/>
      <c r="V145" s="845" t="n"/>
      <c r="W145" s="845" t="n"/>
      <c r="X145" s="845" t="n"/>
      <c r="Y145" s="845" t="n"/>
      <c r="Z145" s="845" t="n"/>
    </row>
    <row r="146" ht="13.2" customHeight="1" s="1127">
      <c r="A146" s="845" t="n"/>
      <c r="B146" s="845" t="n"/>
      <c r="C146" s="845" t="n"/>
      <c r="D146" s="845" t="n"/>
      <c r="E146" s="845" t="n"/>
      <c r="F146" s="845" t="n"/>
      <c r="G146" s="879" t="n"/>
      <c r="H146" s="845" t="n"/>
      <c r="I146" s="845" t="n"/>
      <c r="J146" s="845" t="n"/>
      <c r="K146" s="845" t="n"/>
      <c r="L146" s="845" t="n"/>
      <c r="M146" s="845" t="n"/>
      <c r="N146" s="845" t="n"/>
      <c r="O146" s="845" t="n"/>
      <c r="P146" s="845" t="n"/>
      <c r="Q146" s="845" t="n"/>
      <c r="R146" s="845" t="n"/>
      <c r="S146" s="845" t="n"/>
      <c r="T146" s="845" t="n"/>
      <c r="U146" s="845" t="n"/>
      <c r="V146" s="845" t="n"/>
      <c r="W146" s="845" t="n"/>
      <c r="X146" s="845" t="n"/>
      <c r="Y146" s="845" t="n"/>
      <c r="Z146" s="845" t="n"/>
    </row>
    <row r="147" ht="13.2" customHeight="1" s="1127">
      <c r="A147" s="845" t="n"/>
      <c r="B147" s="845" t="n"/>
      <c r="C147" s="845" t="n"/>
      <c r="D147" s="845" t="n"/>
      <c r="E147" s="845" t="n"/>
      <c r="F147" s="845" t="n"/>
      <c r="G147" s="879" t="n"/>
      <c r="H147" s="845" t="n"/>
      <c r="I147" s="845" t="n"/>
      <c r="J147" s="845" t="n"/>
      <c r="K147" s="845" t="n"/>
      <c r="L147" s="845" t="n"/>
      <c r="M147" s="845" t="n"/>
      <c r="N147" s="845" t="n"/>
      <c r="O147" s="845" t="n"/>
      <c r="P147" s="845" t="n"/>
      <c r="Q147" s="845" t="n"/>
      <c r="R147" s="845" t="n"/>
      <c r="S147" s="845" t="n"/>
      <c r="T147" s="845" t="n"/>
      <c r="U147" s="845" t="n"/>
      <c r="V147" s="845" t="n"/>
      <c r="W147" s="845" t="n"/>
      <c r="X147" s="845" t="n"/>
      <c r="Y147" s="845" t="n"/>
      <c r="Z147" s="845" t="n"/>
    </row>
    <row r="148" ht="13.2" customHeight="1" s="1127">
      <c r="A148" s="845" t="n"/>
      <c r="B148" s="845" t="n"/>
      <c r="C148" s="845" t="n"/>
      <c r="D148" s="845" t="n"/>
      <c r="E148" s="845" t="n"/>
      <c r="F148" s="845" t="n"/>
      <c r="G148" s="879" t="n"/>
      <c r="H148" s="845" t="n"/>
      <c r="I148" s="845" t="n"/>
      <c r="J148" s="845" t="n"/>
      <c r="K148" s="845" t="n"/>
      <c r="L148" s="845" t="n"/>
      <c r="M148" s="845" t="n"/>
      <c r="N148" s="845" t="n"/>
      <c r="O148" s="845" t="n"/>
      <c r="P148" s="845" t="n"/>
      <c r="Q148" s="845" t="n"/>
      <c r="R148" s="845" t="n"/>
      <c r="S148" s="845" t="n"/>
      <c r="T148" s="845" t="n"/>
      <c r="U148" s="845" t="n"/>
      <c r="V148" s="845" t="n"/>
      <c r="W148" s="845" t="n"/>
      <c r="X148" s="845" t="n"/>
      <c r="Y148" s="845" t="n"/>
      <c r="Z148" s="845" t="n"/>
    </row>
    <row r="149" ht="13.2" customHeight="1" s="1127">
      <c r="A149" s="845" t="n"/>
      <c r="B149" s="845" t="n"/>
      <c r="C149" s="845" t="n"/>
      <c r="D149" s="845" t="n"/>
      <c r="E149" s="845" t="n"/>
      <c r="F149" s="845" t="n"/>
      <c r="G149" s="879" t="n"/>
      <c r="H149" s="845" t="n"/>
      <c r="I149" s="845" t="n"/>
      <c r="J149" s="845" t="n"/>
      <c r="K149" s="845" t="n"/>
      <c r="L149" s="845" t="n"/>
      <c r="M149" s="845" t="n"/>
      <c r="N149" s="845" t="n"/>
      <c r="O149" s="845" t="n"/>
      <c r="P149" s="845" t="n"/>
      <c r="Q149" s="845" t="n"/>
      <c r="R149" s="845" t="n"/>
      <c r="S149" s="845" t="n"/>
      <c r="T149" s="845" t="n"/>
      <c r="U149" s="845" t="n"/>
      <c r="V149" s="845" t="n"/>
      <c r="W149" s="845" t="n"/>
      <c r="X149" s="845" t="n"/>
      <c r="Y149" s="845" t="n"/>
      <c r="Z149" s="845" t="n"/>
    </row>
    <row r="150" ht="13.2" customHeight="1" s="1127">
      <c r="A150" s="845" t="n"/>
      <c r="B150" s="845" t="n"/>
      <c r="C150" s="845" t="n"/>
      <c r="D150" s="845" t="n"/>
      <c r="E150" s="845" t="n"/>
      <c r="F150" s="845" t="n"/>
      <c r="G150" s="879" t="n"/>
      <c r="H150" s="845" t="n"/>
      <c r="I150" s="845" t="n"/>
      <c r="J150" s="845" t="n"/>
      <c r="K150" s="845" t="n"/>
      <c r="L150" s="845" t="n"/>
      <c r="M150" s="845" t="n"/>
      <c r="N150" s="845" t="n"/>
      <c r="O150" s="845" t="n"/>
      <c r="P150" s="845" t="n"/>
      <c r="Q150" s="845" t="n"/>
      <c r="R150" s="845" t="n"/>
      <c r="S150" s="845" t="n"/>
      <c r="T150" s="845" t="n"/>
      <c r="U150" s="845" t="n"/>
      <c r="V150" s="845" t="n"/>
      <c r="W150" s="845" t="n"/>
      <c r="X150" s="845" t="n"/>
      <c r="Y150" s="845" t="n"/>
      <c r="Z150" s="845" t="n"/>
    </row>
    <row r="151" ht="13.2" customHeight="1" s="1127">
      <c r="A151" s="845" t="n"/>
      <c r="B151" s="845" t="n"/>
      <c r="C151" s="845" t="n"/>
      <c r="D151" s="845" t="n"/>
      <c r="E151" s="845" t="n"/>
      <c r="F151" s="845" t="n"/>
      <c r="G151" s="879" t="n"/>
      <c r="H151" s="845" t="n"/>
      <c r="I151" s="845" t="n"/>
      <c r="J151" s="845" t="n"/>
      <c r="K151" s="845" t="n"/>
      <c r="L151" s="845" t="n"/>
      <c r="M151" s="845" t="n"/>
      <c r="N151" s="845" t="n"/>
      <c r="O151" s="845" t="n"/>
      <c r="P151" s="845" t="n"/>
      <c r="Q151" s="845" t="n"/>
      <c r="R151" s="845" t="n"/>
      <c r="S151" s="845" t="n"/>
      <c r="T151" s="845" t="n"/>
      <c r="U151" s="845" t="n"/>
      <c r="V151" s="845" t="n"/>
      <c r="W151" s="845" t="n"/>
      <c r="X151" s="845" t="n"/>
      <c r="Y151" s="845" t="n"/>
      <c r="Z151" s="845" t="n"/>
    </row>
    <row r="152" ht="13.2" customHeight="1" s="1127">
      <c r="A152" s="845" t="n"/>
      <c r="B152" s="845" t="n"/>
      <c r="C152" s="845" t="n"/>
      <c r="D152" s="845" t="n"/>
      <c r="E152" s="845" t="n"/>
      <c r="F152" s="845" t="n"/>
      <c r="G152" s="879" t="n"/>
      <c r="H152" s="845" t="n"/>
      <c r="I152" s="845" t="n"/>
      <c r="J152" s="845" t="n"/>
      <c r="K152" s="845" t="n"/>
      <c r="L152" s="845" t="n"/>
      <c r="M152" s="845" t="n"/>
      <c r="N152" s="845" t="n"/>
      <c r="O152" s="845" t="n"/>
      <c r="P152" s="845" t="n"/>
      <c r="Q152" s="845" t="n"/>
      <c r="R152" s="845" t="n"/>
      <c r="S152" s="845" t="n"/>
      <c r="T152" s="845" t="n"/>
      <c r="U152" s="845" t="n"/>
      <c r="V152" s="845" t="n"/>
      <c r="W152" s="845" t="n"/>
      <c r="X152" s="845" t="n"/>
      <c r="Y152" s="845" t="n"/>
      <c r="Z152" s="845" t="n"/>
    </row>
    <row r="153" ht="13.2" customHeight="1" s="1127">
      <c r="A153" s="845" t="n"/>
      <c r="B153" s="845" t="n"/>
      <c r="C153" s="845" t="n"/>
      <c r="D153" s="845" t="n"/>
      <c r="E153" s="845" t="n"/>
      <c r="F153" s="845" t="n"/>
      <c r="G153" s="879" t="n"/>
      <c r="H153" s="845" t="n"/>
      <c r="I153" s="845" t="n"/>
      <c r="J153" s="845" t="n"/>
      <c r="K153" s="845" t="n"/>
      <c r="L153" s="845" t="n"/>
      <c r="M153" s="845" t="n"/>
      <c r="N153" s="845" t="n"/>
      <c r="O153" s="845" t="n"/>
      <c r="P153" s="845" t="n"/>
      <c r="Q153" s="845" t="n"/>
      <c r="R153" s="845" t="n"/>
      <c r="S153" s="845" t="n"/>
      <c r="T153" s="845" t="n"/>
      <c r="U153" s="845" t="n"/>
      <c r="V153" s="845" t="n"/>
      <c r="W153" s="845" t="n"/>
      <c r="X153" s="845" t="n"/>
      <c r="Y153" s="845" t="n"/>
      <c r="Z153" s="845" t="n"/>
    </row>
    <row r="154" ht="13.2" customHeight="1" s="1127">
      <c r="A154" s="845" t="n"/>
      <c r="B154" s="845" t="n"/>
      <c r="C154" s="845" t="n"/>
      <c r="D154" s="845" t="n"/>
      <c r="E154" s="845" t="n"/>
      <c r="F154" s="845" t="n"/>
      <c r="G154" s="879" t="n"/>
      <c r="H154" s="845" t="n"/>
      <c r="I154" s="845" t="n"/>
      <c r="J154" s="845" t="n"/>
      <c r="K154" s="845" t="n"/>
      <c r="L154" s="845" t="n"/>
      <c r="M154" s="845" t="n"/>
      <c r="N154" s="845" t="n"/>
      <c r="O154" s="845" t="n"/>
      <c r="P154" s="845" t="n"/>
      <c r="Q154" s="845" t="n"/>
      <c r="R154" s="845" t="n"/>
      <c r="S154" s="845" t="n"/>
      <c r="T154" s="845" t="n"/>
      <c r="U154" s="845" t="n"/>
      <c r="V154" s="845" t="n"/>
      <c r="W154" s="845" t="n"/>
      <c r="X154" s="845" t="n"/>
      <c r="Y154" s="845" t="n"/>
      <c r="Z154" s="845" t="n"/>
    </row>
    <row r="155" ht="13.2" customHeight="1" s="1127">
      <c r="A155" s="845" t="n"/>
      <c r="B155" s="845" t="n"/>
      <c r="C155" s="845" t="n"/>
      <c r="D155" s="845" t="n"/>
      <c r="E155" s="845" t="n"/>
      <c r="F155" s="845" t="n"/>
      <c r="G155" s="879" t="n"/>
      <c r="H155" s="845" t="n"/>
      <c r="I155" s="845" t="n"/>
      <c r="J155" s="845" t="n"/>
      <c r="K155" s="845" t="n"/>
      <c r="L155" s="845" t="n"/>
      <c r="M155" s="845" t="n"/>
      <c r="N155" s="845" t="n"/>
      <c r="O155" s="845" t="n"/>
      <c r="P155" s="845" t="n"/>
      <c r="Q155" s="845" t="n"/>
      <c r="R155" s="845" t="n"/>
      <c r="S155" s="845" t="n"/>
      <c r="T155" s="845" t="n"/>
      <c r="U155" s="845" t="n"/>
      <c r="V155" s="845" t="n"/>
      <c r="W155" s="845" t="n"/>
      <c r="X155" s="845" t="n"/>
      <c r="Y155" s="845" t="n"/>
      <c r="Z155" s="845" t="n"/>
    </row>
    <row r="156" ht="13.2" customHeight="1" s="1127">
      <c r="A156" s="845" t="n"/>
      <c r="B156" s="845" t="n"/>
      <c r="C156" s="845" t="n"/>
      <c r="D156" s="845" t="n"/>
      <c r="E156" s="845" t="n"/>
      <c r="F156" s="845" t="n"/>
      <c r="G156" s="879" t="n"/>
      <c r="H156" s="845" t="n"/>
      <c r="I156" s="845" t="n"/>
      <c r="J156" s="845" t="n"/>
      <c r="K156" s="845" t="n"/>
      <c r="L156" s="845" t="n"/>
      <c r="M156" s="845" t="n"/>
      <c r="N156" s="845" t="n"/>
      <c r="O156" s="845" t="n"/>
      <c r="P156" s="845" t="n"/>
      <c r="Q156" s="845" t="n"/>
      <c r="R156" s="845" t="n"/>
      <c r="S156" s="845" t="n"/>
      <c r="T156" s="845" t="n"/>
      <c r="U156" s="845" t="n"/>
      <c r="V156" s="845" t="n"/>
      <c r="W156" s="845" t="n"/>
      <c r="X156" s="845" t="n"/>
      <c r="Y156" s="845" t="n"/>
      <c r="Z156" s="845" t="n"/>
    </row>
    <row r="157" ht="13.2" customHeight="1" s="1127">
      <c r="A157" s="845" t="n"/>
      <c r="B157" s="845" t="n"/>
      <c r="C157" s="845" t="n"/>
      <c r="D157" s="845" t="n"/>
      <c r="E157" s="845" t="n"/>
      <c r="F157" s="845" t="n"/>
      <c r="G157" s="879" t="n"/>
      <c r="H157" s="845" t="n"/>
      <c r="I157" s="845" t="n"/>
      <c r="J157" s="845" t="n"/>
      <c r="K157" s="845" t="n"/>
      <c r="L157" s="845" t="n"/>
      <c r="M157" s="845" t="n"/>
      <c r="N157" s="845" t="n"/>
      <c r="O157" s="845" t="n"/>
      <c r="P157" s="845" t="n"/>
      <c r="Q157" s="845" t="n"/>
      <c r="R157" s="845" t="n"/>
      <c r="S157" s="845" t="n"/>
      <c r="T157" s="845" t="n"/>
      <c r="U157" s="845" t="n"/>
      <c r="V157" s="845" t="n"/>
      <c r="W157" s="845" t="n"/>
      <c r="X157" s="845" t="n"/>
      <c r="Y157" s="845" t="n"/>
      <c r="Z157" s="845" t="n"/>
    </row>
    <row r="158" ht="13.2" customHeight="1" s="1127">
      <c r="A158" s="845" t="n"/>
      <c r="B158" s="845" t="n"/>
      <c r="C158" s="845" t="n"/>
      <c r="D158" s="845" t="n"/>
      <c r="E158" s="845" t="n"/>
      <c r="F158" s="845" t="n"/>
      <c r="G158" s="879" t="n"/>
      <c r="H158" s="845" t="n"/>
      <c r="I158" s="845" t="n"/>
      <c r="J158" s="845" t="n"/>
      <c r="K158" s="845" t="n"/>
      <c r="L158" s="845" t="n"/>
      <c r="M158" s="845" t="n"/>
      <c r="N158" s="845" t="n"/>
      <c r="O158" s="845" t="n"/>
      <c r="P158" s="845" t="n"/>
      <c r="Q158" s="845" t="n"/>
      <c r="R158" s="845" t="n"/>
      <c r="S158" s="845" t="n"/>
      <c r="T158" s="845" t="n"/>
      <c r="U158" s="845" t="n"/>
      <c r="V158" s="845" t="n"/>
      <c r="W158" s="845" t="n"/>
      <c r="X158" s="845" t="n"/>
      <c r="Y158" s="845" t="n"/>
      <c r="Z158" s="845" t="n"/>
    </row>
    <row r="159" ht="13.2" customHeight="1" s="1127">
      <c r="A159" s="845" t="n"/>
      <c r="B159" s="845" t="n"/>
      <c r="C159" s="845" t="n"/>
      <c r="D159" s="845" t="n"/>
      <c r="E159" s="845" t="n"/>
      <c r="F159" s="845" t="n"/>
      <c r="G159" s="879" t="n"/>
      <c r="H159" s="845" t="n"/>
      <c r="I159" s="845" t="n"/>
      <c r="J159" s="845" t="n"/>
      <c r="K159" s="845" t="n"/>
      <c r="L159" s="845" t="n"/>
      <c r="M159" s="845" t="n"/>
      <c r="N159" s="845" t="n"/>
      <c r="O159" s="845" t="n"/>
      <c r="P159" s="845" t="n"/>
      <c r="Q159" s="845" t="n"/>
      <c r="R159" s="845" t="n"/>
      <c r="S159" s="845" t="n"/>
      <c r="T159" s="845" t="n"/>
      <c r="U159" s="845" t="n"/>
      <c r="V159" s="845" t="n"/>
      <c r="W159" s="845" t="n"/>
      <c r="X159" s="845" t="n"/>
      <c r="Y159" s="845" t="n"/>
      <c r="Z159" s="845" t="n"/>
    </row>
    <row r="160" ht="13.2" customHeight="1" s="1127">
      <c r="A160" s="845" t="n"/>
      <c r="B160" s="845" t="n"/>
      <c r="C160" s="845" t="n"/>
      <c r="D160" s="845" t="n"/>
      <c r="E160" s="845" t="n"/>
      <c r="F160" s="845" t="n"/>
      <c r="G160" s="879" t="n"/>
      <c r="H160" s="845" t="n"/>
      <c r="I160" s="845" t="n"/>
      <c r="J160" s="845" t="n"/>
      <c r="K160" s="845" t="n"/>
      <c r="L160" s="845" t="n"/>
      <c r="M160" s="845" t="n"/>
      <c r="N160" s="845" t="n"/>
      <c r="O160" s="845" t="n"/>
      <c r="P160" s="845" t="n"/>
      <c r="Q160" s="845" t="n"/>
      <c r="R160" s="845" t="n"/>
      <c r="S160" s="845" t="n"/>
      <c r="T160" s="845" t="n"/>
      <c r="U160" s="845" t="n"/>
      <c r="V160" s="845" t="n"/>
      <c r="W160" s="845" t="n"/>
      <c r="X160" s="845" t="n"/>
      <c r="Y160" s="845" t="n"/>
      <c r="Z160" s="845" t="n"/>
    </row>
    <row r="161" ht="13.2" customHeight="1" s="1127">
      <c r="A161" s="845" t="n"/>
      <c r="B161" s="845" t="n"/>
      <c r="C161" s="845" t="n"/>
      <c r="D161" s="845" t="n"/>
      <c r="E161" s="845" t="n"/>
      <c r="F161" s="845" t="n"/>
      <c r="G161" s="879" t="n"/>
      <c r="H161" s="845" t="n"/>
      <c r="I161" s="845" t="n"/>
      <c r="J161" s="845" t="n"/>
      <c r="K161" s="845" t="n"/>
      <c r="L161" s="845" t="n"/>
      <c r="M161" s="845" t="n"/>
      <c r="N161" s="845" t="n"/>
      <c r="O161" s="845" t="n"/>
      <c r="P161" s="845" t="n"/>
      <c r="Q161" s="845" t="n"/>
      <c r="R161" s="845" t="n"/>
      <c r="S161" s="845" t="n"/>
      <c r="T161" s="845" t="n"/>
      <c r="U161" s="845" t="n"/>
      <c r="V161" s="845" t="n"/>
      <c r="W161" s="845" t="n"/>
      <c r="X161" s="845" t="n"/>
      <c r="Y161" s="845" t="n"/>
      <c r="Z161" s="845" t="n"/>
    </row>
    <row r="162" ht="13.2" customHeight="1" s="1127">
      <c r="A162" s="845" t="n"/>
      <c r="B162" s="845" t="n"/>
      <c r="C162" s="845" t="n"/>
      <c r="D162" s="845" t="n"/>
      <c r="E162" s="845" t="n"/>
      <c r="F162" s="845" t="n"/>
      <c r="G162" s="879" t="n"/>
      <c r="H162" s="845" t="n"/>
      <c r="I162" s="845" t="n"/>
      <c r="J162" s="845" t="n"/>
      <c r="K162" s="845" t="n"/>
      <c r="L162" s="845" t="n"/>
      <c r="M162" s="845" t="n"/>
      <c r="N162" s="845" t="n"/>
      <c r="O162" s="845" t="n"/>
      <c r="P162" s="845" t="n"/>
      <c r="Q162" s="845" t="n"/>
      <c r="R162" s="845" t="n"/>
      <c r="S162" s="845" t="n"/>
      <c r="T162" s="845" t="n"/>
      <c r="U162" s="845" t="n"/>
      <c r="V162" s="845" t="n"/>
      <c r="W162" s="845" t="n"/>
      <c r="X162" s="845" t="n"/>
      <c r="Y162" s="845" t="n"/>
      <c r="Z162" s="845" t="n"/>
    </row>
    <row r="163" ht="13.2" customHeight="1" s="1127">
      <c r="A163" s="845" t="n"/>
      <c r="B163" s="845" t="n"/>
      <c r="C163" s="845" t="n"/>
      <c r="D163" s="845" t="n"/>
      <c r="E163" s="845" t="n"/>
      <c r="F163" s="845" t="n"/>
      <c r="G163" s="879" t="n"/>
      <c r="H163" s="845" t="n"/>
      <c r="I163" s="845" t="n"/>
      <c r="J163" s="845" t="n"/>
      <c r="K163" s="845" t="n"/>
      <c r="L163" s="845" t="n"/>
      <c r="M163" s="845" t="n"/>
      <c r="N163" s="845" t="n"/>
      <c r="O163" s="845" t="n"/>
      <c r="P163" s="845" t="n"/>
      <c r="Q163" s="845" t="n"/>
      <c r="R163" s="845" t="n"/>
      <c r="S163" s="845" t="n"/>
      <c r="T163" s="845" t="n"/>
      <c r="U163" s="845" t="n"/>
      <c r="V163" s="845" t="n"/>
      <c r="W163" s="845" t="n"/>
      <c r="X163" s="845" t="n"/>
      <c r="Y163" s="845" t="n"/>
      <c r="Z163" s="845" t="n"/>
    </row>
    <row r="164" ht="13.2" customHeight="1" s="1127">
      <c r="A164" s="845" t="n"/>
      <c r="B164" s="845" t="n"/>
      <c r="C164" s="845" t="n"/>
      <c r="D164" s="845" t="n"/>
      <c r="E164" s="845" t="n"/>
      <c r="F164" s="845" t="n"/>
      <c r="G164" s="879" t="n"/>
      <c r="H164" s="845" t="n"/>
      <c r="I164" s="845" t="n"/>
      <c r="J164" s="845" t="n"/>
      <c r="K164" s="845" t="n"/>
      <c r="L164" s="845" t="n"/>
      <c r="M164" s="845" t="n"/>
      <c r="N164" s="845" t="n"/>
      <c r="O164" s="845" t="n"/>
      <c r="P164" s="845" t="n"/>
      <c r="Q164" s="845" t="n"/>
      <c r="R164" s="845" t="n"/>
      <c r="S164" s="845" t="n"/>
      <c r="T164" s="845" t="n"/>
      <c r="U164" s="845" t="n"/>
      <c r="V164" s="845" t="n"/>
      <c r="W164" s="845" t="n"/>
      <c r="X164" s="845" t="n"/>
      <c r="Y164" s="845" t="n"/>
      <c r="Z164" s="845" t="n"/>
    </row>
    <row r="165" ht="13.2" customHeight="1" s="1127">
      <c r="A165" s="845" t="n"/>
      <c r="B165" s="845" t="n"/>
      <c r="C165" s="845" t="n"/>
      <c r="D165" s="845" t="n"/>
      <c r="E165" s="845" t="n"/>
      <c r="F165" s="845" t="n"/>
      <c r="G165" s="879" t="n"/>
      <c r="H165" s="845" t="n"/>
      <c r="I165" s="845" t="n"/>
      <c r="J165" s="845" t="n"/>
      <c r="K165" s="845" t="n"/>
      <c r="L165" s="845" t="n"/>
      <c r="M165" s="845" t="n"/>
      <c r="N165" s="845" t="n"/>
      <c r="O165" s="845" t="n"/>
      <c r="P165" s="845" t="n"/>
      <c r="Q165" s="845" t="n"/>
      <c r="R165" s="845" t="n"/>
      <c r="S165" s="845" t="n"/>
      <c r="T165" s="845" t="n"/>
      <c r="U165" s="845" t="n"/>
      <c r="V165" s="845" t="n"/>
      <c r="W165" s="845" t="n"/>
      <c r="X165" s="845" t="n"/>
      <c r="Y165" s="845" t="n"/>
      <c r="Z165" s="845" t="n"/>
    </row>
    <row r="166" ht="13.2" customHeight="1" s="1127">
      <c r="A166" s="845" t="n"/>
      <c r="B166" s="845" t="n"/>
      <c r="C166" s="845" t="n"/>
      <c r="D166" s="845" t="n"/>
      <c r="E166" s="845" t="n"/>
      <c r="F166" s="845" t="n"/>
      <c r="G166" s="879" t="n"/>
      <c r="H166" s="845" t="n"/>
      <c r="I166" s="845" t="n"/>
      <c r="J166" s="845" t="n"/>
      <c r="K166" s="845" t="n"/>
      <c r="L166" s="845" t="n"/>
      <c r="M166" s="845" t="n"/>
      <c r="N166" s="845" t="n"/>
      <c r="O166" s="845" t="n"/>
      <c r="P166" s="845" t="n"/>
      <c r="Q166" s="845" t="n"/>
      <c r="R166" s="845" t="n"/>
      <c r="S166" s="845" t="n"/>
      <c r="T166" s="845" t="n"/>
      <c r="U166" s="845" t="n"/>
      <c r="V166" s="845" t="n"/>
      <c r="W166" s="845" t="n"/>
      <c r="X166" s="845" t="n"/>
      <c r="Y166" s="845" t="n"/>
      <c r="Z166" s="845" t="n"/>
    </row>
    <row r="167" ht="13.2" customHeight="1" s="1127">
      <c r="A167" s="845" t="n"/>
      <c r="B167" s="845" t="n"/>
      <c r="C167" s="845" t="n"/>
      <c r="D167" s="845" t="n"/>
      <c r="E167" s="845" t="n"/>
      <c r="F167" s="845" t="n"/>
      <c r="G167" s="879" t="n"/>
      <c r="H167" s="845" t="n"/>
      <c r="I167" s="845" t="n"/>
      <c r="J167" s="845" t="n"/>
      <c r="K167" s="845" t="n"/>
      <c r="L167" s="845" t="n"/>
      <c r="M167" s="845" t="n"/>
      <c r="N167" s="845" t="n"/>
      <c r="O167" s="845" t="n"/>
      <c r="P167" s="845" t="n"/>
      <c r="Q167" s="845" t="n"/>
      <c r="R167" s="845" t="n"/>
      <c r="S167" s="845" t="n"/>
      <c r="T167" s="845" t="n"/>
      <c r="U167" s="845" t="n"/>
      <c r="V167" s="845" t="n"/>
      <c r="W167" s="845" t="n"/>
      <c r="X167" s="845" t="n"/>
      <c r="Y167" s="845" t="n"/>
      <c r="Z167" s="845" t="n"/>
    </row>
    <row r="168" ht="13.2" customHeight="1" s="1127">
      <c r="A168" s="845" t="n"/>
      <c r="B168" s="845" t="n"/>
      <c r="C168" s="845" t="n"/>
      <c r="D168" s="845" t="n"/>
      <c r="E168" s="845" t="n"/>
      <c r="F168" s="845" t="n"/>
      <c r="G168" s="879" t="n"/>
      <c r="H168" s="845" t="n"/>
      <c r="I168" s="845" t="n"/>
      <c r="J168" s="845" t="n"/>
      <c r="K168" s="845" t="n"/>
      <c r="L168" s="845" t="n"/>
      <c r="M168" s="845" t="n"/>
      <c r="N168" s="845" t="n"/>
      <c r="O168" s="845" t="n"/>
      <c r="P168" s="845" t="n"/>
      <c r="Q168" s="845" t="n"/>
      <c r="R168" s="845" t="n"/>
      <c r="S168" s="845" t="n"/>
      <c r="T168" s="845" t="n"/>
      <c r="U168" s="845" t="n"/>
      <c r="V168" s="845" t="n"/>
      <c r="W168" s="845" t="n"/>
      <c r="X168" s="845" t="n"/>
      <c r="Y168" s="845" t="n"/>
      <c r="Z168" s="845" t="n"/>
    </row>
    <row r="169" ht="13.2" customHeight="1" s="1127">
      <c r="A169" s="845" t="n"/>
      <c r="B169" s="845" t="n"/>
      <c r="C169" s="845" t="n"/>
      <c r="D169" s="845" t="n"/>
      <c r="E169" s="845" t="n"/>
      <c r="F169" s="845" t="n"/>
      <c r="G169" s="879" t="n"/>
      <c r="H169" s="845" t="n"/>
      <c r="I169" s="845" t="n"/>
      <c r="J169" s="845" t="n"/>
      <c r="K169" s="845" t="n"/>
      <c r="L169" s="845" t="n"/>
      <c r="M169" s="845" t="n"/>
      <c r="N169" s="845" t="n"/>
      <c r="O169" s="845" t="n"/>
      <c r="P169" s="845" t="n"/>
      <c r="Q169" s="845" t="n"/>
      <c r="R169" s="845" t="n"/>
      <c r="S169" s="845" t="n"/>
      <c r="T169" s="845" t="n"/>
      <c r="U169" s="845" t="n"/>
      <c r="V169" s="845" t="n"/>
      <c r="W169" s="845" t="n"/>
      <c r="X169" s="845" t="n"/>
      <c r="Y169" s="845" t="n"/>
      <c r="Z169" s="845" t="n"/>
    </row>
    <row r="170" ht="13.2" customHeight="1" s="1127">
      <c r="A170" s="845" t="n"/>
      <c r="B170" s="845" t="n"/>
      <c r="C170" s="845" t="n"/>
      <c r="D170" s="845" t="n"/>
      <c r="E170" s="845" t="n"/>
      <c r="F170" s="845" t="n"/>
      <c r="G170" s="879" t="n"/>
      <c r="H170" s="845" t="n"/>
      <c r="I170" s="845" t="n"/>
      <c r="J170" s="845" t="n"/>
      <c r="K170" s="845" t="n"/>
      <c r="L170" s="845" t="n"/>
      <c r="M170" s="845" t="n"/>
      <c r="N170" s="845" t="n"/>
      <c r="O170" s="845" t="n"/>
      <c r="P170" s="845" t="n"/>
      <c r="Q170" s="845" t="n"/>
      <c r="R170" s="845" t="n"/>
      <c r="S170" s="845" t="n"/>
      <c r="T170" s="845" t="n"/>
      <c r="U170" s="845" t="n"/>
      <c r="V170" s="845" t="n"/>
      <c r="W170" s="845" t="n"/>
      <c r="X170" s="845" t="n"/>
      <c r="Y170" s="845" t="n"/>
      <c r="Z170" s="845" t="n"/>
    </row>
    <row r="171" ht="13.2" customHeight="1" s="1127">
      <c r="A171" s="845" t="n"/>
      <c r="B171" s="845" t="n"/>
      <c r="C171" s="845" t="n"/>
      <c r="D171" s="845" t="n"/>
      <c r="E171" s="845" t="n"/>
      <c r="F171" s="845" t="n"/>
      <c r="G171" s="879" t="n"/>
      <c r="H171" s="845" t="n"/>
      <c r="I171" s="845" t="n"/>
      <c r="J171" s="845" t="n"/>
      <c r="K171" s="845" t="n"/>
      <c r="L171" s="845" t="n"/>
      <c r="M171" s="845" t="n"/>
      <c r="N171" s="845" t="n"/>
      <c r="O171" s="845" t="n"/>
      <c r="P171" s="845" t="n"/>
      <c r="Q171" s="845" t="n"/>
      <c r="R171" s="845" t="n"/>
      <c r="S171" s="845" t="n"/>
      <c r="T171" s="845" t="n"/>
      <c r="U171" s="845" t="n"/>
      <c r="V171" s="845" t="n"/>
      <c r="W171" s="845" t="n"/>
      <c r="X171" s="845" t="n"/>
      <c r="Y171" s="845" t="n"/>
      <c r="Z171" s="845" t="n"/>
    </row>
    <row r="172" ht="13.2" customHeight="1" s="1127">
      <c r="A172" s="845" t="n"/>
      <c r="B172" s="845" t="n"/>
      <c r="C172" s="845" t="n"/>
      <c r="D172" s="845" t="n"/>
      <c r="E172" s="845" t="n"/>
      <c r="F172" s="845" t="n"/>
      <c r="G172" s="879" t="n"/>
      <c r="H172" s="845" t="n"/>
      <c r="I172" s="845" t="n"/>
      <c r="J172" s="845" t="n"/>
      <c r="K172" s="845" t="n"/>
      <c r="L172" s="845" t="n"/>
      <c r="M172" s="845" t="n"/>
      <c r="N172" s="845" t="n"/>
      <c r="O172" s="845" t="n"/>
      <c r="P172" s="845" t="n"/>
      <c r="Q172" s="845" t="n"/>
      <c r="R172" s="845" t="n"/>
      <c r="S172" s="845" t="n"/>
      <c r="T172" s="845" t="n"/>
      <c r="U172" s="845" t="n"/>
      <c r="V172" s="845" t="n"/>
      <c r="W172" s="845" t="n"/>
      <c r="X172" s="845" t="n"/>
      <c r="Y172" s="845" t="n"/>
      <c r="Z172" s="845" t="n"/>
    </row>
    <row r="173" ht="13.2" customHeight="1" s="1127">
      <c r="A173" s="845" t="n"/>
      <c r="B173" s="845" t="n"/>
      <c r="C173" s="845" t="n"/>
      <c r="D173" s="845" t="n"/>
      <c r="E173" s="845" t="n"/>
      <c r="F173" s="845" t="n"/>
      <c r="G173" s="879" t="n"/>
      <c r="H173" s="845" t="n"/>
      <c r="I173" s="845" t="n"/>
      <c r="J173" s="845" t="n"/>
      <c r="K173" s="845" t="n"/>
      <c r="L173" s="845" t="n"/>
      <c r="M173" s="845" t="n"/>
      <c r="N173" s="845" t="n"/>
      <c r="O173" s="845" t="n"/>
      <c r="P173" s="845" t="n"/>
      <c r="Q173" s="845" t="n"/>
      <c r="R173" s="845" t="n"/>
      <c r="S173" s="845" t="n"/>
      <c r="T173" s="845" t="n"/>
      <c r="U173" s="845" t="n"/>
      <c r="V173" s="845" t="n"/>
      <c r="W173" s="845" t="n"/>
      <c r="X173" s="845" t="n"/>
      <c r="Y173" s="845" t="n"/>
      <c r="Z173" s="845" t="n"/>
    </row>
    <row r="174" ht="13.2" customHeight="1" s="1127">
      <c r="A174" s="845" t="n"/>
      <c r="B174" s="845" t="n"/>
      <c r="C174" s="845" t="n"/>
      <c r="D174" s="845" t="n"/>
      <c r="E174" s="845" t="n"/>
      <c r="F174" s="845" t="n"/>
      <c r="G174" s="879" t="n"/>
      <c r="H174" s="845" t="n"/>
      <c r="I174" s="845" t="n"/>
      <c r="J174" s="845" t="n"/>
      <c r="K174" s="845" t="n"/>
      <c r="L174" s="845" t="n"/>
      <c r="M174" s="845" t="n"/>
      <c r="N174" s="845" t="n"/>
      <c r="O174" s="845" t="n"/>
      <c r="P174" s="845" t="n"/>
      <c r="Q174" s="845" t="n"/>
      <c r="R174" s="845" t="n"/>
      <c r="S174" s="845" t="n"/>
      <c r="T174" s="845" t="n"/>
      <c r="U174" s="845" t="n"/>
      <c r="V174" s="845" t="n"/>
      <c r="W174" s="845" t="n"/>
      <c r="X174" s="845" t="n"/>
      <c r="Y174" s="845" t="n"/>
      <c r="Z174" s="845" t="n"/>
    </row>
    <row r="175" ht="13.2" customHeight="1" s="1127">
      <c r="A175" s="845" t="n"/>
      <c r="B175" s="845" t="n"/>
      <c r="C175" s="845" t="n"/>
      <c r="D175" s="845" t="n"/>
      <c r="E175" s="845" t="n"/>
      <c r="F175" s="845" t="n"/>
      <c r="G175" s="879" t="n"/>
      <c r="H175" s="845" t="n"/>
      <c r="I175" s="845" t="n"/>
      <c r="J175" s="845" t="n"/>
      <c r="K175" s="845" t="n"/>
      <c r="L175" s="845" t="n"/>
      <c r="M175" s="845" t="n"/>
      <c r="N175" s="845" t="n"/>
      <c r="O175" s="845" t="n"/>
      <c r="P175" s="845" t="n"/>
      <c r="Q175" s="845" t="n"/>
      <c r="R175" s="845" t="n"/>
      <c r="S175" s="845" t="n"/>
      <c r="T175" s="845" t="n"/>
      <c r="U175" s="845" t="n"/>
      <c r="V175" s="845" t="n"/>
      <c r="W175" s="845" t="n"/>
      <c r="X175" s="845" t="n"/>
      <c r="Y175" s="845" t="n"/>
      <c r="Z175" s="845" t="n"/>
    </row>
    <row r="176" ht="13.2" customHeight="1" s="1127">
      <c r="A176" s="845" t="n"/>
      <c r="B176" s="845" t="n"/>
      <c r="C176" s="845" t="n"/>
      <c r="D176" s="845" t="n"/>
      <c r="E176" s="845" t="n"/>
      <c r="F176" s="845" t="n"/>
      <c r="G176" s="879" t="n"/>
      <c r="H176" s="845" t="n"/>
      <c r="I176" s="845" t="n"/>
      <c r="J176" s="845" t="n"/>
      <c r="K176" s="845" t="n"/>
      <c r="L176" s="845" t="n"/>
      <c r="M176" s="845" t="n"/>
      <c r="N176" s="845" t="n"/>
      <c r="O176" s="845" t="n"/>
      <c r="P176" s="845" t="n"/>
      <c r="Q176" s="845" t="n"/>
      <c r="R176" s="845" t="n"/>
      <c r="S176" s="845" t="n"/>
      <c r="T176" s="845" t="n"/>
      <c r="U176" s="845" t="n"/>
      <c r="V176" s="845" t="n"/>
      <c r="W176" s="845" t="n"/>
      <c r="X176" s="845" t="n"/>
      <c r="Y176" s="845" t="n"/>
      <c r="Z176" s="845" t="n"/>
    </row>
    <row r="177" ht="13.2" customHeight="1" s="1127">
      <c r="A177" s="845" t="n"/>
      <c r="B177" s="845" t="n"/>
      <c r="C177" s="845" t="n"/>
      <c r="D177" s="845" t="n"/>
      <c r="E177" s="845" t="n"/>
      <c r="F177" s="845" t="n"/>
      <c r="G177" s="879" t="n"/>
      <c r="H177" s="845" t="n"/>
      <c r="I177" s="845" t="n"/>
      <c r="J177" s="845" t="n"/>
      <c r="K177" s="845" t="n"/>
      <c r="L177" s="845" t="n"/>
      <c r="M177" s="845" t="n"/>
      <c r="N177" s="845" t="n"/>
      <c r="O177" s="845" t="n"/>
      <c r="P177" s="845" t="n"/>
      <c r="Q177" s="845" t="n"/>
      <c r="R177" s="845" t="n"/>
      <c r="S177" s="845" t="n"/>
      <c r="T177" s="845" t="n"/>
      <c r="U177" s="845" t="n"/>
      <c r="V177" s="845" t="n"/>
      <c r="W177" s="845" t="n"/>
      <c r="X177" s="845" t="n"/>
      <c r="Y177" s="845" t="n"/>
      <c r="Z177" s="845" t="n"/>
    </row>
    <row r="178" ht="13.2" customHeight="1" s="1127">
      <c r="A178" s="845" t="n"/>
      <c r="B178" s="845" t="n"/>
      <c r="C178" s="845" t="n"/>
      <c r="D178" s="845" t="n"/>
      <c r="E178" s="845" t="n"/>
      <c r="F178" s="845" t="n"/>
      <c r="G178" s="879" t="n"/>
      <c r="H178" s="845" t="n"/>
      <c r="I178" s="845" t="n"/>
      <c r="J178" s="845" t="n"/>
      <c r="K178" s="845" t="n"/>
      <c r="L178" s="845" t="n"/>
      <c r="M178" s="845" t="n"/>
      <c r="N178" s="845" t="n"/>
      <c r="O178" s="845" t="n"/>
      <c r="P178" s="845" t="n"/>
      <c r="Q178" s="845" t="n"/>
      <c r="R178" s="845" t="n"/>
      <c r="S178" s="845" t="n"/>
      <c r="T178" s="845" t="n"/>
      <c r="U178" s="845" t="n"/>
      <c r="V178" s="845" t="n"/>
      <c r="W178" s="845" t="n"/>
      <c r="X178" s="845" t="n"/>
      <c r="Y178" s="845" t="n"/>
      <c r="Z178" s="845" t="n"/>
    </row>
    <row r="179" ht="13.2" customHeight="1" s="1127">
      <c r="A179" s="845" t="n"/>
      <c r="B179" s="845" t="n"/>
      <c r="C179" s="845" t="n"/>
      <c r="D179" s="845" t="n"/>
      <c r="E179" s="845" t="n"/>
      <c r="F179" s="845" t="n"/>
      <c r="G179" s="879" t="n"/>
      <c r="H179" s="845" t="n"/>
      <c r="I179" s="845" t="n"/>
      <c r="J179" s="845" t="n"/>
      <c r="K179" s="845" t="n"/>
      <c r="L179" s="845" t="n"/>
      <c r="M179" s="845" t="n"/>
      <c r="N179" s="845" t="n"/>
      <c r="O179" s="845" t="n"/>
      <c r="P179" s="845" t="n"/>
      <c r="Q179" s="845" t="n"/>
      <c r="R179" s="845" t="n"/>
      <c r="S179" s="845" t="n"/>
      <c r="T179" s="845" t="n"/>
      <c r="U179" s="845" t="n"/>
      <c r="V179" s="845" t="n"/>
      <c r="W179" s="845" t="n"/>
      <c r="X179" s="845" t="n"/>
      <c r="Y179" s="845" t="n"/>
      <c r="Z179" s="845" t="n"/>
    </row>
    <row r="180" ht="13.2" customHeight="1" s="1127">
      <c r="A180" s="845" t="n"/>
      <c r="B180" s="845" t="n"/>
      <c r="C180" s="845" t="n"/>
      <c r="D180" s="845" t="n"/>
      <c r="E180" s="845" t="n"/>
      <c r="F180" s="845" t="n"/>
      <c r="G180" s="879" t="n"/>
      <c r="H180" s="845" t="n"/>
      <c r="I180" s="845" t="n"/>
      <c r="J180" s="845" t="n"/>
      <c r="K180" s="845" t="n"/>
      <c r="L180" s="845" t="n"/>
      <c r="M180" s="845" t="n"/>
      <c r="N180" s="845" t="n"/>
      <c r="O180" s="845" t="n"/>
      <c r="P180" s="845" t="n"/>
      <c r="Q180" s="845" t="n"/>
      <c r="R180" s="845" t="n"/>
      <c r="S180" s="845" t="n"/>
      <c r="T180" s="845" t="n"/>
      <c r="U180" s="845" t="n"/>
      <c r="V180" s="845" t="n"/>
      <c r="W180" s="845" t="n"/>
      <c r="X180" s="845" t="n"/>
      <c r="Y180" s="845" t="n"/>
      <c r="Z180" s="845" t="n"/>
    </row>
    <row r="181" ht="13.2" customHeight="1" s="1127">
      <c r="A181" s="845" t="n"/>
      <c r="B181" s="845" t="n"/>
      <c r="C181" s="845" t="n"/>
      <c r="D181" s="845" t="n"/>
      <c r="E181" s="845" t="n"/>
      <c r="F181" s="845" t="n"/>
      <c r="G181" s="879" t="n"/>
      <c r="H181" s="845" t="n"/>
      <c r="I181" s="845" t="n"/>
      <c r="J181" s="845" t="n"/>
      <c r="K181" s="845" t="n"/>
      <c r="L181" s="845" t="n"/>
      <c r="M181" s="845" t="n"/>
      <c r="N181" s="845" t="n"/>
      <c r="O181" s="845" t="n"/>
      <c r="P181" s="845" t="n"/>
      <c r="Q181" s="845" t="n"/>
      <c r="R181" s="845" t="n"/>
      <c r="S181" s="845" t="n"/>
      <c r="T181" s="845" t="n"/>
      <c r="U181" s="845" t="n"/>
      <c r="V181" s="845" t="n"/>
      <c r="W181" s="845" t="n"/>
      <c r="X181" s="845" t="n"/>
      <c r="Y181" s="845" t="n"/>
      <c r="Z181" s="845" t="n"/>
    </row>
    <row r="182" ht="13.2" customHeight="1" s="1127">
      <c r="A182" s="845" t="n"/>
      <c r="B182" s="845" t="n"/>
      <c r="C182" s="845" t="n"/>
      <c r="D182" s="845" t="n"/>
      <c r="E182" s="845" t="n"/>
      <c r="F182" s="845" t="n"/>
      <c r="G182" s="879" t="n"/>
      <c r="H182" s="845" t="n"/>
      <c r="I182" s="845" t="n"/>
      <c r="J182" s="845" t="n"/>
      <c r="K182" s="845" t="n"/>
      <c r="L182" s="845" t="n"/>
      <c r="M182" s="845" t="n"/>
      <c r="N182" s="845" t="n"/>
      <c r="O182" s="845" t="n"/>
      <c r="P182" s="845" t="n"/>
      <c r="Q182" s="845" t="n"/>
      <c r="R182" s="845" t="n"/>
      <c r="S182" s="845" t="n"/>
      <c r="T182" s="845" t="n"/>
      <c r="U182" s="845" t="n"/>
      <c r="V182" s="845" t="n"/>
      <c r="W182" s="845" t="n"/>
      <c r="X182" s="845" t="n"/>
      <c r="Y182" s="845" t="n"/>
      <c r="Z182" s="845" t="n"/>
    </row>
    <row r="183" ht="13.2" customHeight="1" s="1127">
      <c r="A183" s="845" t="n"/>
      <c r="B183" s="845" t="n"/>
      <c r="C183" s="845" t="n"/>
      <c r="D183" s="845" t="n"/>
      <c r="E183" s="845" t="n"/>
      <c r="F183" s="845" t="n"/>
      <c r="G183" s="879" t="n"/>
      <c r="H183" s="845" t="n"/>
      <c r="I183" s="845" t="n"/>
      <c r="J183" s="845" t="n"/>
      <c r="K183" s="845" t="n"/>
      <c r="L183" s="845" t="n"/>
      <c r="M183" s="845" t="n"/>
      <c r="N183" s="845" t="n"/>
      <c r="O183" s="845" t="n"/>
      <c r="P183" s="845" t="n"/>
      <c r="Q183" s="845" t="n"/>
      <c r="R183" s="845" t="n"/>
      <c r="S183" s="845" t="n"/>
      <c r="T183" s="845" t="n"/>
      <c r="U183" s="845" t="n"/>
      <c r="V183" s="845" t="n"/>
      <c r="W183" s="845" t="n"/>
      <c r="X183" s="845" t="n"/>
      <c r="Y183" s="845" t="n"/>
      <c r="Z183" s="845" t="n"/>
    </row>
    <row r="184" ht="13.2" customHeight="1" s="1127">
      <c r="A184" s="845" t="n"/>
      <c r="B184" s="845" t="n"/>
      <c r="C184" s="845" t="n"/>
      <c r="D184" s="845" t="n"/>
      <c r="E184" s="845" t="n"/>
      <c r="F184" s="845" t="n"/>
      <c r="G184" s="879" t="n"/>
      <c r="H184" s="845" t="n"/>
      <c r="I184" s="845" t="n"/>
      <c r="J184" s="845" t="n"/>
      <c r="K184" s="845" t="n"/>
      <c r="L184" s="845" t="n"/>
      <c r="M184" s="845" t="n"/>
      <c r="N184" s="845" t="n"/>
      <c r="O184" s="845" t="n"/>
      <c r="P184" s="845" t="n"/>
      <c r="Q184" s="845" t="n"/>
      <c r="R184" s="845" t="n"/>
      <c r="S184" s="845" t="n"/>
      <c r="T184" s="845" t="n"/>
      <c r="U184" s="845" t="n"/>
      <c r="V184" s="845" t="n"/>
      <c r="W184" s="845" t="n"/>
      <c r="X184" s="845" t="n"/>
      <c r="Y184" s="845" t="n"/>
      <c r="Z184" s="845" t="n"/>
    </row>
    <row r="185" ht="13.2" customHeight="1" s="1127">
      <c r="A185" s="845" t="n"/>
      <c r="B185" s="845" t="n"/>
      <c r="C185" s="845" t="n"/>
      <c r="D185" s="845" t="n"/>
      <c r="E185" s="845" t="n"/>
      <c r="F185" s="845" t="n"/>
      <c r="G185" s="879" t="n"/>
      <c r="H185" s="845" t="n"/>
      <c r="I185" s="845" t="n"/>
      <c r="J185" s="845" t="n"/>
      <c r="K185" s="845" t="n"/>
      <c r="L185" s="845" t="n"/>
      <c r="M185" s="845" t="n"/>
      <c r="N185" s="845" t="n"/>
      <c r="O185" s="845" t="n"/>
      <c r="P185" s="845" t="n"/>
      <c r="Q185" s="845" t="n"/>
      <c r="R185" s="845" t="n"/>
      <c r="S185" s="845" t="n"/>
      <c r="T185" s="845" t="n"/>
      <c r="U185" s="845" t="n"/>
      <c r="V185" s="845" t="n"/>
      <c r="W185" s="845" t="n"/>
      <c r="X185" s="845" t="n"/>
      <c r="Y185" s="845" t="n"/>
      <c r="Z185" s="845" t="n"/>
    </row>
    <row r="186" ht="13.2" customHeight="1" s="1127">
      <c r="A186" s="845" t="n"/>
      <c r="B186" s="845" t="n"/>
      <c r="C186" s="845" t="n"/>
      <c r="D186" s="845" t="n"/>
      <c r="E186" s="845" t="n"/>
      <c r="F186" s="845" t="n"/>
      <c r="G186" s="879" t="n"/>
      <c r="H186" s="845" t="n"/>
      <c r="I186" s="845" t="n"/>
      <c r="J186" s="845" t="n"/>
      <c r="K186" s="845" t="n"/>
      <c r="L186" s="845" t="n"/>
      <c r="M186" s="845" t="n"/>
      <c r="N186" s="845" t="n"/>
      <c r="O186" s="845" t="n"/>
      <c r="P186" s="845" t="n"/>
      <c r="Q186" s="845" t="n"/>
      <c r="R186" s="845" t="n"/>
      <c r="S186" s="845" t="n"/>
      <c r="T186" s="845" t="n"/>
      <c r="U186" s="845" t="n"/>
      <c r="V186" s="845" t="n"/>
      <c r="W186" s="845" t="n"/>
      <c r="X186" s="845" t="n"/>
      <c r="Y186" s="845" t="n"/>
      <c r="Z186" s="845" t="n"/>
    </row>
    <row r="187" ht="13.2" customHeight="1" s="1127">
      <c r="A187" s="845" t="n"/>
      <c r="B187" s="845" t="n"/>
      <c r="C187" s="845" t="n"/>
      <c r="D187" s="845" t="n"/>
      <c r="E187" s="845" t="n"/>
      <c r="F187" s="845" t="n"/>
      <c r="G187" s="879" t="n"/>
      <c r="H187" s="845" t="n"/>
      <c r="I187" s="845" t="n"/>
      <c r="J187" s="845" t="n"/>
      <c r="K187" s="845" t="n"/>
      <c r="L187" s="845" t="n"/>
      <c r="M187" s="845" t="n"/>
      <c r="N187" s="845" t="n"/>
      <c r="O187" s="845" t="n"/>
      <c r="P187" s="845" t="n"/>
      <c r="Q187" s="845" t="n"/>
      <c r="R187" s="845" t="n"/>
      <c r="S187" s="845" t="n"/>
      <c r="T187" s="845" t="n"/>
      <c r="U187" s="845" t="n"/>
      <c r="V187" s="845" t="n"/>
      <c r="W187" s="845" t="n"/>
      <c r="X187" s="845" t="n"/>
      <c r="Y187" s="845" t="n"/>
      <c r="Z187" s="845" t="n"/>
    </row>
    <row r="188" ht="13.2" customHeight="1" s="1127">
      <c r="A188" s="845" t="n"/>
      <c r="B188" s="845" t="n"/>
      <c r="C188" s="845" t="n"/>
      <c r="D188" s="845" t="n"/>
      <c r="E188" s="845" t="n"/>
      <c r="F188" s="845" t="n"/>
      <c r="G188" s="879" t="n"/>
      <c r="H188" s="845" t="n"/>
      <c r="I188" s="845" t="n"/>
      <c r="J188" s="845" t="n"/>
      <c r="K188" s="845" t="n"/>
      <c r="L188" s="845" t="n"/>
      <c r="M188" s="845" t="n"/>
      <c r="N188" s="845" t="n"/>
      <c r="O188" s="845" t="n"/>
      <c r="P188" s="845" t="n"/>
      <c r="Q188" s="845" t="n"/>
      <c r="R188" s="845" t="n"/>
      <c r="S188" s="845" t="n"/>
      <c r="T188" s="845" t="n"/>
      <c r="U188" s="845" t="n"/>
      <c r="V188" s="845" t="n"/>
      <c r="W188" s="845" t="n"/>
      <c r="X188" s="845" t="n"/>
      <c r="Y188" s="845" t="n"/>
      <c r="Z188" s="845" t="n"/>
    </row>
    <row r="189" ht="13.2" customHeight="1" s="1127">
      <c r="A189" s="845" t="n"/>
      <c r="B189" s="845" t="n"/>
      <c r="C189" s="845" t="n"/>
      <c r="D189" s="845" t="n"/>
      <c r="E189" s="845" t="n"/>
      <c r="F189" s="845" t="n"/>
      <c r="G189" s="879" t="n"/>
      <c r="H189" s="845" t="n"/>
      <c r="I189" s="845" t="n"/>
      <c r="J189" s="845" t="n"/>
      <c r="K189" s="845" t="n"/>
      <c r="L189" s="845" t="n"/>
      <c r="M189" s="845" t="n"/>
      <c r="N189" s="845" t="n"/>
      <c r="O189" s="845" t="n"/>
      <c r="P189" s="845" t="n"/>
      <c r="Q189" s="845" t="n"/>
      <c r="R189" s="845" t="n"/>
      <c r="S189" s="845" t="n"/>
      <c r="T189" s="845" t="n"/>
      <c r="U189" s="845" t="n"/>
      <c r="V189" s="845" t="n"/>
      <c r="W189" s="845" t="n"/>
      <c r="X189" s="845" t="n"/>
      <c r="Y189" s="845" t="n"/>
      <c r="Z189" s="845" t="n"/>
    </row>
    <row r="190" ht="13.2" customHeight="1" s="1127">
      <c r="A190" s="845" t="n"/>
      <c r="B190" s="845" t="n"/>
      <c r="C190" s="845" t="n"/>
      <c r="D190" s="845" t="n"/>
      <c r="E190" s="845" t="n"/>
      <c r="F190" s="845" t="n"/>
      <c r="G190" s="879" t="n"/>
      <c r="H190" s="845" t="n"/>
      <c r="I190" s="845" t="n"/>
      <c r="J190" s="845" t="n"/>
      <c r="K190" s="845" t="n"/>
      <c r="L190" s="845" t="n"/>
      <c r="M190" s="845" t="n"/>
      <c r="N190" s="845" t="n"/>
      <c r="O190" s="845" t="n"/>
      <c r="P190" s="845" t="n"/>
      <c r="Q190" s="845" t="n"/>
      <c r="R190" s="845" t="n"/>
      <c r="S190" s="845" t="n"/>
      <c r="T190" s="845" t="n"/>
      <c r="U190" s="845" t="n"/>
      <c r="V190" s="845" t="n"/>
      <c r="W190" s="845" t="n"/>
      <c r="X190" s="845" t="n"/>
      <c r="Y190" s="845" t="n"/>
      <c r="Z190" s="845" t="n"/>
    </row>
    <row r="191" ht="13.2" customHeight="1" s="1127">
      <c r="A191" s="845" t="n"/>
      <c r="B191" s="845" t="n"/>
      <c r="C191" s="845" t="n"/>
      <c r="D191" s="845" t="n"/>
      <c r="E191" s="845" t="n"/>
      <c r="F191" s="845" t="n"/>
      <c r="G191" s="879" t="n"/>
      <c r="H191" s="845" t="n"/>
      <c r="I191" s="845" t="n"/>
      <c r="J191" s="845" t="n"/>
      <c r="K191" s="845" t="n"/>
      <c r="L191" s="845" t="n"/>
      <c r="M191" s="845" t="n"/>
      <c r="N191" s="845" t="n"/>
      <c r="O191" s="845" t="n"/>
      <c r="P191" s="845" t="n"/>
      <c r="Q191" s="845" t="n"/>
      <c r="R191" s="845" t="n"/>
      <c r="S191" s="845" t="n"/>
      <c r="T191" s="845" t="n"/>
      <c r="U191" s="845" t="n"/>
      <c r="V191" s="845" t="n"/>
      <c r="W191" s="845" t="n"/>
      <c r="X191" s="845" t="n"/>
      <c r="Y191" s="845" t="n"/>
      <c r="Z191" s="845" t="n"/>
    </row>
    <row r="192" ht="13.2" customHeight="1" s="1127">
      <c r="A192" s="845" t="n"/>
      <c r="B192" s="845" t="n"/>
      <c r="C192" s="845" t="n"/>
      <c r="D192" s="845" t="n"/>
      <c r="E192" s="845" t="n"/>
      <c r="F192" s="845" t="n"/>
      <c r="G192" s="879" t="n"/>
      <c r="H192" s="845" t="n"/>
      <c r="I192" s="845" t="n"/>
      <c r="J192" s="845" t="n"/>
      <c r="K192" s="845" t="n"/>
      <c r="L192" s="845" t="n"/>
      <c r="M192" s="845" t="n"/>
      <c r="N192" s="845" t="n"/>
      <c r="O192" s="845" t="n"/>
      <c r="P192" s="845" t="n"/>
      <c r="Q192" s="845" t="n"/>
      <c r="R192" s="845" t="n"/>
      <c r="S192" s="845" t="n"/>
      <c r="T192" s="845" t="n"/>
      <c r="U192" s="845" t="n"/>
      <c r="V192" s="845" t="n"/>
      <c r="W192" s="845" t="n"/>
      <c r="X192" s="845" t="n"/>
      <c r="Y192" s="845" t="n"/>
      <c r="Z192" s="845" t="n"/>
    </row>
    <row r="193" ht="13.2" customHeight="1" s="1127">
      <c r="A193" s="845" t="n"/>
      <c r="B193" s="845" t="n"/>
      <c r="C193" s="845" t="n"/>
      <c r="D193" s="845" t="n"/>
      <c r="E193" s="845" t="n"/>
      <c r="F193" s="845" t="n"/>
      <c r="G193" s="879" t="n"/>
      <c r="H193" s="845" t="n"/>
      <c r="I193" s="845" t="n"/>
      <c r="J193" s="845" t="n"/>
      <c r="K193" s="845" t="n"/>
      <c r="L193" s="845" t="n"/>
      <c r="M193" s="845" t="n"/>
      <c r="N193" s="845" t="n"/>
      <c r="O193" s="845" t="n"/>
      <c r="P193" s="845" t="n"/>
      <c r="Q193" s="845" t="n"/>
      <c r="R193" s="845" t="n"/>
      <c r="S193" s="845" t="n"/>
      <c r="T193" s="845" t="n"/>
      <c r="U193" s="845" t="n"/>
      <c r="V193" s="845" t="n"/>
      <c r="W193" s="845" t="n"/>
      <c r="X193" s="845" t="n"/>
      <c r="Y193" s="845" t="n"/>
      <c r="Z193" s="845" t="n"/>
    </row>
    <row r="194" ht="13.2" customHeight="1" s="1127">
      <c r="A194" s="845" t="n"/>
      <c r="B194" s="845" t="n"/>
      <c r="C194" s="845" t="n"/>
      <c r="D194" s="845" t="n"/>
      <c r="E194" s="845" t="n"/>
      <c r="F194" s="845" t="n"/>
      <c r="G194" s="879" t="n"/>
      <c r="H194" s="845" t="n"/>
      <c r="I194" s="845" t="n"/>
      <c r="J194" s="845" t="n"/>
      <c r="K194" s="845" t="n"/>
      <c r="L194" s="845" t="n"/>
      <c r="M194" s="845" t="n"/>
      <c r="N194" s="845" t="n"/>
      <c r="O194" s="845" t="n"/>
      <c r="P194" s="845" t="n"/>
      <c r="Q194" s="845" t="n"/>
      <c r="R194" s="845" t="n"/>
      <c r="S194" s="845" t="n"/>
      <c r="T194" s="845" t="n"/>
      <c r="U194" s="845" t="n"/>
      <c r="V194" s="845" t="n"/>
      <c r="W194" s="845" t="n"/>
      <c r="X194" s="845" t="n"/>
      <c r="Y194" s="845" t="n"/>
      <c r="Z194" s="845" t="n"/>
    </row>
    <row r="195" ht="13.2" customHeight="1" s="1127">
      <c r="A195" s="845" t="n"/>
      <c r="B195" s="845" t="n"/>
      <c r="C195" s="845" t="n"/>
      <c r="D195" s="845" t="n"/>
      <c r="E195" s="845" t="n"/>
      <c r="F195" s="845" t="n"/>
      <c r="G195" s="879" t="n"/>
      <c r="H195" s="845" t="n"/>
      <c r="I195" s="845" t="n"/>
      <c r="J195" s="845" t="n"/>
      <c r="K195" s="845" t="n"/>
      <c r="L195" s="845" t="n"/>
      <c r="M195" s="845" t="n"/>
      <c r="N195" s="845" t="n"/>
      <c r="O195" s="845" t="n"/>
      <c r="P195" s="845" t="n"/>
      <c r="Q195" s="845" t="n"/>
      <c r="R195" s="845" t="n"/>
      <c r="S195" s="845" t="n"/>
      <c r="T195" s="845" t="n"/>
      <c r="U195" s="845" t="n"/>
      <c r="V195" s="845" t="n"/>
      <c r="W195" s="845" t="n"/>
      <c r="X195" s="845" t="n"/>
      <c r="Y195" s="845" t="n"/>
      <c r="Z195" s="845" t="n"/>
    </row>
    <row r="196" ht="13.2" customHeight="1" s="1127">
      <c r="A196" s="845" t="n"/>
      <c r="B196" s="845" t="n"/>
      <c r="C196" s="845" t="n"/>
      <c r="D196" s="845" t="n"/>
      <c r="E196" s="845" t="n"/>
      <c r="F196" s="845" t="n"/>
      <c r="G196" s="879" t="n"/>
      <c r="H196" s="845" t="n"/>
      <c r="I196" s="845" t="n"/>
      <c r="J196" s="845" t="n"/>
      <c r="K196" s="845" t="n"/>
      <c r="L196" s="845" t="n"/>
      <c r="M196" s="845" t="n"/>
      <c r="N196" s="845" t="n"/>
      <c r="O196" s="845" t="n"/>
      <c r="P196" s="845" t="n"/>
      <c r="Q196" s="845" t="n"/>
      <c r="R196" s="845" t="n"/>
      <c r="S196" s="845" t="n"/>
      <c r="T196" s="845" t="n"/>
      <c r="U196" s="845" t="n"/>
      <c r="V196" s="845" t="n"/>
      <c r="W196" s="845" t="n"/>
      <c r="X196" s="845" t="n"/>
      <c r="Y196" s="845" t="n"/>
      <c r="Z196" s="845" t="n"/>
    </row>
    <row r="197" ht="13.2" customHeight="1" s="1127">
      <c r="A197" s="845" t="n"/>
      <c r="B197" s="845" t="n"/>
      <c r="C197" s="845" t="n"/>
      <c r="D197" s="845" t="n"/>
      <c r="E197" s="845" t="n"/>
      <c r="F197" s="845" t="n"/>
      <c r="G197" s="879" t="n"/>
      <c r="H197" s="845" t="n"/>
      <c r="I197" s="845" t="n"/>
      <c r="J197" s="845" t="n"/>
      <c r="K197" s="845" t="n"/>
      <c r="L197" s="845" t="n"/>
      <c r="M197" s="845" t="n"/>
      <c r="N197" s="845" t="n"/>
      <c r="O197" s="845" t="n"/>
      <c r="P197" s="845" t="n"/>
      <c r="Q197" s="845" t="n"/>
      <c r="R197" s="845" t="n"/>
      <c r="S197" s="845" t="n"/>
      <c r="T197" s="845" t="n"/>
      <c r="U197" s="845" t="n"/>
      <c r="V197" s="845" t="n"/>
      <c r="W197" s="845" t="n"/>
      <c r="X197" s="845" t="n"/>
      <c r="Y197" s="845" t="n"/>
      <c r="Z197" s="845" t="n"/>
    </row>
    <row r="198" ht="13.2" customHeight="1" s="1127">
      <c r="A198" s="845" t="n"/>
      <c r="B198" s="845" t="n"/>
      <c r="C198" s="845" t="n"/>
      <c r="D198" s="845" t="n"/>
      <c r="E198" s="845" t="n"/>
      <c r="F198" s="845" t="n"/>
      <c r="G198" s="879" t="n"/>
      <c r="H198" s="845" t="n"/>
      <c r="I198" s="845" t="n"/>
      <c r="J198" s="845" t="n"/>
      <c r="K198" s="845" t="n"/>
      <c r="L198" s="845" t="n"/>
      <c r="M198" s="845" t="n"/>
      <c r="N198" s="845" t="n"/>
      <c r="O198" s="845" t="n"/>
      <c r="P198" s="845" t="n"/>
      <c r="Q198" s="845" t="n"/>
      <c r="R198" s="845" t="n"/>
      <c r="S198" s="845" t="n"/>
      <c r="T198" s="845" t="n"/>
      <c r="U198" s="845" t="n"/>
      <c r="V198" s="845" t="n"/>
      <c r="W198" s="845" t="n"/>
      <c r="X198" s="845" t="n"/>
      <c r="Y198" s="845" t="n"/>
      <c r="Z198" s="845" t="n"/>
    </row>
    <row r="199" ht="13.2" customHeight="1" s="1127">
      <c r="A199" s="845" t="n"/>
      <c r="B199" s="845" t="n"/>
      <c r="C199" s="845" t="n"/>
      <c r="D199" s="845" t="n"/>
      <c r="E199" s="845" t="n"/>
      <c r="F199" s="845" t="n"/>
      <c r="G199" s="879" t="n"/>
      <c r="H199" s="845" t="n"/>
      <c r="I199" s="845" t="n"/>
      <c r="J199" s="845" t="n"/>
      <c r="K199" s="845" t="n"/>
      <c r="L199" s="845" t="n"/>
      <c r="M199" s="845" t="n"/>
      <c r="N199" s="845" t="n"/>
      <c r="O199" s="845" t="n"/>
      <c r="P199" s="845" t="n"/>
      <c r="Q199" s="845" t="n"/>
      <c r="R199" s="845" t="n"/>
      <c r="S199" s="845" t="n"/>
      <c r="T199" s="845" t="n"/>
      <c r="U199" s="845" t="n"/>
      <c r="V199" s="845" t="n"/>
      <c r="W199" s="845" t="n"/>
      <c r="X199" s="845" t="n"/>
      <c r="Y199" s="845" t="n"/>
      <c r="Z199" s="845" t="n"/>
    </row>
    <row r="200" ht="13.2" customHeight="1" s="1127">
      <c r="A200" s="845" t="n"/>
      <c r="B200" s="845" t="n"/>
      <c r="C200" s="845" t="n"/>
      <c r="D200" s="845" t="n"/>
      <c r="E200" s="845" t="n"/>
      <c r="F200" s="845" t="n"/>
      <c r="G200" s="879" t="n"/>
      <c r="H200" s="845" t="n"/>
      <c r="I200" s="845" t="n"/>
      <c r="J200" s="845" t="n"/>
      <c r="K200" s="845" t="n"/>
      <c r="L200" s="845" t="n"/>
      <c r="M200" s="845" t="n"/>
      <c r="N200" s="845" t="n"/>
      <c r="O200" s="845" t="n"/>
      <c r="P200" s="845" t="n"/>
      <c r="Q200" s="845" t="n"/>
      <c r="R200" s="845" t="n"/>
      <c r="S200" s="845" t="n"/>
      <c r="T200" s="845" t="n"/>
      <c r="U200" s="845" t="n"/>
      <c r="V200" s="845" t="n"/>
      <c r="W200" s="845" t="n"/>
      <c r="X200" s="845" t="n"/>
      <c r="Y200" s="845" t="n"/>
      <c r="Z200" s="845" t="n"/>
    </row>
    <row r="201" ht="13.2" customHeight="1" s="1127">
      <c r="A201" s="845" t="n"/>
      <c r="B201" s="845" t="n"/>
      <c r="C201" s="845" t="n"/>
      <c r="D201" s="845" t="n"/>
      <c r="E201" s="845" t="n"/>
      <c r="F201" s="845" t="n"/>
      <c r="G201" s="879" t="n"/>
      <c r="H201" s="845" t="n"/>
      <c r="I201" s="845" t="n"/>
      <c r="J201" s="845" t="n"/>
      <c r="K201" s="845" t="n"/>
      <c r="L201" s="845" t="n"/>
      <c r="M201" s="845" t="n"/>
      <c r="N201" s="845" t="n"/>
      <c r="O201" s="845" t="n"/>
      <c r="P201" s="845" t="n"/>
      <c r="Q201" s="845" t="n"/>
      <c r="R201" s="845" t="n"/>
      <c r="S201" s="845" t="n"/>
      <c r="T201" s="845" t="n"/>
      <c r="U201" s="845" t="n"/>
      <c r="V201" s="845" t="n"/>
      <c r="W201" s="845" t="n"/>
      <c r="X201" s="845" t="n"/>
      <c r="Y201" s="845" t="n"/>
      <c r="Z201" s="845" t="n"/>
    </row>
    <row r="202" ht="13.2" customHeight="1" s="1127">
      <c r="A202" s="845" t="n"/>
      <c r="B202" s="845" t="n"/>
      <c r="C202" s="845" t="n"/>
      <c r="D202" s="845" t="n"/>
      <c r="E202" s="845" t="n"/>
      <c r="F202" s="845" t="n"/>
      <c r="G202" s="879" t="n"/>
      <c r="H202" s="845" t="n"/>
      <c r="I202" s="845" t="n"/>
      <c r="J202" s="845" t="n"/>
      <c r="K202" s="845" t="n"/>
      <c r="L202" s="845" t="n"/>
      <c r="M202" s="845" t="n"/>
      <c r="N202" s="845" t="n"/>
      <c r="O202" s="845" t="n"/>
      <c r="P202" s="845" t="n"/>
      <c r="Q202" s="845" t="n"/>
      <c r="R202" s="845" t="n"/>
      <c r="S202" s="845" t="n"/>
      <c r="T202" s="845" t="n"/>
      <c r="U202" s="845" t="n"/>
      <c r="V202" s="845" t="n"/>
      <c r="W202" s="845" t="n"/>
      <c r="X202" s="845" t="n"/>
      <c r="Y202" s="845" t="n"/>
      <c r="Z202" s="845" t="n"/>
    </row>
    <row r="203" ht="13.2" customHeight="1" s="1127">
      <c r="A203" s="845" t="n"/>
      <c r="B203" s="845" t="n"/>
      <c r="C203" s="845" t="n"/>
      <c r="D203" s="845" t="n"/>
      <c r="E203" s="845" t="n"/>
      <c r="F203" s="845" t="n"/>
      <c r="G203" s="879" t="n"/>
      <c r="H203" s="845" t="n"/>
      <c r="I203" s="845" t="n"/>
      <c r="J203" s="845" t="n"/>
      <c r="K203" s="845" t="n"/>
      <c r="L203" s="845" t="n"/>
      <c r="M203" s="845" t="n"/>
      <c r="N203" s="845" t="n"/>
      <c r="O203" s="845" t="n"/>
      <c r="P203" s="845" t="n"/>
      <c r="Q203" s="845" t="n"/>
      <c r="R203" s="845" t="n"/>
      <c r="S203" s="845" t="n"/>
      <c r="T203" s="845" t="n"/>
      <c r="U203" s="845" t="n"/>
      <c r="V203" s="845" t="n"/>
      <c r="W203" s="845" t="n"/>
      <c r="X203" s="845" t="n"/>
      <c r="Y203" s="845" t="n"/>
      <c r="Z203" s="845" t="n"/>
    </row>
    <row r="204" ht="13.2" customHeight="1" s="1127">
      <c r="A204" s="845" t="n"/>
      <c r="B204" s="845" t="n"/>
      <c r="C204" s="845" t="n"/>
      <c r="D204" s="845" t="n"/>
      <c r="E204" s="845" t="n"/>
      <c r="F204" s="845" t="n"/>
      <c r="G204" s="879" t="n"/>
      <c r="H204" s="845" t="n"/>
      <c r="I204" s="845" t="n"/>
      <c r="J204" s="845" t="n"/>
      <c r="K204" s="845" t="n"/>
      <c r="L204" s="845" t="n"/>
      <c r="M204" s="845" t="n"/>
      <c r="N204" s="845" t="n"/>
      <c r="O204" s="845" t="n"/>
      <c r="P204" s="845" t="n"/>
      <c r="Q204" s="845" t="n"/>
      <c r="R204" s="845" t="n"/>
      <c r="S204" s="845" t="n"/>
      <c r="T204" s="845" t="n"/>
      <c r="U204" s="845" t="n"/>
      <c r="V204" s="845" t="n"/>
      <c r="W204" s="845" t="n"/>
      <c r="X204" s="845" t="n"/>
      <c r="Y204" s="845" t="n"/>
      <c r="Z204" s="845" t="n"/>
    </row>
    <row r="205" ht="13.2" customHeight="1" s="1127">
      <c r="A205" s="845" t="n"/>
      <c r="B205" s="845" t="n"/>
      <c r="C205" s="845" t="n"/>
      <c r="D205" s="845" t="n"/>
      <c r="E205" s="845" t="n"/>
      <c r="F205" s="845" t="n"/>
      <c r="G205" s="879" t="n"/>
      <c r="H205" s="845" t="n"/>
      <c r="I205" s="845" t="n"/>
      <c r="J205" s="845" t="n"/>
      <c r="K205" s="845" t="n"/>
      <c r="L205" s="845" t="n"/>
      <c r="M205" s="845" t="n"/>
      <c r="N205" s="845" t="n"/>
      <c r="O205" s="845" t="n"/>
      <c r="P205" s="845" t="n"/>
      <c r="Q205" s="845" t="n"/>
      <c r="R205" s="845" t="n"/>
      <c r="S205" s="845" t="n"/>
      <c r="T205" s="845" t="n"/>
      <c r="U205" s="845" t="n"/>
      <c r="V205" s="845" t="n"/>
      <c r="W205" s="845" t="n"/>
      <c r="X205" s="845" t="n"/>
      <c r="Y205" s="845" t="n"/>
      <c r="Z205" s="845" t="n"/>
    </row>
    <row r="206" ht="13.2" customHeight="1" s="1127">
      <c r="A206" s="845" t="n"/>
      <c r="B206" s="845" t="n"/>
      <c r="C206" s="845" t="n"/>
      <c r="D206" s="845" t="n"/>
      <c r="E206" s="845" t="n"/>
      <c r="F206" s="845" t="n"/>
      <c r="G206" s="879" t="n"/>
      <c r="H206" s="845" t="n"/>
      <c r="I206" s="845" t="n"/>
      <c r="J206" s="845" t="n"/>
      <c r="K206" s="845" t="n"/>
      <c r="L206" s="845" t="n"/>
      <c r="M206" s="845" t="n"/>
      <c r="N206" s="845" t="n"/>
      <c r="O206" s="845" t="n"/>
      <c r="P206" s="845" t="n"/>
      <c r="Q206" s="845" t="n"/>
      <c r="R206" s="845" t="n"/>
      <c r="S206" s="845" t="n"/>
      <c r="T206" s="845" t="n"/>
      <c r="U206" s="845" t="n"/>
      <c r="V206" s="845" t="n"/>
      <c r="W206" s="845" t="n"/>
      <c r="X206" s="845" t="n"/>
      <c r="Y206" s="845" t="n"/>
      <c r="Z206" s="845" t="n"/>
    </row>
    <row r="207" ht="13.2" customHeight="1" s="1127">
      <c r="A207" s="845" t="n"/>
      <c r="B207" s="845" t="n"/>
      <c r="C207" s="845" t="n"/>
      <c r="D207" s="845" t="n"/>
      <c r="E207" s="845" t="n"/>
      <c r="F207" s="845" t="n"/>
      <c r="G207" s="879" t="n"/>
      <c r="H207" s="845" t="n"/>
      <c r="I207" s="845" t="n"/>
      <c r="J207" s="845" t="n"/>
      <c r="K207" s="845" t="n"/>
      <c r="L207" s="845" t="n"/>
      <c r="M207" s="845" t="n"/>
      <c r="N207" s="845" t="n"/>
      <c r="O207" s="845" t="n"/>
      <c r="P207" s="845" t="n"/>
      <c r="Q207" s="845" t="n"/>
      <c r="R207" s="845" t="n"/>
      <c r="S207" s="845" t="n"/>
      <c r="T207" s="845" t="n"/>
      <c r="U207" s="845" t="n"/>
      <c r="V207" s="845" t="n"/>
      <c r="W207" s="845" t="n"/>
      <c r="X207" s="845" t="n"/>
      <c r="Y207" s="845" t="n"/>
      <c r="Z207" s="845" t="n"/>
    </row>
    <row r="208" ht="13.2" customHeight="1" s="1127">
      <c r="A208" s="845" t="n"/>
      <c r="B208" s="845" t="n"/>
      <c r="C208" s="845" t="n"/>
      <c r="D208" s="845" t="n"/>
      <c r="E208" s="845" t="n"/>
      <c r="F208" s="845" t="n"/>
      <c r="G208" s="879" t="n"/>
      <c r="H208" s="845" t="n"/>
      <c r="I208" s="845" t="n"/>
      <c r="J208" s="845" t="n"/>
      <c r="K208" s="845" t="n"/>
      <c r="L208" s="845" t="n"/>
      <c r="M208" s="845" t="n"/>
      <c r="N208" s="845" t="n"/>
      <c r="O208" s="845" t="n"/>
      <c r="P208" s="845" t="n"/>
      <c r="Q208" s="845" t="n"/>
      <c r="R208" s="845" t="n"/>
      <c r="S208" s="845" t="n"/>
      <c r="T208" s="845" t="n"/>
      <c r="U208" s="845" t="n"/>
      <c r="V208" s="845" t="n"/>
      <c r="W208" s="845" t="n"/>
      <c r="X208" s="845" t="n"/>
      <c r="Y208" s="845" t="n"/>
      <c r="Z208" s="845" t="n"/>
    </row>
    <row r="209" ht="13.2" customHeight="1" s="1127">
      <c r="A209" s="845" t="n"/>
      <c r="B209" s="845" t="n"/>
      <c r="C209" s="845" t="n"/>
      <c r="D209" s="845" t="n"/>
      <c r="E209" s="845" t="n"/>
      <c r="F209" s="845" t="n"/>
      <c r="G209" s="879" t="n"/>
      <c r="H209" s="845" t="n"/>
      <c r="I209" s="845" t="n"/>
      <c r="J209" s="845" t="n"/>
      <c r="K209" s="845" t="n"/>
      <c r="L209" s="845" t="n"/>
      <c r="M209" s="845" t="n"/>
      <c r="N209" s="845" t="n"/>
      <c r="O209" s="845" t="n"/>
      <c r="P209" s="845" t="n"/>
      <c r="Q209" s="845" t="n"/>
      <c r="R209" s="845" t="n"/>
      <c r="S209" s="845" t="n"/>
      <c r="T209" s="845" t="n"/>
      <c r="U209" s="845" t="n"/>
      <c r="V209" s="845" t="n"/>
      <c r="W209" s="845" t="n"/>
      <c r="X209" s="845" t="n"/>
      <c r="Y209" s="845" t="n"/>
      <c r="Z209" s="845" t="n"/>
    </row>
    <row r="210" ht="13.2" customHeight="1" s="1127">
      <c r="A210" s="845" t="n"/>
      <c r="B210" s="845" t="n"/>
      <c r="C210" s="845" t="n"/>
      <c r="D210" s="845" t="n"/>
      <c r="E210" s="845" t="n"/>
      <c r="F210" s="845" t="n"/>
      <c r="G210" s="879" t="n"/>
      <c r="H210" s="845" t="n"/>
      <c r="I210" s="845" t="n"/>
      <c r="J210" s="845" t="n"/>
      <c r="K210" s="845" t="n"/>
      <c r="L210" s="845" t="n"/>
      <c r="M210" s="845" t="n"/>
      <c r="N210" s="845" t="n"/>
      <c r="O210" s="845" t="n"/>
      <c r="P210" s="845" t="n"/>
      <c r="Q210" s="845" t="n"/>
      <c r="R210" s="845" t="n"/>
      <c r="S210" s="845" t="n"/>
      <c r="T210" s="845" t="n"/>
      <c r="U210" s="845" t="n"/>
      <c r="V210" s="845" t="n"/>
      <c r="W210" s="845" t="n"/>
      <c r="X210" s="845" t="n"/>
      <c r="Y210" s="845" t="n"/>
      <c r="Z210" s="845" t="n"/>
    </row>
    <row r="211" ht="13.2" customHeight="1" s="1127">
      <c r="A211" s="845" t="n"/>
      <c r="B211" s="845" t="n"/>
      <c r="C211" s="845" t="n"/>
      <c r="D211" s="845" t="n"/>
      <c r="E211" s="845" t="n"/>
      <c r="F211" s="845" t="n"/>
      <c r="G211" s="879" t="n"/>
      <c r="H211" s="845" t="n"/>
      <c r="I211" s="845" t="n"/>
      <c r="J211" s="845" t="n"/>
      <c r="K211" s="845" t="n"/>
      <c r="L211" s="845" t="n"/>
      <c r="M211" s="845" t="n"/>
      <c r="N211" s="845" t="n"/>
      <c r="O211" s="845" t="n"/>
      <c r="P211" s="845" t="n"/>
      <c r="Q211" s="845" t="n"/>
      <c r="R211" s="845" t="n"/>
      <c r="S211" s="845" t="n"/>
      <c r="T211" s="845" t="n"/>
      <c r="U211" s="845" t="n"/>
      <c r="V211" s="845" t="n"/>
      <c r="W211" s="845" t="n"/>
      <c r="X211" s="845" t="n"/>
      <c r="Y211" s="845" t="n"/>
      <c r="Z211" s="845" t="n"/>
    </row>
    <row r="212" ht="13.2" customHeight="1" s="1127">
      <c r="A212" s="845" t="n"/>
      <c r="B212" s="845" t="n"/>
      <c r="C212" s="845" t="n"/>
      <c r="D212" s="845" t="n"/>
      <c r="E212" s="845" t="n"/>
      <c r="F212" s="845" t="n"/>
      <c r="G212" s="879" t="n"/>
      <c r="H212" s="845" t="n"/>
      <c r="I212" s="845" t="n"/>
      <c r="J212" s="845" t="n"/>
      <c r="K212" s="845" t="n"/>
      <c r="L212" s="845" t="n"/>
      <c r="M212" s="845" t="n"/>
      <c r="N212" s="845" t="n"/>
      <c r="O212" s="845" t="n"/>
      <c r="P212" s="845" t="n"/>
      <c r="Q212" s="845" t="n"/>
      <c r="R212" s="845" t="n"/>
      <c r="S212" s="845" t="n"/>
      <c r="T212" s="845" t="n"/>
      <c r="U212" s="845" t="n"/>
      <c r="V212" s="845" t="n"/>
      <c r="W212" s="845" t="n"/>
      <c r="X212" s="845" t="n"/>
      <c r="Y212" s="845" t="n"/>
      <c r="Z212" s="845" t="n"/>
    </row>
    <row r="213" ht="13.2" customHeight="1" s="1127">
      <c r="A213" s="845" t="n"/>
      <c r="B213" s="845" t="n"/>
      <c r="C213" s="845" t="n"/>
      <c r="D213" s="845" t="n"/>
      <c r="E213" s="845" t="n"/>
      <c r="F213" s="845" t="n"/>
      <c r="G213" s="879" t="n"/>
      <c r="H213" s="845" t="n"/>
      <c r="I213" s="845" t="n"/>
      <c r="J213" s="845" t="n"/>
      <c r="K213" s="845" t="n"/>
      <c r="L213" s="845" t="n"/>
      <c r="M213" s="845" t="n"/>
      <c r="N213" s="845" t="n"/>
      <c r="O213" s="845" t="n"/>
      <c r="P213" s="845" t="n"/>
      <c r="Q213" s="845" t="n"/>
      <c r="R213" s="845" t="n"/>
      <c r="S213" s="845" t="n"/>
      <c r="T213" s="845" t="n"/>
      <c r="U213" s="845" t="n"/>
      <c r="V213" s="845" t="n"/>
      <c r="W213" s="845" t="n"/>
      <c r="X213" s="845" t="n"/>
      <c r="Y213" s="845" t="n"/>
      <c r="Z213" s="845" t="n"/>
    </row>
    <row r="214" ht="13.2" customHeight="1" s="1127">
      <c r="A214" s="845" t="n"/>
      <c r="B214" s="845" t="n"/>
      <c r="C214" s="845" t="n"/>
      <c r="D214" s="845" t="n"/>
      <c r="E214" s="845" t="n"/>
      <c r="F214" s="845" t="n"/>
      <c r="G214" s="879" t="n"/>
      <c r="H214" s="845" t="n"/>
      <c r="I214" s="845" t="n"/>
      <c r="J214" s="845" t="n"/>
      <c r="K214" s="845" t="n"/>
      <c r="L214" s="845" t="n"/>
      <c r="M214" s="845" t="n"/>
      <c r="N214" s="845" t="n"/>
      <c r="O214" s="845" t="n"/>
      <c r="P214" s="845" t="n"/>
      <c r="Q214" s="845" t="n"/>
      <c r="R214" s="845" t="n"/>
      <c r="S214" s="845" t="n"/>
      <c r="T214" s="845" t="n"/>
      <c r="U214" s="845" t="n"/>
      <c r="V214" s="845" t="n"/>
      <c r="W214" s="845" t="n"/>
      <c r="X214" s="845" t="n"/>
      <c r="Y214" s="845" t="n"/>
      <c r="Z214" s="845" t="n"/>
    </row>
    <row r="215" ht="13.2" customHeight="1" s="1127">
      <c r="A215" s="845" t="n"/>
      <c r="B215" s="845" t="n"/>
      <c r="C215" s="845" t="n"/>
      <c r="D215" s="845" t="n"/>
      <c r="E215" s="845" t="n"/>
      <c r="F215" s="845" t="n"/>
      <c r="G215" s="879" t="n"/>
      <c r="H215" s="845" t="n"/>
      <c r="I215" s="845" t="n"/>
      <c r="J215" s="845" t="n"/>
      <c r="K215" s="845" t="n"/>
      <c r="L215" s="845" t="n"/>
      <c r="M215" s="845" t="n"/>
      <c r="N215" s="845" t="n"/>
      <c r="O215" s="845" t="n"/>
      <c r="P215" s="845" t="n"/>
      <c r="Q215" s="845" t="n"/>
      <c r="R215" s="845" t="n"/>
      <c r="S215" s="845" t="n"/>
      <c r="T215" s="845" t="n"/>
      <c r="U215" s="845" t="n"/>
      <c r="V215" s="845" t="n"/>
      <c r="W215" s="845" t="n"/>
      <c r="X215" s="845" t="n"/>
      <c r="Y215" s="845" t="n"/>
      <c r="Z215" s="845" t="n"/>
    </row>
    <row r="216" ht="13.2" customHeight="1" s="1127">
      <c r="A216" s="845" t="n"/>
      <c r="B216" s="845" t="n"/>
      <c r="C216" s="845" t="n"/>
      <c r="D216" s="845" t="n"/>
      <c r="E216" s="845" t="n"/>
      <c r="F216" s="845" t="n"/>
      <c r="G216" s="879" t="n"/>
      <c r="H216" s="845" t="n"/>
      <c r="I216" s="845" t="n"/>
      <c r="J216" s="845" t="n"/>
      <c r="K216" s="845" t="n"/>
      <c r="L216" s="845" t="n"/>
      <c r="M216" s="845" t="n"/>
      <c r="N216" s="845" t="n"/>
      <c r="O216" s="845" t="n"/>
      <c r="P216" s="845" t="n"/>
      <c r="Q216" s="845" t="n"/>
      <c r="R216" s="845" t="n"/>
      <c r="S216" s="845" t="n"/>
      <c r="T216" s="845" t="n"/>
      <c r="U216" s="845" t="n"/>
      <c r="V216" s="845" t="n"/>
      <c r="W216" s="845" t="n"/>
      <c r="X216" s="845" t="n"/>
      <c r="Y216" s="845" t="n"/>
      <c r="Z216" s="845" t="n"/>
    </row>
    <row r="217" ht="13.2" customHeight="1" s="1127">
      <c r="A217" s="845" t="n"/>
      <c r="B217" s="845" t="n"/>
      <c r="C217" s="845" t="n"/>
      <c r="D217" s="845" t="n"/>
      <c r="E217" s="845" t="n"/>
      <c r="F217" s="845" t="n"/>
      <c r="G217" s="879" t="n"/>
      <c r="H217" s="845" t="n"/>
      <c r="I217" s="845" t="n"/>
      <c r="J217" s="845" t="n"/>
      <c r="K217" s="845" t="n"/>
      <c r="L217" s="845" t="n"/>
      <c r="M217" s="845" t="n"/>
      <c r="N217" s="845" t="n"/>
      <c r="O217" s="845" t="n"/>
      <c r="P217" s="845" t="n"/>
      <c r="Q217" s="845" t="n"/>
      <c r="R217" s="845" t="n"/>
      <c r="S217" s="845" t="n"/>
      <c r="T217" s="845" t="n"/>
      <c r="U217" s="845" t="n"/>
      <c r="V217" s="845" t="n"/>
      <c r="W217" s="845" t="n"/>
      <c r="X217" s="845" t="n"/>
      <c r="Y217" s="845" t="n"/>
      <c r="Z217" s="845" t="n"/>
    </row>
    <row r="218" ht="13.2" customHeight="1" s="1127">
      <c r="A218" s="845" t="n"/>
      <c r="B218" s="845" t="n"/>
      <c r="C218" s="845" t="n"/>
      <c r="D218" s="845" t="n"/>
      <c r="E218" s="845" t="n"/>
      <c r="F218" s="845" t="n"/>
      <c r="G218" s="879" t="n"/>
      <c r="H218" s="845" t="n"/>
      <c r="I218" s="845" t="n"/>
      <c r="J218" s="845" t="n"/>
      <c r="K218" s="845" t="n"/>
      <c r="L218" s="845" t="n"/>
      <c r="M218" s="845" t="n"/>
      <c r="N218" s="845" t="n"/>
      <c r="O218" s="845" t="n"/>
      <c r="P218" s="845" t="n"/>
      <c r="Q218" s="845" t="n"/>
      <c r="R218" s="845" t="n"/>
      <c r="S218" s="845" t="n"/>
      <c r="T218" s="845" t="n"/>
      <c r="U218" s="845" t="n"/>
      <c r="V218" s="845" t="n"/>
      <c r="W218" s="845" t="n"/>
      <c r="X218" s="845" t="n"/>
      <c r="Y218" s="845" t="n"/>
      <c r="Z218" s="845" t="n"/>
    </row>
    <row r="219" ht="13.2" customHeight="1" s="1127">
      <c r="A219" s="845" t="n"/>
      <c r="B219" s="845" t="n"/>
      <c r="C219" s="845" t="n"/>
      <c r="D219" s="845" t="n"/>
      <c r="E219" s="845" t="n"/>
      <c r="F219" s="845" t="n"/>
      <c r="G219" s="879" t="n"/>
      <c r="H219" s="845" t="n"/>
      <c r="I219" s="845" t="n"/>
      <c r="J219" s="845" t="n"/>
      <c r="K219" s="845" t="n"/>
      <c r="L219" s="845" t="n"/>
      <c r="M219" s="845" t="n"/>
      <c r="N219" s="845" t="n"/>
      <c r="O219" s="845" t="n"/>
      <c r="P219" s="845" t="n"/>
      <c r="Q219" s="845" t="n"/>
      <c r="R219" s="845" t="n"/>
      <c r="S219" s="845" t="n"/>
      <c r="T219" s="845" t="n"/>
      <c r="U219" s="845" t="n"/>
      <c r="V219" s="845" t="n"/>
      <c r="W219" s="845" t="n"/>
      <c r="X219" s="845" t="n"/>
      <c r="Y219" s="845" t="n"/>
      <c r="Z219" s="845" t="n"/>
    </row>
    <row r="220" ht="13.2" customHeight="1" s="1127">
      <c r="A220" s="845" t="n"/>
      <c r="B220" s="845" t="n"/>
      <c r="C220" s="845" t="n"/>
      <c r="D220" s="845" t="n"/>
      <c r="E220" s="845" t="n"/>
      <c r="F220" s="845" t="n"/>
      <c r="G220" s="879" t="n"/>
      <c r="H220" s="845" t="n"/>
      <c r="I220" s="845" t="n"/>
      <c r="J220" s="845" t="n"/>
      <c r="K220" s="845" t="n"/>
      <c r="L220" s="845" t="n"/>
      <c r="M220" s="845" t="n"/>
      <c r="N220" s="845" t="n"/>
      <c r="O220" s="845" t="n"/>
      <c r="P220" s="845" t="n"/>
      <c r="Q220" s="845" t="n"/>
      <c r="R220" s="845" t="n"/>
      <c r="S220" s="845" t="n"/>
      <c r="T220" s="845" t="n"/>
      <c r="U220" s="845" t="n"/>
      <c r="V220" s="845" t="n"/>
      <c r="W220" s="845" t="n"/>
      <c r="X220" s="845" t="n"/>
      <c r="Y220" s="845" t="n"/>
      <c r="Z220" s="845" t="n"/>
    </row>
    <row r="221" ht="13.2" customHeight="1" s="1127">
      <c r="A221" s="845" t="n"/>
      <c r="B221" s="845" t="n"/>
      <c r="C221" s="845" t="n"/>
      <c r="D221" s="845" t="n"/>
      <c r="E221" s="845" t="n"/>
      <c r="F221" s="845" t="n"/>
      <c r="G221" s="879" t="n"/>
      <c r="H221" s="845" t="n"/>
      <c r="I221" s="845" t="n"/>
      <c r="J221" s="845" t="n"/>
      <c r="K221" s="845" t="n"/>
      <c r="L221" s="845" t="n"/>
      <c r="M221" s="845" t="n"/>
      <c r="N221" s="845" t="n"/>
      <c r="O221" s="845" t="n"/>
      <c r="P221" s="845" t="n"/>
      <c r="Q221" s="845" t="n"/>
      <c r="R221" s="845" t="n"/>
      <c r="S221" s="845" t="n"/>
      <c r="T221" s="845" t="n"/>
      <c r="U221" s="845" t="n"/>
      <c r="V221" s="845" t="n"/>
      <c r="W221" s="845" t="n"/>
      <c r="X221" s="845" t="n"/>
      <c r="Y221" s="845" t="n"/>
      <c r="Z221" s="845" t="n"/>
    </row>
    <row r="222" ht="13.2" customHeight="1" s="1127">
      <c r="A222" s="845" t="n"/>
      <c r="B222" s="845" t="n"/>
      <c r="C222" s="845" t="n"/>
      <c r="D222" s="845" t="n"/>
      <c r="E222" s="845" t="n"/>
      <c r="F222" s="845" t="n"/>
      <c r="G222" s="879" t="n"/>
      <c r="H222" s="845" t="n"/>
      <c r="I222" s="845" t="n"/>
      <c r="J222" s="845" t="n"/>
      <c r="K222" s="845" t="n"/>
      <c r="L222" s="845" t="n"/>
      <c r="M222" s="845" t="n"/>
      <c r="N222" s="845" t="n"/>
      <c r="O222" s="845" t="n"/>
      <c r="P222" s="845" t="n"/>
      <c r="Q222" s="845" t="n"/>
      <c r="R222" s="845" t="n"/>
      <c r="S222" s="845" t="n"/>
      <c r="T222" s="845" t="n"/>
      <c r="U222" s="845" t="n"/>
      <c r="V222" s="845" t="n"/>
      <c r="W222" s="845" t="n"/>
      <c r="X222" s="845" t="n"/>
      <c r="Y222" s="845" t="n"/>
      <c r="Z222" s="845" t="n"/>
    </row>
    <row r="223" ht="13.2" customHeight="1" s="1127">
      <c r="A223" s="845" t="n"/>
      <c r="B223" s="845" t="n"/>
      <c r="C223" s="845" t="n"/>
      <c r="D223" s="845" t="n"/>
      <c r="E223" s="845" t="n"/>
      <c r="F223" s="845" t="n"/>
      <c r="G223" s="879" t="n"/>
      <c r="H223" s="845" t="n"/>
      <c r="I223" s="845" t="n"/>
      <c r="J223" s="845" t="n"/>
      <c r="K223" s="845" t="n"/>
      <c r="L223" s="845" t="n"/>
      <c r="M223" s="845" t="n"/>
      <c r="N223" s="845" t="n"/>
      <c r="O223" s="845" t="n"/>
      <c r="P223" s="845" t="n"/>
      <c r="Q223" s="845" t="n"/>
      <c r="R223" s="845" t="n"/>
      <c r="S223" s="845" t="n"/>
      <c r="T223" s="845" t="n"/>
      <c r="U223" s="845" t="n"/>
      <c r="V223" s="845" t="n"/>
      <c r="W223" s="845" t="n"/>
      <c r="X223" s="845" t="n"/>
      <c r="Y223" s="845" t="n"/>
      <c r="Z223" s="845" t="n"/>
    </row>
    <row r="224" ht="13.2" customHeight="1" s="1127">
      <c r="A224" s="845" t="n"/>
      <c r="B224" s="845" t="n"/>
      <c r="C224" s="845" t="n"/>
      <c r="D224" s="845" t="n"/>
      <c r="E224" s="845" t="n"/>
      <c r="F224" s="845" t="n"/>
      <c r="G224" s="879" t="n"/>
      <c r="H224" s="845" t="n"/>
      <c r="I224" s="845" t="n"/>
      <c r="J224" s="845" t="n"/>
      <c r="K224" s="845" t="n"/>
      <c r="L224" s="845" t="n"/>
      <c r="M224" s="845" t="n"/>
      <c r="N224" s="845" t="n"/>
      <c r="O224" s="845" t="n"/>
      <c r="P224" s="845" t="n"/>
      <c r="Q224" s="845" t="n"/>
      <c r="R224" s="845" t="n"/>
      <c r="S224" s="845" t="n"/>
      <c r="T224" s="845" t="n"/>
      <c r="U224" s="845" t="n"/>
      <c r="V224" s="845" t="n"/>
      <c r="W224" s="845" t="n"/>
      <c r="X224" s="845" t="n"/>
      <c r="Y224" s="845" t="n"/>
      <c r="Z224" s="845" t="n"/>
    </row>
    <row r="225" ht="13.2" customHeight="1" s="1127">
      <c r="A225" s="845" t="n"/>
      <c r="B225" s="845" t="n"/>
      <c r="C225" s="845" t="n"/>
      <c r="D225" s="845" t="n"/>
      <c r="E225" s="845" t="n"/>
      <c r="F225" s="845" t="n"/>
      <c r="G225" s="879" t="n"/>
      <c r="H225" s="845" t="n"/>
      <c r="I225" s="845" t="n"/>
      <c r="J225" s="845" t="n"/>
      <c r="K225" s="845" t="n"/>
      <c r="L225" s="845" t="n"/>
      <c r="M225" s="845" t="n"/>
      <c r="N225" s="845" t="n"/>
      <c r="O225" s="845" t="n"/>
      <c r="P225" s="845" t="n"/>
      <c r="Q225" s="845" t="n"/>
      <c r="R225" s="845" t="n"/>
      <c r="S225" s="845" t="n"/>
      <c r="T225" s="845" t="n"/>
      <c r="U225" s="845" t="n"/>
      <c r="V225" s="845" t="n"/>
      <c r="W225" s="845" t="n"/>
      <c r="X225" s="845" t="n"/>
      <c r="Y225" s="845" t="n"/>
      <c r="Z225" s="845" t="n"/>
    </row>
    <row r="226" ht="13.2" customHeight="1" s="1127">
      <c r="A226" s="845" t="n"/>
      <c r="B226" s="845" t="n"/>
      <c r="C226" s="845" t="n"/>
      <c r="D226" s="845" t="n"/>
      <c r="E226" s="845" t="n"/>
      <c r="F226" s="845" t="n"/>
      <c r="G226" s="879" t="n"/>
      <c r="H226" s="845" t="n"/>
      <c r="I226" s="845" t="n"/>
      <c r="J226" s="845" t="n"/>
      <c r="K226" s="845" t="n"/>
      <c r="L226" s="845" t="n"/>
      <c r="M226" s="845" t="n"/>
      <c r="N226" s="845" t="n"/>
      <c r="O226" s="845" t="n"/>
      <c r="P226" s="845" t="n"/>
      <c r="Q226" s="845" t="n"/>
      <c r="R226" s="845" t="n"/>
      <c r="S226" s="845" t="n"/>
      <c r="T226" s="845" t="n"/>
      <c r="U226" s="845" t="n"/>
      <c r="V226" s="845" t="n"/>
      <c r="W226" s="845" t="n"/>
      <c r="X226" s="845" t="n"/>
      <c r="Y226" s="845" t="n"/>
      <c r="Z226" s="845" t="n"/>
    </row>
    <row r="227" ht="13.2" customHeight="1" s="1127">
      <c r="A227" s="845" t="n"/>
      <c r="B227" s="845" t="n"/>
      <c r="C227" s="845" t="n"/>
      <c r="D227" s="845" t="n"/>
      <c r="E227" s="845" t="n"/>
      <c r="F227" s="845" t="n"/>
      <c r="G227" s="879" t="n"/>
      <c r="H227" s="845" t="n"/>
      <c r="I227" s="845" t="n"/>
      <c r="J227" s="845" t="n"/>
      <c r="K227" s="845" t="n"/>
      <c r="L227" s="845" t="n"/>
      <c r="M227" s="845" t="n"/>
      <c r="N227" s="845" t="n"/>
      <c r="O227" s="845" t="n"/>
      <c r="P227" s="845" t="n"/>
      <c r="Q227" s="845" t="n"/>
      <c r="R227" s="845" t="n"/>
      <c r="S227" s="845" t="n"/>
      <c r="T227" s="845" t="n"/>
      <c r="U227" s="845" t="n"/>
      <c r="V227" s="845" t="n"/>
      <c r="W227" s="845" t="n"/>
      <c r="X227" s="845" t="n"/>
      <c r="Y227" s="845" t="n"/>
      <c r="Z227" s="845" t="n"/>
    </row>
    <row r="228" ht="13.2" customHeight="1" s="1127">
      <c r="A228" s="845" t="n"/>
      <c r="B228" s="845" t="n"/>
      <c r="C228" s="845" t="n"/>
      <c r="D228" s="845" t="n"/>
      <c r="E228" s="845" t="n"/>
      <c r="F228" s="845" t="n"/>
      <c r="G228" s="879" t="n"/>
      <c r="H228" s="845" t="n"/>
      <c r="I228" s="845" t="n"/>
      <c r="J228" s="845" t="n"/>
      <c r="K228" s="845" t="n"/>
      <c r="L228" s="845" t="n"/>
      <c r="M228" s="845" t="n"/>
      <c r="N228" s="845" t="n"/>
      <c r="O228" s="845" t="n"/>
      <c r="P228" s="845" t="n"/>
      <c r="Q228" s="845" t="n"/>
      <c r="R228" s="845" t="n"/>
      <c r="S228" s="845" t="n"/>
      <c r="T228" s="845" t="n"/>
      <c r="U228" s="845" t="n"/>
      <c r="V228" s="845" t="n"/>
      <c r="W228" s="845" t="n"/>
      <c r="X228" s="845" t="n"/>
      <c r="Y228" s="845" t="n"/>
      <c r="Z228" s="845" t="n"/>
    </row>
    <row r="229" ht="13.2" customHeight="1" s="1127">
      <c r="A229" s="845" t="n"/>
      <c r="B229" s="845" t="n"/>
      <c r="C229" s="845" t="n"/>
      <c r="D229" s="845" t="n"/>
      <c r="E229" s="845" t="n"/>
      <c r="F229" s="845" t="n"/>
      <c r="G229" s="879" t="n"/>
      <c r="H229" s="845" t="n"/>
      <c r="I229" s="845" t="n"/>
      <c r="J229" s="845" t="n"/>
      <c r="K229" s="845" t="n"/>
      <c r="L229" s="845" t="n"/>
      <c r="M229" s="845" t="n"/>
      <c r="N229" s="845" t="n"/>
      <c r="O229" s="845" t="n"/>
      <c r="P229" s="845" t="n"/>
      <c r="Q229" s="845" t="n"/>
      <c r="R229" s="845" t="n"/>
      <c r="S229" s="845" t="n"/>
      <c r="T229" s="845" t="n"/>
      <c r="U229" s="845" t="n"/>
      <c r="V229" s="845" t="n"/>
      <c r="W229" s="845" t="n"/>
      <c r="X229" s="845" t="n"/>
      <c r="Y229" s="845" t="n"/>
      <c r="Z229" s="845" t="n"/>
    </row>
    <row r="230" ht="13.2" customHeight="1" s="1127">
      <c r="A230" s="845" t="n"/>
      <c r="B230" s="845" t="n"/>
      <c r="C230" s="845" t="n"/>
      <c r="D230" s="845" t="n"/>
      <c r="E230" s="845" t="n"/>
      <c r="F230" s="845" t="n"/>
      <c r="G230" s="879" t="n"/>
      <c r="H230" s="845" t="n"/>
      <c r="I230" s="845" t="n"/>
      <c r="J230" s="845" t="n"/>
      <c r="K230" s="845" t="n"/>
      <c r="L230" s="845" t="n"/>
      <c r="M230" s="845" t="n"/>
      <c r="N230" s="845" t="n"/>
      <c r="O230" s="845" t="n"/>
      <c r="P230" s="845" t="n"/>
      <c r="Q230" s="845" t="n"/>
      <c r="R230" s="845" t="n"/>
      <c r="S230" s="845" t="n"/>
      <c r="T230" s="845" t="n"/>
      <c r="U230" s="845" t="n"/>
      <c r="V230" s="845" t="n"/>
      <c r="W230" s="845" t="n"/>
      <c r="X230" s="845" t="n"/>
      <c r="Y230" s="845" t="n"/>
      <c r="Z230" s="845" t="n"/>
    </row>
    <row r="231" ht="13.2" customHeight="1" s="1127">
      <c r="A231" s="845" t="n"/>
      <c r="B231" s="845" t="n"/>
      <c r="C231" s="845" t="n"/>
      <c r="D231" s="845" t="n"/>
      <c r="E231" s="845" t="n"/>
      <c r="F231" s="845" t="n"/>
      <c r="G231" s="879" t="n"/>
      <c r="H231" s="845" t="n"/>
      <c r="I231" s="845" t="n"/>
      <c r="J231" s="845" t="n"/>
      <c r="K231" s="845" t="n"/>
      <c r="L231" s="845" t="n"/>
      <c r="M231" s="845" t="n"/>
      <c r="N231" s="845" t="n"/>
      <c r="O231" s="845" t="n"/>
      <c r="P231" s="845" t="n"/>
      <c r="Q231" s="845" t="n"/>
      <c r="R231" s="845" t="n"/>
      <c r="S231" s="845" t="n"/>
      <c r="T231" s="845" t="n"/>
      <c r="U231" s="845" t="n"/>
      <c r="V231" s="845" t="n"/>
      <c r="W231" s="845" t="n"/>
      <c r="X231" s="845" t="n"/>
      <c r="Y231" s="845" t="n"/>
      <c r="Z231" s="845" t="n"/>
    </row>
    <row r="232" ht="13.2" customHeight="1" s="1127">
      <c r="A232" s="845" t="n"/>
      <c r="B232" s="845" t="n"/>
      <c r="C232" s="845" t="n"/>
      <c r="D232" s="845" t="n"/>
      <c r="E232" s="845" t="n"/>
      <c r="F232" s="845" t="n"/>
      <c r="G232" s="879" t="n"/>
      <c r="H232" s="845" t="n"/>
      <c r="I232" s="845" t="n"/>
      <c r="J232" s="845" t="n"/>
      <c r="K232" s="845" t="n"/>
      <c r="L232" s="845" t="n"/>
      <c r="M232" s="845" t="n"/>
      <c r="N232" s="845" t="n"/>
      <c r="O232" s="845" t="n"/>
      <c r="P232" s="845" t="n"/>
      <c r="Q232" s="845" t="n"/>
      <c r="R232" s="845" t="n"/>
      <c r="S232" s="845" t="n"/>
      <c r="T232" s="845" t="n"/>
      <c r="U232" s="845" t="n"/>
      <c r="V232" s="845" t="n"/>
      <c r="W232" s="845" t="n"/>
      <c r="X232" s="845" t="n"/>
      <c r="Y232" s="845" t="n"/>
      <c r="Z232" s="845" t="n"/>
    </row>
    <row r="233" ht="13.2" customHeight="1" s="1127">
      <c r="A233" s="845" t="n"/>
      <c r="B233" s="845" t="n"/>
      <c r="C233" s="845" t="n"/>
      <c r="D233" s="845" t="n"/>
      <c r="E233" s="845" t="n"/>
      <c r="F233" s="845" t="n"/>
      <c r="G233" s="879" t="n"/>
      <c r="H233" s="845" t="n"/>
      <c r="I233" s="845" t="n"/>
      <c r="J233" s="845" t="n"/>
      <c r="K233" s="845" t="n"/>
      <c r="L233" s="845" t="n"/>
      <c r="M233" s="845" t="n"/>
      <c r="N233" s="845" t="n"/>
      <c r="O233" s="845" t="n"/>
      <c r="P233" s="845" t="n"/>
      <c r="Q233" s="845" t="n"/>
      <c r="R233" s="845" t="n"/>
      <c r="S233" s="845" t="n"/>
      <c r="T233" s="845" t="n"/>
      <c r="U233" s="845" t="n"/>
      <c r="V233" s="845" t="n"/>
      <c r="W233" s="845" t="n"/>
      <c r="X233" s="845" t="n"/>
      <c r="Y233" s="845" t="n"/>
      <c r="Z233" s="845" t="n"/>
    </row>
    <row r="234" ht="13.2" customHeight="1" s="1127">
      <c r="A234" s="845" t="n"/>
      <c r="B234" s="845" t="n"/>
      <c r="C234" s="845" t="n"/>
      <c r="D234" s="845" t="n"/>
      <c r="E234" s="845" t="n"/>
      <c r="F234" s="845" t="n"/>
      <c r="G234" s="879" t="n"/>
      <c r="H234" s="845" t="n"/>
      <c r="I234" s="845" t="n"/>
      <c r="J234" s="845" t="n"/>
      <c r="K234" s="845" t="n"/>
      <c r="L234" s="845" t="n"/>
      <c r="M234" s="845" t="n"/>
      <c r="N234" s="845" t="n"/>
      <c r="O234" s="845" t="n"/>
      <c r="P234" s="845" t="n"/>
      <c r="Q234" s="845" t="n"/>
      <c r="R234" s="845" t="n"/>
      <c r="S234" s="845" t="n"/>
      <c r="T234" s="845" t="n"/>
      <c r="U234" s="845" t="n"/>
      <c r="V234" s="845" t="n"/>
      <c r="W234" s="845" t="n"/>
      <c r="X234" s="845" t="n"/>
      <c r="Y234" s="845" t="n"/>
      <c r="Z234" s="845" t="n"/>
    </row>
    <row r="235" ht="13.2" customHeight="1" s="1127">
      <c r="A235" s="845" t="n"/>
      <c r="B235" s="845" t="n"/>
      <c r="C235" s="845" t="n"/>
      <c r="D235" s="845" t="n"/>
      <c r="E235" s="845" t="n"/>
      <c r="F235" s="845" t="n"/>
      <c r="G235" s="879" t="n"/>
      <c r="H235" s="845" t="n"/>
      <c r="I235" s="845" t="n"/>
      <c r="J235" s="845" t="n"/>
      <c r="K235" s="845" t="n"/>
      <c r="L235" s="845" t="n"/>
      <c r="M235" s="845" t="n"/>
      <c r="N235" s="845" t="n"/>
      <c r="O235" s="845" t="n"/>
      <c r="P235" s="845" t="n"/>
      <c r="Q235" s="845" t="n"/>
      <c r="R235" s="845" t="n"/>
      <c r="S235" s="845" t="n"/>
      <c r="T235" s="845" t="n"/>
      <c r="U235" s="845" t="n"/>
      <c r="V235" s="845" t="n"/>
      <c r="W235" s="845" t="n"/>
      <c r="X235" s="845" t="n"/>
      <c r="Y235" s="845" t="n"/>
      <c r="Z235" s="845" t="n"/>
    </row>
    <row r="236" ht="13.2" customHeight="1" s="1127">
      <c r="A236" s="845" t="n"/>
      <c r="B236" s="845" t="n"/>
      <c r="C236" s="845" t="n"/>
      <c r="D236" s="845" t="n"/>
      <c r="E236" s="845" t="n"/>
      <c r="F236" s="845" t="n"/>
      <c r="G236" s="879" t="n"/>
      <c r="H236" s="845" t="n"/>
      <c r="I236" s="845" t="n"/>
      <c r="J236" s="845" t="n"/>
      <c r="K236" s="845" t="n"/>
      <c r="L236" s="845" t="n"/>
      <c r="M236" s="845" t="n"/>
      <c r="N236" s="845" t="n"/>
      <c r="O236" s="845" t="n"/>
      <c r="P236" s="845" t="n"/>
      <c r="Q236" s="845" t="n"/>
      <c r="R236" s="845" t="n"/>
      <c r="S236" s="845" t="n"/>
      <c r="T236" s="845" t="n"/>
      <c r="U236" s="845" t="n"/>
      <c r="V236" s="845" t="n"/>
      <c r="W236" s="845" t="n"/>
      <c r="X236" s="845" t="n"/>
      <c r="Y236" s="845" t="n"/>
      <c r="Z236" s="845" t="n"/>
    </row>
    <row r="237" ht="13.2" customHeight="1" s="1127">
      <c r="A237" s="845" t="n"/>
      <c r="B237" s="845" t="n"/>
      <c r="C237" s="845" t="n"/>
      <c r="D237" s="845" t="n"/>
      <c r="E237" s="845" t="n"/>
      <c r="F237" s="845" t="n"/>
      <c r="G237" s="879" t="n"/>
      <c r="H237" s="845" t="n"/>
      <c r="I237" s="845" t="n"/>
      <c r="J237" s="845" t="n"/>
      <c r="K237" s="845" t="n"/>
      <c r="L237" s="845" t="n"/>
      <c r="M237" s="845" t="n"/>
      <c r="N237" s="845" t="n"/>
      <c r="O237" s="845" t="n"/>
      <c r="P237" s="845" t="n"/>
      <c r="Q237" s="845" t="n"/>
      <c r="R237" s="845" t="n"/>
      <c r="S237" s="845" t="n"/>
      <c r="T237" s="845" t="n"/>
      <c r="U237" s="845" t="n"/>
      <c r="V237" s="845" t="n"/>
      <c r="W237" s="845" t="n"/>
      <c r="X237" s="845" t="n"/>
      <c r="Y237" s="845" t="n"/>
      <c r="Z237" s="845" t="n"/>
    </row>
    <row r="238" ht="13.2" customHeight="1" s="1127">
      <c r="A238" s="845" t="n"/>
      <c r="B238" s="845" t="n"/>
      <c r="C238" s="845" t="n"/>
      <c r="D238" s="845" t="n"/>
      <c r="E238" s="845" t="n"/>
      <c r="F238" s="845" t="n"/>
      <c r="G238" s="879" t="n"/>
      <c r="H238" s="845" t="n"/>
      <c r="I238" s="845" t="n"/>
      <c r="J238" s="845" t="n"/>
      <c r="K238" s="845" t="n"/>
      <c r="L238" s="845" t="n"/>
      <c r="M238" s="845" t="n"/>
      <c r="N238" s="845" t="n"/>
      <c r="O238" s="845" t="n"/>
      <c r="P238" s="845" t="n"/>
      <c r="Q238" s="845" t="n"/>
      <c r="R238" s="845" t="n"/>
      <c r="S238" s="845" t="n"/>
      <c r="T238" s="845" t="n"/>
      <c r="U238" s="845" t="n"/>
      <c r="V238" s="845" t="n"/>
      <c r="W238" s="845" t="n"/>
      <c r="X238" s="845" t="n"/>
      <c r="Y238" s="845" t="n"/>
      <c r="Z238" s="845" t="n"/>
    </row>
    <row r="239" ht="13.2" customHeight="1" s="1127">
      <c r="A239" s="845" t="n"/>
      <c r="B239" s="845" t="n"/>
      <c r="C239" s="845" t="n"/>
      <c r="D239" s="845" t="n"/>
      <c r="E239" s="845" t="n"/>
      <c r="F239" s="845" t="n"/>
      <c r="G239" s="879" t="n"/>
      <c r="H239" s="845" t="n"/>
      <c r="I239" s="845" t="n"/>
      <c r="J239" s="845" t="n"/>
      <c r="K239" s="845" t="n"/>
      <c r="L239" s="845" t="n"/>
      <c r="M239" s="845" t="n"/>
      <c r="N239" s="845" t="n"/>
      <c r="O239" s="845" t="n"/>
      <c r="P239" s="845" t="n"/>
      <c r="Q239" s="845" t="n"/>
      <c r="R239" s="845" t="n"/>
      <c r="S239" s="845" t="n"/>
      <c r="T239" s="845" t="n"/>
      <c r="U239" s="845" t="n"/>
      <c r="V239" s="845" t="n"/>
      <c r="W239" s="845" t="n"/>
      <c r="X239" s="845" t="n"/>
      <c r="Y239" s="845" t="n"/>
      <c r="Z239" s="845" t="n"/>
    </row>
    <row r="240" ht="13.2" customHeight="1" s="1127">
      <c r="A240" s="845" t="n"/>
      <c r="B240" s="845" t="n"/>
      <c r="C240" s="845" t="n"/>
      <c r="D240" s="845" t="n"/>
      <c r="E240" s="845" t="n"/>
      <c r="F240" s="845" t="n"/>
      <c r="G240" s="879" t="n"/>
      <c r="H240" s="845" t="n"/>
      <c r="I240" s="845" t="n"/>
      <c r="J240" s="845" t="n"/>
      <c r="K240" s="845" t="n"/>
      <c r="L240" s="845" t="n"/>
      <c r="M240" s="845" t="n"/>
      <c r="N240" s="845" t="n"/>
      <c r="O240" s="845" t="n"/>
      <c r="P240" s="845" t="n"/>
      <c r="Q240" s="845" t="n"/>
      <c r="R240" s="845" t="n"/>
      <c r="S240" s="845" t="n"/>
      <c r="T240" s="845" t="n"/>
      <c r="U240" s="845" t="n"/>
      <c r="V240" s="845" t="n"/>
      <c r="W240" s="845" t="n"/>
      <c r="X240" s="845" t="n"/>
      <c r="Y240" s="845" t="n"/>
      <c r="Z240" s="845" t="n"/>
    </row>
    <row r="241" ht="13.2" customHeight="1" s="1127">
      <c r="A241" s="845" t="n"/>
      <c r="B241" s="845" t="n"/>
      <c r="C241" s="845" t="n"/>
      <c r="D241" s="845" t="n"/>
      <c r="E241" s="845" t="n"/>
      <c r="F241" s="845" t="n"/>
      <c r="G241" s="879" t="n"/>
      <c r="H241" s="845" t="n"/>
      <c r="I241" s="845" t="n"/>
      <c r="J241" s="845" t="n"/>
      <c r="K241" s="845" t="n"/>
      <c r="L241" s="845" t="n"/>
      <c r="M241" s="845" t="n"/>
      <c r="N241" s="845" t="n"/>
      <c r="O241" s="845" t="n"/>
      <c r="P241" s="845" t="n"/>
      <c r="Q241" s="845" t="n"/>
      <c r="R241" s="845" t="n"/>
      <c r="S241" s="845" t="n"/>
      <c r="T241" s="845" t="n"/>
      <c r="U241" s="845" t="n"/>
      <c r="V241" s="845" t="n"/>
      <c r="W241" s="845" t="n"/>
      <c r="X241" s="845" t="n"/>
      <c r="Y241" s="845" t="n"/>
      <c r="Z241" s="845" t="n"/>
    </row>
    <row r="242" ht="13.2" customHeight="1" s="1127">
      <c r="A242" s="845" t="n"/>
      <c r="B242" s="845" t="n"/>
      <c r="C242" s="845" t="n"/>
      <c r="D242" s="845" t="n"/>
      <c r="E242" s="845" t="n"/>
      <c r="F242" s="845" t="n"/>
      <c r="G242" s="879" t="n"/>
      <c r="H242" s="845" t="n"/>
      <c r="I242" s="845" t="n"/>
      <c r="J242" s="845" t="n"/>
      <c r="K242" s="845" t="n"/>
      <c r="L242" s="845" t="n"/>
      <c r="M242" s="845" t="n"/>
      <c r="N242" s="845" t="n"/>
      <c r="O242" s="845" t="n"/>
      <c r="P242" s="845" t="n"/>
      <c r="Q242" s="845" t="n"/>
      <c r="R242" s="845" t="n"/>
      <c r="S242" s="845" t="n"/>
      <c r="T242" s="845" t="n"/>
      <c r="U242" s="845" t="n"/>
      <c r="V242" s="845" t="n"/>
      <c r="W242" s="845" t="n"/>
      <c r="X242" s="845" t="n"/>
      <c r="Y242" s="845" t="n"/>
      <c r="Z242" s="845" t="n"/>
    </row>
    <row r="243" ht="13.2" customHeight="1" s="1127">
      <c r="A243" s="845" t="n"/>
      <c r="B243" s="845" t="n"/>
      <c r="C243" s="845" t="n"/>
      <c r="D243" s="845" t="n"/>
      <c r="E243" s="845" t="n"/>
      <c r="F243" s="845" t="n"/>
      <c r="G243" s="879" t="n"/>
      <c r="H243" s="845" t="n"/>
      <c r="I243" s="845" t="n"/>
      <c r="J243" s="845" t="n"/>
      <c r="K243" s="845" t="n"/>
      <c r="L243" s="845" t="n"/>
      <c r="M243" s="845" t="n"/>
      <c r="N243" s="845" t="n"/>
      <c r="O243" s="845" t="n"/>
      <c r="P243" s="845" t="n"/>
      <c r="Q243" s="845" t="n"/>
      <c r="R243" s="845" t="n"/>
      <c r="S243" s="845" t="n"/>
      <c r="T243" s="845" t="n"/>
      <c r="U243" s="845" t="n"/>
      <c r="V243" s="845" t="n"/>
      <c r="W243" s="845" t="n"/>
      <c r="X243" s="845" t="n"/>
      <c r="Y243" s="845" t="n"/>
      <c r="Z243" s="845" t="n"/>
    </row>
    <row r="244" ht="13.2" customHeight="1" s="1127">
      <c r="A244" s="845" t="n"/>
      <c r="B244" s="845" t="n"/>
      <c r="C244" s="845" t="n"/>
      <c r="D244" s="845" t="n"/>
      <c r="E244" s="845" t="n"/>
      <c r="F244" s="845" t="n"/>
      <c r="G244" s="879" t="n"/>
      <c r="H244" s="845" t="n"/>
      <c r="I244" s="845" t="n"/>
      <c r="J244" s="845" t="n"/>
      <c r="K244" s="845" t="n"/>
      <c r="L244" s="845" t="n"/>
      <c r="M244" s="845" t="n"/>
      <c r="N244" s="845" t="n"/>
      <c r="O244" s="845" t="n"/>
      <c r="P244" s="845" t="n"/>
      <c r="Q244" s="845" t="n"/>
      <c r="R244" s="845" t="n"/>
      <c r="S244" s="845" t="n"/>
      <c r="T244" s="845" t="n"/>
      <c r="U244" s="845" t="n"/>
      <c r="V244" s="845" t="n"/>
      <c r="W244" s="845" t="n"/>
      <c r="X244" s="845" t="n"/>
      <c r="Y244" s="845" t="n"/>
      <c r="Z244" s="845" t="n"/>
    </row>
    <row r="245" ht="13.2" customHeight="1" s="1127">
      <c r="A245" s="845" t="n"/>
      <c r="B245" s="845" t="n"/>
      <c r="C245" s="845" t="n"/>
      <c r="D245" s="845" t="n"/>
      <c r="E245" s="845" t="n"/>
      <c r="F245" s="845" t="n"/>
      <c r="G245" s="879" t="n"/>
      <c r="H245" s="845" t="n"/>
      <c r="I245" s="845" t="n"/>
      <c r="J245" s="845" t="n"/>
      <c r="K245" s="845" t="n"/>
      <c r="L245" s="845" t="n"/>
      <c r="M245" s="845" t="n"/>
      <c r="N245" s="845" t="n"/>
      <c r="O245" s="845" t="n"/>
      <c r="P245" s="845" t="n"/>
      <c r="Q245" s="845" t="n"/>
      <c r="R245" s="845" t="n"/>
      <c r="S245" s="845" t="n"/>
      <c r="T245" s="845" t="n"/>
      <c r="U245" s="845" t="n"/>
      <c r="V245" s="845" t="n"/>
      <c r="W245" s="845" t="n"/>
      <c r="X245" s="845" t="n"/>
      <c r="Y245" s="845" t="n"/>
      <c r="Z245" s="845" t="n"/>
    </row>
    <row r="246" ht="13.2" customHeight="1" s="1127">
      <c r="A246" s="845" t="n"/>
      <c r="B246" s="845" t="n"/>
      <c r="C246" s="845" t="n"/>
      <c r="D246" s="845" t="n"/>
      <c r="E246" s="845" t="n"/>
      <c r="F246" s="845" t="n"/>
      <c r="G246" s="879" t="n"/>
      <c r="H246" s="845" t="n"/>
      <c r="I246" s="845" t="n"/>
      <c r="J246" s="845" t="n"/>
      <c r="K246" s="845" t="n"/>
      <c r="L246" s="845" t="n"/>
      <c r="M246" s="845" t="n"/>
      <c r="N246" s="845" t="n"/>
      <c r="O246" s="845" t="n"/>
      <c r="P246" s="845" t="n"/>
      <c r="Q246" s="845" t="n"/>
      <c r="R246" s="845" t="n"/>
      <c r="S246" s="845" t="n"/>
      <c r="T246" s="845" t="n"/>
      <c r="U246" s="845" t="n"/>
      <c r="V246" s="845" t="n"/>
      <c r="W246" s="845" t="n"/>
      <c r="X246" s="845" t="n"/>
      <c r="Y246" s="845" t="n"/>
      <c r="Z246" s="845" t="n"/>
    </row>
    <row r="247" ht="13.2" customHeight="1" s="1127">
      <c r="A247" s="845" t="n"/>
      <c r="B247" s="845" t="n"/>
      <c r="C247" s="845" t="n"/>
      <c r="D247" s="845" t="n"/>
      <c r="E247" s="845" t="n"/>
      <c r="F247" s="845" t="n"/>
      <c r="G247" s="879" t="n"/>
      <c r="H247" s="845" t="n"/>
      <c r="I247" s="845" t="n"/>
      <c r="J247" s="845" t="n"/>
      <c r="K247" s="845" t="n"/>
      <c r="L247" s="845" t="n"/>
      <c r="M247" s="845" t="n"/>
      <c r="N247" s="845" t="n"/>
      <c r="O247" s="845" t="n"/>
      <c r="P247" s="845" t="n"/>
      <c r="Q247" s="845" t="n"/>
      <c r="R247" s="845" t="n"/>
      <c r="S247" s="845" t="n"/>
      <c r="T247" s="845" t="n"/>
      <c r="U247" s="845" t="n"/>
      <c r="V247" s="845" t="n"/>
      <c r="W247" s="845" t="n"/>
      <c r="X247" s="845" t="n"/>
      <c r="Y247" s="845" t="n"/>
      <c r="Z247" s="845" t="n"/>
    </row>
    <row r="248" ht="13.2" customHeight="1" s="1127">
      <c r="A248" s="845" t="n"/>
      <c r="B248" s="845" t="n"/>
      <c r="C248" s="845" t="n"/>
      <c r="D248" s="845" t="n"/>
      <c r="E248" s="845" t="n"/>
      <c r="F248" s="845" t="n"/>
      <c r="G248" s="879" t="n"/>
      <c r="H248" s="845" t="n"/>
      <c r="I248" s="845" t="n"/>
      <c r="J248" s="845" t="n"/>
      <c r="K248" s="845" t="n"/>
      <c r="L248" s="845" t="n"/>
      <c r="M248" s="845" t="n"/>
      <c r="N248" s="845" t="n"/>
      <c r="O248" s="845" t="n"/>
      <c r="P248" s="845" t="n"/>
      <c r="Q248" s="845" t="n"/>
      <c r="R248" s="845" t="n"/>
      <c r="S248" s="845" t="n"/>
      <c r="T248" s="845" t="n"/>
      <c r="U248" s="845" t="n"/>
      <c r="V248" s="845" t="n"/>
      <c r="W248" s="845" t="n"/>
      <c r="X248" s="845" t="n"/>
      <c r="Y248" s="845" t="n"/>
      <c r="Z248" s="845" t="n"/>
    </row>
    <row r="249" ht="13.2" customHeight="1" s="1127">
      <c r="A249" s="845" t="n"/>
      <c r="B249" s="845" t="n"/>
      <c r="C249" s="845" t="n"/>
      <c r="D249" s="845" t="n"/>
      <c r="E249" s="845" t="n"/>
      <c r="F249" s="845" t="n"/>
      <c r="G249" s="879" t="n"/>
      <c r="H249" s="845" t="n"/>
      <c r="I249" s="845" t="n"/>
      <c r="J249" s="845" t="n"/>
      <c r="K249" s="845" t="n"/>
      <c r="L249" s="845" t="n"/>
      <c r="M249" s="845" t="n"/>
      <c r="N249" s="845" t="n"/>
      <c r="O249" s="845" t="n"/>
      <c r="P249" s="845" t="n"/>
      <c r="Q249" s="845" t="n"/>
      <c r="R249" s="845" t="n"/>
      <c r="S249" s="845" t="n"/>
      <c r="T249" s="845" t="n"/>
      <c r="U249" s="845" t="n"/>
      <c r="V249" s="845" t="n"/>
      <c r="W249" s="845" t="n"/>
      <c r="X249" s="845" t="n"/>
      <c r="Y249" s="845" t="n"/>
      <c r="Z249" s="845" t="n"/>
    </row>
    <row r="250" ht="13.2" customHeight="1" s="1127">
      <c r="A250" s="845" t="n"/>
      <c r="B250" s="845" t="n"/>
      <c r="C250" s="845" t="n"/>
      <c r="D250" s="845" t="n"/>
      <c r="E250" s="845" t="n"/>
      <c r="F250" s="845" t="n"/>
      <c r="G250" s="879" t="n"/>
      <c r="H250" s="845" t="n"/>
      <c r="I250" s="845" t="n"/>
      <c r="J250" s="845" t="n"/>
      <c r="K250" s="845" t="n"/>
      <c r="L250" s="845" t="n"/>
      <c r="M250" s="845" t="n"/>
      <c r="N250" s="845" t="n"/>
      <c r="O250" s="845" t="n"/>
      <c r="P250" s="845" t="n"/>
      <c r="Q250" s="845" t="n"/>
      <c r="R250" s="845" t="n"/>
      <c r="S250" s="845" t="n"/>
      <c r="T250" s="845" t="n"/>
      <c r="U250" s="845" t="n"/>
      <c r="V250" s="845" t="n"/>
      <c r="W250" s="845" t="n"/>
      <c r="X250" s="845" t="n"/>
      <c r="Y250" s="845" t="n"/>
      <c r="Z250" s="845" t="n"/>
    </row>
    <row r="251" ht="13.2" customHeight="1" s="1127">
      <c r="A251" s="845" t="n"/>
      <c r="B251" s="845" t="n"/>
      <c r="C251" s="845" t="n"/>
      <c r="D251" s="845" t="n"/>
      <c r="E251" s="845" t="n"/>
      <c r="F251" s="845" t="n"/>
      <c r="G251" s="879" t="n"/>
      <c r="H251" s="845" t="n"/>
      <c r="I251" s="845" t="n"/>
      <c r="J251" s="845" t="n"/>
      <c r="K251" s="845" t="n"/>
      <c r="L251" s="845" t="n"/>
      <c r="M251" s="845" t="n"/>
      <c r="N251" s="845" t="n"/>
      <c r="O251" s="845" t="n"/>
      <c r="P251" s="845" t="n"/>
      <c r="Q251" s="845" t="n"/>
      <c r="R251" s="845" t="n"/>
      <c r="S251" s="845" t="n"/>
      <c r="T251" s="845" t="n"/>
      <c r="U251" s="845" t="n"/>
      <c r="V251" s="845" t="n"/>
      <c r="W251" s="845" t="n"/>
      <c r="X251" s="845" t="n"/>
      <c r="Y251" s="845" t="n"/>
      <c r="Z251" s="845" t="n"/>
    </row>
    <row r="252" ht="13.2" customHeight="1" s="1127">
      <c r="A252" s="845" t="n"/>
      <c r="B252" s="845" t="n"/>
      <c r="C252" s="845" t="n"/>
      <c r="D252" s="845" t="n"/>
      <c r="E252" s="845" t="n"/>
      <c r="F252" s="845" t="n"/>
      <c r="G252" s="879" t="n"/>
      <c r="H252" s="845" t="n"/>
      <c r="I252" s="845" t="n"/>
      <c r="J252" s="845" t="n"/>
      <c r="K252" s="845" t="n"/>
      <c r="L252" s="845" t="n"/>
      <c r="M252" s="845" t="n"/>
      <c r="N252" s="845" t="n"/>
      <c r="O252" s="845" t="n"/>
      <c r="P252" s="845" t="n"/>
      <c r="Q252" s="845" t="n"/>
      <c r="R252" s="845" t="n"/>
      <c r="S252" s="845" t="n"/>
      <c r="T252" s="845" t="n"/>
      <c r="U252" s="845" t="n"/>
      <c r="V252" s="845" t="n"/>
      <c r="W252" s="845" t="n"/>
      <c r="X252" s="845" t="n"/>
      <c r="Y252" s="845" t="n"/>
      <c r="Z252" s="845" t="n"/>
    </row>
    <row r="253" ht="13.2" customHeight="1" s="1127">
      <c r="A253" s="845" t="n"/>
      <c r="B253" s="845" t="n"/>
      <c r="C253" s="845" t="n"/>
      <c r="D253" s="845" t="n"/>
      <c r="E253" s="845" t="n"/>
      <c r="F253" s="845" t="n"/>
      <c r="G253" s="879" t="n"/>
      <c r="H253" s="845" t="n"/>
      <c r="I253" s="845" t="n"/>
      <c r="J253" s="845" t="n"/>
      <c r="K253" s="845" t="n"/>
      <c r="L253" s="845" t="n"/>
      <c r="M253" s="845" t="n"/>
      <c r="N253" s="845" t="n"/>
      <c r="O253" s="845" t="n"/>
      <c r="P253" s="845" t="n"/>
      <c r="Q253" s="845" t="n"/>
      <c r="R253" s="845" t="n"/>
      <c r="S253" s="845" t="n"/>
      <c r="T253" s="845" t="n"/>
      <c r="U253" s="845" t="n"/>
      <c r="V253" s="845" t="n"/>
      <c r="W253" s="845" t="n"/>
      <c r="X253" s="845" t="n"/>
      <c r="Y253" s="845" t="n"/>
      <c r="Z253" s="845" t="n"/>
    </row>
    <row r="254" ht="13.2" customHeight="1" s="1127">
      <c r="A254" s="845" t="n"/>
      <c r="B254" s="845" t="n"/>
      <c r="C254" s="845" t="n"/>
      <c r="D254" s="845" t="n"/>
      <c r="E254" s="845" t="n"/>
      <c r="F254" s="845" t="n"/>
      <c r="G254" s="879" t="n"/>
      <c r="H254" s="845" t="n"/>
      <c r="I254" s="845" t="n"/>
      <c r="J254" s="845" t="n"/>
      <c r="K254" s="845" t="n"/>
      <c r="L254" s="845" t="n"/>
      <c r="M254" s="845" t="n"/>
      <c r="N254" s="845" t="n"/>
      <c r="O254" s="845" t="n"/>
      <c r="P254" s="845" t="n"/>
      <c r="Q254" s="845" t="n"/>
      <c r="R254" s="845" t="n"/>
      <c r="S254" s="845" t="n"/>
      <c r="T254" s="845" t="n"/>
      <c r="U254" s="845" t="n"/>
      <c r="V254" s="845" t="n"/>
      <c r="W254" s="845" t="n"/>
      <c r="X254" s="845" t="n"/>
      <c r="Y254" s="845" t="n"/>
      <c r="Z254" s="845" t="n"/>
    </row>
    <row r="255" ht="13.2" customHeight="1" s="1127">
      <c r="A255" s="845" t="n"/>
      <c r="B255" s="845" t="n"/>
      <c r="C255" s="845" t="n"/>
      <c r="D255" s="845" t="n"/>
      <c r="E255" s="845" t="n"/>
      <c r="F255" s="845" t="n"/>
      <c r="G255" s="879" t="n"/>
      <c r="H255" s="845" t="n"/>
      <c r="I255" s="845" t="n"/>
      <c r="J255" s="845" t="n"/>
      <c r="K255" s="845" t="n"/>
      <c r="L255" s="845" t="n"/>
      <c r="M255" s="845" t="n"/>
      <c r="N255" s="845" t="n"/>
      <c r="O255" s="845" t="n"/>
      <c r="P255" s="845" t="n"/>
      <c r="Q255" s="845" t="n"/>
      <c r="R255" s="845" t="n"/>
      <c r="S255" s="845" t="n"/>
      <c r="T255" s="845" t="n"/>
      <c r="U255" s="845" t="n"/>
      <c r="V255" s="845" t="n"/>
      <c r="W255" s="845" t="n"/>
      <c r="X255" s="845" t="n"/>
      <c r="Y255" s="845" t="n"/>
      <c r="Z255" s="845" t="n"/>
    </row>
    <row r="256" ht="13.2" customHeight="1" s="1127">
      <c r="A256" s="845" t="n"/>
      <c r="B256" s="845" t="n"/>
      <c r="C256" s="845" t="n"/>
      <c r="D256" s="845" t="n"/>
      <c r="E256" s="845" t="n"/>
      <c r="F256" s="845" t="n"/>
      <c r="G256" s="879" t="n"/>
      <c r="H256" s="845" t="n"/>
      <c r="I256" s="845" t="n"/>
      <c r="J256" s="845" t="n"/>
      <c r="K256" s="845" t="n"/>
      <c r="L256" s="845" t="n"/>
      <c r="M256" s="845" t="n"/>
      <c r="N256" s="845" t="n"/>
      <c r="O256" s="845" t="n"/>
      <c r="P256" s="845" t="n"/>
      <c r="Q256" s="845" t="n"/>
      <c r="R256" s="845" t="n"/>
      <c r="S256" s="845" t="n"/>
      <c r="T256" s="845" t="n"/>
      <c r="U256" s="845" t="n"/>
      <c r="V256" s="845" t="n"/>
      <c r="W256" s="845" t="n"/>
      <c r="X256" s="845" t="n"/>
      <c r="Y256" s="845" t="n"/>
      <c r="Z256" s="845" t="n"/>
    </row>
    <row r="257" ht="13.2" customHeight="1" s="1127">
      <c r="A257" s="845" t="n"/>
      <c r="B257" s="845" t="n"/>
      <c r="C257" s="845" t="n"/>
      <c r="D257" s="845" t="n"/>
      <c r="E257" s="845" t="n"/>
      <c r="F257" s="845" t="n"/>
      <c r="G257" s="879" t="n"/>
      <c r="H257" s="845" t="n"/>
      <c r="I257" s="845" t="n"/>
      <c r="J257" s="845" t="n"/>
      <c r="K257" s="845" t="n"/>
      <c r="L257" s="845" t="n"/>
      <c r="M257" s="845" t="n"/>
      <c r="N257" s="845" t="n"/>
      <c r="O257" s="845" t="n"/>
      <c r="P257" s="845" t="n"/>
      <c r="Q257" s="845" t="n"/>
      <c r="R257" s="845" t="n"/>
      <c r="S257" s="845" t="n"/>
      <c r="T257" s="845" t="n"/>
      <c r="U257" s="845" t="n"/>
      <c r="V257" s="845" t="n"/>
      <c r="W257" s="845" t="n"/>
      <c r="X257" s="845" t="n"/>
      <c r="Y257" s="845" t="n"/>
      <c r="Z257" s="845" t="n"/>
    </row>
    <row r="258" ht="13.2" customHeight="1" s="1127">
      <c r="A258" s="845" t="n"/>
      <c r="B258" s="845" t="n"/>
      <c r="C258" s="845" t="n"/>
      <c r="D258" s="845" t="n"/>
      <c r="E258" s="845" t="n"/>
      <c r="F258" s="845" t="n"/>
      <c r="G258" s="879" t="n"/>
      <c r="H258" s="845" t="n"/>
      <c r="I258" s="845" t="n"/>
      <c r="J258" s="845" t="n"/>
      <c r="K258" s="845" t="n"/>
      <c r="L258" s="845" t="n"/>
      <c r="M258" s="845" t="n"/>
      <c r="N258" s="845" t="n"/>
      <c r="O258" s="845" t="n"/>
      <c r="P258" s="845" t="n"/>
      <c r="Q258" s="845" t="n"/>
      <c r="R258" s="845" t="n"/>
      <c r="S258" s="845" t="n"/>
      <c r="T258" s="845" t="n"/>
      <c r="U258" s="845" t="n"/>
      <c r="V258" s="845" t="n"/>
      <c r="W258" s="845" t="n"/>
      <c r="X258" s="845" t="n"/>
      <c r="Y258" s="845" t="n"/>
      <c r="Z258" s="845" t="n"/>
    </row>
    <row r="259" ht="13.2" customHeight="1" s="1127">
      <c r="A259" s="845" t="n"/>
      <c r="B259" s="845" t="n"/>
      <c r="C259" s="845" t="n"/>
      <c r="D259" s="845" t="n"/>
      <c r="E259" s="845" t="n"/>
      <c r="F259" s="845" t="n"/>
      <c r="G259" s="879" t="n"/>
      <c r="H259" s="845" t="n"/>
      <c r="I259" s="845" t="n"/>
      <c r="J259" s="845" t="n"/>
      <c r="K259" s="845" t="n"/>
      <c r="L259" s="845" t="n"/>
      <c r="M259" s="845" t="n"/>
      <c r="N259" s="845" t="n"/>
      <c r="O259" s="845" t="n"/>
      <c r="P259" s="845" t="n"/>
      <c r="Q259" s="845" t="n"/>
      <c r="R259" s="845" t="n"/>
      <c r="S259" s="845" t="n"/>
      <c r="T259" s="845" t="n"/>
      <c r="U259" s="845" t="n"/>
      <c r="V259" s="845" t="n"/>
      <c r="W259" s="845" t="n"/>
      <c r="X259" s="845" t="n"/>
      <c r="Y259" s="845" t="n"/>
      <c r="Z259" s="845" t="n"/>
    </row>
    <row r="260" ht="13.2" customHeight="1" s="1127">
      <c r="A260" s="845" t="n"/>
      <c r="B260" s="845" t="n"/>
      <c r="C260" s="845" t="n"/>
      <c r="D260" s="845" t="n"/>
      <c r="E260" s="845" t="n"/>
      <c r="F260" s="845" t="n"/>
      <c r="G260" s="879" t="n"/>
      <c r="H260" s="845" t="n"/>
      <c r="I260" s="845" t="n"/>
      <c r="J260" s="845" t="n"/>
      <c r="K260" s="845" t="n"/>
      <c r="L260" s="845" t="n"/>
      <c r="M260" s="845" t="n"/>
      <c r="N260" s="845" t="n"/>
      <c r="O260" s="845" t="n"/>
      <c r="P260" s="845" t="n"/>
      <c r="Q260" s="845" t="n"/>
      <c r="R260" s="845" t="n"/>
      <c r="S260" s="845" t="n"/>
      <c r="T260" s="845" t="n"/>
      <c r="U260" s="845" t="n"/>
      <c r="V260" s="845" t="n"/>
      <c r="W260" s="845" t="n"/>
      <c r="X260" s="845" t="n"/>
      <c r="Y260" s="845" t="n"/>
      <c r="Z260" s="845" t="n"/>
    </row>
    <row r="261" ht="13.2" customHeight="1" s="1127">
      <c r="A261" s="845" t="n"/>
      <c r="B261" s="845" t="n"/>
      <c r="C261" s="845" t="n"/>
      <c r="D261" s="845" t="n"/>
      <c r="E261" s="845" t="n"/>
      <c r="F261" s="845" t="n"/>
      <c r="G261" s="879" t="n"/>
      <c r="H261" s="845" t="n"/>
      <c r="I261" s="845" t="n"/>
      <c r="J261" s="845" t="n"/>
      <c r="K261" s="845" t="n"/>
      <c r="L261" s="845" t="n"/>
      <c r="M261" s="845" t="n"/>
      <c r="N261" s="845" t="n"/>
      <c r="O261" s="845" t="n"/>
      <c r="P261" s="845" t="n"/>
      <c r="Q261" s="845" t="n"/>
      <c r="R261" s="845" t="n"/>
      <c r="S261" s="845" t="n"/>
      <c r="T261" s="845" t="n"/>
      <c r="U261" s="845" t="n"/>
      <c r="V261" s="845" t="n"/>
      <c r="W261" s="845" t="n"/>
      <c r="X261" s="845" t="n"/>
      <c r="Y261" s="845" t="n"/>
      <c r="Z261" s="845" t="n"/>
    </row>
    <row r="262" ht="13.2" customHeight="1" s="1127">
      <c r="A262" s="845" t="n"/>
      <c r="B262" s="845" t="n"/>
      <c r="C262" s="845" t="n"/>
      <c r="D262" s="845" t="n"/>
      <c r="E262" s="845" t="n"/>
      <c r="F262" s="845" t="n"/>
      <c r="G262" s="879" t="n"/>
      <c r="H262" s="845" t="n"/>
      <c r="I262" s="845" t="n"/>
      <c r="J262" s="845" t="n"/>
      <c r="K262" s="845" t="n"/>
      <c r="L262" s="845" t="n"/>
      <c r="M262" s="845" t="n"/>
      <c r="N262" s="845" t="n"/>
      <c r="O262" s="845" t="n"/>
      <c r="P262" s="845" t="n"/>
      <c r="Q262" s="845" t="n"/>
      <c r="R262" s="845" t="n"/>
      <c r="S262" s="845" t="n"/>
      <c r="T262" s="845" t="n"/>
      <c r="U262" s="845" t="n"/>
      <c r="V262" s="845" t="n"/>
      <c r="W262" s="845" t="n"/>
      <c r="X262" s="845" t="n"/>
      <c r="Y262" s="845" t="n"/>
      <c r="Z262" s="845" t="n"/>
    </row>
    <row r="263" ht="13.2" customHeight="1" s="1127">
      <c r="A263" s="845" t="n"/>
      <c r="B263" s="845" t="n"/>
      <c r="C263" s="845" t="n"/>
      <c r="D263" s="845" t="n"/>
      <c r="E263" s="845" t="n"/>
      <c r="F263" s="845" t="n"/>
      <c r="G263" s="879" t="n"/>
      <c r="H263" s="845" t="n"/>
      <c r="I263" s="845" t="n"/>
      <c r="J263" s="845" t="n"/>
      <c r="K263" s="845" t="n"/>
      <c r="L263" s="845" t="n"/>
      <c r="M263" s="845" t="n"/>
      <c r="N263" s="845" t="n"/>
      <c r="O263" s="845" t="n"/>
      <c r="P263" s="845" t="n"/>
      <c r="Q263" s="845" t="n"/>
      <c r="R263" s="845" t="n"/>
      <c r="S263" s="845" t="n"/>
      <c r="T263" s="845" t="n"/>
      <c r="U263" s="845" t="n"/>
      <c r="V263" s="845" t="n"/>
      <c r="W263" s="845" t="n"/>
      <c r="X263" s="845" t="n"/>
      <c r="Y263" s="845" t="n"/>
      <c r="Z263" s="845" t="n"/>
    </row>
    <row r="264" ht="13.2" customHeight="1" s="1127">
      <c r="A264" s="845" t="n"/>
      <c r="B264" s="845" t="n"/>
      <c r="C264" s="845" t="n"/>
      <c r="D264" s="845" t="n"/>
      <c r="E264" s="845" t="n"/>
      <c r="F264" s="845" t="n"/>
      <c r="G264" s="879" t="n"/>
      <c r="H264" s="845" t="n"/>
      <c r="I264" s="845" t="n"/>
      <c r="J264" s="845" t="n"/>
      <c r="K264" s="845" t="n"/>
      <c r="L264" s="845" t="n"/>
      <c r="M264" s="845" t="n"/>
      <c r="N264" s="845" t="n"/>
      <c r="O264" s="845" t="n"/>
      <c r="P264" s="845" t="n"/>
      <c r="Q264" s="845" t="n"/>
      <c r="R264" s="845" t="n"/>
      <c r="S264" s="845" t="n"/>
      <c r="T264" s="845" t="n"/>
      <c r="U264" s="845" t="n"/>
      <c r="V264" s="845" t="n"/>
      <c r="W264" s="845" t="n"/>
      <c r="X264" s="845" t="n"/>
      <c r="Y264" s="845" t="n"/>
      <c r="Z264" s="845" t="n"/>
    </row>
    <row r="265" ht="13.2" customHeight="1" s="1127">
      <c r="A265" s="845" t="n"/>
      <c r="B265" s="845" t="n"/>
      <c r="C265" s="845" t="n"/>
      <c r="D265" s="845" t="n"/>
      <c r="E265" s="845" t="n"/>
      <c r="F265" s="845" t="n"/>
      <c r="G265" s="879" t="n"/>
      <c r="H265" s="845" t="n"/>
      <c r="I265" s="845" t="n"/>
      <c r="J265" s="845" t="n"/>
      <c r="K265" s="845" t="n"/>
      <c r="L265" s="845" t="n"/>
      <c r="M265" s="845" t="n"/>
      <c r="N265" s="845" t="n"/>
      <c r="O265" s="845" t="n"/>
      <c r="P265" s="845" t="n"/>
      <c r="Q265" s="845" t="n"/>
      <c r="R265" s="845" t="n"/>
      <c r="S265" s="845" t="n"/>
      <c r="T265" s="845" t="n"/>
      <c r="U265" s="845" t="n"/>
      <c r="V265" s="845" t="n"/>
      <c r="W265" s="845" t="n"/>
      <c r="X265" s="845" t="n"/>
      <c r="Y265" s="845" t="n"/>
      <c r="Z265" s="845" t="n"/>
    </row>
    <row r="266" ht="13.2" customHeight="1" s="1127">
      <c r="A266" s="845" t="n"/>
      <c r="B266" s="845" t="n"/>
      <c r="C266" s="845" t="n"/>
      <c r="D266" s="845" t="n"/>
      <c r="E266" s="845" t="n"/>
      <c r="F266" s="845" t="n"/>
      <c r="G266" s="879" t="n"/>
      <c r="H266" s="845" t="n"/>
      <c r="I266" s="845" t="n"/>
      <c r="J266" s="845" t="n"/>
      <c r="K266" s="845" t="n"/>
      <c r="L266" s="845" t="n"/>
      <c r="M266" s="845" t="n"/>
      <c r="N266" s="845" t="n"/>
      <c r="O266" s="845" t="n"/>
      <c r="P266" s="845" t="n"/>
      <c r="Q266" s="845" t="n"/>
      <c r="R266" s="845" t="n"/>
      <c r="S266" s="845" t="n"/>
      <c r="T266" s="845" t="n"/>
      <c r="U266" s="845" t="n"/>
      <c r="V266" s="845" t="n"/>
      <c r="W266" s="845" t="n"/>
      <c r="X266" s="845" t="n"/>
      <c r="Y266" s="845" t="n"/>
      <c r="Z266" s="845" t="n"/>
    </row>
    <row r="267" ht="13.2" customHeight="1" s="1127">
      <c r="A267" s="845" t="n"/>
      <c r="B267" s="845" t="n"/>
      <c r="C267" s="845" t="n"/>
      <c r="D267" s="845" t="n"/>
      <c r="E267" s="845" t="n"/>
      <c r="F267" s="845" t="n"/>
      <c r="G267" s="879" t="n"/>
      <c r="H267" s="845" t="n"/>
      <c r="I267" s="845" t="n"/>
      <c r="J267" s="845" t="n"/>
      <c r="K267" s="845" t="n"/>
      <c r="L267" s="845" t="n"/>
      <c r="M267" s="845" t="n"/>
      <c r="N267" s="845" t="n"/>
      <c r="O267" s="845" t="n"/>
      <c r="P267" s="845" t="n"/>
      <c r="Q267" s="845" t="n"/>
      <c r="R267" s="845" t="n"/>
      <c r="S267" s="845" t="n"/>
      <c r="T267" s="845" t="n"/>
      <c r="U267" s="845" t="n"/>
      <c r="V267" s="845" t="n"/>
      <c r="W267" s="845" t="n"/>
      <c r="X267" s="845" t="n"/>
      <c r="Y267" s="845" t="n"/>
      <c r="Z267" s="845" t="n"/>
    </row>
    <row r="268" ht="13.2" customHeight="1" s="1127">
      <c r="A268" s="845" t="n"/>
      <c r="B268" s="845" t="n"/>
      <c r="C268" s="845" t="n"/>
      <c r="D268" s="845" t="n"/>
      <c r="E268" s="845" t="n"/>
      <c r="F268" s="845" t="n"/>
      <c r="G268" s="879" t="n"/>
      <c r="H268" s="845" t="n"/>
      <c r="I268" s="845" t="n"/>
      <c r="J268" s="845" t="n"/>
      <c r="K268" s="845" t="n"/>
      <c r="L268" s="845" t="n"/>
      <c r="M268" s="845" t="n"/>
      <c r="N268" s="845" t="n"/>
      <c r="O268" s="845" t="n"/>
      <c r="P268" s="845" t="n"/>
      <c r="Q268" s="845" t="n"/>
      <c r="R268" s="845" t="n"/>
      <c r="S268" s="845" t="n"/>
      <c r="T268" s="845" t="n"/>
      <c r="U268" s="845" t="n"/>
      <c r="V268" s="845" t="n"/>
      <c r="W268" s="845" t="n"/>
      <c r="X268" s="845" t="n"/>
      <c r="Y268" s="845" t="n"/>
      <c r="Z268" s="845" t="n"/>
    </row>
    <row r="269" ht="13.2" customHeight="1" s="1127">
      <c r="A269" s="845" t="n"/>
      <c r="B269" s="845" t="n"/>
      <c r="C269" s="845" t="n"/>
      <c r="D269" s="845" t="n"/>
      <c r="E269" s="845" t="n"/>
      <c r="F269" s="845" t="n"/>
      <c r="G269" s="879" t="n"/>
      <c r="H269" s="845" t="n"/>
      <c r="I269" s="845" t="n"/>
      <c r="J269" s="845" t="n"/>
      <c r="K269" s="845" t="n"/>
      <c r="L269" s="845" t="n"/>
      <c r="M269" s="845" t="n"/>
      <c r="N269" s="845" t="n"/>
      <c r="O269" s="845" t="n"/>
      <c r="P269" s="845" t="n"/>
      <c r="Q269" s="845" t="n"/>
      <c r="R269" s="845" t="n"/>
      <c r="S269" s="845" t="n"/>
      <c r="T269" s="845" t="n"/>
      <c r="U269" s="845" t="n"/>
      <c r="V269" s="845" t="n"/>
      <c r="W269" s="845" t="n"/>
      <c r="X269" s="845" t="n"/>
      <c r="Y269" s="845" t="n"/>
      <c r="Z269" s="845" t="n"/>
    </row>
    <row r="270" ht="13.2" customHeight="1" s="1127">
      <c r="A270" s="845" t="n"/>
      <c r="B270" s="845" t="n"/>
      <c r="C270" s="845" t="n"/>
      <c r="D270" s="845" t="n"/>
      <c r="E270" s="845" t="n"/>
      <c r="F270" s="845" t="n"/>
      <c r="G270" s="879" t="n"/>
      <c r="H270" s="845" t="n"/>
      <c r="I270" s="845" t="n"/>
      <c r="J270" s="845" t="n"/>
      <c r="K270" s="845" t="n"/>
      <c r="L270" s="845" t="n"/>
      <c r="M270" s="845" t="n"/>
      <c r="N270" s="845" t="n"/>
      <c r="O270" s="845" t="n"/>
      <c r="P270" s="845" t="n"/>
      <c r="Q270" s="845" t="n"/>
      <c r="R270" s="845" t="n"/>
      <c r="S270" s="845" t="n"/>
      <c r="T270" s="845" t="n"/>
      <c r="U270" s="845" t="n"/>
      <c r="V270" s="845" t="n"/>
      <c r="W270" s="845" t="n"/>
      <c r="X270" s="845" t="n"/>
      <c r="Y270" s="845" t="n"/>
      <c r="Z270" s="845" t="n"/>
    </row>
    <row r="271" ht="13.2" customHeight="1" s="1127">
      <c r="A271" s="845" t="n"/>
      <c r="B271" s="845" t="n"/>
      <c r="C271" s="845" t="n"/>
      <c r="D271" s="845" t="n"/>
      <c r="E271" s="845" t="n"/>
      <c r="F271" s="845" t="n"/>
      <c r="G271" s="879" t="n"/>
      <c r="H271" s="845" t="n"/>
      <c r="I271" s="845" t="n"/>
      <c r="J271" s="845" t="n"/>
      <c r="K271" s="845" t="n"/>
      <c r="L271" s="845" t="n"/>
      <c r="M271" s="845" t="n"/>
      <c r="N271" s="845" t="n"/>
      <c r="O271" s="845" t="n"/>
      <c r="P271" s="845" t="n"/>
      <c r="Q271" s="845" t="n"/>
      <c r="R271" s="845" t="n"/>
      <c r="S271" s="845" t="n"/>
      <c r="T271" s="845" t="n"/>
      <c r="U271" s="845" t="n"/>
      <c r="V271" s="845" t="n"/>
      <c r="W271" s="845" t="n"/>
      <c r="X271" s="845" t="n"/>
      <c r="Y271" s="845" t="n"/>
      <c r="Z271" s="845" t="n"/>
    </row>
    <row r="272" ht="13.2" customHeight="1" s="1127">
      <c r="A272" s="845" t="n"/>
      <c r="B272" s="845" t="n"/>
      <c r="C272" s="845" t="n"/>
      <c r="D272" s="845" t="n"/>
      <c r="E272" s="845" t="n"/>
      <c r="F272" s="845" t="n"/>
      <c r="G272" s="879" t="n"/>
      <c r="H272" s="845" t="n"/>
      <c r="I272" s="845" t="n"/>
      <c r="J272" s="845" t="n"/>
      <c r="K272" s="845" t="n"/>
      <c r="L272" s="845" t="n"/>
      <c r="M272" s="845" t="n"/>
      <c r="N272" s="845" t="n"/>
      <c r="O272" s="845" t="n"/>
      <c r="P272" s="845" t="n"/>
      <c r="Q272" s="845" t="n"/>
      <c r="R272" s="845" t="n"/>
      <c r="S272" s="845" t="n"/>
      <c r="T272" s="845" t="n"/>
      <c r="U272" s="845" t="n"/>
      <c r="V272" s="845" t="n"/>
      <c r="W272" s="845" t="n"/>
      <c r="X272" s="845" t="n"/>
      <c r="Y272" s="845" t="n"/>
      <c r="Z272" s="845" t="n"/>
    </row>
    <row r="273" ht="13.2" customHeight="1" s="1127">
      <c r="A273" s="845" t="n"/>
      <c r="B273" s="845" t="n"/>
      <c r="C273" s="845" t="n"/>
      <c r="D273" s="845" t="n"/>
      <c r="E273" s="845" t="n"/>
      <c r="F273" s="845" t="n"/>
      <c r="G273" s="879" t="n"/>
      <c r="H273" s="845" t="n"/>
      <c r="I273" s="845" t="n"/>
      <c r="J273" s="845" t="n"/>
      <c r="K273" s="845" t="n"/>
      <c r="L273" s="845" t="n"/>
      <c r="M273" s="845" t="n"/>
      <c r="N273" s="845" t="n"/>
      <c r="O273" s="845" t="n"/>
      <c r="P273" s="845" t="n"/>
      <c r="Q273" s="845" t="n"/>
      <c r="R273" s="845" t="n"/>
      <c r="S273" s="845" t="n"/>
      <c r="T273" s="845" t="n"/>
      <c r="U273" s="845" t="n"/>
      <c r="V273" s="845" t="n"/>
      <c r="W273" s="845" t="n"/>
      <c r="X273" s="845" t="n"/>
      <c r="Y273" s="845" t="n"/>
      <c r="Z273" s="845" t="n"/>
    </row>
    <row r="274" ht="13.2" customHeight="1" s="1127">
      <c r="A274" s="845" t="n"/>
      <c r="B274" s="845" t="n"/>
      <c r="C274" s="845" t="n"/>
      <c r="D274" s="845" t="n"/>
      <c r="E274" s="845" t="n"/>
      <c r="F274" s="845" t="n"/>
      <c r="G274" s="879" t="n"/>
      <c r="H274" s="845" t="n"/>
      <c r="I274" s="845" t="n"/>
      <c r="J274" s="845" t="n"/>
      <c r="K274" s="845" t="n"/>
      <c r="L274" s="845" t="n"/>
      <c r="M274" s="845" t="n"/>
      <c r="N274" s="845" t="n"/>
      <c r="O274" s="845" t="n"/>
      <c r="P274" s="845" t="n"/>
      <c r="Q274" s="845" t="n"/>
      <c r="R274" s="845" t="n"/>
      <c r="S274" s="845" t="n"/>
      <c r="T274" s="845" t="n"/>
      <c r="U274" s="845" t="n"/>
      <c r="V274" s="845" t="n"/>
      <c r="W274" s="845" t="n"/>
      <c r="X274" s="845" t="n"/>
      <c r="Y274" s="845" t="n"/>
      <c r="Z274" s="845" t="n"/>
    </row>
    <row r="275" ht="13.2" customHeight="1" s="1127">
      <c r="A275" s="845" t="n"/>
      <c r="B275" s="845" t="n"/>
      <c r="C275" s="845" t="n"/>
      <c r="D275" s="845" t="n"/>
      <c r="E275" s="845" t="n"/>
      <c r="F275" s="845" t="n"/>
      <c r="G275" s="879" t="n"/>
      <c r="H275" s="845" t="n"/>
      <c r="I275" s="845" t="n"/>
      <c r="J275" s="845" t="n"/>
      <c r="K275" s="845" t="n"/>
      <c r="L275" s="845" t="n"/>
      <c r="M275" s="845" t="n"/>
      <c r="N275" s="845" t="n"/>
      <c r="O275" s="845" t="n"/>
      <c r="P275" s="845" t="n"/>
      <c r="Q275" s="845" t="n"/>
      <c r="R275" s="845" t="n"/>
      <c r="S275" s="845" t="n"/>
      <c r="T275" s="845" t="n"/>
      <c r="U275" s="845" t="n"/>
      <c r="V275" s="845" t="n"/>
      <c r="W275" s="845" t="n"/>
      <c r="X275" s="845" t="n"/>
      <c r="Y275" s="845" t="n"/>
      <c r="Z275" s="845" t="n"/>
    </row>
    <row r="276" ht="13.2" customHeight="1" s="1127">
      <c r="A276" s="845" t="n"/>
      <c r="B276" s="845" t="n"/>
      <c r="C276" s="845" t="n"/>
      <c r="D276" s="845" t="n"/>
      <c r="E276" s="845" t="n"/>
      <c r="F276" s="845" t="n"/>
      <c r="G276" s="879" t="n"/>
      <c r="H276" s="845" t="n"/>
      <c r="I276" s="845" t="n"/>
      <c r="J276" s="845" t="n"/>
      <c r="K276" s="845" t="n"/>
      <c r="L276" s="845" t="n"/>
      <c r="M276" s="845" t="n"/>
      <c r="N276" s="845" t="n"/>
      <c r="O276" s="845" t="n"/>
      <c r="P276" s="845" t="n"/>
      <c r="Q276" s="845" t="n"/>
      <c r="R276" s="845" t="n"/>
      <c r="S276" s="845" t="n"/>
      <c r="T276" s="845" t="n"/>
      <c r="U276" s="845" t="n"/>
      <c r="V276" s="845" t="n"/>
      <c r="W276" s="845" t="n"/>
      <c r="X276" s="845" t="n"/>
      <c r="Y276" s="845" t="n"/>
      <c r="Z276" s="845" t="n"/>
    </row>
    <row r="277" ht="13.2" customHeight="1" s="1127">
      <c r="A277" s="845" t="n"/>
      <c r="B277" s="845" t="n"/>
      <c r="C277" s="845" t="n"/>
      <c r="D277" s="845" t="n"/>
      <c r="E277" s="845" t="n"/>
      <c r="F277" s="845" t="n"/>
      <c r="G277" s="879" t="n"/>
      <c r="H277" s="845" t="n"/>
      <c r="I277" s="845" t="n"/>
      <c r="J277" s="845" t="n"/>
      <c r="K277" s="845" t="n"/>
      <c r="L277" s="845" t="n"/>
      <c r="M277" s="845" t="n"/>
      <c r="N277" s="845" t="n"/>
      <c r="O277" s="845" t="n"/>
      <c r="P277" s="845" t="n"/>
      <c r="Q277" s="845" t="n"/>
      <c r="R277" s="845" t="n"/>
      <c r="S277" s="845" t="n"/>
      <c r="T277" s="845" t="n"/>
      <c r="U277" s="845" t="n"/>
      <c r="V277" s="845" t="n"/>
      <c r="W277" s="845" t="n"/>
      <c r="X277" s="845" t="n"/>
      <c r="Y277" s="845" t="n"/>
      <c r="Z277" s="845" t="n"/>
    </row>
    <row r="278" ht="13.2" customHeight="1" s="1127">
      <c r="A278" s="845" t="n"/>
      <c r="B278" s="845" t="n"/>
      <c r="C278" s="845" t="n"/>
      <c r="D278" s="845" t="n"/>
      <c r="E278" s="845" t="n"/>
      <c r="F278" s="845" t="n"/>
      <c r="G278" s="879" t="n"/>
      <c r="H278" s="845" t="n"/>
      <c r="I278" s="845" t="n"/>
      <c r="J278" s="845" t="n"/>
      <c r="K278" s="845" t="n"/>
      <c r="L278" s="845" t="n"/>
      <c r="M278" s="845" t="n"/>
      <c r="N278" s="845" t="n"/>
      <c r="O278" s="845" t="n"/>
      <c r="P278" s="845" t="n"/>
      <c r="Q278" s="845" t="n"/>
      <c r="R278" s="845" t="n"/>
      <c r="S278" s="845" t="n"/>
      <c r="T278" s="845" t="n"/>
      <c r="U278" s="845" t="n"/>
      <c r="V278" s="845" t="n"/>
      <c r="W278" s="845" t="n"/>
      <c r="X278" s="845" t="n"/>
      <c r="Y278" s="845" t="n"/>
      <c r="Z278" s="845" t="n"/>
    </row>
    <row r="279" ht="13.2" customHeight="1" s="1127">
      <c r="A279" s="845" t="n"/>
      <c r="B279" s="845" t="n"/>
      <c r="C279" s="845" t="n"/>
      <c r="D279" s="845" t="n"/>
      <c r="E279" s="845" t="n"/>
      <c r="F279" s="845" t="n"/>
      <c r="G279" s="879" t="n"/>
      <c r="H279" s="845" t="n"/>
      <c r="I279" s="845" t="n"/>
      <c r="J279" s="845" t="n"/>
      <c r="K279" s="845" t="n"/>
      <c r="L279" s="845" t="n"/>
      <c r="M279" s="845" t="n"/>
      <c r="N279" s="845" t="n"/>
      <c r="O279" s="845" t="n"/>
      <c r="P279" s="845" t="n"/>
      <c r="Q279" s="845" t="n"/>
      <c r="R279" s="845" t="n"/>
      <c r="S279" s="845" t="n"/>
      <c r="T279" s="845" t="n"/>
      <c r="U279" s="845" t="n"/>
      <c r="V279" s="845" t="n"/>
      <c r="W279" s="845" t="n"/>
      <c r="X279" s="845" t="n"/>
      <c r="Y279" s="845" t="n"/>
      <c r="Z279" s="845" t="n"/>
    </row>
    <row r="280" ht="13.2" customHeight="1" s="1127">
      <c r="A280" s="845" t="n"/>
      <c r="B280" s="845" t="n"/>
      <c r="C280" s="845" t="n"/>
      <c r="D280" s="845" t="n"/>
      <c r="E280" s="845" t="n"/>
      <c r="F280" s="845" t="n"/>
      <c r="G280" s="879" t="n"/>
      <c r="H280" s="845" t="n"/>
      <c r="I280" s="845" t="n"/>
      <c r="J280" s="845" t="n"/>
      <c r="K280" s="845" t="n"/>
      <c r="L280" s="845" t="n"/>
      <c r="M280" s="845" t="n"/>
      <c r="N280" s="845" t="n"/>
      <c r="O280" s="845" t="n"/>
      <c r="P280" s="845" t="n"/>
      <c r="Q280" s="845" t="n"/>
      <c r="R280" s="845" t="n"/>
      <c r="S280" s="845" t="n"/>
      <c r="T280" s="845" t="n"/>
      <c r="U280" s="845" t="n"/>
      <c r="V280" s="845" t="n"/>
      <c r="W280" s="845" t="n"/>
      <c r="X280" s="845" t="n"/>
      <c r="Y280" s="845" t="n"/>
      <c r="Z280" s="845" t="n"/>
    </row>
    <row r="281" ht="13.2" customHeight="1" s="1127">
      <c r="A281" s="845" t="n"/>
      <c r="B281" s="845" t="n"/>
      <c r="C281" s="845" t="n"/>
      <c r="D281" s="845" t="n"/>
      <c r="E281" s="845" t="n"/>
      <c r="F281" s="845" t="n"/>
      <c r="G281" s="879" t="n"/>
      <c r="H281" s="845" t="n"/>
      <c r="I281" s="845" t="n"/>
      <c r="J281" s="845" t="n"/>
      <c r="K281" s="845" t="n"/>
      <c r="L281" s="845" t="n"/>
      <c r="M281" s="845" t="n"/>
      <c r="N281" s="845" t="n"/>
      <c r="O281" s="845" t="n"/>
      <c r="P281" s="845" t="n"/>
      <c r="Q281" s="845" t="n"/>
      <c r="R281" s="845" t="n"/>
      <c r="S281" s="845" t="n"/>
      <c r="T281" s="845" t="n"/>
      <c r="U281" s="845" t="n"/>
      <c r="V281" s="845" t="n"/>
      <c r="W281" s="845" t="n"/>
      <c r="X281" s="845" t="n"/>
      <c r="Y281" s="845" t="n"/>
      <c r="Z281" s="845" t="n"/>
    </row>
    <row r="282" ht="13.2" customHeight="1" s="1127">
      <c r="A282" s="845" t="n"/>
      <c r="B282" s="845" t="n"/>
      <c r="C282" s="845" t="n"/>
      <c r="D282" s="845" t="n"/>
      <c r="E282" s="845" t="n"/>
      <c r="F282" s="845" t="n"/>
      <c r="G282" s="879" t="n"/>
      <c r="H282" s="845" t="n"/>
      <c r="I282" s="845" t="n"/>
      <c r="J282" s="845" t="n"/>
      <c r="K282" s="845" t="n"/>
      <c r="L282" s="845" t="n"/>
      <c r="M282" s="845" t="n"/>
      <c r="N282" s="845" t="n"/>
      <c r="O282" s="845" t="n"/>
      <c r="P282" s="845" t="n"/>
      <c r="Q282" s="845" t="n"/>
      <c r="R282" s="845" t="n"/>
      <c r="S282" s="845" t="n"/>
      <c r="T282" s="845" t="n"/>
      <c r="U282" s="845" t="n"/>
      <c r="V282" s="845" t="n"/>
      <c r="W282" s="845" t="n"/>
      <c r="X282" s="845" t="n"/>
      <c r="Y282" s="845" t="n"/>
      <c r="Z282" s="845" t="n"/>
    </row>
    <row r="283" ht="13.2" customHeight="1" s="1127">
      <c r="A283" s="845" t="n"/>
      <c r="B283" s="845" t="n"/>
      <c r="C283" s="845" t="n"/>
      <c r="D283" s="845" t="n"/>
      <c r="E283" s="845" t="n"/>
      <c r="F283" s="845" t="n"/>
      <c r="G283" s="879" t="n"/>
      <c r="H283" s="845" t="n"/>
      <c r="I283" s="845" t="n"/>
      <c r="J283" s="845" t="n"/>
      <c r="K283" s="845" t="n"/>
      <c r="L283" s="845" t="n"/>
      <c r="M283" s="845" t="n"/>
      <c r="N283" s="845" t="n"/>
      <c r="O283" s="845" t="n"/>
      <c r="P283" s="845" t="n"/>
      <c r="Q283" s="845" t="n"/>
      <c r="R283" s="845" t="n"/>
      <c r="S283" s="845" t="n"/>
      <c r="T283" s="845" t="n"/>
      <c r="U283" s="845" t="n"/>
      <c r="V283" s="845" t="n"/>
      <c r="W283" s="845" t="n"/>
      <c r="X283" s="845" t="n"/>
      <c r="Y283" s="845" t="n"/>
      <c r="Z283" s="845" t="n"/>
    </row>
    <row r="284" ht="13.2" customHeight="1" s="1127">
      <c r="A284" s="845" t="n"/>
      <c r="B284" s="845" t="n"/>
      <c r="C284" s="845" t="n"/>
      <c r="D284" s="845" t="n"/>
      <c r="E284" s="845" t="n"/>
      <c r="F284" s="845" t="n"/>
      <c r="G284" s="879" t="n"/>
      <c r="H284" s="845" t="n"/>
      <c r="I284" s="845" t="n"/>
      <c r="J284" s="845" t="n"/>
      <c r="K284" s="845" t="n"/>
      <c r="L284" s="845" t="n"/>
      <c r="M284" s="845" t="n"/>
      <c r="N284" s="845" t="n"/>
      <c r="O284" s="845" t="n"/>
      <c r="P284" s="845" t="n"/>
      <c r="Q284" s="845" t="n"/>
      <c r="R284" s="845" t="n"/>
      <c r="S284" s="845" t="n"/>
      <c r="T284" s="845" t="n"/>
      <c r="U284" s="845" t="n"/>
      <c r="V284" s="845" t="n"/>
      <c r="W284" s="845" t="n"/>
      <c r="X284" s="845" t="n"/>
      <c r="Y284" s="845" t="n"/>
      <c r="Z284" s="845" t="n"/>
    </row>
    <row r="285" ht="13.2" customHeight="1" s="1127">
      <c r="A285" s="845" t="n"/>
      <c r="B285" s="845" t="n"/>
      <c r="C285" s="845" t="n"/>
      <c r="D285" s="845" t="n"/>
      <c r="E285" s="845" t="n"/>
      <c r="F285" s="845" t="n"/>
      <c r="G285" s="879" t="n"/>
      <c r="H285" s="845" t="n"/>
      <c r="I285" s="845" t="n"/>
      <c r="J285" s="845" t="n"/>
      <c r="K285" s="845" t="n"/>
      <c r="L285" s="845" t="n"/>
      <c r="M285" s="845" t="n"/>
      <c r="N285" s="845" t="n"/>
      <c r="O285" s="845" t="n"/>
      <c r="P285" s="845" t="n"/>
      <c r="Q285" s="845" t="n"/>
      <c r="R285" s="845" t="n"/>
      <c r="S285" s="845" t="n"/>
      <c r="T285" s="845" t="n"/>
      <c r="U285" s="845" t="n"/>
      <c r="V285" s="845" t="n"/>
      <c r="W285" s="845" t="n"/>
      <c r="X285" s="845" t="n"/>
      <c r="Y285" s="845" t="n"/>
      <c r="Z285" s="845" t="n"/>
    </row>
    <row r="286" ht="13.2" customHeight="1" s="1127">
      <c r="A286" s="845" t="n"/>
      <c r="B286" s="845" t="n"/>
      <c r="C286" s="845" t="n"/>
      <c r="D286" s="845" t="n"/>
      <c r="E286" s="845" t="n"/>
      <c r="F286" s="845" t="n"/>
      <c r="G286" s="879" t="n"/>
      <c r="H286" s="845" t="n"/>
      <c r="I286" s="845" t="n"/>
      <c r="J286" s="845" t="n"/>
      <c r="K286" s="845" t="n"/>
      <c r="L286" s="845" t="n"/>
      <c r="M286" s="845" t="n"/>
      <c r="N286" s="845" t="n"/>
      <c r="O286" s="845" t="n"/>
      <c r="P286" s="845" t="n"/>
      <c r="Q286" s="845" t="n"/>
      <c r="R286" s="845" t="n"/>
      <c r="S286" s="845" t="n"/>
      <c r="T286" s="845" t="n"/>
      <c r="U286" s="845" t="n"/>
      <c r="V286" s="845" t="n"/>
      <c r="W286" s="845" t="n"/>
      <c r="X286" s="845" t="n"/>
      <c r="Y286" s="845" t="n"/>
      <c r="Z286" s="845" t="n"/>
    </row>
    <row r="287" ht="13.2" customHeight="1" s="1127">
      <c r="A287" s="845" t="n"/>
      <c r="B287" s="845" t="n"/>
      <c r="C287" s="845" t="n"/>
      <c r="D287" s="845" t="n"/>
      <c r="E287" s="845" t="n"/>
      <c r="F287" s="845" t="n"/>
      <c r="G287" s="879" t="n"/>
      <c r="H287" s="845" t="n"/>
      <c r="I287" s="845" t="n"/>
      <c r="J287" s="845" t="n"/>
      <c r="K287" s="845" t="n"/>
      <c r="L287" s="845" t="n"/>
      <c r="M287" s="845" t="n"/>
      <c r="N287" s="845" t="n"/>
      <c r="O287" s="845" t="n"/>
      <c r="P287" s="845" t="n"/>
      <c r="Q287" s="845" t="n"/>
      <c r="R287" s="845" t="n"/>
      <c r="S287" s="845" t="n"/>
      <c r="T287" s="845" t="n"/>
      <c r="U287" s="845" t="n"/>
      <c r="V287" s="845" t="n"/>
      <c r="W287" s="845" t="n"/>
      <c r="X287" s="845" t="n"/>
      <c r="Y287" s="845" t="n"/>
      <c r="Z287" s="845" t="n"/>
    </row>
    <row r="288" ht="13.2" customHeight="1" s="1127">
      <c r="A288" s="845" t="n"/>
      <c r="B288" s="845" t="n"/>
      <c r="C288" s="845" t="n"/>
      <c r="D288" s="845" t="n"/>
      <c r="E288" s="845" t="n"/>
      <c r="F288" s="845" t="n"/>
      <c r="G288" s="879" t="n"/>
      <c r="H288" s="845" t="n"/>
      <c r="I288" s="845" t="n"/>
      <c r="J288" s="845" t="n"/>
      <c r="K288" s="845" t="n"/>
      <c r="L288" s="845" t="n"/>
      <c r="M288" s="845" t="n"/>
      <c r="N288" s="845" t="n"/>
      <c r="O288" s="845" t="n"/>
      <c r="P288" s="845" t="n"/>
      <c r="Q288" s="845" t="n"/>
      <c r="R288" s="845" t="n"/>
      <c r="S288" s="845" t="n"/>
      <c r="T288" s="845" t="n"/>
      <c r="U288" s="845" t="n"/>
      <c r="V288" s="845" t="n"/>
      <c r="W288" s="845" t="n"/>
      <c r="X288" s="845" t="n"/>
      <c r="Y288" s="845" t="n"/>
      <c r="Z288" s="845" t="n"/>
    </row>
    <row r="289" ht="13.2" customHeight="1" s="1127">
      <c r="A289" s="845" t="n"/>
      <c r="B289" s="845" t="n"/>
      <c r="C289" s="845" t="n"/>
      <c r="D289" s="845" t="n"/>
      <c r="E289" s="845" t="n"/>
      <c r="F289" s="845" t="n"/>
      <c r="G289" s="879" t="n"/>
      <c r="H289" s="845" t="n"/>
      <c r="I289" s="845" t="n"/>
      <c r="J289" s="845" t="n"/>
      <c r="K289" s="845" t="n"/>
      <c r="L289" s="845" t="n"/>
      <c r="M289" s="845" t="n"/>
      <c r="N289" s="845" t="n"/>
      <c r="O289" s="845" t="n"/>
      <c r="P289" s="845" t="n"/>
      <c r="Q289" s="845" t="n"/>
      <c r="R289" s="845" t="n"/>
      <c r="S289" s="845" t="n"/>
      <c r="T289" s="845" t="n"/>
      <c r="U289" s="845" t="n"/>
      <c r="V289" s="845" t="n"/>
      <c r="W289" s="845" t="n"/>
      <c r="X289" s="845" t="n"/>
      <c r="Y289" s="845" t="n"/>
      <c r="Z289" s="845" t="n"/>
    </row>
    <row r="290" ht="13.2" customHeight="1" s="1127">
      <c r="A290" s="845" t="n"/>
      <c r="B290" s="845" t="n"/>
      <c r="C290" s="845" t="n"/>
      <c r="D290" s="845" t="n"/>
      <c r="E290" s="845" t="n"/>
      <c r="F290" s="845" t="n"/>
      <c r="G290" s="879" t="n"/>
      <c r="H290" s="845" t="n"/>
      <c r="I290" s="845" t="n"/>
      <c r="J290" s="845" t="n"/>
      <c r="K290" s="845" t="n"/>
      <c r="L290" s="845" t="n"/>
      <c r="M290" s="845" t="n"/>
      <c r="N290" s="845" t="n"/>
      <c r="O290" s="845" t="n"/>
      <c r="P290" s="845" t="n"/>
      <c r="Q290" s="845" t="n"/>
      <c r="R290" s="845" t="n"/>
      <c r="S290" s="845" t="n"/>
      <c r="T290" s="845" t="n"/>
      <c r="U290" s="845" t="n"/>
      <c r="V290" s="845" t="n"/>
      <c r="W290" s="845" t="n"/>
      <c r="X290" s="845" t="n"/>
      <c r="Y290" s="845" t="n"/>
      <c r="Z290" s="845" t="n"/>
    </row>
    <row r="291" ht="13.2" customHeight="1" s="1127">
      <c r="A291" s="845" t="n"/>
      <c r="B291" s="845" t="n"/>
      <c r="C291" s="845" t="n"/>
      <c r="D291" s="845" t="n"/>
      <c r="E291" s="845" t="n"/>
      <c r="F291" s="845" t="n"/>
      <c r="G291" s="879" t="n"/>
      <c r="H291" s="845" t="n"/>
      <c r="I291" s="845" t="n"/>
      <c r="J291" s="845" t="n"/>
      <c r="K291" s="845" t="n"/>
      <c r="L291" s="845" t="n"/>
      <c r="M291" s="845" t="n"/>
      <c r="N291" s="845" t="n"/>
      <c r="O291" s="845" t="n"/>
      <c r="P291" s="845" t="n"/>
      <c r="Q291" s="845" t="n"/>
      <c r="R291" s="845" t="n"/>
      <c r="S291" s="845" t="n"/>
      <c r="T291" s="845" t="n"/>
      <c r="U291" s="845" t="n"/>
      <c r="V291" s="845" t="n"/>
      <c r="W291" s="845" t="n"/>
      <c r="X291" s="845" t="n"/>
      <c r="Y291" s="845" t="n"/>
      <c r="Z291" s="845" t="n"/>
    </row>
    <row r="292" ht="13.2" customHeight="1" s="1127">
      <c r="A292" s="845" t="n"/>
      <c r="B292" s="845" t="n"/>
      <c r="C292" s="845" t="n"/>
      <c r="D292" s="845" t="n"/>
      <c r="E292" s="845" t="n"/>
      <c r="F292" s="845" t="n"/>
      <c r="G292" s="879" t="n"/>
      <c r="H292" s="845" t="n"/>
      <c r="I292" s="845" t="n"/>
      <c r="J292" s="845" t="n"/>
      <c r="K292" s="845" t="n"/>
      <c r="L292" s="845" t="n"/>
      <c r="M292" s="845" t="n"/>
      <c r="N292" s="845" t="n"/>
      <c r="O292" s="845" t="n"/>
      <c r="P292" s="845" t="n"/>
      <c r="Q292" s="845" t="n"/>
      <c r="R292" s="845" t="n"/>
      <c r="S292" s="845" t="n"/>
      <c r="T292" s="845" t="n"/>
      <c r="U292" s="845" t="n"/>
      <c r="V292" s="845" t="n"/>
      <c r="W292" s="845" t="n"/>
      <c r="X292" s="845" t="n"/>
      <c r="Y292" s="845" t="n"/>
      <c r="Z292" s="845" t="n"/>
    </row>
    <row r="293" ht="13.2" customHeight="1" s="1127">
      <c r="A293" s="845" t="n"/>
      <c r="B293" s="845" t="n"/>
      <c r="C293" s="845" t="n"/>
      <c r="D293" s="845" t="n"/>
      <c r="E293" s="845" t="n"/>
      <c r="F293" s="845" t="n"/>
      <c r="G293" s="879" t="n"/>
      <c r="H293" s="845" t="n"/>
      <c r="I293" s="845" t="n"/>
      <c r="J293" s="845" t="n"/>
      <c r="K293" s="845" t="n"/>
      <c r="L293" s="845" t="n"/>
      <c r="M293" s="845" t="n"/>
      <c r="N293" s="845" t="n"/>
      <c r="O293" s="845" t="n"/>
      <c r="P293" s="845" t="n"/>
      <c r="Q293" s="845" t="n"/>
      <c r="R293" s="845" t="n"/>
      <c r="S293" s="845" t="n"/>
      <c r="T293" s="845" t="n"/>
      <c r="U293" s="845" t="n"/>
      <c r="V293" s="845" t="n"/>
      <c r="W293" s="845" t="n"/>
      <c r="X293" s="845" t="n"/>
      <c r="Y293" s="845" t="n"/>
      <c r="Z293" s="845" t="n"/>
    </row>
    <row r="294" ht="13.2" customHeight="1" s="1127">
      <c r="A294" s="845" t="n"/>
      <c r="B294" s="845" t="n"/>
      <c r="C294" s="845" t="n"/>
      <c r="D294" s="845" t="n"/>
      <c r="E294" s="845" t="n"/>
      <c r="F294" s="845" t="n"/>
      <c r="G294" s="879" t="n"/>
      <c r="H294" s="845" t="n"/>
      <c r="I294" s="845" t="n"/>
      <c r="J294" s="845" t="n"/>
      <c r="K294" s="845" t="n"/>
      <c r="L294" s="845" t="n"/>
      <c r="M294" s="845" t="n"/>
      <c r="N294" s="845" t="n"/>
      <c r="O294" s="845" t="n"/>
      <c r="P294" s="845" t="n"/>
      <c r="Q294" s="845" t="n"/>
      <c r="R294" s="845" t="n"/>
      <c r="S294" s="845" t="n"/>
      <c r="T294" s="845" t="n"/>
      <c r="U294" s="845" t="n"/>
      <c r="V294" s="845" t="n"/>
      <c r="W294" s="845" t="n"/>
      <c r="X294" s="845" t="n"/>
      <c r="Y294" s="845" t="n"/>
      <c r="Z294" s="845" t="n"/>
    </row>
    <row r="295" ht="13.2" customHeight="1" s="1127">
      <c r="A295" s="845" t="n"/>
      <c r="B295" s="845" t="n"/>
      <c r="C295" s="845" t="n"/>
      <c r="D295" s="845" t="n"/>
      <c r="E295" s="845" t="n"/>
      <c r="F295" s="845" t="n"/>
      <c r="G295" s="879" t="n"/>
      <c r="H295" s="845" t="n"/>
      <c r="I295" s="845" t="n"/>
      <c r="J295" s="845" t="n"/>
      <c r="K295" s="845" t="n"/>
      <c r="L295" s="845" t="n"/>
      <c r="M295" s="845" t="n"/>
      <c r="N295" s="845" t="n"/>
      <c r="O295" s="845" t="n"/>
      <c r="P295" s="845" t="n"/>
      <c r="Q295" s="845" t="n"/>
      <c r="R295" s="845" t="n"/>
      <c r="S295" s="845" t="n"/>
      <c r="T295" s="845" t="n"/>
      <c r="U295" s="845" t="n"/>
      <c r="V295" s="845" t="n"/>
      <c r="W295" s="845" t="n"/>
      <c r="X295" s="845" t="n"/>
      <c r="Y295" s="845" t="n"/>
      <c r="Z295" s="845" t="n"/>
    </row>
    <row r="296" ht="13.2" customHeight="1" s="1127">
      <c r="A296" s="845" t="n"/>
      <c r="B296" s="845" t="n"/>
      <c r="C296" s="845" t="n"/>
      <c r="D296" s="845" t="n"/>
      <c r="E296" s="845" t="n"/>
      <c r="F296" s="845" t="n"/>
      <c r="G296" s="879" t="n"/>
      <c r="H296" s="845" t="n"/>
      <c r="I296" s="845" t="n"/>
      <c r="J296" s="845" t="n"/>
      <c r="K296" s="845" t="n"/>
      <c r="L296" s="845" t="n"/>
      <c r="M296" s="845" t="n"/>
      <c r="N296" s="845" t="n"/>
      <c r="O296" s="845" t="n"/>
      <c r="P296" s="845" t="n"/>
      <c r="Q296" s="845" t="n"/>
      <c r="R296" s="845" t="n"/>
      <c r="S296" s="845" t="n"/>
      <c r="T296" s="845" t="n"/>
      <c r="U296" s="845" t="n"/>
      <c r="V296" s="845" t="n"/>
      <c r="W296" s="845" t="n"/>
      <c r="X296" s="845" t="n"/>
      <c r="Y296" s="845" t="n"/>
      <c r="Z296" s="845" t="n"/>
    </row>
    <row r="297" ht="13.2" customHeight="1" s="1127">
      <c r="A297" s="845" t="n"/>
      <c r="B297" s="845" t="n"/>
      <c r="C297" s="845" t="n"/>
      <c r="D297" s="845" t="n"/>
      <c r="E297" s="845" t="n"/>
      <c r="F297" s="845" t="n"/>
      <c r="G297" s="879" t="n"/>
      <c r="H297" s="845" t="n"/>
      <c r="I297" s="845" t="n"/>
      <c r="J297" s="845" t="n"/>
      <c r="K297" s="845" t="n"/>
      <c r="L297" s="845" t="n"/>
      <c r="M297" s="845" t="n"/>
      <c r="N297" s="845" t="n"/>
      <c r="O297" s="845" t="n"/>
      <c r="P297" s="845" t="n"/>
      <c r="Q297" s="845" t="n"/>
      <c r="R297" s="845" t="n"/>
      <c r="S297" s="845" t="n"/>
      <c r="T297" s="845" t="n"/>
      <c r="U297" s="845" t="n"/>
      <c r="V297" s="845" t="n"/>
      <c r="W297" s="845" t="n"/>
      <c r="X297" s="845" t="n"/>
      <c r="Y297" s="845" t="n"/>
      <c r="Z297" s="845" t="n"/>
    </row>
    <row r="298" ht="13.2" customHeight="1" s="1127">
      <c r="A298" s="845" t="n"/>
      <c r="B298" s="845" t="n"/>
      <c r="C298" s="845" t="n"/>
      <c r="D298" s="845" t="n"/>
      <c r="E298" s="845" t="n"/>
      <c r="F298" s="845" t="n"/>
      <c r="G298" s="879" t="n"/>
      <c r="H298" s="845" t="n"/>
      <c r="I298" s="845" t="n"/>
      <c r="J298" s="845" t="n"/>
      <c r="K298" s="845" t="n"/>
      <c r="L298" s="845" t="n"/>
      <c r="M298" s="845" t="n"/>
      <c r="N298" s="845" t="n"/>
      <c r="O298" s="845" t="n"/>
      <c r="P298" s="845" t="n"/>
      <c r="Q298" s="845" t="n"/>
      <c r="R298" s="845" t="n"/>
      <c r="S298" s="845" t="n"/>
      <c r="T298" s="845" t="n"/>
      <c r="U298" s="845" t="n"/>
      <c r="V298" s="845" t="n"/>
      <c r="W298" s="845" t="n"/>
      <c r="X298" s="845" t="n"/>
      <c r="Y298" s="845" t="n"/>
      <c r="Z298" s="845" t="n"/>
    </row>
    <row r="299" ht="13.2" customHeight="1" s="1127">
      <c r="A299" s="845" t="n"/>
      <c r="B299" s="845" t="n"/>
      <c r="C299" s="845" t="n"/>
      <c r="D299" s="845" t="n"/>
      <c r="E299" s="845" t="n"/>
      <c r="F299" s="845" t="n"/>
      <c r="G299" s="879" t="n"/>
      <c r="H299" s="845" t="n"/>
      <c r="I299" s="845" t="n"/>
      <c r="J299" s="845" t="n"/>
      <c r="K299" s="845" t="n"/>
      <c r="L299" s="845" t="n"/>
      <c r="M299" s="845" t="n"/>
      <c r="N299" s="845" t="n"/>
      <c r="O299" s="845" t="n"/>
      <c r="P299" s="845" t="n"/>
      <c r="Q299" s="845" t="n"/>
      <c r="R299" s="845" t="n"/>
      <c r="S299" s="845" t="n"/>
      <c r="T299" s="845" t="n"/>
      <c r="U299" s="845" t="n"/>
      <c r="V299" s="845" t="n"/>
      <c r="W299" s="845" t="n"/>
      <c r="X299" s="845" t="n"/>
      <c r="Y299" s="845" t="n"/>
      <c r="Z299" s="845" t="n"/>
    </row>
    <row r="300" ht="13.2" customHeight="1" s="1127">
      <c r="A300" s="845" t="n"/>
      <c r="B300" s="845" t="n"/>
      <c r="C300" s="845" t="n"/>
      <c r="D300" s="845" t="n"/>
      <c r="E300" s="845" t="n"/>
      <c r="F300" s="845" t="n"/>
      <c r="G300" s="879" t="n"/>
      <c r="H300" s="845" t="n"/>
      <c r="I300" s="845" t="n"/>
      <c r="J300" s="845" t="n"/>
      <c r="K300" s="845" t="n"/>
      <c r="L300" s="845" t="n"/>
      <c r="M300" s="845" t="n"/>
      <c r="N300" s="845" t="n"/>
      <c r="O300" s="845" t="n"/>
      <c r="P300" s="845" t="n"/>
      <c r="Q300" s="845" t="n"/>
      <c r="R300" s="845" t="n"/>
      <c r="S300" s="845" t="n"/>
      <c r="T300" s="845" t="n"/>
      <c r="U300" s="845" t="n"/>
      <c r="V300" s="845" t="n"/>
      <c r="W300" s="845" t="n"/>
      <c r="X300" s="845" t="n"/>
      <c r="Y300" s="845" t="n"/>
      <c r="Z300" s="845" t="n"/>
    </row>
    <row r="301" ht="13.2" customHeight="1" s="1127">
      <c r="A301" s="845" t="n"/>
      <c r="B301" s="845" t="n"/>
      <c r="C301" s="845" t="n"/>
      <c r="D301" s="845" t="n"/>
      <c r="E301" s="845" t="n"/>
      <c r="F301" s="845" t="n"/>
      <c r="G301" s="879" t="n"/>
      <c r="H301" s="845" t="n"/>
      <c r="I301" s="845" t="n"/>
      <c r="J301" s="845" t="n"/>
      <c r="K301" s="845" t="n"/>
      <c r="L301" s="845" t="n"/>
      <c r="M301" s="845" t="n"/>
      <c r="N301" s="845" t="n"/>
      <c r="O301" s="845" t="n"/>
      <c r="P301" s="845" t="n"/>
      <c r="Q301" s="845" t="n"/>
      <c r="R301" s="845" t="n"/>
      <c r="S301" s="845" t="n"/>
      <c r="T301" s="845" t="n"/>
      <c r="U301" s="845" t="n"/>
      <c r="V301" s="845" t="n"/>
      <c r="W301" s="845" t="n"/>
      <c r="X301" s="845" t="n"/>
      <c r="Y301" s="845" t="n"/>
      <c r="Z301" s="845" t="n"/>
    </row>
    <row r="302" ht="13.2" customHeight="1" s="1127">
      <c r="A302" s="845" t="n"/>
      <c r="B302" s="845" t="n"/>
      <c r="C302" s="845" t="n"/>
      <c r="D302" s="845" t="n"/>
      <c r="E302" s="845" t="n"/>
      <c r="F302" s="845" t="n"/>
      <c r="G302" s="879" t="n"/>
      <c r="H302" s="845" t="n"/>
      <c r="I302" s="845" t="n"/>
      <c r="J302" s="845" t="n"/>
      <c r="K302" s="845" t="n"/>
      <c r="L302" s="845" t="n"/>
      <c r="M302" s="845" t="n"/>
      <c r="N302" s="845" t="n"/>
      <c r="O302" s="845" t="n"/>
      <c r="P302" s="845" t="n"/>
      <c r="Q302" s="845" t="n"/>
      <c r="R302" s="845" t="n"/>
      <c r="S302" s="845" t="n"/>
      <c r="T302" s="845" t="n"/>
      <c r="U302" s="845" t="n"/>
      <c r="V302" s="845" t="n"/>
      <c r="W302" s="845" t="n"/>
      <c r="X302" s="845" t="n"/>
      <c r="Y302" s="845" t="n"/>
      <c r="Z302" s="845" t="n"/>
    </row>
    <row r="303" ht="13.2" customHeight="1" s="1127">
      <c r="A303" s="845" t="n"/>
      <c r="B303" s="845" t="n"/>
      <c r="C303" s="845" t="n"/>
      <c r="D303" s="845" t="n"/>
      <c r="E303" s="845" t="n"/>
      <c r="F303" s="845" t="n"/>
      <c r="G303" s="879" t="n"/>
      <c r="H303" s="845" t="n"/>
      <c r="I303" s="845" t="n"/>
      <c r="J303" s="845" t="n"/>
      <c r="K303" s="845" t="n"/>
      <c r="L303" s="845" t="n"/>
      <c r="M303" s="845" t="n"/>
      <c r="N303" s="845" t="n"/>
      <c r="O303" s="845" t="n"/>
      <c r="P303" s="845" t="n"/>
      <c r="Q303" s="845" t="n"/>
      <c r="R303" s="845" t="n"/>
      <c r="S303" s="845" t="n"/>
      <c r="T303" s="845" t="n"/>
      <c r="U303" s="845" t="n"/>
      <c r="V303" s="845" t="n"/>
      <c r="W303" s="845" t="n"/>
      <c r="X303" s="845" t="n"/>
      <c r="Y303" s="845" t="n"/>
      <c r="Z303" s="845" t="n"/>
    </row>
    <row r="304" ht="13.2" customHeight="1" s="1127">
      <c r="A304" s="845" t="n"/>
      <c r="B304" s="845" t="n"/>
      <c r="C304" s="845" t="n"/>
      <c r="D304" s="845" t="n"/>
      <c r="E304" s="845" t="n"/>
      <c r="F304" s="845" t="n"/>
      <c r="G304" s="879" t="n"/>
      <c r="H304" s="845" t="n"/>
      <c r="I304" s="845" t="n"/>
      <c r="J304" s="845" t="n"/>
      <c r="K304" s="845" t="n"/>
      <c r="L304" s="845" t="n"/>
      <c r="M304" s="845" t="n"/>
      <c r="N304" s="845" t="n"/>
      <c r="O304" s="845" t="n"/>
      <c r="P304" s="845" t="n"/>
      <c r="Q304" s="845" t="n"/>
      <c r="R304" s="845" t="n"/>
      <c r="S304" s="845" t="n"/>
      <c r="T304" s="845" t="n"/>
      <c r="U304" s="845" t="n"/>
      <c r="V304" s="845" t="n"/>
      <c r="W304" s="845" t="n"/>
      <c r="X304" s="845" t="n"/>
      <c r="Y304" s="845" t="n"/>
      <c r="Z304" s="845" t="n"/>
    </row>
    <row r="305" ht="13.2" customHeight="1" s="1127">
      <c r="A305" s="845" t="n"/>
      <c r="B305" s="845" t="n"/>
      <c r="C305" s="845" t="n"/>
      <c r="D305" s="845" t="n"/>
      <c r="E305" s="845" t="n"/>
      <c r="F305" s="845" t="n"/>
      <c r="G305" s="879" t="n"/>
      <c r="H305" s="845" t="n"/>
      <c r="I305" s="845" t="n"/>
      <c r="J305" s="845" t="n"/>
      <c r="K305" s="845" t="n"/>
      <c r="L305" s="845" t="n"/>
      <c r="M305" s="845" t="n"/>
      <c r="N305" s="845" t="n"/>
      <c r="O305" s="845" t="n"/>
      <c r="P305" s="845" t="n"/>
      <c r="Q305" s="845" t="n"/>
      <c r="R305" s="845" t="n"/>
      <c r="S305" s="845" t="n"/>
      <c r="T305" s="845" t="n"/>
      <c r="U305" s="845" t="n"/>
      <c r="V305" s="845" t="n"/>
      <c r="W305" s="845" t="n"/>
      <c r="X305" s="845" t="n"/>
      <c r="Y305" s="845" t="n"/>
      <c r="Z305" s="845" t="n"/>
    </row>
    <row r="306" ht="13.2" customHeight="1" s="1127">
      <c r="A306" s="845" t="n"/>
      <c r="B306" s="845" t="n"/>
      <c r="C306" s="845" t="n"/>
      <c r="D306" s="845" t="n"/>
      <c r="E306" s="845" t="n"/>
      <c r="F306" s="845" t="n"/>
      <c r="G306" s="879" t="n"/>
      <c r="H306" s="845" t="n"/>
      <c r="I306" s="845" t="n"/>
      <c r="J306" s="845" t="n"/>
      <c r="K306" s="845" t="n"/>
      <c r="L306" s="845" t="n"/>
      <c r="M306" s="845" t="n"/>
      <c r="N306" s="845" t="n"/>
      <c r="O306" s="845" t="n"/>
      <c r="P306" s="845" t="n"/>
      <c r="Q306" s="845" t="n"/>
      <c r="R306" s="845" t="n"/>
      <c r="S306" s="845" t="n"/>
      <c r="T306" s="845" t="n"/>
      <c r="U306" s="845" t="n"/>
      <c r="V306" s="845" t="n"/>
      <c r="W306" s="845" t="n"/>
      <c r="X306" s="845" t="n"/>
      <c r="Y306" s="845" t="n"/>
      <c r="Z306" s="845" t="n"/>
    </row>
    <row r="307" ht="13.2" customHeight="1" s="1127">
      <c r="A307" s="845" t="n"/>
      <c r="B307" s="845" t="n"/>
      <c r="C307" s="845" t="n"/>
      <c r="D307" s="845" t="n"/>
      <c r="E307" s="845" t="n"/>
      <c r="F307" s="845" t="n"/>
      <c r="G307" s="879" t="n"/>
      <c r="H307" s="845" t="n"/>
      <c r="I307" s="845" t="n"/>
      <c r="J307" s="845" t="n"/>
      <c r="K307" s="845" t="n"/>
      <c r="L307" s="845" t="n"/>
      <c r="M307" s="845" t="n"/>
      <c r="N307" s="845" t="n"/>
      <c r="O307" s="845" t="n"/>
      <c r="P307" s="845" t="n"/>
      <c r="Q307" s="845" t="n"/>
      <c r="R307" s="845" t="n"/>
      <c r="S307" s="845" t="n"/>
      <c r="T307" s="845" t="n"/>
      <c r="U307" s="845" t="n"/>
      <c r="V307" s="845" t="n"/>
      <c r="W307" s="845" t="n"/>
      <c r="X307" s="845" t="n"/>
      <c r="Y307" s="845" t="n"/>
      <c r="Z307" s="845" t="n"/>
    </row>
    <row r="308" ht="13.2" customHeight="1" s="1127">
      <c r="A308" s="845" t="n"/>
      <c r="B308" s="845" t="n"/>
      <c r="C308" s="845" t="n"/>
      <c r="D308" s="845" t="n"/>
      <c r="E308" s="845" t="n"/>
      <c r="F308" s="845" t="n"/>
      <c r="G308" s="879" t="n"/>
      <c r="H308" s="845" t="n"/>
      <c r="I308" s="845" t="n"/>
      <c r="J308" s="845" t="n"/>
      <c r="K308" s="845" t="n"/>
      <c r="L308" s="845" t="n"/>
      <c r="M308" s="845" t="n"/>
      <c r="N308" s="845" t="n"/>
      <c r="O308" s="845" t="n"/>
      <c r="P308" s="845" t="n"/>
      <c r="Q308" s="845" t="n"/>
      <c r="R308" s="845" t="n"/>
      <c r="S308" s="845" t="n"/>
      <c r="T308" s="845" t="n"/>
      <c r="U308" s="845" t="n"/>
      <c r="V308" s="845" t="n"/>
      <c r="W308" s="845" t="n"/>
      <c r="X308" s="845" t="n"/>
      <c r="Y308" s="845" t="n"/>
      <c r="Z308" s="845" t="n"/>
    </row>
    <row r="309" ht="13.2" customHeight="1" s="1127">
      <c r="A309" s="845" t="n"/>
      <c r="B309" s="845" t="n"/>
      <c r="C309" s="845" t="n"/>
      <c r="D309" s="845" t="n"/>
      <c r="E309" s="845" t="n"/>
      <c r="F309" s="845" t="n"/>
      <c r="G309" s="879" t="n"/>
      <c r="H309" s="845" t="n"/>
      <c r="I309" s="845" t="n"/>
      <c r="J309" s="845" t="n"/>
      <c r="K309" s="845" t="n"/>
      <c r="L309" s="845" t="n"/>
      <c r="M309" s="845" t="n"/>
      <c r="N309" s="845" t="n"/>
      <c r="O309" s="845" t="n"/>
      <c r="P309" s="845" t="n"/>
      <c r="Q309" s="845" t="n"/>
      <c r="R309" s="845" t="n"/>
      <c r="S309" s="845" t="n"/>
      <c r="T309" s="845" t="n"/>
      <c r="U309" s="845" t="n"/>
      <c r="V309" s="845" t="n"/>
      <c r="W309" s="845" t="n"/>
      <c r="X309" s="845" t="n"/>
      <c r="Y309" s="845" t="n"/>
      <c r="Z309" s="845" t="n"/>
    </row>
    <row r="310" ht="13.2" customHeight="1" s="1127">
      <c r="A310" s="845" t="n"/>
      <c r="B310" s="845" t="n"/>
      <c r="C310" s="845" t="n"/>
      <c r="D310" s="845" t="n"/>
      <c r="E310" s="845" t="n"/>
      <c r="F310" s="845" t="n"/>
      <c r="G310" s="879" t="n"/>
      <c r="H310" s="845" t="n"/>
      <c r="I310" s="845" t="n"/>
      <c r="J310" s="845" t="n"/>
      <c r="K310" s="845" t="n"/>
      <c r="L310" s="845" t="n"/>
      <c r="M310" s="845" t="n"/>
      <c r="N310" s="845" t="n"/>
      <c r="O310" s="845" t="n"/>
      <c r="P310" s="845" t="n"/>
      <c r="Q310" s="845" t="n"/>
      <c r="R310" s="845" t="n"/>
      <c r="S310" s="845" t="n"/>
      <c r="T310" s="845" t="n"/>
      <c r="U310" s="845" t="n"/>
      <c r="V310" s="845" t="n"/>
      <c r="W310" s="845" t="n"/>
      <c r="X310" s="845" t="n"/>
      <c r="Y310" s="845" t="n"/>
      <c r="Z310" s="845" t="n"/>
    </row>
    <row r="311" ht="13.2" customHeight="1" s="1127">
      <c r="A311" s="845" t="n"/>
      <c r="B311" s="845" t="n"/>
      <c r="C311" s="845" t="n"/>
      <c r="D311" s="845" t="n"/>
      <c r="E311" s="845" t="n"/>
      <c r="F311" s="845" t="n"/>
      <c r="G311" s="879" t="n"/>
      <c r="H311" s="845" t="n"/>
      <c r="I311" s="845" t="n"/>
      <c r="J311" s="845" t="n"/>
      <c r="K311" s="845" t="n"/>
      <c r="L311" s="845" t="n"/>
      <c r="M311" s="845" t="n"/>
      <c r="N311" s="845" t="n"/>
      <c r="O311" s="845" t="n"/>
      <c r="P311" s="845" t="n"/>
      <c r="Q311" s="845" t="n"/>
      <c r="R311" s="845" t="n"/>
      <c r="S311" s="845" t="n"/>
      <c r="T311" s="845" t="n"/>
      <c r="U311" s="845" t="n"/>
      <c r="V311" s="845" t="n"/>
      <c r="W311" s="845" t="n"/>
      <c r="X311" s="845" t="n"/>
      <c r="Y311" s="845" t="n"/>
      <c r="Z311" s="845" t="n"/>
    </row>
    <row r="312" ht="13.2" customHeight="1" s="1127">
      <c r="A312" s="845" t="n"/>
      <c r="B312" s="845" t="n"/>
      <c r="C312" s="845" t="n"/>
      <c r="D312" s="845" t="n"/>
      <c r="E312" s="845" t="n"/>
      <c r="F312" s="845" t="n"/>
      <c r="G312" s="879" t="n"/>
      <c r="H312" s="845" t="n"/>
      <c r="I312" s="845" t="n"/>
      <c r="J312" s="845" t="n"/>
      <c r="K312" s="845" t="n"/>
      <c r="L312" s="845" t="n"/>
      <c r="M312" s="845" t="n"/>
      <c r="N312" s="845" t="n"/>
      <c r="O312" s="845" t="n"/>
      <c r="P312" s="845" t="n"/>
      <c r="Q312" s="845" t="n"/>
      <c r="R312" s="845" t="n"/>
      <c r="S312" s="845" t="n"/>
      <c r="T312" s="845" t="n"/>
      <c r="U312" s="845" t="n"/>
      <c r="V312" s="845" t="n"/>
      <c r="W312" s="845" t="n"/>
      <c r="X312" s="845" t="n"/>
      <c r="Y312" s="845" t="n"/>
      <c r="Z312" s="845" t="n"/>
    </row>
    <row r="313" ht="13.2" customHeight="1" s="1127">
      <c r="A313" s="845" t="n"/>
      <c r="B313" s="845" t="n"/>
      <c r="C313" s="845" t="n"/>
      <c r="D313" s="845" t="n"/>
      <c r="E313" s="845" t="n"/>
      <c r="F313" s="845" t="n"/>
      <c r="G313" s="879" t="n"/>
      <c r="H313" s="845" t="n"/>
      <c r="I313" s="845" t="n"/>
      <c r="J313" s="845" t="n"/>
      <c r="K313" s="845" t="n"/>
      <c r="L313" s="845" t="n"/>
      <c r="M313" s="845" t="n"/>
      <c r="N313" s="845" t="n"/>
      <c r="O313" s="845" t="n"/>
      <c r="P313" s="845" t="n"/>
      <c r="Q313" s="845" t="n"/>
      <c r="R313" s="845" t="n"/>
      <c r="S313" s="845" t="n"/>
      <c r="T313" s="845" t="n"/>
      <c r="U313" s="845" t="n"/>
      <c r="V313" s="845" t="n"/>
      <c r="W313" s="845" t="n"/>
      <c r="X313" s="845" t="n"/>
      <c r="Y313" s="845" t="n"/>
      <c r="Z313" s="845" t="n"/>
    </row>
    <row r="314" ht="13.2" customHeight="1" s="1127">
      <c r="A314" s="845" t="n"/>
      <c r="B314" s="845" t="n"/>
      <c r="C314" s="845" t="n"/>
      <c r="D314" s="845" t="n"/>
      <c r="E314" s="845" t="n"/>
      <c r="F314" s="845" t="n"/>
      <c r="G314" s="879" t="n"/>
      <c r="H314" s="845" t="n"/>
      <c r="I314" s="845" t="n"/>
      <c r="J314" s="845" t="n"/>
      <c r="K314" s="845" t="n"/>
      <c r="L314" s="845" t="n"/>
      <c r="M314" s="845" t="n"/>
      <c r="N314" s="845" t="n"/>
      <c r="O314" s="845" t="n"/>
      <c r="P314" s="845" t="n"/>
      <c r="Q314" s="845" t="n"/>
      <c r="R314" s="845" t="n"/>
      <c r="S314" s="845" t="n"/>
      <c r="T314" s="845" t="n"/>
      <c r="U314" s="845" t="n"/>
      <c r="V314" s="845" t="n"/>
      <c r="W314" s="845" t="n"/>
      <c r="X314" s="845" t="n"/>
      <c r="Y314" s="845" t="n"/>
      <c r="Z314" s="845" t="n"/>
    </row>
    <row r="315" ht="13.2" customHeight="1" s="1127">
      <c r="A315" s="845" t="n"/>
      <c r="B315" s="845" t="n"/>
      <c r="C315" s="845" t="n"/>
      <c r="D315" s="845" t="n"/>
      <c r="E315" s="845" t="n"/>
      <c r="F315" s="845" t="n"/>
      <c r="G315" s="879" t="n"/>
      <c r="H315" s="845" t="n"/>
      <c r="I315" s="845" t="n"/>
      <c r="J315" s="845" t="n"/>
      <c r="K315" s="845" t="n"/>
      <c r="L315" s="845" t="n"/>
      <c r="M315" s="845" t="n"/>
      <c r="N315" s="845" t="n"/>
      <c r="O315" s="845" t="n"/>
      <c r="P315" s="845" t="n"/>
      <c r="Q315" s="845" t="n"/>
      <c r="R315" s="845" t="n"/>
      <c r="S315" s="845" t="n"/>
      <c r="T315" s="845" t="n"/>
      <c r="U315" s="845" t="n"/>
      <c r="V315" s="845" t="n"/>
      <c r="W315" s="845" t="n"/>
      <c r="X315" s="845" t="n"/>
      <c r="Y315" s="845" t="n"/>
      <c r="Z315" s="845" t="n"/>
    </row>
    <row r="316" ht="13.2" customHeight="1" s="1127">
      <c r="A316" s="845" t="n"/>
      <c r="B316" s="845" t="n"/>
      <c r="C316" s="845" t="n"/>
      <c r="D316" s="845" t="n"/>
      <c r="E316" s="845" t="n"/>
      <c r="F316" s="845" t="n"/>
      <c r="G316" s="879" t="n"/>
      <c r="H316" s="845" t="n"/>
      <c r="I316" s="845" t="n"/>
      <c r="J316" s="845" t="n"/>
      <c r="K316" s="845" t="n"/>
      <c r="L316" s="845" t="n"/>
      <c r="M316" s="845" t="n"/>
      <c r="N316" s="845" t="n"/>
      <c r="O316" s="845" t="n"/>
      <c r="P316" s="845" t="n"/>
      <c r="Q316" s="845" t="n"/>
      <c r="R316" s="845" t="n"/>
      <c r="S316" s="845" t="n"/>
      <c r="T316" s="845" t="n"/>
      <c r="U316" s="845" t="n"/>
      <c r="V316" s="845" t="n"/>
      <c r="W316" s="845" t="n"/>
      <c r="X316" s="845" t="n"/>
      <c r="Y316" s="845" t="n"/>
      <c r="Z316" s="845" t="n"/>
    </row>
    <row r="317" ht="13.2" customHeight="1" s="1127">
      <c r="A317" s="845" t="n"/>
      <c r="B317" s="845" t="n"/>
      <c r="C317" s="845" t="n"/>
      <c r="D317" s="845" t="n"/>
      <c r="E317" s="845" t="n"/>
      <c r="F317" s="845" t="n"/>
      <c r="G317" s="879" t="n"/>
      <c r="H317" s="845" t="n"/>
      <c r="I317" s="845" t="n"/>
      <c r="J317" s="845" t="n"/>
      <c r="K317" s="845" t="n"/>
      <c r="L317" s="845" t="n"/>
      <c r="M317" s="845" t="n"/>
      <c r="N317" s="845" t="n"/>
      <c r="O317" s="845" t="n"/>
      <c r="P317" s="845" t="n"/>
      <c r="Q317" s="845" t="n"/>
      <c r="R317" s="845" t="n"/>
      <c r="S317" s="845" t="n"/>
      <c r="T317" s="845" t="n"/>
      <c r="U317" s="845" t="n"/>
      <c r="V317" s="845" t="n"/>
      <c r="W317" s="845" t="n"/>
      <c r="X317" s="845" t="n"/>
      <c r="Y317" s="845" t="n"/>
      <c r="Z317" s="845" t="n"/>
    </row>
    <row r="318" ht="13.2" customHeight="1" s="1127">
      <c r="A318" s="845" t="n"/>
      <c r="B318" s="845" t="n"/>
      <c r="C318" s="845" t="n"/>
      <c r="D318" s="845" t="n"/>
      <c r="E318" s="845" t="n"/>
      <c r="F318" s="845" t="n"/>
      <c r="G318" s="879" t="n"/>
      <c r="H318" s="845" t="n"/>
      <c r="I318" s="845" t="n"/>
      <c r="J318" s="845" t="n"/>
      <c r="K318" s="845" t="n"/>
      <c r="L318" s="845" t="n"/>
      <c r="M318" s="845" t="n"/>
      <c r="N318" s="845" t="n"/>
      <c r="O318" s="845" t="n"/>
      <c r="P318" s="845" t="n"/>
      <c r="Q318" s="845" t="n"/>
      <c r="R318" s="845" t="n"/>
      <c r="S318" s="845" t="n"/>
      <c r="T318" s="845" t="n"/>
      <c r="U318" s="845" t="n"/>
      <c r="V318" s="845" t="n"/>
      <c r="W318" s="845" t="n"/>
      <c r="X318" s="845" t="n"/>
      <c r="Y318" s="845" t="n"/>
      <c r="Z318" s="845" t="n"/>
    </row>
    <row r="319" ht="13.2" customHeight="1" s="1127">
      <c r="A319" s="845" t="n"/>
      <c r="B319" s="845" t="n"/>
      <c r="C319" s="845" t="n"/>
      <c r="D319" s="845" t="n"/>
      <c r="E319" s="845" t="n"/>
      <c r="F319" s="845" t="n"/>
      <c r="G319" s="879" t="n"/>
      <c r="H319" s="845" t="n"/>
      <c r="I319" s="845" t="n"/>
      <c r="J319" s="845" t="n"/>
      <c r="K319" s="845" t="n"/>
      <c r="L319" s="845" t="n"/>
      <c r="M319" s="845" t="n"/>
      <c r="N319" s="845" t="n"/>
      <c r="O319" s="845" t="n"/>
      <c r="P319" s="845" t="n"/>
      <c r="Q319" s="845" t="n"/>
      <c r="R319" s="845" t="n"/>
      <c r="S319" s="845" t="n"/>
      <c r="T319" s="845" t="n"/>
      <c r="U319" s="845" t="n"/>
      <c r="V319" s="845" t="n"/>
      <c r="W319" s="845" t="n"/>
      <c r="X319" s="845" t="n"/>
      <c r="Y319" s="845" t="n"/>
      <c r="Z319" s="845" t="n"/>
    </row>
    <row r="320" ht="13.2" customHeight="1" s="1127">
      <c r="A320" s="845" t="n"/>
      <c r="B320" s="845" t="n"/>
      <c r="C320" s="845" t="n"/>
      <c r="D320" s="845" t="n"/>
      <c r="E320" s="845" t="n"/>
      <c r="F320" s="845" t="n"/>
      <c r="G320" s="879" t="n"/>
      <c r="H320" s="845" t="n"/>
      <c r="I320" s="845" t="n"/>
      <c r="J320" s="845" t="n"/>
      <c r="K320" s="845" t="n"/>
      <c r="L320" s="845" t="n"/>
      <c r="M320" s="845" t="n"/>
      <c r="N320" s="845" t="n"/>
      <c r="O320" s="845" t="n"/>
      <c r="P320" s="845" t="n"/>
      <c r="Q320" s="845" t="n"/>
      <c r="R320" s="845" t="n"/>
      <c r="S320" s="845" t="n"/>
      <c r="T320" s="845" t="n"/>
      <c r="U320" s="845" t="n"/>
      <c r="V320" s="845" t="n"/>
      <c r="W320" s="845" t="n"/>
      <c r="X320" s="845" t="n"/>
      <c r="Y320" s="845" t="n"/>
      <c r="Z320" s="845" t="n"/>
    </row>
    <row r="321" ht="13.2" customHeight="1" s="1127">
      <c r="A321" s="845" t="n"/>
      <c r="B321" s="845" t="n"/>
      <c r="C321" s="845" t="n"/>
      <c r="D321" s="845" t="n"/>
      <c r="E321" s="845" t="n"/>
      <c r="F321" s="845" t="n"/>
      <c r="G321" s="879" t="n"/>
      <c r="H321" s="845" t="n"/>
      <c r="I321" s="845" t="n"/>
      <c r="J321" s="845" t="n"/>
      <c r="K321" s="845" t="n"/>
      <c r="L321" s="845" t="n"/>
      <c r="M321" s="845" t="n"/>
      <c r="N321" s="845" t="n"/>
      <c r="O321" s="845" t="n"/>
      <c r="P321" s="845" t="n"/>
      <c r="Q321" s="845" t="n"/>
      <c r="R321" s="845" t="n"/>
      <c r="S321" s="845" t="n"/>
      <c r="T321" s="845" t="n"/>
      <c r="U321" s="845" t="n"/>
      <c r="V321" s="845" t="n"/>
      <c r="W321" s="845" t="n"/>
      <c r="X321" s="845" t="n"/>
      <c r="Y321" s="845" t="n"/>
      <c r="Z321" s="845" t="n"/>
    </row>
    <row r="322" ht="13.2" customHeight="1" s="1127">
      <c r="A322" s="845" t="n"/>
      <c r="B322" s="845" t="n"/>
      <c r="C322" s="845" t="n"/>
      <c r="D322" s="845" t="n"/>
      <c r="E322" s="845" t="n"/>
      <c r="F322" s="845" t="n"/>
      <c r="G322" s="879" t="n"/>
      <c r="H322" s="845" t="n"/>
      <c r="I322" s="845" t="n"/>
      <c r="J322" s="845" t="n"/>
      <c r="K322" s="845" t="n"/>
      <c r="L322" s="845" t="n"/>
      <c r="M322" s="845" t="n"/>
      <c r="N322" s="845" t="n"/>
      <c r="O322" s="845" t="n"/>
      <c r="P322" s="845" t="n"/>
      <c r="Q322" s="845" t="n"/>
      <c r="R322" s="845" t="n"/>
      <c r="S322" s="845" t="n"/>
      <c r="T322" s="845" t="n"/>
      <c r="U322" s="845" t="n"/>
      <c r="V322" s="845" t="n"/>
      <c r="W322" s="845" t="n"/>
      <c r="X322" s="845" t="n"/>
      <c r="Y322" s="845" t="n"/>
      <c r="Z322" s="845" t="n"/>
    </row>
    <row r="323" ht="13.2" customHeight="1" s="1127">
      <c r="A323" s="845" t="n"/>
      <c r="B323" s="845" t="n"/>
      <c r="C323" s="845" t="n"/>
      <c r="D323" s="845" t="n"/>
      <c r="E323" s="845" t="n"/>
      <c r="F323" s="845" t="n"/>
      <c r="G323" s="879" t="n"/>
      <c r="H323" s="845" t="n"/>
      <c r="I323" s="845" t="n"/>
      <c r="J323" s="845" t="n"/>
      <c r="K323" s="845" t="n"/>
      <c r="L323" s="845" t="n"/>
      <c r="M323" s="845" t="n"/>
      <c r="N323" s="845" t="n"/>
      <c r="O323" s="845" t="n"/>
      <c r="P323" s="845" t="n"/>
      <c r="Q323" s="845" t="n"/>
      <c r="R323" s="845" t="n"/>
      <c r="S323" s="845" t="n"/>
      <c r="T323" s="845" t="n"/>
      <c r="U323" s="845" t="n"/>
      <c r="V323" s="845" t="n"/>
      <c r="W323" s="845" t="n"/>
      <c r="X323" s="845" t="n"/>
      <c r="Y323" s="845" t="n"/>
      <c r="Z323" s="845" t="n"/>
    </row>
    <row r="324" ht="13.2" customHeight="1" s="1127">
      <c r="A324" s="845" t="n"/>
      <c r="B324" s="845" t="n"/>
      <c r="C324" s="845" t="n"/>
      <c r="D324" s="845" t="n"/>
      <c r="E324" s="845" t="n"/>
      <c r="F324" s="845" t="n"/>
      <c r="G324" s="879" t="n"/>
      <c r="H324" s="845" t="n"/>
      <c r="I324" s="845" t="n"/>
      <c r="J324" s="845" t="n"/>
      <c r="K324" s="845" t="n"/>
      <c r="L324" s="845" t="n"/>
      <c r="M324" s="845" t="n"/>
      <c r="N324" s="845" t="n"/>
      <c r="O324" s="845" t="n"/>
      <c r="P324" s="845" t="n"/>
      <c r="Q324" s="845" t="n"/>
      <c r="R324" s="845" t="n"/>
      <c r="S324" s="845" t="n"/>
      <c r="T324" s="845" t="n"/>
      <c r="U324" s="845" t="n"/>
      <c r="V324" s="845" t="n"/>
      <c r="W324" s="845" t="n"/>
      <c r="X324" s="845" t="n"/>
      <c r="Y324" s="845" t="n"/>
      <c r="Z324" s="845" t="n"/>
    </row>
    <row r="325" ht="13.2" customHeight="1" s="1127">
      <c r="A325" s="845" t="n"/>
      <c r="B325" s="845" t="n"/>
      <c r="C325" s="845" t="n"/>
      <c r="D325" s="845" t="n"/>
      <c r="E325" s="845" t="n"/>
      <c r="F325" s="845" t="n"/>
      <c r="G325" s="879" t="n"/>
      <c r="H325" s="845" t="n"/>
      <c r="I325" s="845" t="n"/>
      <c r="J325" s="845" t="n"/>
      <c r="K325" s="845" t="n"/>
      <c r="L325" s="845" t="n"/>
      <c r="M325" s="845" t="n"/>
      <c r="N325" s="845" t="n"/>
      <c r="O325" s="845" t="n"/>
      <c r="P325" s="845" t="n"/>
      <c r="Q325" s="845" t="n"/>
      <c r="R325" s="845" t="n"/>
      <c r="S325" s="845" t="n"/>
      <c r="T325" s="845" t="n"/>
      <c r="U325" s="845" t="n"/>
      <c r="V325" s="845" t="n"/>
      <c r="W325" s="845" t="n"/>
      <c r="X325" s="845" t="n"/>
      <c r="Y325" s="845" t="n"/>
      <c r="Z325" s="845" t="n"/>
    </row>
    <row r="326" ht="13.2" customHeight="1" s="1127">
      <c r="A326" s="845" t="n"/>
      <c r="B326" s="845" t="n"/>
      <c r="C326" s="845" t="n"/>
      <c r="D326" s="845" t="n"/>
      <c r="E326" s="845" t="n"/>
      <c r="F326" s="845" t="n"/>
      <c r="G326" s="879" t="n"/>
      <c r="H326" s="845" t="n"/>
      <c r="I326" s="845" t="n"/>
      <c r="J326" s="845" t="n"/>
      <c r="K326" s="845" t="n"/>
      <c r="L326" s="845" t="n"/>
      <c r="M326" s="845" t="n"/>
      <c r="N326" s="845" t="n"/>
      <c r="O326" s="845" t="n"/>
      <c r="P326" s="845" t="n"/>
      <c r="Q326" s="845" t="n"/>
      <c r="R326" s="845" t="n"/>
      <c r="S326" s="845" t="n"/>
      <c r="T326" s="845" t="n"/>
      <c r="U326" s="845" t="n"/>
      <c r="V326" s="845" t="n"/>
      <c r="W326" s="845" t="n"/>
      <c r="X326" s="845" t="n"/>
      <c r="Y326" s="845" t="n"/>
      <c r="Z326" s="845" t="n"/>
    </row>
    <row r="327" ht="13.2" customHeight="1" s="1127">
      <c r="A327" s="845" t="n"/>
      <c r="B327" s="845" t="n"/>
      <c r="C327" s="845" t="n"/>
      <c r="D327" s="845" t="n"/>
      <c r="E327" s="845" t="n"/>
      <c r="F327" s="845" t="n"/>
      <c r="G327" s="879" t="n"/>
      <c r="H327" s="845" t="n"/>
      <c r="I327" s="845" t="n"/>
      <c r="J327" s="845" t="n"/>
      <c r="K327" s="845" t="n"/>
      <c r="L327" s="845" t="n"/>
      <c r="M327" s="845" t="n"/>
      <c r="N327" s="845" t="n"/>
      <c r="O327" s="845" t="n"/>
      <c r="P327" s="845" t="n"/>
      <c r="Q327" s="845" t="n"/>
      <c r="R327" s="845" t="n"/>
      <c r="S327" s="845" t="n"/>
      <c r="T327" s="845" t="n"/>
      <c r="U327" s="845" t="n"/>
      <c r="V327" s="845" t="n"/>
      <c r="W327" s="845" t="n"/>
      <c r="X327" s="845" t="n"/>
      <c r="Y327" s="845" t="n"/>
      <c r="Z327" s="845" t="n"/>
    </row>
    <row r="328" ht="13.2" customHeight="1" s="1127">
      <c r="A328" s="845" t="n"/>
      <c r="B328" s="845" t="n"/>
      <c r="C328" s="845" t="n"/>
      <c r="D328" s="845" t="n"/>
      <c r="E328" s="845" t="n"/>
      <c r="F328" s="845" t="n"/>
      <c r="G328" s="879" t="n"/>
      <c r="H328" s="845" t="n"/>
      <c r="I328" s="845" t="n"/>
      <c r="J328" s="845" t="n"/>
      <c r="K328" s="845" t="n"/>
      <c r="L328" s="845" t="n"/>
      <c r="M328" s="845" t="n"/>
      <c r="N328" s="845" t="n"/>
      <c r="O328" s="845" t="n"/>
      <c r="P328" s="845" t="n"/>
      <c r="Q328" s="845" t="n"/>
      <c r="R328" s="845" t="n"/>
      <c r="S328" s="845" t="n"/>
      <c r="T328" s="845" t="n"/>
      <c r="U328" s="845" t="n"/>
      <c r="V328" s="845" t="n"/>
      <c r="W328" s="845" t="n"/>
      <c r="X328" s="845" t="n"/>
      <c r="Y328" s="845" t="n"/>
      <c r="Z328" s="845" t="n"/>
    </row>
    <row r="329" ht="13.2" customHeight="1" s="1127">
      <c r="A329" s="845" t="n"/>
      <c r="B329" s="845" t="n"/>
      <c r="C329" s="845" t="n"/>
      <c r="D329" s="845" t="n"/>
      <c r="E329" s="845" t="n"/>
      <c r="F329" s="845" t="n"/>
      <c r="G329" s="879" t="n"/>
      <c r="H329" s="845" t="n"/>
      <c r="I329" s="845" t="n"/>
      <c r="J329" s="845" t="n"/>
      <c r="K329" s="845" t="n"/>
      <c r="L329" s="845" t="n"/>
      <c r="M329" s="845" t="n"/>
      <c r="N329" s="845" t="n"/>
      <c r="O329" s="845" t="n"/>
      <c r="P329" s="845" t="n"/>
      <c r="Q329" s="845" t="n"/>
      <c r="R329" s="845" t="n"/>
      <c r="S329" s="845" t="n"/>
      <c r="T329" s="845" t="n"/>
      <c r="U329" s="845" t="n"/>
      <c r="V329" s="845" t="n"/>
      <c r="W329" s="845" t="n"/>
      <c r="X329" s="845" t="n"/>
      <c r="Y329" s="845" t="n"/>
      <c r="Z329" s="845" t="n"/>
    </row>
    <row r="330" ht="13.2" customHeight="1" s="1127">
      <c r="A330" s="845" t="n"/>
      <c r="B330" s="845" t="n"/>
      <c r="C330" s="845" t="n"/>
      <c r="D330" s="845" t="n"/>
      <c r="E330" s="845" t="n"/>
      <c r="F330" s="845" t="n"/>
      <c r="G330" s="879" t="n"/>
      <c r="H330" s="845" t="n"/>
      <c r="I330" s="845" t="n"/>
      <c r="J330" s="845" t="n"/>
      <c r="K330" s="845" t="n"/>
      <c r="L330" s="845" t="n"/>
      <c r="M330" s="845" t="n"/>
      <c r="N330" s="845" t="n"/>
      <c r="O330" s="845" t="n"/>
      <c r="P330" s="845" t="n"/>
      <c r="Q330" s="845" t="n"/>
      <c r="R330" s="845" t="n"/>
      <c r="S330" s="845" t="n"/>
      <c r="T330" s="845" t="n"/>
      <c r="U330" s="845" t="n"/>
      <c r="V330" s="845" t="n"/>
      <c r="W330" s="845" t="n"/>
      <c r="X330" s="845" t="n"/>
      <c r="Y330" s="845" t="n"/>
      <c r="Z330" s="845" t="n"/>
    </row>
    <row r="331" ht="13.2" customHeight="1" s="1127">
      <c r="A331" s="845" t="n"/>
      <c r="B331" s="845" t="n"/>
      <c r="C331" s="845" t="n"/>
      <c r="D331" s="845" t="n"/>
      <c r="E331" s="845" t="n"/>
      <c r="F331" s="845" t="n"/>
      <c r="G331" s="879" t="n"/>
      <c r="H331" s="845" t="n"/>
      <c r="I331" s="845" t="n"/>
      <c r="J331" s="845" t="n"/>
      <c r="K331" s="845" t="n"/>
      <c r="L331" s="845" t="n"/>
      <c r="M331" s="845" t="n"/>
      <c r="N331" s="845" t="n"/>
      <c r="O331" s="845" t="n"/>
      <c r="P331" s="845" t="n"/>
      <c r="Q331" s="845" t="n"/>
      <c r="R331" s="845" t="n"/>
      <c r="S331" s="845" t="n"/>
      <c r="T331" s="845" t="n"/>
      <c r="U331" s="845" t="n"/>
      <c r="V331" s="845" t="n"/>
      <c r="W331" s="845" t="n"/>
      <c r="X331" s="845" t="n"/>
      <c r="Y331" s="845" t="n"/>
      <c r="Z331" s="845" t="n"/>
    </row>
    <row r="332" ht="13.2" customHeight="1" s="1127">
      <c r="A332" s="845" t="n"/>
      <c r="B332" s="845" t="n"/>
      <c r="C332" s="845" t="n"/>
      <c r="D332" s="845" t="n"/>
      <c r="E332" s="845" t="n"/>
      <c r="F332" s="845" t="n"/>
      <c r="G332" s="879" t="n"/>
      <c r="H332" s="845" t="n"/>
      <c r="I332" s="845" t="n"/>
      <c r="J332" s="845" t="n"/>
      <c r="K332" s="845" t="n"/>
      <c r="L332" s="845" t="n"/>
      <c r="M332" s="845" t="n"/>
      <c r="N332" s="845" t="n"/>
      <c r="O332" s="845" t="n"/>
      <c r="P332" s="845" t="n"/>
      <c r="Q332" s="845" t="n"/>
      <c r="R332" s="845" t="n"/>
      <c r="S332" s="845" t="n"/>
      <c r="T332" s="845" t="n"/>
      <c r="U332" s="845" t="n"/>
      <c r="V332" s="845" t="n"/>
      <c r="W332" s="845" t="n"/>
      <c r="X332" s="845" t="n"/>
      <c r="Y332" s="845" t="n"/>
      <c r="Z332" s="845" t="n"/>
    </row>
    <row r="333" ht="13.2" customHeight="1" s="1127">
      <c r="A333" s="845" t="n"/>
      <c r="B333" s="845" t="n"/>
      <c r="C333" s="845" t="n"/>
      <c r="D333" s="845" t="n"/>
      <c r="E333" s="845" t="n"/>
      <c r="F333" s="845" t="n"/>
      <c r="G333" s="879" t="n"/>
      <c r="H333" s="845" t="n"/>
      <c r="I333" s="845" t="n"/>
      <c r="J333" s="845" t="n"/>
      <c r="K333" s="845" t="n"/>
      <c r="L333" s="845" t="n"/>
      <c r="M333" s="845" t="n"/>
      <c r="N333" s="845" t="n"/>
      <c r="O333" s="845" t="n"/>
      <c r="P333" s="845" t="n"/>
      <c r="Q333" s="845" t="n"/>
      <c r="R333" s="845" t="n"/>
      <c r="S333" s="845" t="n"/>
      <c r="T333" s="845" t="n"/>
      <c r="U333" s="845" t="n"/>
      <c r="V333" s="845" t="n"/>
      <c r="W333" s="845" t="n"/>
      <c r="X333" s="845" t="n"/>
      <c r="Y333" s="845" t="n"/>
      <c r="Z333" s="845" t="n"/>
    </row>
    <row r="334" ht="13.2" customHeight="1" s="1127">
      <c r="A334" s="845" t="n"/>
      <c r="B334" s="845" t="n"/>
      <c r="C334" s="845" t="n"/>
      <c r="D334" s="845" t="n"/>
      <c r="E334" s="845" t="n"/>
      <c r="F334" s="845" t="n"/>
      <c r="G334" s="879" t="n"/>
      <c r="H334" s="845" t="n"/>
      <c r="I334" s="845" t="n"/>
      <c r="J334" s="845" t="n"/>
      <c r="K334" s="845" t="n"/>
      <c r="L334" s="845" t="n"/>
      <c r="M334" s="845" t="n"/>
      <c r="N334" s="845" t="n"/>
      <c r="O334" s="845" t="n"/>
      <c r="P334" s="845" t="n"/>
      <c r="Q334" s="845" t="n"/>
      <c r="R334" s="845" t="n"/>
      <c r="S334" s="845" t="n"/>
      <c r="T334" s="845" t="n"/>
      <c r="U334" s="845" t="n"/>
      <c r="V334" s="845" t="n"/>
      <c r="W334" s="845" t="n"/>
      <c r="X334" s="845" t="n"/>
      <c r="Y334" s="845" t="n"/>
      <c r="Z334" s="845" t="n"/>
    </row>
    <row r="335" ht="13.2" customHeight="1" s="1127">
      <c r="A335" s="845" t="n"/>
      <c r="B335" s="845" t="n"/>
      <c r="C335" s="845" t="n"/>
      <c r="D335" s="845" t="n"/>
      <c r="E335" s="845" t="n"/>
      <c r="F335" s="845" t="n"/>
      <c r="G335" s="879" t="n"/>
      <c r="H335" s="845" t="n"/>
      <c r="I335" s="845" t="n"/>
      <c r="J335" s="845" t="n"/>
      <c r="K335" s="845" t="n"/>
      <c r="L335" s="845" t="n"/>
      <c r="M335" s="845" t="n"/>
      <c r="N335" s="845" t="n"/>
      <c r="O335" s="845" t="n"/>
      <c r="P335" s="845" t="n"/>
      <c r="Q335" s="845" t="n"/>
      <c r="R335" s="845" t="n"/>
      <c r="S335" s="845" t="n"/>
      <c r="T335" s="845" t="n"/>
      <c r="U335" s="845" t="n"/>
      <c r="V335" s="845" t="n"/>
      <c r="W335" s="845" t="n"/>
      <c r="X335" s="845" t="n"/>
      <c r="Y335" s="845" t="n"/>
      <c r="Z335" s="845" t="n"/>
    </row>
    <row r="336" ht="13.2" customHeight="1" s="1127">
      <c r="A336" s="845" t="n"/>
      <c r="B336" s="845" t="n"/>
      <c r="C336" s="845" t="n"/>
      <c r="D336" s="845" t="n"/>
      <c r="E336" s="845" t="n"/>
      <c r="F336" s="845" t="n"/>
      <c r="G336" s="879" t="n"/>
      <c r="H336" s="845" t="n"/>
      <c r="I336" s="845" t="n"/>
      <c r="J336" s="845" t="n"/>
      <c r="K336" s="845" t="n"/>
      <c r="L336" s="845" t="n"/>
      <c r="M336" s="845" t="n"/>
      <c r="N336" s="845" t="n"/>
      <c r="O336" s="845" t="n"/>
      <c r="P336" s="845" t="n"/>
      <c r="Q336" s="845" t="n"/>
      <c r="R336" s="845" t="n"/>
      <c r="S336" s="845" t="n"/>
      <c r="T336" s="845" t="n"/>
      <c r="U336" s="845" t="n"/>
      <c r="V336" s="845" t="n"/>
      <c r="W336" s="845" t="n"/>
      <c r="X336" s="845" t="n"/>
      <c r="Y336" s="845" t="n"/>
      <c r="Z336" s="845" t="n"/>
    </row>
    <row r="337" ht="13.2" customHeight="1" s="1127">
      <c r="A337" s="845" t="n"/>
      <c r="B337" s="845" t="n"/>
      <c r="C337" s="845" t="n"/>
      <c r="D337" s="845" t="n"/>
      <c r="E337" s="845" t="n"/>
      <c r="F337" s="845" t="n"/>
      <c r="G337" s="879" t="n"/>
      <c r="H337" s="845" t="n"/>
      <c r="I337" s="845" t="n"/>
      <c r="J337" s="845" t="n"/>
      <c r="K337" s="845" t="n"/>
      <c r="L337" s="845" t="n"/>
      <c r="M337" s="845" t="n"/>
      <c r="N337" s="845" t="n"/>
      <c r="O337" s="845" t="n"/>
      <c r="P337" s="845" t="n"/>
      <c r="Q337" s="845" t="n"/>
      <c r="R337" s="845" t="n"/>
      <c r="S337" s="845" t="n"/>
      <c r="T337" s="845" t="n"/>
      <c r="U337" s="845" t="n"/>
      <c r="V337" s="845" t="n"/>
      <c r="W337" s="845" t="n"/>
      <c r="X337" s="845" t="n"/>
      <c r="Y337" s="845" t="n"/>
      <c r="Z337" s="845" t="n"/>
    </row>
    <row r="338" ht="13.2" customHeight="1" s="1127">
      <c r="A338" s="845" t="n"/>
      <c r="B338" s="845" t="n"/>
      <c r="C338" s="845" t="n"/>
      <c r="D338" s="845" t="n"/>
      <c r="E338" s="845" t="n"/>
      <c r="F338" s="845" t="n"/>
      <c r="G338" s="879" t="n"/>
      <c r="H338" s="845" t="n"/>
      <c r="I338" s="845" t="n"/>
      <c r="J338" s="845" t="n"/>
      <c r="K338" s="845" t="n"/>
      <c r="L338" s="845" t="n"/>
      <c r="M338" s="845" t="n"/>
      <c r="N338" s="845" t="n"/>
      <c r="O338" s="845" t="n"/>
      <c r="P338" s="845" t="n"/>
      <c r="Q338" s="845" t="n"/>
      <c r="R338" s="845" t="n"/>
      <c r="S338" s="845" t="n"/>
      <c r="T338" s="845" t="n"/>
      <c r="U338" s="845" t="n"/>
      <c r="V338" s="845" t="n"/>
      <c r="W338" s="845" t="n"/>
      <c r="X338" s="845" t="n"/>
      <c r="Y338" s="845" t="n"/>
      <c r="Z338" s="845" t="n"/>
    </row>
    <row r="339" ht="13.2" customHeight="1" s="1127">
      <c r="A339" s="845" t="n"/>
      <c r="B339" s="845" t="n"/>
      <c r="C339" s="845" t="n"/>
      <c r="D339" s="845" t="n"/>
      <c r="E339" s="845" t="n"/>
      <c r="F339" s="845" t="n"/>
      <c r="G339" s="879" t="n"/>
      <c r="H339" s="845" t="n"/>
      <c r="I339" s="845" t="n"/>
      <c r="J339" s="845" t="n"/>
      <c r="K339" s="845" t="n"/>
      <c r="L339" s="845" t="n"/>
      <c r="M339" s="845" t="n"/>
      <c r="N339" s="845" t="n"/>
      <c r="O339" s="845" t="n"/>
      <c r="P339" s="845" t="n"/>
      <c r="Q339" s="845" t="n"/>
      <c r="R339" s="845" t="n"/>
      <c r="S339" s="845" t="n"/>
      <c r="T339" s="845" t="n"/>
      <c r="U339" s="845" t="n"/>
      <c r="V339" s="845" t="n"/>
      <c r="W339" s="845" t="n"/>
      <c r="X339" s="845" t="n"/>
      <c r="Y339" s="845" t="n"/>
      <c r="Z339" s="845" t="n"/>
    </row>
    <row r="340" ht="13.2" customHeight="1" s="1127">
      <c r="A340" s="845" t="n"/>
      <c r="B340" s="845" t="n"/>
      <c r="C340" s="845" t="n"/>
      <c r="D340" s="845" t="n"/>
      <c r="E340" s="845" t="n"/>
      <c r="F340" s="845" t="n"/>
      <c r="G340" s="879" t="n"/>
      <c r="H340" s="845" t="n"/>
      <c r="I340" s="845" t="n"/>
      <c r="J340" s="845" t="n"/>
      <c r="K340" s="845" t="n"/>
      <c r="L340" s="845" t="n"/>
      <c r="M340" s="845" t="n"/>
      <c r="N340" s="845" t="n"/>
      <c r="O340" s="845" t="n"/>
      <c r="P340" s="845" t="n"/>
      <c r="Q340" s="845" t="n"/>
      <c r="R340" s="845" t="n"/>
      <c r="S340" s="845" t="n"/>
      <c r="T340" s="845" t="n"/>
      <c r="U340" s="845" t="n"/>
      <c r="V340" s="845" t="n"/>
      <c r="W340" s="845" t="n"/>
      <c r="X340" s="845" t="n"/>
      <c r="Y340" s="845" t="n"/>
      <c r="Z340" s="845" t="n"/>
    </row>
    <row r="341" ht="13.2" customHeight="1" s="1127">
      <c r="A341" s="845" t="n"/>
      <c r="B341" s="845" t="n"/>
      <c r="C341" s="845" t="n"/>
      <c r="D341" s="845" t="n"/>
      <c r="E341" s="845" t="n"/>
      <c r="F341" s="845" t="n"/>
      <c r="G341" s="879" t="n"/>
      <c r="H341" s="845" t="n"/>
      <c r="I341" s="845" t="n"/>
      <c r="J341" s="845" t="n"/>
      <c r="K341" s="845" t="n"/>
      <c r="L341" s="845" t="n"/>
      <c r="M341" s="845" t="n"/>
      <c r="N341" s="845" t="n"/>
      <c r="O341" s="845" t="n"/>
      <c r="P341" s="845" t="n"/>
      <c r="Q341" s="845" t="n"/>
      <c r="R341" s="845" t="n"/>
      <c r="S341" s="845" t="n"/>
      <c r="T341" s="845" t="n"/>
      <c r="U341" s="845" t="n"/>
      <c r="V341" s="845" t="n"/>
      <c r="W341" s="845" t="n"/>
      <c r="X341" s="845" t="n"/>
      <c r="Y341" s="845" t="n"/>
      <c r="Z341" s="845" t="n"/>
    </row>
    <row r="342" ht="13.2" customHeight="1" s="1127">
      <c r="A342" s="845" t="n"/>
      <c r="B342" s="845" t="n"/>
      <c r="C342" s="845" t="n"/>
      <c r="D342" s="845" t="n"/>
      <c r="E342" s="845" t="n"/>
      <c r="F342" s="845" t="n"/>
      <c r="G342" s="879" t="n"/>
      <c r="H342" s="845" t="n"/>
      <c r="I342" s="845" t="n"/>
      <c r="J342" s="845" t="n"/>
      <c r="K342" s="845" t="n"/>
      <c r="L342" s="845" t="n"/>
      <c r="M342" s="845" t="n"/>
      <c r="N342" s="845" t="n"/>
      <c r="O342" s="845" t="n"/>
      <c r="P342" s="845" t="n"/>
      <c r="Q342" s="845" t="n"/>
      <c r="R342" s="845" t="n"/>
      <c r="S342" s="845" t="n"/>
      <c r="T342" s="845" t="n"/>
      <c r="U342" s="845" t="n"/>
      <c r="V342" s="845" t="n"/>
      <c r="W342" s="845" t="n"/>
      <c r="X342" s="845" t="n"/>
      <c r="Y342" s="845" t="n"/>
      <c r="Z342" s="845" t="n"/>
    </row>
    <row r="343" ht="13.2" customHeight="1" s="1127">
      <c r="A343" s="845" t="n"/>
      <c r="B343" s="845" t="n"/>
      <c r="C343" s="845" t="n"/>
      <c r="D343" s="845" t="n"/>
      <c r="E343" s="845" t="n"/>
      <c r="F343" s="845" t="n"/>
      <c r="G343" s="879" t="n"/>
      <c r="H343" s="845" t="n"/>
      <c r="I343" s="845" t="n"/>
      <c r="J343" s="845" t="n"/>
      <c r="K343" s="845" t="n"/>
      <c r="L343" s="845" t="n"/>
      <c r="M343" s="845" t="n"/>
      <c r="N343" s="845" t="n"/>
      <c r="O343" s="845" t="n"/>
      <c r="P343" s="845" t="n"/>
      <c r="Q343" s="845" t="n"/>
      <c r="R343" s="845" t="n"/>
      <c r="S343" s="845" t="n"/>
      <c r="T343" s="845" t="n"/>
      <c r="U343" s="845" t="n"/>
      <c r="V343" s="845" t="n"/>
      <c r="W343" s="845" t="n"/>
      <c r="X343" s="845" t="n"/>
      <c r="Y343" s="845" t="n"/>
      <c r="Z343" s="845" t="n"/>
    </row>
    <row r="344" ht="13.2" customHeight="1" s="1127">
      <c r="A344" s="845" t="n"/>
      <c r="B344" s="845" t="n"/>
      <c r="C344" s="845" t="n"/>
      <c r="D344" s="845" t="n"/>
      <c r="E344" s="845" t="n"/>
      <c r="F344" s="845" t="n"/>
      <c r="G344" s="879" t="n"/>
      <c r="H344" s="845" t="n"/>
      <c r="I344" s="845" t="n"/>
      <c r="J344" s="845" t="n"/>
      <c r="K344" s="845" t="n"/>
      <c r="L344" s="845" t="n"/>
      <c r="M344" s="845" t="n"/>
      <c r="N344" s="845" t="n"/>
      <c r="O344" s="845" t="n"/>
      <c r="P344" s="845" t="n"/>
      <c r="Q344" s="845" t="n"/>
      <c r="R344" s="845" t="n"/>
      <c r="S344" s="845" t="n"/>
      <c r="T344" s="845" t="n"/>
      <c r="U344" s="845" t="n"/>
      <c r="V344" s="845" t="n"/>
      <c r="W344" s="845" t="n"/>
      <c r="X344" s="845" t="n"/>
      <c r="Y344" s="845" t="n"/>
      <c r="Z344" s="845" t="n"/>
    </row>
    <row r="345" ht="13.2" customHeight="1" s="1127">
      <c r="A345" s="845" t="n"/>
      <c r="B345" s="845" t="n"/>
      <c r="C345" s="845" t="n"/>
      <c r="D345" s="845" t="n"/>
      <c r="E345" s="845" t="n"/>
      <c r="F345" s="845" t="n"/>
      <c r="G345" s="879" t="n"/>
      <c r="H345" s="845" t="n"/>
      <c r="I345" s="845" t="n"/>
      <c r="J345" s="845" t="n"/>
      <c r="K345" s="845" t="n"/>
      <c r="L345" s="845" t="n"/>
      <c r="M345" s="845" t="n"/>
      <c r="N345" s="845" t="n"/>
      <c r="O345" s="845" t="n"/>
      <c r="P345" s="845" t="n"/>
      <c r="Q345" s="845" t="n"/>
      <c r="R345" s="845" t="n"/>
      <c r="S345" s="845" t="n"/>
      <c r="T345" s="845" t="n"/>
      <c r="U345" s="845" t="n"/>
      <c r="V345" s="845" t="n"/>
      <c r="W345" s="845" t="n"/>
      <c r="X345" s="845" t="n"/>
      <c r="Y345" s="845" t="n"/>
      <c r="Z345" s="845" t="n"/>
    </row>
    <row r="346" ht="13.2" customHeight="1" s="1127">
      <c r="A346" s="845" t="n"/>
      <c r="B346" s="845" t="n"/>
      <c r="C346" s="845" t="n"/>
      <c r="D346" s="845" t="n"/>
      <c r="E346" s="845" t="n"/>
      <c r="F346" s="845" t="n"/>
      <c r="G346" s="879" t="n"/>
      <c r="H346" s="845" t="n"/>
      <c r="I346" s="845" t="n"/>
      <c r="J346" s="845" t="n"/>
      <c r="K346" s="845" t="n"/>
      <c r="L346" s="845" t="n"/>
      <c r="M346" s="845" t="n"/>
      <c r="N346" s="845" t="n"/>
      <c r="O346" s="845" t="n"/>
      <c r="P346" s="845" t="n"/>
      <c r="Q346" s="845" t="n"/>
      <c r="R346" s="845" t="n"/>
      <c r="S346" s="845" t="n"/>
      <c r="T346" s="845" t="n"/>
      <c r="U346" s="845" t="n"/>
      <c r="V346" s="845" t="n"/>
      <c r="W346" s="845" t="n"/>
      <c r="X346" s="845" t="n"/>
      <c r="Y346" s="845" t="n"/>
      <c r="Z346" s="845" t="n"/>
    </row>
    <row r="347" ht="13.2" customHeight="1" s="1127">
      <c r="A347" s="845" t="n"/>
      <c r="B347" s="845" t="n"/>
      <c r="C347" s="845" t="n"/>
      <c r="D347" s="845" t="n"/>
      <c r="E347" s="845" t="n"/>
      <c r="F347" s="845" t="n"/>
      <c r="G347" s="879" t="n"/>
      <c r="H347" s="845" t="n"/>
      <c r="I347" s="845" t="n"/>
      <c r="J347" s="845" t="n"/>
      <c r="K347" s="845" t="n"/>
      <c r="L347" s="845" t="n"/>
      <c r="M347" s="845" t="n"/>
      <c r="N347" s="845" t="n"/>
      <c r="O347" s="845" t="n"/>
      <c r="P347" s="845" t="n"/>
      <c r="Q347" s="845" t="n"/>
      <c r="R347" s="845" t="n"/>
      <c r="S347" s="845" t="n"/>
      <c r="T347" s="845" t="n"/>
      <c r="U347" s="845" t="n"/>
      <c r="V347" s="845" t="n"/>
      <c r="W347" s="845" t="n"/>
      <c r="X347" s="845" t="n"/>
      <c r="Y347" s="845" t="n"/>
      <c r="Z347" s="845" t="n"/>
    </row>
    <row r="348" ht="13.2" customHeight="1" s="1127">
      <c r="A348" s="845" t="n"/>
      <c r="B348" s="845" t="n"/>
      <c r="C348" s="845" t="n"/>
      <c r="D348" s="845" t="n"/>
      <c r="E348" s="845" t="n"/>
      <c r="F348" s="845" t="n"/>
      <c r="G348" s="879" t="n"/>
      <c r="H348" s="845" t="n"/>
      <c r="I348" s="845" t="n"/>
      <c r="J348" s="845" t="n"/>
      <c r="K348" s="845" t="n"/>
      <c r="L348" s="845" t="n"/>
      <c r="M348" s="845" t="n"/>
      <c r="N348" s="845" t="n"/>
      <c r="O348" s="845" t="n"/>
      <c r="P348" s="845" t="n"/>
      <c r="Q348" s="845" t="n"/>
      <c r="R348" s="845" t="n"/>
      <c r="S348" s="845" t="n"/>
      <c r="T348" s="845" t="n"/>
      <c r="U348" s="845" t="n"/>
      <c r="V348" s="845" t="n"/>
      <c r="W348" s="845" t="n"/>
      <c r="X348" s="845" t="n"/>
      <c r="Y348" s="845" t="n"/>
      <c r="Z348" s="845" t="n"/>
    </row>
    <row r="349" ht="13.2" customHeight="1" s="1127">
      <c r="A349" s="845" t="n"/>
      <c r="B349" s="845" t="n"/>
      <c r="C349" s="845" t="n"/>
      <c r="D349" s="845" t="n"/>
      <c r="E349" s="845" t="n"/>
      <c r="F349" s="845" t="n"/>
      <c r="G349" s="879" t="n"/>
      <c r="H349" s="845" t="n"/>
      <c r="I349" s="845" t="n"/>
      <c r="J349" s="845" t="n"/>
      <c r="K349" s="845" t="n"/>
      <c r="L349" s="845" t="n"/>
      <c r="M349" s="845" t="n"/>
      <c r="N349" s="845" t="n"/>
      <c r="O349" s="845" t="n"/>
      <c r="P349" s="845" t="n"/>
      <c r="Q349" s="845" t="n"/>
      <c r="R349" s="845" t="n"/>
      <c r="S349" s="845" t="n"/>
      <c r="T349" s="845" t="n"/>
      <c r="U349" s="845" t="n"/>
      <c r="V349" s="845" t="n"/>
      <c r="W349" s="845" t="n"/>
      <c r="X349" s="845" t="n"/>
      <c r="Y349" s="845" t="n"/>
      <c r="Z349" s="845" t="n"/>
    </row>
    <row r="350" ht="13.2" customHeight="1" s="1127">
      <c r="A350" s="845" t="n"/>
      <c r="B350" s="845" t="n"/>
      <c r="C350" s="845" t="n"/>
      <c r="D350" s="845" t="n"/>
      <c r="E350" s="845" t="n"/>
      <c r="F350" s="845" t="n"/>
      <c r="G350" s="879" t="n"/>
      <c r="H350" s="845" t="n"/>
      <c r="I350" s="845" t="n"/>
      <c r="J350" s="845" t="n"/>
      <c r="K350" s="845" t="n"/>
      <c r="L350" s="845" t="n"/>
      <c r="M350" s="845" t="n"/>
      <c r="N350" s="845" t="n"/>
      <c r="O350" s="845" t="n"/>
      <c r="P350" s="845" t="n"/>
      <c r="Q350" s="845" t="n"/>
      <c r="R350" s="845" t="n"/>
      <c r="S350" s="845" t="n"/>
      <c r="T350" s="845" t="n"/>
      <c r="U350" s="845" t="n"/>
      <c r="V350" s="845" t="n"/>
      <c r="W350" s="845" t="n"/>
      <c r="X350" s="845" t="n"/>
      <c r="Y350" s="845" t="n"/>
      <c r="Z350" s="845" t="n"/>
    </row>
    <row r="351" ht="13.2" customHeight="1" s="1127">
      <c r="A351" s="845" t="n"/>
      <c r="B351" s="845" t="n"/>
      <c r="C351" s="845" t="n"/>
      <c r="D351" s="845" t="n"/>
      <c r="E351" s="845" t="n"/>
      <c r="F351" s="845" t="n"/>
      <c r="G351" s="879" t="n"/>
      <c r="H351" s="845" t="n"/>
      <c r="I351" s="845" t="n"/>
      <c r="J351" s="845" t="n"/>
      <c r="K351" s="845" t="n"/>
      <c r="L351" s="845" t="n"/>
      <c r="M351" s="845" t="n"/>
      <c r="N351" s="845" t="n"/>
      <c r="O351" s="845" t="n"/>
      <c r="P351" s="845" t="n"/>
      <c r="Q351" s="845" t="n"/>
      <c r="R351" s="845" t="n"/>
      <c r="S351" s="845" t="n"/>
      <c r="T351" s="845" t="n"/>
      <c r="U351" s="845" t="n"/>
      <c r="V351" s="845" t="n"/>
      <c r="W351" s="845" t="n"/>
      <c r="X351" s="845" t="n"/>
      <c r="Y351" s="845" t="n"/>
      <c r="Z351" s="845" t="n"/>
    </row>
    <row r="352" ht="13.2" customHeight="1" s="1127">
      <c r="A352" s="845" t="n"/>
      <c r="B352" s="845" t="n"/>
      <c r="C352" s="845" t="n"/>
      <c r="D352" s="845" t="n"/>
      <c r="E352" s="845" t="n"/>
      <c r="F352" s="845" t="n"/>
      <c r="G352" s="879" t="n"/>
      <c r="H352" s="845" t="n"/>
      <c r="I352" s="845" t="n"/>
      <c r="J352" s="845" t="n"/>
      <c r="K352" s="845" t="n"/>
      <c r="L352" s="845" t="n"/>
      <c r="M352" s="845" t="n"/>
      <c r="N352" s="845" t="n"/>
      <c r="O352" s="845" t="n"/>
      <c r="P352" s="845" t="n"/>
      <c r="Q352" s="845" t="n"/>
      <c r="R352" s="845" t="n"/>
      <c r="S352" s="845" t="n"/>
      <c r="T352" s="845" t="n"/>
      <c r="U352" s="845" t="n"/>
      <c r="V352" s="845" t="n"/>
      <c r="W352" s="845" t="n"/>
      <c r="X352" s="845" t="n"/>
      <c r="Y352" s="845" t="n"/>
      <c r="Z352" s="845" t="n"/>
    </row>
    <row r="353" ht="13.2" customHeight="1" s="1127">
      <c r="A353" s="845" t="n"/>
      <c r="B353" s="845" t="n"/>
      <c r="C353" s="845" t="n"/>
      <c r="D353" s="845" t="n"/>
      <c r="E353" s="845" t="n"/>
      <c r="F353" s="845" t="n"/>
      <c r="G353" s="879" t="n"/>
      <c r="H353" s="845" t="n"/>
      <c r="I353" s="845" t="n"/>
      <c r="J353" s="845" t="n"/>
      <c r="K353" s="845" t="n"/>
      <c r="L353" s="845" t="n"/>
      <c r="M353" s="845" t="n"/>
      <c r="N353" s="845" t="n"/>
      <c r="O353" s="845" t="n"/>
      <c r="P353" s="845" t="n"/>
      <c r="Q353" s="845" t="n"/>
      <c r="R353" s="845" t="n"/>
      <c r="S353" s="845" t="n"/>
      <c r="T353" s="845" t="n"/>
      <c r="U353" s="845" t="n"/>
      <c r="V353" s="845" t="n"/>
      <c r="W353" s="845" t="n"/>
      <c r="X353" s="845" t="n"/>
      <c r="Y353" s="845" t="n"/>
      <c r="Z353" s="845" t="n"/>
    </row>
    <row r="354" ht="13.2" customHeight="1" s="1127">
      <c r="A354" s="845" t="n"/>
      <c r="B354" s="845" t="n"/>
      <c r="C354" s="845" t="n"/>
      <c r="D354" s="845" t="n"/>
      <c r="E354" s="845" t="n"/>
      <c r="F354" s="845" t="n"/>
      <c r="G354" s="879" t="n"/>
      <c r="H354" s="845" t="n"/>
      <c r="I354" s="845" t="n"/>
      <c r="J354" s="845" t="n"/>
      <c r="K354" s="845" t="n"/>
      <c r="L354" s="845" t="n"/>
      <c r="M354" s="845" t="n"/>
      <c r="N354" s="845" t="n"/>
      <c r="O354" s="845" t="n"/>
      <c r="P354" s="845" t="n"/>
      <c r="Q354" s="845" t="n"/>
      <c r="R354" s="845" t="n"/>
      <c r="S354" s="845" t="n"/>
      <c r="T354" s="845" t="n"/>
      <c r="U354" s="845" t="n"/>
      <c r="V354" s="845" t="n"/>
      <c r="W354" s="845" t="n"/>
      <c r="X354" s="845" t="n"/>
      <c r="Y354" s="845" t="n"/>
      <c r="Z354" s="845" t="n"/>
    </row>
    <row r="355" ht="13.2" customHeight="1" s="1127">
      <c r="A355" s="845" t="n"/>
      <c r="B355" s="845" t="n"/>
      <c r="C355" s="845" t="n"/>
      <c r="D355" s="845" t="n"/>
      <c r="E355" s="845" t="n"/>
      <c r="F355" s="845" t="n"/>
      <c r="G355" s="879" t="n"/>
      <c r="H355" s="845" t="n"/>
      <c r="I355" s="845" t="n"/>
      <c r="J355" s="845" t="n"/>
      <c r="K355" s="845" t="n"/>
      <c r="L355" s="845" t="n"/>
      <c r="M355" s="845" t="n"/>
      <c r="N355" s="845" t="n"/>
      <c r="O355" s="845" t="n"/>
      <c r="P355" s="845" t="n"/>
      <c r="Q355" s="845" t="n"/>
      <c r="R355" s="845" t="n"/>
      <c r="S355" s="845" t="n"/>
      <c r="T355" s="845" t="n"/>
      <c r="U355" s="845" t="n"/>
      <c r="V355" s="845" t="n"/>
      <c r="W355" s="845" t="n"/>
      <c r="X355" s="845" t="n"/>
      <c r="Y355" s="845" t="n"/>
      <c r="Z355" s="845" t="n"/>
    </row>
    <row r="356" ht="13.2" customHeight="1" s="1127">
      <c r="A356" s="845" t="n"/>
      <c r="B356" s="845" t="n"/>
      <c r="C356" s="845" t="n"/>
      <c r="D356" s="845" t="n"/>
      <c r="E356" s="845" t="n"/>
      <c r="F356" s="845" t="n"/>
      <c r="G356" s="879" t="n"/>
      <c r="H356" s="845" t="n"/>
      <c r="I356" s="845" t="n"/>
      <c r="J356" s="845" t="n"/>
      <c r="K356" s="845" t="n"/>
      <c r="L356" s="845" t="n"/>
      <c r="M356" s="845" t="n"/>
      <c r="N356" s="845" t="n"/>
      <c r="O356" s="845" t="n"/>
      <c r="P356" s="845" t="n"/>
      <c r="Q356" s="845" t="n"/>
      <c r="R356" s="845" t="n"/>
      <c r="S356" s="845" t="n"/>
      <c r="T356" s="845" t="n"/>
      <c r="U356" s="845" t="n"/>
      <c r="V356" s="845" t="n"/>
      <c r="W356" s="845" t="n"/>
      <c r="X356" s="845" t="n"/>
      <c r="Y356" s="845" t="n"/>
      <c r="Z356" s="845" t="n"/>
    </row>
    <row r="357" ht="13.2" customHeight="1" s="1127">
      <c r="A357" s="845" t="n"/>
      <c r="B357" s="845" t="n"/>
      <c r="C357" s="845" t="n"/>
      <c r="D357" s="845" t="n"/>
      <c r="E357" s="845" t="n"/>
      <c r="F357" s="845" t="n"/>
      <c r="G357" s="879" t="n"/>
      <c r="H357" s="845" t="n"/>
      <c r="I357" s="845" t="n"/>
      <c r="J357" s="845" t="n"/>
      <c r="K357" s="845" t="n"/>
      <c r="L357" s="845" t="n"/>
      <c r="M357" s="845" t="n"/>
      <c r="N357" s="845" t="n"/>
      <c r="O357" s="845" t="n"/>
      <c r="P357" s="845" t="n"/>
      <c r="Q357" s="845" t="n"/>
      <c r="R357" s="845" t="n"/>
      <c r="S357" s="845" t="n"/>
      <c r="T357" s="845" t="n"/>
      <c r="U357" s="845" t="n"/>
      <c r="V357" s="845" t="n"/>
      <c r="W357" s="845" t="n"/>
      <c r="X357" s="845" t="n"/>
      <c r="Y357" s="845" t="n"/>
      <c r="Z357" s="845" t="n"/>
    </row>
    <row r="358" ht="13.2" customHeight="1" s="1127">
      <c r="A358" s="845" t="n"/>
      <c r="B358" s="845" t="n"/>
      <c r="C358" s="845" t="n"/>
      <c r="D358" s="845" t="n"/>
      <c r="E358" s="845" t="n"/>
      <c r="F358" s="845" t="n"/>
      <c r="G358" s="879" t="n"/>
      <c r="H358" s="845" t="n"/>
      <c r="I358" s="845" t="n"/>
      <c r="J358" s="845" t="n"/>
      <c r="K358" s="845" t="n"/>
      <c r="L358" s="845" t="n"/>
      <c r="M358" s="845" t="n"/>
      <c r="N358" s="845" t="n"/>
      <c r="O358" s="845" t="n"/>
      <c r="P358" s="845" t="n"/>
      <c r="Q358" s="845" t="n"/>
      <c r="R358" s="845" t="n"/>
      <c r="S358" s="845" t="n"/>
      <c r="T358" s="845" t="n"/>
      <c r="U358" s="845" t="n"/>
      <c r="V358" s="845" t="n"/>
      <c r="W358" s="845" t="n"/>
      <c r="X358" s="845" t="n"/>
      <c r="Y358" s="845" t="n"/>
      <c r="Z358" s="845" t="n"/>
    </row>
    <row r="359" ht="13.2" customHeight="1" s="1127">
      <c r="A359" s="845" t="n"/>
      <c r="B359" s="845" t="n"/>
      <c r="C359" s="845" t="n"/>
      <c r="D359" s="845" t="n"/>
      <c r="E359" s="845" t="n"/>
      <c r="F359" s="845" t="n"/>
      <c r="G359" s="879" t="n"/>
      <c r="H359" s="845" t="n"/>
      <c r="I359" s="845" t="n"/>
      <c r="J359" s="845" t="n"/>
      <c r="K359" s="845" t="n"/>
      <c r="L359" s="845" t="n"/>
      <c r="M359" s="845" t="n"/>
      <c r="N359" s="845" t="n"/>
      <c r="O359" s="845" t="n"/>
      <c r="P359" s="845" t="n"/>
      <c r="Q359" s="845" t="n"/>
      <c r="R359" s="845" t="n"/>
      <c r="S359" s="845" t="n"/>
      <c r="T359" s="845" t="n"/>
      <c r="U359" s="845" t="n"/>
      <c r="V359" s="845" t="n"/>
      <c r="W359" s="845" t="n"/>
      <c r="X359" s="845" t="n"/>
      <c r="Y359" s="845" t="n"/>
      <c r="Z359" s="845" t="n"/>
    </row>
    <row r="360" ht="13.2" customHeight="1" s="1127">
      <c r="A360" s="845" t="n"/>
      <c r="B360" s="845" t="n"/>
      <c r="C360" s="845" t="n"/>
      <c r="D360" s="845" t="n"/>
      <c r="E360" s="845" t="n"/>
      <c r="F360" s="845" t="n"/>
      <c r="G360" s="879" t="n"/>
      <c r="H360" s="845" t="n"/>
      <c r="I360" s="845" t="n"/>
      <c r="J360" s="845" t="n"/>
      <c r="K360" s="845" t="n"/>
      <c r="L360" s="845" t="n"/>
      <c r="M360" s="845" t="n"/>
      <c r="N360" s="845" t="n"/>
      <c r="O360" s="845" t="n"/>
      <c r="P360" s="845" t="n"/>
      <c r="Q360" s="845" t="n"/>
      <c r="R360" s="845" t="n"/>
      <c r="S360" s="845" t="n"/>
      <c r="T360" s="845" t="n"/>
      <c r="U360" s="845" t="n"/>
      <c r="V360" s="845" t="n"/>
      <c r="W360" s="845" t="n"/>
      <c r="X360" s="845" t="n"/>
      <c r="Y360" s="845" t="n"/>
      <c r="Z360" s="845" t="n"/>
    </row>
    <row r="361" ht="13.2" customHeight="1" s="1127">
      <c r="A361" s="845" t="n"/>
      <c r="B361" s="845" t="n"/>
      <c r="C361" s="845" t="n"/>
      <c r="D361" s="845" t="n"/>
      <c r="E361" s="845" t="n"/>
      <c r="F361" s="845" t="n"/>
      <c r="G361" s="879" t="n"/>
      <c r="H361" s="845" t="n"/>
      <c r="I361" s="845" t="n"/>
      <c r="J361" s="845" t="n"/>
      <c r="K361" s="845" t="n"/>
      <c r="L361" s="845" t="n"/>
      <c r="M361" s="845" t="n"/>
      <c r="N361" s="845" t="n"/>
      <c r="O361" s="845" t="n"/>
      <c r="P361" s="845" t="n"/>
      <c r="Q361" s="845" t="n"/>
      <c r="R361" s="845" t="n"/>
      <c r="S361" s="845" t="n"/>
      <c r="T361" s="845" t="n"/>
      <c r="U361" s="845" t="n"/>
      <c r="V361" s="845" t="n"/>
      <c r="W361" s="845" t="n"/>
      <c r="X361" s="845" t="n"/>
      <c r="Y361" s="845" t="n"/>
      <c r="Z361" s="845" t="n"/>
    </row>
    <row r="362" ht="13.2" customHeight="1" s="1127">
      <c r="A362" s="845" t="n"/>
      <c r="B362" s="845" t="n"/>
      <c r="C362" s="845" t="n"/>
      <c r="D362" s="845" t="n"/>
      <c r="E362" s="845" t="n"/>
      <c r="F362" s="845" t="n"/>
      <c r="G362" s="879" t="n"/>
      <c r="H362" s="845" t="n"/>
      <c r="I362" s="845" t="n"/>
      <c r="J362" s="845" t="n"/>
      <c r="K362" s="845" t="n"/>
      <c r="L362" s="845" t="n"/>
      <c r="M362" s="845" t="n"/>
      <c r="N362" s="845" t="n"/>
      <c r="O362" s="845" t="n"/>
      <c r="P362" s="845" t="n"/>
      <c r="Q362" s="845" t="n"/>
      <c r="R362" s="845" t="n"/>
      <c r="S362" s="845" t="n"/>
      <c r="T362" s="845" t="n"/>
      <c r="U362" s="845" t="n"/>
      <c r="V362" s="845" t="n"/>
      <c r="W362" s="845" t="n"/>
      <c r="X362" s="845" t="n"/>
      <c r="Y362" s="845" t="n"/>
      <c r="Z362" s="845" t="n"/>
    </row>
    <row r="363" ht="13.2" customHeight="1" s="1127">
      <c r="A363" s="845" t="n"/>
      <c r="B363" s="845" t="n"/>
      <c r="C363" s="845" t="n"/>
      <c r="D363" s="845" t="n"/>
      <c r="E363" s="845" t="n"/>
      <c r="F363" s="845" t="n"/>
      <c r="G363" s="879" t="n"/>
      <c r="H363" s="845" t="n"/>
      <c r="I363" s="845" t="n"/>
      <c r="J363" s="845" t="n"/>
      <c r="K363" s="845" t="n"/>
      <c r="L363" s="845" t="n"/>
      <c r="M363" s="845" t="n"/>
      <c r="N363" s="845" t="n"/>
      <c r="O363" s="845" t="n"/>
      <c r="P363" s="845" t="n"/>
      <c r="Q363" s="845" t="n"/>
      <c r="R363" s="845" t="n"/>
      <c r="S363" s="845" t="n"/>
      <c r="T363" s="845" t="n"/>
      <c r="U363" s="845" t="n"/>
      <c r="V363" s="845" t="n"/>
      <c r="W363" s="845" t="n"/>
      <c r="X363" s="845" t="n"/>
      <c r="Y363" s="845" t="n"/>
      <c r="Z363" s="845" t="n"/>
    </row>
    <row r="364" ht="13.2" customHeight="1" s="1127">
      <c r="A364" s="845" t="n"/>
      <c r="B364" s="845" t="n"/>
      <c r="C364" s="845" t="n"/>
      <c r="D364" s="845" t="n"/>
      <c r="E364" s="845" t="n"/>
      <c r="F364" s="845" t="n"/>
      <c r="G364" s="879" t="n"/>
      <c r="H364" s="845" t="n"/>
      <c r="I364" s="845" t="n"/>
      <c r="J364" s="845" t="n"/>
      <c r="K364" s="845" t="n"/>
      <c r="L364" s="845" t="n"/>
      <c r="M364" s="845" t="n"/>
      <c r="N364" s="845" t="n"/>
      <c r="O364" s="845" t="n"/>
      <c r="P364" s="845" t="n"/>
      <c r="Q364" s="845" t="n"/>
      <c r="R364" s="845" t="n"/>
      <c r="S364" s="845" t="n"/>
      <c r="T364" s="845" t="n"/>
      <c r="U364" s="845" t="n"/>
      <c r="V364" s="845" t="n"/>
      <c r="W364" s="845" t="n"/>
      <c r="X364" s="845" t="n"/>
      <c r="Y364" s="845" t="n"/>
      <c r="Z364" s="845" t="n"/>
    </row>
    <row r="365" ht="13.2" customHeight="1" s="1127">
      <c r="A365" s="845" t="n"/>
      <c r="B365" s="845" t="n"/>
      <c r="C365" s="845" t="n"/>
      <c r="D365" s="845" t="n"/>
      <c r="E365" s="845" t="n"/>
      <c r="F365" s="845" t="n"/>
      <c r="G365" s="879" t="n"/>
      <c r="H365" s="845" t="n"/>
      <c r="I365" s="845" t="n"/>
      <c r="J365" s="845" t="n"/>
      <c r="K365" s="845" t="n"/>
      <c r="L365" s="845" t="n"/>
      <c r="M365" s="845" t="n"/>
      <c r="N365" s="845" t="n"/>
      <c r="O365" s="845" t="n"/>
      <c r="P365" s="845" t="n"/>
      <c r="Q365" s="845" t="n"/>
      <c r="R365" s="845" t="n"/>
      <c r="S365" s="845" t="n"/>
      <c r="T365" s="845" t="n"/>
      <c r="U365" s="845" t="n"/>
      <c r="V365" s="845" t="n"/>
      <c r="W365" s="845" t="n"/>
      <c r="X365" s="845" t="n"/>
      <c r="Y365" s="845" t="n"/>
      <c r="Z365" s="845" t="n"/>
    </row>
    <row r="366" ht="13.2" customHeight="1" s="1127">
      <c r="A366" s="845" t="n"/>
      <c r="B366" s="845" t="n"/>
      <c r="C366" s="845" t="n"/>
      <c r="D366" s="845" t="n"/>
      <c r="E366" s="845" t="n"/>
      <c r="F366" s="845" t="n"/>
      <c r="G366" s="879" t="n"/>
      <c r="H366" s="845" t="n"/>
      <c r="I366" s="845" t="n"/>
      <c r="J366" s="845" t="n"/>
      <c r="K366" s="845" t="n"/>
      <c r="L366" s="845" t="n"/>
      <c r="M366" s="845" t="n"/>
      <c r="N366" s="845" t="n"/>
      <c r="O366" s="845" t="n"/>
      <c r="P366" s="845" t="n"/>
      <c r="Q366" s="845" t="n"/>
      <c r="R366" s="845" t="n"/>
      <c r="S366" s="845" t="n"/>
      <c r="T366" s="845" t="n"/>
      <c r="U366" s="845" t="n"/>
      <c r="V366" s="845" t="n"/>
      <c r="W366" s="845" t="n"/>
      <c r="X366" s="845" t="n"/>
      <c r="Y366" s="845" t="n"/>
      <c r="Z366" s="845" t="n"/>
    </row>
    <row r="367" ht="13.2" customHeight="1" s="1127">
      <c r="A367" s="845" t="n"/>
      <c r="B367" s="845" t="n"/>
      <c r="C367" s="845" t="n"/>
      <c r="D367" s="845" t="n"/>
      <c r="E367" s="845" t="n"/>
      <c r="F367" s="845" t="n"/>
      <c r="G367" s="879" t="n"/>
      <c r="H367" s="845" t="n"/>
      <c r="I367" s="845" t="n"/>
      <c r="J367" s="845" t="n"/>
      <c r="K367" s="845" t="n"/>
      <c r="L367" s="845" t="n"/>
      <c r="M367" s="845" t="n"/>
      <c r="N367" s="845" t="n"/>
      <c r="O367" s="845" t="n"/>
      <c r="P367" s="845" t="n"/>
      <c r="Q367" s="845" t="n"/>
      <c r="R367" s="845" t="n"/>
      <c r="S367" s="845" t="n"/>
      <c r="T367" s="845" t="n"/>
      <c r="U367" s="845" t="n"/>
      <c r="V367" s="845" t="n"/>
      <c r="W367" s="845" t="n"/>
      <c r="X367" s="845" t="n"/>
      <c r="Y367" s="845" t="n"/>
      <c r="Z367" s="845" t="n"/>
    </row>
    <row r="368" ht="13.2" customHeight="1" s="1127">
      <c r="A368" s="845" t="n"/>
      <c r="B368" s="845" t="n"/>
      <c r="C368" s="845" t="n"/>
      <c r="D368" s="845" t="n"/>
      <c r="E368" s="845" t="n"/>
      <c r="F368" s="845" t="n"/>
      <c r="G368" s="879" t="n"/>
      <c r="H368" s="845" t="n"/>
      <c r="I368" s="845" t="n"/>
      <c r="J368" s="845" t="n"/>
      <c r="K368" s="845" t="n"/>
      <c r="L368" s="845" t="n"/>
      <c r="M368" s="845" t="n"/>
      <c r="N368" s="845" t="n"/>
      <c r="O368" s="845" t="n"/>
      <c r="P368" s="845" t="n"/>
      <c r="Q368" s="845" t="n"/>
      <c r="R368" s="845" t="n"/>
      <c r="S368" s="845" t="n"/>
      <c r="T368" s="845" t="n"/>
      <c r="U368" s="845" t="n"/>
      <c r="V368" s="845" t="n"/>
      <c r="W368" s="845" t="n"/>
      <c r="X368" s="845" t="n"/>
      <c r="Y368" s="845" t="n"/>
      <c r="Z368" s="845" t="n"/>
    </row>
    <row r="369" ht="13.2" customHeight="1" s="1127">
      <c r="A369" s="845" t="n"/>
      <c r="B369" s="845" t="n"/>
      <c r="C369" s="845" t="n"/>
      <c r="D369" s="845" t="n"/>
      <c r="E369" s="845" t="n"/>
      <c r="F369" s="845" t="n"/>
      <c r="G369" s="879" t="n"/>
      <c r="H369" s="845" t="n"/>
      <c r="I369" s="845" t="n"/>
      <c r="J369" s="845" t="n"/>
      <c r="K369" s="845" t="n"/>
      <c r="L369" s="845" t="n"/>
      <c r="M369" s="845" t="n"/>
      <c r="N369" s="845" t="n"/>
      <c r="O369" s="845" t="n"/>
      <c r="P369" s="845" t="n"/>
      <c r="Q369" s="845" t="n"/>
      <c r="R369" s="845" t="n"/>
      <c r="S369" s="845" t="n"/>
      <c r="T369" s="845" t="n"/>
      <c r="U369" s="845" t="n"/>
      <c r="V369" s="845" t="n"/>
      <c r="W369" s="845" t="n"/>
      <c r="X369" s="845" t="n"/>
      <c r="Y369" s="845" t="n"/>
      <c r="Z369" s="845" t="n"/>
    </row>
    <row r="370" ht="13.2" customHeight="1" s="1127">
      <c r="A370" s="845" t="n"/>
      <c r="B370" s="845" t="n"/>
      <c r="C370" s="845" t="n"/>
      <c r="D370" s="845" t="n"/>
      <c r="E370" s="845" t="n"/>
      <c r="F370" s="845" t="n"/>
      <c r="G370" s="879" t="n"/>
      <c r="H370" s="845" t="n"/>
      <c r="I370" s="845" t="n"/>
      <c r="J370" s="845" t="n"/>
      <c r="K370" s="845" t="n"/>
      <c r="L370" s="845" t="n"/>
      <c r="M370" s="845" t="n"/>
      <c r="N370" s="845" t="n"/>
      <c r="O370" s="845" t="n"/>
      <c r="P370" s="845" t="n"/>
      <c r="Q370" s="845" t="n"/>
      <c r="R370" s="845" t="n"/>
      <c r="S370" s="845" t="n"/>
      <c r="T370" s="845" t="n"/>
      <c r="U370" s="845" t="n"/>
      <c r="V370" s="845" t="n"/>
      <c r="W370" s="845" t="n"/>
      <c r="X370" s="845" t="n"/>
      <c r="Y370" s="845" t="n"/>
      <c r="Z370" s="845" t="n"/>
    </row>
    <row r="371" ht="13.2" customHeight="1" s="1127">
      <c r="A371" s="845" t="n"/>
      <c r="B371" s="845" t="n"/>
      <c r="C371" s="845" t="n"/>
      <c r="D371" s="845" t="n"/>
      <c r="E371" s="845" t="n"/>
      <c r="F371" s="845" t="n"/>
      <c r="G371" s="879" t="n"/>
      <c r="H371" s="845" t="n"/>
      <c r="I371" s="845" t="n"/>
      <c r="J371" s="845" t="n"/>
      <c r="K371" s="845" t="n"/>
      <c r="L371" s="845" t="n"/>
      <c r="M371" s="845" t="n"/>
      <c r="N371" s="845" t="n"/>
      <c r="O371" s="845" t="n"/>
      <c r="P371" s="845" t="n"/>
      <c r="Q371" s="845" t="n"/>
      <c r="R371" s="845" t="n"/>
      <c r="S371" s="845" t="n"/>
      <c r="T371" s="845" t="n"/>
      <c r="U371" s="845" t="n"/>
      <c r="V371" s="845" t="n"/>
      <c r="W371" s="845" t="n"/>
      <c r="X371" s="845" t="n"/>
      <c r="Y371" s="845" t="n"/>
      <c r="Z371" s="845" t="n"/>
    </row>
    <row r="372" ht="13.2" customHeight="1" s="1127">
      <c r="A372" s="845" t="n"/>
      <c r="B372" s="845" t="n"/>
      <c r="C372" s="845" t="n"/>
      <c r="D372" s="845" t="n"/>
      <c r="E372" s="845" t="n"/>
      <c r="F372" s="845" t="n"/>
      <c r="G372" s="879" t="n"/>
      <c r="H372" s="845" t="n"/>
      <c r="I372" s="845" t="n"/>
      <c r="J372" s="845" t="n"/>
      <c r="K372" s="845" t="n"/>
      <c r="L372" s="845" t="n"/>
      <c r="M372" s="845" t="n"/>
      <c r="N372" s="845" t="n"/>
      <c r="O372" s="845" t="n"/>
      <c r="P372" s="845" t="n"/>
      <c r="Q372" s="845" t="n"/>
      <c r="R372" s="845" t="n"/>
      <c r="S372" s="845" t="n"/>
      <c r="T372" s="845" t="n"/>
      <c r="U372" s="845" t="n"/>
      <c r="V372" s="845" t="n"/>
      <c r="W372" s="845" t="n"/>
      <c r="X372" s="845" t="n"/>
      <c r="Y372" s="845" t="n"/>
      <c r="Z372" s="845" t="n"/>
    </row>
    <row r="373" ht="13.2" customHeight="1" s="1127">
      <c r="A373" s="845" t="n"/>
      <c r="B373" s="845" t="n"/>
      <c r="C373" s="845" t="n"/>
      <c r="D373" s="845" t="n"/>
      <c r="E373" s="845" t="n"/>
      <c r="F373" s="845" t="n"/>
      <c r="G373" s="879" t="n"/>
      <c r="H373" s="845" t="n"/>
      <c r="I373" s="845" t="n"/>
      <c r="J373" s="845" t="n"/>
      <c r="K373" s="845" t="n"/>
      <c r="L373" s="845" t="n"/>
      <c r="M373" s="845" t="n"/>
      <c r="N373" s="845" t="n"/>
      <c r="O373" s="845" t="n"/>
      <c r="P373" s="845" t="n"/>
      <c r="Q373" s="845" t="n"/>
      <c r="R373" s="845" t="n"/>
      <c r="S373" s="845" t="n"/>
      <c r="T373" s="845" t="n"/>
      <c r="U373" s="845" t="n"/>
      <c r="V373" s="845" t="n"/>
      <c r="W373" s="845" t="n"/>
      <c r="X373" s="845" t="n"/>
      <c r="Y373" s="845" t="n"/>
      <c r="Z373" s="845" t="n"/>
    </row>
    <row r="374" ht="13.2" customHeight="1" s="1127">
      <c r="A374" s="845" t="n"/>
      <c r="B374" s="845" t="n"/>
      <c r="C374" s="845" t="n"/>
      <c r="D374" s="845" t="n"/>
      <c r="E374" s="845" t="n"/>
      <c r="F374" s="845" t="n"/>
      <c r="G374" s="879" t="n"/>
      <c r="H374" s="845" t="n"/>
      <c r="I374" s="845" t="n"/>
      <c r="J374" s="845" t="n"/>
      <c r="K374" s="845" t="n"/>
      <c r="L374" s="845" t="n"/>
      <c r="M374" s="845" t="n"/>
      <c r="N374" s="845" t="n"/>
      <c r="O374" s="845" t="n"/>
      <c r="P374" s="845" t="n"/>
      <c r="Q374" s="845" t="n"/>
      <c r="R374" s="845" t="n"/>
      <c r="S374" s="845" t="n"/>
      <c r="T374" s="845" t="n"/>
      <c r="U374" s="845" t="n"/>
      <c r="V374" s="845" t="n"/>
      <c r="W374" s="845" t="n"/>
      <c r="X374" s="845" t="n"/>
      <c r="Y374" s="845" t="n"/>
      <c r="Z374" s="845" t="n"/>
    </row>
    <row r="375" ht="13.2" customHeight="1" s="1127">
      <c r="A375" s="845" t="n"/>
      <c r="B375" s="845" t="n"/>
      <c r="C375" s="845" t="n"/>
      <c r="D375" s="845" t="n"/>
      <c r="E375" s="845" t="n"/>
      <c r="F375" s="845" t="n"/>
      <c r="G375" s="879" t="n"/>
      <c r="H375" s="845" t="n"/>
      <c r="I375" s="845" t="n"/>
      <c r="J375" s="845" t="n"/>
      <c r="K375" s="845" t="n"/>
      <c r="L375" s="845" t="n"/>
      <c r="M375" s="845" t="n"/>
      <c r="N375" s="845" t="n"/>
      <c r="O375" s="845" t="n"/>
      <c r="P375" s="845" t="n"/>
      <c r="Q375" s="845" t="n"/>
      <c r="R375" s="845" t="n"/>
      <c r="S375" s="845" t="n"/>
      <c r="T375" s="845" t="n"/>
      <c r="U375" s="845" t="n"/>
      <c r="V375" s="845" t="n"/>
      <c r="W375" s="845" t="n"/>
      <c r="X375" s="845" t="n"/>
      <c r="Y375" s="845" t="n"/>
      <c r="Z375" s="845" t="n"/>
    </row>
    <row r="376" ht="13.2" customHeight="1" s="1127">
      <c r="A376" s="845" t="n"/>
      <c r="B376" s="845" t="n"/>
      <c r="C376" s="845" t="n"/>
      <c r="D376" s="845" t="n"/>
      <c r="E376" s="845" t="n"/>
      <c r="F376" s="845" t="n"/>
      <c r="G376" s="879" t="n"/>
      <c r="H376" s="845" t="n"/>
      <c r="I376" s="845" t="n"/>
      <c r="J376" s="845" t="n"/>
      <c r="K376" s="845" t="n"/>
      <c r="L376" s="845" t="n"/>
      <c r="M376" s="845" t="n"/>
      <c r="N376" s="845" t="n"/>
      <c r="O376" s="845" t="n"/>
      <c r="P376" s="845" t="n"/>
      <c r="Q376" s="845" t="n"/>
      <c r="R376" s="845" t="n"/>
      <c r="S376" s="845" t="n"/>
      <c r="T376" s="845" t="n"/>
      <c r="U376" s="845" t="n"/>
      <c r="V376" s="845" t="n"/>
      <c r="W376" s="845" t="n"/>
      <c r="X376" s="845" t="n"/>
      <c r="Y376" s="845" t="n"/>
      <c r="Z376" s="845" t="n"/>
    </row>
    <row r="377" ht="13.2" customHeight="1" s="1127">
      <c r="A377" s="845" t="n"/>
      <c r="B377" s="845" t="n"/>
      <c r="C377" s="845" t="n"/>
      <c r="D377" s="845" t="n"/>
      <c r="E377" s="845" t="n"/>
      <c r="F377" s="845" t="n"/>
      <c r="G377" s="879" t="n"/>
      <c r="H377" s="845" t="n"/>
      <c r="I377" s="845" t="n"/>
      <c r="J377" s="845" t="n"/>
      <c r="K377" s="845" t="n"/>
      <c r="L377" s="845" t="n"/>
      <c r="M377" s="845" t="n"/>
      <c r="N377" s="845" t="n"/>
      <c r="O377" s="845" t="n"/>
      <c r="P377" s="845" t="n"/>
      <c r="Q377" s="845" t="n"/>
      <c r="R377" s="845" t="n"/>
      <c r="S377" s="845" t="n"/>
      <c r="T377" s="845" t="n"/>
      <c r="U377" s="845" t="n"/>
      <c r="V377" s="845" t="n"/>
      <c r="W377" s="845" t="n"/>
      <c r="X377" s="845" t="n"/>
      <c r="Y377" s="845" t="n"/>
      <c r="Z377" s="845" t="n"/>
    </row>
    <row r="378" ht="13.2" customHeight="1" s="1127">
      <c r="A378" s="845" t="n"/>
      <c r="B378" s="845" t="n"/>
      <c r="C378" s="845" t="n"/>
      <c r="D378" s="845" t="n"/>
      <c r="E378" s="845" t="n"/>
      <c r="F378" s="845" t="n"/>
      <c r="G378" s="879" t="n"/>
      <c r="H378" s="845" t="n"/>
      <c r="I378" s="845" t="n"/>
      <c r="J378" s="845" t="n"/>
      <c r="K378" s="845" t="n"/>
      <c r="L378" s="845" t="n"/>
      <c r="M378" s="845" t="n"/>
      <c r="N378" s="845" t="n"/>
      <c r="O378" s="845" t="n"/>
      <c r="P378" s="845" t="n"/>
      <c r="Q378" s="845" t="n"/>
      <c r="R378" s="845" t="n"/>
      <c r="S378" s="845" t="n"/>
      <c r="T378" s="845" t="n"/>
      <c r="U378" s="845" t="n"/>
      <c r="V378" s="845" t="n"/>
      <c r="W378" s="845" t="n"/>
      <c r="X378" s="845" t="n"/>
      <c r="Y378" s="845" t="n"/>
      <c r="Z378" s="845" t="n"/>
    </row>
    <row r="379" ht="13.2" customHeight="1" s="1127">
      <c r="A379" s="845" t="n"/>
      <c r="B379" s="845" t="n"/>
      <c r="C379" s="845" t="n"/>
      <c r="D379" s="845" t="n"/>
      <c r="E379" s="845" t="n"/>
      <c r="F379" s="845" t="n"/>
      <c r="G379" s="879" t="n"/>
      <c r="H379" s="845" t="n"/>
      <c r="I379" s="845" t="n"/>
      <c r="J379" s="845" t="n"/>
      <c r="K379" s="845" t="n"/>
      <c r="L379" s="845" t="n"/>
      <c r="M379" s="845" t="n"/>
      <c r="N379" s="845" t="n"/>
      <c r="O379" s="845" t="n"/>
      <c r="P379" s="845" t="n"/>
      <c r="Q379" s="845" t="n"/>
      <c r="R379" s="845" t="n"/>
      <c r="S379" s="845" t="n"/>
      <c r="T379" s="845" t="n"/>
      <c r="U379" s="845" t="n"/>
      <c r="V379" s="845" t="n"/>
      <c r="W379" s="845" t="n"/>
      <c r="X379" s="845" t="n"/>
      <c r="Y379" s="845" t="n"/>
      <c r="Z379" s="845" t="n"/>
    </row>
    <row r="380" ht="13.2" customHeight="1" s="1127">
      <c r="A380" s="845" t="n"/>
      <c r="B380" s="845" t="n"/>
      <c r="C380" s="845" t="n"/>
      <c r="D380" s="845" t="n"/>
      <c r="E380" s="845" t="n"/>
      <c r="F380" s="845" t="n"/>
      <c r="G380" s="879" t="n"/>
      <c r="H380" s="845" t="n"/>
      <c r="I380" s="845" t="n"/>
      <c r="J380" s="845" t="n"/>
      <c r="K380" s="845" t="n"/>
      <c r="L380" s="845" t="n"/>
      <c r="M380" s="845" t="n"/>
      <c r="N380" s="845" t="n"/>
      <c r="O380" s="845" t="n"/>
      <c r="P380" s="845" t="n"/>
      <c r="Q380" s="845" t="n"/>
      <c r="R380" s="845" t="n"/>
      <c r="S380" s="845" t="n"/>
      <c r="T380" s="845" t="n"/>
      <c r="U380" s="845" t="n"/>
      <c r="V380" s="845" t="n"/>
      <c r="W380" s="845" t="n"/>
      <c r="X380" s="845" t="n"/>
      <c r="Y380" s="845" t="n"/>
      <c r="Z380" s="845" t="n"/>
    </row>
    <row r="381" ht="13.2" customHeight="1" s="1127">
      <c r="A381" s="845" t="n"/>
      <c r="B381" s="845" t="n"/>
      <c r="C381" s="845" t="n"/>
      <c r="D381" s="845" t="n"/>
      <c r="E381" s="845" t="n"/>
      <c r="F381" s="845" t="n"/>
      <c r="G381" s="879" t="n"/>
      <c r="H381" s="845" t="n"/>
      <c r="I381" s="845" t="n"/>
      <c r="J381" s="845" t="n"/>
      <c r="K381" s="845" t="n"/>
      <c r="L381" s="845" t="n"/>
      <c r="M381" s="845" t="n"/>
      <c r="N381" s="845" t="n"/>
      <c r="O381" s="845" t="n"/>
      <c r="P381" s="845" t="n"/>
      <c r="Q381" s="845" t="n"/>
      <c r="R381" s="845" t="n"/>
      <c r="S381" s="845" t="n"/>
      <c r="T381" s="845" t="n"/>
      <c r="U381" s="845" t="n"/>
      <c r="V381" s="845" t="n"/>
      <c r="W381" s="845" t="n"/>
      <c r="X381" s="845" t="n"/>
      <c r="Y381" s="845" t="n"/>
      <c r="Z381" s="845" t="n"/>
    </row>
    <row r="382" ht="13.2" customHeight="1" s="1127">
      <c r="A382" s="845" t="n"/>
      <c r="B382" s="845" t="n"/>
      <c r="C382" s="845" t="n"/>
      <c r="D382" s="845" t="n"/>
      <c r="E382" s="845" t="n"/>
      <c r="F382" s="845" t="n"/>
      <c r="G382" s="879" t="n"/>
      <c r="H382" s="845" t="n"/>
      <c r="I382" s="845" t="n"/>
      <c r="J382" s="845" t="n"/>
      <c r="K382" s="845" t="n"/>
      <c r="L382" s="845" t="n"/>
      <c r="M382" s="845" t="n"/>
      <c r="N382" s="845" t="n"/>
      <c r="O382" s="845" t="n"/>
      <c r="P382" s="845" t="n"/>
      <c r="Q382" s="845" t="n"/>
      <c r="R382" s="845" t="n"/>
      <c r="S382" s="845" t="n"/>
      <c r="T382" s="845" t="n"/>
      <c r="U382" s="845" t="n"/>
      <c r="V382" s="845" t="n"/>
      <c r="W382" s="845" t="n"/>
      <c r="X382" s="845" t="n"/>
      <c r="Y382" s="845" t="n"/>
      <c r="Z382" s="845" t="n"/>
    </row>
    <row r="383" ht="13.2" customHeight="1" s="1127">
      <c r="A383" s="845" t="n"/>
      <c r="B383" s="845" t="n"/>
      <c r="C383" s="845" t="n"/>
      <c r="D383" s="845" t="n"/>
      <c r="E383" s="845" t="n"/>
      <c r="F383" s="845" t="n"/>
      <c r="G383" s="879" t="n"/>
      <c r="H383" s="845" t="n"/>
      <c r="I383" s="845" t="n"/>
      <c r="J383" s="845" t="n"/>
      <c r="K383" s="845" t="n"/>
      <c r="L383" s="845" t="n"/>
      <c r="M383" s="845" t="n"/>
      <c r="N383" s="845" t="n"/>
      <c r="O383" s="845" t="n"/>
      <c r="P383" s="845" t="n"/>
      <c r="Q383" s="845" t="n"/>
      <c r="R383" s="845" t="n"/>
      <c r="S383" s="845" t="n"/>
      <c r="T383" s="845" t="n"/>
      <c r="U383" s="845" t="n"/>
      <c r="V383" s="845" t="n"/>
      <c r="W383" s="845" t="n"/>
      <c r="X383" s="845" t="n"/>
      <c r="Y383" s="845" t="n"/>
      <c r="Z383" s="845" t="n"/>
    </row>
    <row r="384" ht="13.2" customHeight="1" s="1127">
      <c r="A384" s="845" t="n"/>
      <c r="B384" s="845" t="n"/>
      <c r="C384" s="845" t="n"/>
      <c r="D384" s="845" t="n"/>
      <c r="E384" s="845" t="n"/>
      <c r="F384" s="845" t="n"/>
      <c r="G384" s="879" t="n"/>
      <c r="H384" s="845" t="n"/>
      <c r="I384" s="845" t="n"/>
      <c r="J384" s="845" t="n"/>
      <c r="K384" s="845" t="n"/>
      <c r="L384" s="845" t="n"/>
      <c r="M384" s="845" t="n"/>
      <c r="N384" s="845" t="n"/>
      <c r="O384" s="845" t="n"/>
      <c r="P384" s="845" t="n"/>
      <c r="Q384" s="845" t="n"/>
      <c r="R384" s="845" t="n"/>
      <c r="S384" s="845" t="n"/>
      <c r="T384" s="845" t="n"/>
      <c r="U384" s="845" t="n"/>
      <c r="V384" s="845" t="n"/>
      <c r="W384" s="845" t="n"/>
      <c r="X384" s="845" t="n"/>
      <c r="Y384" s="845" t="n"/>
      <c r="Z384" s="845" t="n"/>
    </row>
    <row r="385" ht="13.2" customHeight="1" s="1127">
      <c r="A385" s="845" t="n"/>
      <c r="B385" s="845" t="n"/>
      <c r="C385" s="845" t="n"/>
      <c r="D385" s="845" t="n"/>
      <c r="E385" s="845" t="n"/>
      <c r="F385" s="845" t="n"/>
      <c r="G385" s="879" t="n"/>
      <c r="H385" s="845" t="n"/>
      <c r="I385" s="845" t="n"/>
      <c r="J385" s="845" t="n"/>
      <c r="K385" s="845" t="n"/>
      <c r="L385" s="845" t="n"/>
      <c r="M385" s="845" t="n"/>
      <c r="N385" s="845" t="n"/>
      <c r="O385" s="845" t="n"/>
      <c r="P385" s="845" t="n"/>
      <c r="Q385" s="845" t="n"/>
      <c r="R385" s="845" t="n"/>
      <c r="S385" s="845" t="n"/>
      <c r="T385" s="845" t="n"/>
      <c r="U385" s="845" t="n"/>
      <c r="V385" s="845" t="n"/>
      <c r="W385" s="845" t="n"/>
      <c r="X385" s="845" t="n"/>
      <c r="Y385" s="845" t="n"/>
      <c r="Z385" s="845" t="n"/>
    </row>
    <row r="386" ht="13.2" customHeight="1" s="1127">
      <c r="A386" s="845" t="n"/>
      <c r="B386" s="845" t="n"/>
      <c r="C386" s="845" t="n"/>
      <c r="D386" s="845" t="n"/>
      <c r="E386" s="845" t="n"/>
      <c r="F386" s="845" t="n"/>
      <c r="G386" s="879" t="n"/>
      <c r="H386" s="845" t="n"/>
      <c r="I386" s="845" t="n"/>
      <c r="J386" s="845" t="n"/>
      <c r="K386" s="845" t="n"/>
      <c r="L386" s="845" t="n"/>
      <c r="M386" s="845" t="n"/>
      <c r="N386" s="845" t="n"/>
      <c r="O386" s="845" t="n"/>
      <c r="P386" s="845" t="n"/>
      <c r="Q386" s="845" t="n"/>
      <c r="R386" s="845" t="n"/>
      <c r="S386" s="845" t="n"/>
      <c r="T386" s="845" t="n"/>
      <c r="U386" s="845" t="n"/>
      <c r="V386" s="845" t="n"/>
      <c r="W386" s="845" t="n"/>
      <c r="X386" s="845" t="n"/>
      <c r="Y386" s="845" t="n"/>
      <c r="Z386" s="845" t="n"/>
    </row>
    <row r="387" ht="13.2" customHeight="1" s="1127">
      <c r="A387" s="845" t="n"/>
      <c r="B387" s="845" t="n"/>
      <c r="C387" s="845" t="n"/>
      <c r="D387" s="845" t="n"/>
      <c r="E387" s="845" t="n"/>
      <c r="F387" s="845" t="n"/>
      <c r="G387" s="879" t="n"/>
      <c r="H387" s="845" t="n"/>
      <c r="I387" s="845" t="n"/>
      <c r="J387" s="845" t="n"/>
      <c r="K387" s="845" t="n"/>
      <c r="L387" s="845" t="n"/>
      <c r="M387" s="845" t="n"/>
      <c r="N387" s="845" t="n"/>
      <c r="O387" s="845" t="n"/>
      <c r="P387" s="845" t="n"/>
      <c r="Q387" s="845" t="n"/>
      <c r="R387" s="845" t="n"/>
      <c r="S387" s="845" t="n"/>
      <c r="T387" s="845" t="n"/>
      <c r="U387" s="845" t="n"/>
      <c r="V387" s="845" t="n"/>
      <c r="W387" s="845" t="n"/>
      <c r="X387" s="845" t="n"/>
      <c r="Y387" s="845" t="n"/>
      <c r="Z387" s="845" t="n"/>
    </row>
    <row r="388" ht="13.2" customHeight="1" s="1127">
      <c r="A388" s="845" t="n"/>
      <c r="B388" s="845" t="n"/>
      <c r="C388" s="845" t="n"/>
      <c r="D388" s="845" t="n"/>
      <c r="E388" s="845" t="n"/>
      <c r="F388" s="845" t="n"/>
      <c r="G388" s="879" t="n"/>
      <c r="H388" s="845" t="n"/>
      <c r="I388" s="845" t="n"/>
      <c r="J388" s="845" t="n"/>
      <c r="K388" s="845" t="n"/>
      <c r="L388" s="845" t="n"/>
      <c r="M388" s="845" t="n"/>
      <c r="N388" s="845" t="n"/>
      <c r="O388" s="845" t="n"/>
      <c r="P388" s="845" t="n"/>
      <c r="Q388" s="845" t="n"/>
      <c r="R388" s="845" t="n"/>
      <c r="S388" s="845" t="n"/>
      <c r="T388" s="845" t="n"/>
      <c r="U388" s="845" t="n"/>
      <c r="V388" s="845" t="n"/>
      <c r="W388" s="845" t="n"/>
      <c r="X388" s="845" t="n"/>
      <c r="Y388" s="845" t="n"/>
      <c r="Z388" s="845" t="n"/>
    </row>
    <row r="389" ht="13.2" customHeight="1" s="1127">
      <c r="A389" s="845" t="n"/>
      <c r="B389" s="845" t="n"/>
      <c r="C389" s="845" t="n"/>
      <c r="D389" s="845" t="n"/>
      <c r="E389" s="845" t="n"/>
      <c r="F389" s="845" t="n"/>
      <c r="G389" s="879" t="n"/>
      <c r="H389" s="845" t="n"/>
      <c r="I389" s="845" t="n"/>
      <c r="J389" s="845" t="n"/>
      <c r="K389" s="845" t="n"/>
      <c r="L389" s="845" t="n"/>
      <c r="M389" s="845" t="n"/>
      <c r="N389" s="845" t="n"/>
      <c r="O389" s="845" t="n"/>
      <c r="P389" s="845" t="n"/>
      <c r="Q389" s="845" t="n"/>
      <c r="R389" s="845" t="n"/>
      <c r="S389" s="845" t="n"/>
      <c r="T389" s="845" t="n"/>
      <c r="U389" s="845" t="n"/>
      <c r="V389" s="845" t="n"/>
      <c r="W389" s="845" t="n"/>
      <c r="X389" s="845" t="n"/>
      <c r="Y389" s="845" t="n"/>
      <c r="Z389" s="845" t="n"/>
    </row>
    <row r="390" ht="13.2" customHeight="1" s="1127">
      <c r="A390" s="845" t="n"/>
      <c r="B390" s="845" t="n"/>
      <c r="C390" s="845" t="n"/>
      <c r="D390" s="845" t="n"/>
      <c r="E390" s="845" t="n"/>
      <c r="F390" s="845" t="n"/>
      <c r="G390" s="879" t="n"/>
      <c r="H390" s="845" t="n"/>
      <c r="I390" s="845" t="n"/>
      <c r="J390" s="845" t="n"/>
      <c r="K390" s="845" t="n"/>
      <c r="L390" s="845" t="n"/>
      <c r="M390" s="845" t="n"/>
      <c r="N390" s="845" t="n"/>
      <c r="O390" s="845" t="n"/>
      <c r="P390" s="845" t="n"/>
      <c r="Q390" s="845" t="n"/>
      <c r="R390" s="845" t="n"/>
      <c r="S390" s="845" t="n"/>
      <c r="T390" s="845" t="n"/>
      <c r="U390" s="845" t="n"/>
      <c r="V390" s="845" t="n"/>
      <c r="W390" s="845" t="n"/>
      <c r="X390" s="845" t="n"/>
      <c r="Y390" s="845" t="n"/>
      <c r="Z390" s="845" t="n"/>
    </row>
    <row r="391" ht="13.2" customHeight="1" s="1127">
      <c r="A391" s="845" t="n"/>
      <c r="B391" s="845" t="n"/>
      <c r="C391" s="845" t="n"/>
      <c r="D391" s="845" t="n"/>
      <c r="E391" s="845" t="n"/>
      <c r="F391" s="845" t="n"/>
      <c r="G391" s="879" t="n"/>
      <c r="H391" s="845" t="n"/>
      <c r="I391" s="845" t="n"/>
      <c r="J391" s="845" t="n"/>
      <c r="K391" s="845" t="n"/>
      <c r="L391" s="845" t="n"/>
      <c r="M391" s="845" t="n"/>
      <c r="N391" s="845" t="n"/>
      <c r="O391" s="845" t="n"/>
      <c r="P391" s="845" t="n"/>
      <c r="Q391" s="845" t="n"/>
      <c r="R391" s="845" t="n"/>
      <c r="S391" s="845" t="n"/>
      <c r="T391" s="845" t="n"/>
      <c r="U391" s="845" t="n"/>
      <c r="V391" s="845" t="n"/>
      <c r="W391" s="845" t="n"/>
      <c r="X391" s="845" t="n"/>
      <c r="Y391" s="845" t="n"/>
      <c r="Z391" s="845" t="n"/>
    </row>
    <row r="392" ht="13.2" customHeight="1" s="1127">
      <c r="A392" s="845" t="n"/>
      <c r="B392" s="845" t="n"/>
      <c r="C392" s="845" t="n"/>
      <c r="D392" s="845" t="n"/>
      <c r="E392" s="845" t="n"/>
      <c r="F392" s="845" t="n"/>
      <c r="G392" s="879" t="n"/>
      <c r="H392" s="845" t="n"/>
      <c r="I392" s="845" t="n"/>
      <c r="J392" s="845" t="n"/>
      <c r="K392" s="845" t="n"/>
      <c r="L392" s="845" t="n"/>
      <c r="M392" s="845" t="n"/>
      <c r="N392" s="845" t="n"/>
      <c r="O392" s="845" t="n"/>
      <c r="P392" s="845" t="n"/>
      <c r="Q392" s="845" t="n"/>
      <c r="R392" s="845" t="n"/>
      <c r="S392" s="845" t="n"/>
      <c r="T392" s="845" t="n"/>
      <c r="U392" s="845" t="n"/>
      <c r="V392" s="845" t="n"/>
      <c r="W392" s="845" t="n"/>
      <c r="X392" s="845" t="n"/>
      <c r="Y392" s="845" t="n"/>
      <c r="Z392" s="845" t="n"/>
    </row>
    <row r="393" ht="13.2" customHeight="1" s="1127">
      <c r="A393" s="845" t="n"/>
      <c r="B393" s="845" t="n"/>
      <c r="C393" s="845" t="n"/>
      <c r="D393" s="845" t="n"/>
      <c r="E393" s="845" t="n"/>
      <c r="F393" s="845" t="n"/>
      <c r="G393" s="879" t="n"/>
      <c r="H393" s="845" t="n"/>
      <c r="I393" s="845" t="n"/>
      <c r="J393" s="845" t="n"/>
      <c r="K393" s="845" t="n"/>
      <c r="L393" s="845" t="n"/>
      <c r="M393" s="845" t="n"/>
      <c r="N393" s="845" t="n"/>
      <c r="O393" s="845" t="n"/>
      <c r="P393" s="845" t="n"/>
      <c r="Q393" s="845" t="n"/>
      <c r="R393" s="845" t="n"/>
      <c r="S393" s="845" t="n"/>
      <c r="T393" s="845" t="n"/>
      <c r="U393" s="845" t="n"/>
      <c r="V393" s="845" t="n"/>
      <c r="W393" s="845" t="n"/>
      <c r="X393" s="845" t="n"/>
      <c r="Y393" s="845" t="n"/>
      <c r="Z393" s="845" t="n"/>
    </row>
    <row r="394" ht="13.2" customHeight="1" s="1127">
      <c r="A394" s="845" t="n"/>
      <c r="B394" s="845" t="n"/>
      <c r="C394" s="845" t="n"/>
      <c r="D394" s="845" t="n"/>
      <c r="E394" s="845" t="n"/>
      <c r="F394" s="845" t="n"/>
      <c r="G394" s="879" t="n"/>
      <c r="H394" s="845" t="n"/>
      <c r="I394" s="845" t="n"/>
      <c r="J394" s="845" t="n"/>
      <c r="K394" s="845" t="n"/>
      <c r="L394" s="845" t="n"/>
      <c r="M394" s="845" t="n"/>
      <c r="N394" s="845" t="n"/>
      <c r="O394" s="845" t="n"/>
      <c r="P394" s="845" t="n"/>
      <c r="Q394" s="845" t="n"/>
      <c r="R394" s="845" t="n"/>
      <c r="S394" s="845" t="n"/>
      <c r="T394" s="845" t="n"/>
      <c r="U394" s="845" t="n"/>
      <c r="V394" s="845" t="n"/>
      <c r="W394" s="845" t="n"/>
      <c r="X394" s="845" t="n"/>
      <c r="Y394" s="845" t="n"/>
      <c r="Z394" s="845" t="n"/>
    </row>
    <row r="395" ht="13.2" customHeight="1" s="1127">
      <c r="A395" s="845" t="n"/>
      <c r="B395" s="845" t="n"/>
      <c r="C395" s="845" t="n"/>
      <c r="D395" s="845" t="n"/>
      <c r="E395" s="845" t="n"/>
      <c r="F395" s="845" t="n"/>
      <c r="G395" s="879" t="n"/>
      <c r="H395" s="845" t="n"/>
      <c r="I395" s="845" t="n"/>
      <c r="J395" s="845" t="n"/>
      <c r="K395" s="845" t="n"/>
      <c r="L395" s="845" t="n"/>
      <c r="M395" s="845" t="n"/>
      <c r="N395" s="845" t="n"/>
      <c r="O395" s="845" t="n"/>
      <c r="P395" s="845" t="n"/>
      <c r="Q395" s="845" t="n"/>
      <c r="R395" s="845" t="n"/>
      <c r="S395" s="845" t="n"/>
      <c r="T395" s="845" t="n"/>
      <c r="U395" s="845" t="n"/>
      <c r="V395" s="845" t="n"/>
      <c r="W395" s="845" t="n"/>
      <c r="X395" s="845" t="n"/>
      <c r="Y395" s="845" t="n"/>
      <c r="Z395" s="845" t="n"/>
    </row>
    <row r="396" ht="13.2" customHeight="1" s="1127">
      <c r="A396" s="845" t="n"/>
      <c r="B396" s="845" t="n"/>
      <c r="C396" s="845" t="n"/>
      <c r="D396" s="845" t="n"/>
      <c r="E396" s="845" t="n"/>
      <c r="F396" s="845" t="n"/>
      <c r="G396" s="879" t="n"/>
      <c r="H396" s="845" t="n"/>
      <c r="I396" s="845" t="n"/>
      <c r="J396" s="845" t="n"/>
      <c r="K396" s="845" t="n"/>
      <c r="L396" s="845" t="n"/>
      <c r="M396" s="845" t="n"/>
      <c r="N396" s="845" t="n"/>
      <c r="O396" s="845" t="n"/>
      <c r="P396" s="845" t="n"/>
      <c r="Q396" s="845" t="n"/>
      <c r="R396" s="845" t="n"/>
      <c r="S396" s="845" t="n"/>
      <c r="T396" s="845" t="n"/>
      <c r="U396" s="845" t="n"/>
      <c r="V396" s="845" t="n"/>
      <c r="W396" s="845" t="n"/>
      <c r="X396" s="845" t="n"/>
      <c r="Y396" s="845" t="n"/>
      <c r="Z396" s="845" t="n"/>
    </row>
    <row r="397" ht="13.2" customHeight="1" s="1127">
      <c r="A397" s="845" t="n"/>
      <c r="B397" s="845" t="n"/>
      <c r="C397" s="845" t="n"/>
      <c r="D397" s="845" t="n"/>
      <c r="E397" s="845" t="n"/>
      <c r="F397" s="845" t="n"/>
      <c r="G397" s="879" t="n"/>
      <c r="H397" s="845" t="n"/>
      <c r="I397" s="845" t="n"/>
      <c r="J397" s="845" t="n"/>
      <c r="K397" s="845" t="n"/>
      <c r="L397" s="845" t="n"/>
      <c r="M397" s="845" t="n"/>
      <c r="N397" s="845" t="n"/>
      <c r="O397" s="845" t="n"/>
      <c r="P397" s="845" t="n"/>
      <c r="Q397" s="845" t="n"/>
      <c r="R397" s="845" t="n"/>
      <c r="S397" s="845" t="n"/>
      <c r="T397" s="845" t="n"/>
      <c r="U397" s="845" t="n"/>
      <c r="V397" s="845" t="n"/>
      <c r="W397" s="845" t="n"/>
      <c r="X397" s="845" t="n"/>
      <c r="Y397" s="845" t="n"/>
      <c r="Z397" s="845" t="n"/>
    </row>
    <row r="398" ht="13.2" customHeight="1" s="1127">
      <c r="A398" s="845" t="n"/>
      <c r="B398" s="845" t="n"/>
      <c r="C398" s="845" t="n"/>
      <c r="D398" s="845" t="n"/>
      <c r="E398" s="845" t="n"/>
      <c r="F398" s="845" t="n"/>
      <c r="G398" s="879" t="n"/>
      <c r="H398" s="845" t="n"/>
      <c r="I398" s="845" t="n"/>
      <c r="J398" s="845" t="n"/>
      <c r="K398" s="845" t="n"/>
      <c r="L398" s="845" t="n"/>
      <c r="M398" s="845" t="n"/>
      <c r="N398" s="845" t="n"/>
      <c r="O398" s="845" t="n"/>
      <c r="P398" s="845" t="n"/>
      <c r="Q398" s="845" t="n"/>
      <c r="R398" s="845" t="n"/>
      <c r="S398" s="845" t="n"/>
      <c r="T398" s="845" t="n"/>
      <c r="U398" s="845" t="n"/>
      <c r="V398" s="845" t="n"/>
      <c r="W398" s="845" t="n"/>
      <c r="X398" s="845" t="n"/>
      <c r="Y398" s="845" t="n"/>
      <c r="Z398" s="845" t="n"/>
    </row>
    <row r="399" ht="13.2" customHeight="1" s="1127">
      <c r="A399" s="845" t="n"/>
      <c r="B399" s="845" t="n"/>
      <c r="C399" s="845" t="n"/>
      <c r="D399" s="845" t="n"/>
      <c r="E399" s="845" t="n"/>
      <c r="F399" s="845" t="n"/>
      <c r="G399" s="879" t="n"/>
      <c r="H399" s="845" t="n"/>
      <c r="I399" s="845" t="n"/>
      <c r="J399" s="845" t="n"/>
      <c r="K399" s="845" t="n"/>
      <c r="L399" s="845" t="n"/>
      <c r="M399" s="845" t="n"/>
      <c r="N399" s="845" t="n"/>
      <c r="O399" s="845" t="n"/>
      <c r="P399" s="845" t="n"/>
      <c r="Q399" s="845" t="n"/>
      <c r="R399" s="845" t="n"/>
      <c r="S399" s="845" t="n"/>
      <c r="T399" s="845" t="n"/>
      <c r="U399" s="845" t="n"/>
      <c r="V399" s="845" t="n"/>
      <c r="W399" s="845" t="n"/>
      <c r="X399" s="845" t="n"/>
      <c r="Y399" s="845" t="n"/>
      <c r="Z399" s="845" t="n"/>
    </row>
    <row r="400" ht="13.2" customHeight="1" s="1127">
      <c r="A400" s="845" t="n"/>
      <c r="B400" s="845" t="n"/>
      <c r="C400" s="845" t="n"/>
      <c r="D400" s="845" t="n"/>
      <c r="E400" s="845" t="n"/>
      <c r="F400" s="845" t="n"/>
      <c r="G400" s="879" t="n"/>
      <c r="H400" s="845" t="n"/>
      <c r="I400" s="845" t="n"/>
      <c r="J400" s="845" t="n"/>
      <c r="K400" s="845" t="n"/>
      <c r="L400" s="845" t="n"/>
      <c r="M400" s="845" t="n"/>
      <c r="N400" s="845" t="n"/>
      <c r="O400" s="845" t="n"/>
      <c r="P400" s="845" t="n"/>
      <c r="Q400" s="845" t="n"/>
      <c r="R400" s="845" t="n"/>
      <c r="S400" s="845" t="n"/>
      <c r="T400" s="845" t="n"/>
      <c r="U400" s="845" t="n"/>
      <c r="V400" s="845" t="n"/>
      <c r="W400" s="845" t="n"/>
      <c r="X400" s="845" t="n"/>
      <c r="Y400" s="845" t="n"/>
      <c r="Z400" s="845" t="n"/>
    </row>
    <row r="401" ht="13.2" customHeight="1" s="1127">
      <c r="A401" s="845" t="n"/>
      <c r="B401" s="845" t="n"/>
      <c r="C401" s="845" t="n"/>
      <c r="D401" s="845" t="n"/>
      <c r="E401" s="845" t="n"/>
      <c r="F401" s="845" t="n"/>
      <c r="G401" s="879" t="n"/>
      <c r="H401" s="845" t="n"/>
      <c r="I401" s="845" t="n"/>
      <c r="J401" s="845" t="n"/>
      <c r="K401" s="845" t="n"/>
      <c r="L401" s="845" t="n"/>
      <c r="M401" s="845" t="n"/>
      <c r="N401" s="845" t="n"/>
      <c r="O401" s="845" t="n"/>
      <c r="P401" s="845" t="n"/>
      <c r="Q401" s="845" t="n"/>
      <c r="R401" s="845" t="n"/>
      <c r="S401" s="845" t="n"/>
      <c r="T401" s="845" t="n"/>
      <c r="U401" s="845" t="n"/>
      <c r="V401" s="845" t="n"/>
      <c r="W401" s="845" t="n"/>
      <c r="X401" s="845" t="n"/>
      <c r="Y401" s="845" t="n"/>
      <c r="Z401" s="845" t="n"/>
    </row>
    <row r="402" ht="13.2" customHeight="1" s="1127">
      <c r="A402" s="845" t="n"/>
      <c r="B402" s="845" t="n"/>
      <c r="C402" s="845" t="n"/>
      <c r="D402" s="845" t="n"/>
      <c r="E402" s="845" t="n"/>
      <c r="F402" s="845" t="n"/>
      <c r="G402" s="879" t="n"/>
      <c r="H402" s="845" t="n"/>
      <c r="I402" s="845" t="n"/>
      <c r="J402" s="845" t="n"/>
      <c r="K402" s="845" t="n"/>
      <c r="L402" s="845" t="n"/>
      <c r="M402" s="845" t="n"/>
      <c r="N402" s="845" t="n"/>
      <c r="O402" s="845" t="n"/>
      <c r="P402" s="845" t="n"/>
      <c r="Q402" s="845" t="n"/>
      <c r="R402" s="845" t="n"/>
      <c r="S402" s="845" t="n"/>
      <c r="T402" s="845" t="n"/>
      <c r="U402" s="845" t="n"/>
      <c r="V402" s="845" t="n"/>
      <c r="W402" s="845" t="n"/>
      <c r="X402" s="845" t="n"/>
      <c r="Y402" s="845" t="n"/>
      <c r="Z402" s="845" t="n"/>
    </row>
    <row r="403" ht="13.2" customHeight="1" s="1127">
      <c r="A403" s="845" t="n"/>
      <c r="B403" s="845" t="n"/>
      <c r="C403" s="845" t="n"/>
      <c r="D403" s="845" t="n"/>
      <c r="E403" s="845" t="n"/>
      <c r="F403" s="845" t="n"/>
      <c r="G403" s="879" t="n"/>
      <c r="H403" s="845" t="n"/>
      <c r="I403" s="845" t="n"/>
      <c r="J403" s="845" t="n"/>
      <c r="K403" s="845" t="n"/>
      <c r="L403" s="845" t="n"/>
      <c r="M403" s="845" t="n"/>
      <c r="N403" s="845" t="n"/>
      <c r="O403" s="845" t="n"/>
      <c r="P403" s="845" t="n"/>
      <c r="Q403" s="845" t="n"/>
      <c r="R403" s="845" t="n"/>
      <c r="S403" s="845" t="n"/>
      <c r="T403" s="845" t="n"/>
      <c r="U403" s="845" t="n"/>
      <c r="V403" s="845" t="n"/>
      <c r="W403" s="845" t="n"/>
      <c r="X403" s="845" t="n"/>
      <c r="Y403" s="845" t="n"/>
      <c r="Z403" s="845" t="n"/>
    </row>
    <row r="404" ht="13.2" customHeight="1" s="1127">
      <c r="A404" s="845" t="n"/>
      <c r="B404" s="845" t="n"/>
      <c r="C404" s="845" t="n"/>
      <c r="D404" s="845" t="n"/>
      <c r="E404" s="845" t="n"/>
      <c r="F404" s="845" t="n"/>
      <c r="G404" s="879" t="n"/>
      <c r="H404" s="845" t="n"/>
      <c r="I404" s="845" t="n"/>
      <c r="J404" s="845" t="n"/>
      <c r="K404" s="845" t="n"/>
      <c r="L404" s="845" t="n"/>
      <c r="M404" s="845" t="n"/>
      <c r="N404" s="845" t="n"/>
      <c r="O404" s="845" t="n"/>
      <c r="P404" s="845" t="n"/>
      <c r="Q404" s="845" t="n"/>
      <c r="R404" s="845" t="n"/>
      <c r="S404" s="845" t="n"/>
      <c r="T404" s="845" t="n"/>
      <c r="U404" s="845" t="n"/>
      <c r="V404" s="845" t="n"/>
      <c r="W404" s="845" t="n"/>
      <c r="X404" s="845" t="n"/>
      <c r="Y404" s="845" t="n"/>
      <c r="Z404" s="845" t="n"/>
    </row>
    <row r="405" ht="13.2" customHeight="1" s="1127">
      <c r="A405" s="845" t="n"/>
      <c r="B405" s="845" t="n"/>
      <c r="C405" s="845" t="n"/>
      <c r="D405" s="845" t="n"/>
      <c r="E405" s="845" t="n"/>
      <c r="F405" s="845" t="n"/>
      <c r="G405" s="879" t="n"/>
      <c r="H405" s="845" t="n"/>
      <c r="I405" s="845" t="n"/>
      <c r="J405" s="845" t="n"/>
      <c r="K405" s="845" t="n"/>
      <c r="L405" s="845" t="n"/>
      <c r="M405" s="845" t="n"/>
      <c r="N405" s="845" t="n"/>
      <c r="O405" s="845" t="n"/>
      <c r="P405" s="845" t="n"/>
      <c r="Q405" s="845" t="n"/>
      <c r="R405" s="845" t="n"/>
      <c r="S405" s="845" t="n"/>
      <c r="T405" s="845" t="n"/>
      <c r="U405" s="845" t="n"/>
      <c r="V405" s="845" t="n"/>
      <c r="W405" s="845" t="n"/>
      <c r="X405" s="845" t="n"/>
      <c r="Y405" s="845" t="n"/>
      <c r="Z405" s="845" t="n"/>
    </row>
    <row r="406" ht="13.2" customHeight="1" s="1127">
      <c r="A406" s="845" t="n"/>
      <c r="B406" s="845" t="n"/>
      <c r="C406" s="845" t="n"/>
      <c r="D406" s="845" t="n"/>
      <c r="E406" s="845" t="n"/>
      <c r="F406" s="845" t="n"/>
      <c r="G406" s="879" t="n"/>
      <c r="H406" s="845" t="n"/>
      <c r="I406" s="845" t="n"/>
      <c r="J406" s="845" t="n"/>
      <c r="K406" s="845" t="n"/>
      <c r="L406" s="845" t="n"/>
      <c r="M406" s="845" t="n"/>
      <c r="N406" s="845" t="n"/>
      <c r="O406" s="845" t="n"/>
      <c r="P406" s="845" t="n"/>
      <c r="Q406" s="845" t="n"/>
      <c r="R406" s="845" t="n"/>
      <c r="S406" s="845" t="n"/>
      <c r="T406" s="845" t="n"/>
      <c r="U406" s="845" t="n"/>
      <c r="V406" s="845" t="n"/>
      <c r="W406" s="845" t="n"/>
      <c r="X406" s="845" t="n"/>
      <c r="Y406" s="845" t="n"/>
      <c r="Z406" s="845" t="n"/>
    </row>
    <row r="407" ht="13.2" customHeight="1" s="1127">
      <c r="A407" s="845" t="n"/>
      <c r="B407" s="845" t="n"/>
      <c r="C407" s="845" t="n"/>
      <c r="D407" s="845" t="n"/>
      <c r="E407" s="845" t="n"/>
      <c r="F407" s="845" t="n"/>
      <c r="G407" s="879" t="n"/>
      <c r="H407" s="845" t="n"/>
      <c r="I407" s="845" t="n"/>
      <c r="J407" s="845" t="n"/>
      <c r="K407" s="845" t="n"/>
      <c r="L407" s="845" t="n"/>
      <c r="M407" s="845" t="n"/>
      <c r="N407" s="845" t="n"/>
      <c r="O407" s="845" t="n"/>
      <c r="P407" s="845" t="n"/>
      <c r="Q407" s="845" t="n"/>
      <c r="R407" s="845" t="n"/>
      <c r="S407" s="845" t="n"/>
      <c r="T407" s="845" t="n"/>
      <c r="U407" s="845" t="n"/>
      <c r="V407" s="845" t="n"/>
      <c r="W407" s="845" t="n"/>
      <c r="X407" s="845" t="n"/>
      <c r="Y407" s="845" t="n"/>
      <c r="Z407" s="845" t="n"/>
    </row>
    <row r="408" ht="13.2" customHeight="1" s="1127">
      <c r="A408" s="845" t="n"/>
      <c r="B408" s="845" t="n"/>
      <c r="C408" s="845" t="n"/>
      <c r="D408" s="845" t="n"/>
      <c r="E408" s="845" t="n"/>
      <c r="F408" s="845" t="n"/>
      <c r="G408" s="879" t="n"/>
      <c r="H408" s="845" t="n"/>
      <c r="I408" s="845" t="n"/>
      <c r="J408" s="845" t="n"/>
      <c r="K408" s="845" t="n"/>
      <c r="L408" s="845" t="n"/>
      <c r="M408" s="845" t="n"/>
      <c r="N408" s="845" t="n"/>
      <c r="O408" s="845" t="n"/>
      <c r="P408" s="845" t="n"/>
      <c r="Q408" s="845" t="n"/>
      <c r="R408" s="845" t="n"/>
      <c r="S408" s="845" t="n"/>
      <c r="T408" s="845" t="n"/>
      <c r="U408" s="845" t="n"/>
      <c r="V408" s="845" t="n"/>
      <c r="W408" s="845" t="n"/>
      <c r="X408" s="845" t="n"/>
      <c r="Y408" s="845" t="n"/>
      <c r="Z408" s="845" t="n"/>
    </row>
    <row r="409" ht="13.2" customHeight="1" s="1127">
      <c r="A409" s="845" t="n"/>
      <c r="B409" s="845" t="n"/>
      <c r="C409" s="845" t="n"/>
      <c r="D409" s="845" t="n"/>
      <c r="E409" s="845" t="n"/>
      <c r="F409" s="845" t="n"/>
      <c r="G409" s="879" t="n"/>
      <c r="H409" s="845" t="n"/>
      <c r="I409" s="845" t="n"/>
      <c r="J409" s="845" t="n"/>
      <c r="K409" s="845" t="n"/>
      <c r="L409" s="845" t="n"/>
      <c r="M409" s="845" t="n"/>
      <c r="N409" s="845" t="n"/>
      <c r="O409" s="845" t="n"/>
      <c r="P409" s="845" t="n"/>
      <c r="Q409" s="845" t="n"/>
      <c r="R409" s="845" t="n"/>
      <c r="S409" s="845" t="n"/>
      <c r="T409" s="845" t="n"/>
      <c r="U409" s="845" t="n"/>
      <c r="V409" s="845" t="n"/>
      <c r="W409" s="845" t="n"/>
      <c r="X409" s="845" t="n"/>
      <c r="Y409" s="845" t="n"/>
      <c r="Z409" s="845" t="n"/>
    </row>
    <row r="410" ht="13.2" customHeight="1" s="1127">
      <c r="A410" s="845" t="n"/>
      <c r="B410" s="845" t="n"/>
      <c r="C410" s="845" t="n"/>
      <c r="D410" s="845" t="n"/>
      <c r="E410" s="845" t="n"/>
      <c r="F410" s="845" t="n"/>
      <c r="G410" s="879" t="n"/>
      <c r="H410" s="845" t="n"/>
      <c r="I410" s="845" t="n"/>
      <c r="J410" s="845" t="n"/>
      <c r="K410" s="845" t="n"/>
      <c r="L410" s="845" t="n"/>
      <c r="M410" s="845" t="n"/>
      <c r="N410" s="845" t="n"/>
      <c r="O410" s="845" t="n"/>
      <c r="P410" s="845" t="n"/>
      <c r="Q410" s="845" t="n"/>
      <c r="R410" s="845" t="n"/>
      <c r="S410" s="845" t="n"/>
      <c r="T410" s="845" t="n"/>
      <c r="U410" s="845" t="n"/>
      <c r="V410" s="845" t="n"/>
      <c r="W410" s="845" t="n"/>
      <c r="X410" s="845" t="n"/>
      <c r="Y410" s="845" t="n"/>
      <c r="Z410" s="845" t="n"/>
    </row>
    <row r="411" ht="13.2" customHeight="1" s="1127">
      <c r="A411" s="845" t="n"/>
      <c r="B411" s="845" t="n"/>
      <c r="C411" s="845" t="n"/>
      <c r="D411" s="845" t="n"/>
      <c r="E411" s="845" t="n"/>
      <c r="F411" s="845" t="n"/>
      <c r="G411" s="879" t="n"/>
      <c r="H411" s="845" t="n"/>
      <c r="I411" s="845" t="n"/>
      <c r="J411" s="845" t="n"/>
      <c r="K411" s="845" t="n"/>
      <c r="L411" s="845" t="n"/>
      <c r="M411" s="845" t="n"/>
      <c r="N411" s="845" t="n"/>
      <c r="O411" s="845" t="n"/>
      <c r="P411" s="845" t="n"/>
      <c r="Q411" s="845" t="n"/>
      <c r="R411" s="845" t="n"/>
      <c r="S411" s="845" t="n"/>
      <c r="T411" s="845" t="n"/>
      <c r="U411" s="845" t="n"/>
      <c r="V411" s="845" t="n"/>
      <c r="W411" s="845" t="n"/>
      <c r="X411" s="845" t="n"/>
      <c r="Y411" s="845" t="n"/>
      <c r="Z411" s="845" t="n"/>
    </row>
    <row r="412" ht="13.2" customHeight="1" s="1127">
      <c r="A412" s="845" t="n"/>
      <c r="B412" s="845" t="n"/>
      <c r="C412" s="845" t="n"/>
      <c r="D412" s="845" t="n"/>
      <c r="E412" s="845" t="n"/>
      <c r="F412" s="845" t="n"/>
      <c r="G412" s="879" t="n"/>
      <c r="H412" s="845" t="n"/>
      <c r="I412" s="845" t="n"/>
      <c r="J412" s="845" t="n"/>
      <c r="K412" s="845" t="n"/>
      <c r="L412" s="845" t="n"/>
      <c r="M412" s="845" t="n"/>
      <c r="N412" s="845" t="n"/>
      <c r="O412" s="845" t="n"/>
      <c r="P412" s="845" t="n"/>
      <c r="Q412" s="845" t="n"/>
      <c r="R412" s="845" t="n"/>
      <c r="S412" s="845" t="n"/>
      <c r="T412" s="845" t="n"/>
      <c r="U412" s="845" t="n"/>
      <c r="V412" s="845" t="n"/>
      <c r="W412" s="845" t="n"/>
      <c r="X412" s="845" t="n"/>
      <c r="Y412" s="845" t="n"/>
      <c r="Z412" s="845" t="n"/>
    </row>
    <row r="413" ht="13.2" customHeight="1" s="1127">
      <c r="A413" s="845" t="n"/>
      <c r="B413" s="845" t="n"/>
      <c r="C413" s="845" t="n"/>
      <c r="D413" s="845" t="n"/>
      <c r="E413" s="845" t="n"/>
      <c r="F413" s="845" t="n"/>
      <c r="G413" s="879" t="n"/>
      <c r="H413" s="845" t="n"/>
      <c r="I413" s="845" t="n"/>
      <c r="J413" s="845" t="n"/>
      <c r="K413" s="845" t="n"/>
      <c r="L413" s="845" t="n"/>
      <c r="M413" s="845" t="n"/>
      <c r="N413" s="845" t="n"/>
      <c r="O413" s="845" t="n"/>
      <c r="P413" s="845" t="n"/>
      <c r="Q413" s="845" t="n"/>
      <c r="R413" s="845" t="n"/>
      <c r="S413" s="845" t="n"/>
      <c r="T413" s="845" t="n"/>
      <c r="U413" s="845" t="n"/>
      <c r="V413" s="845" t="n"/>
      <c r="W413" s="845" t="n"/>
      <c r="X413" s="845" t="n"/>
      <c r="Y413" s="845" t="n"/>
      <c r="Z413" s="845" t="n"/>
    </row>
    <row r="414" ht="13.2" customHeight="1" s="1127">
      <c r="A414" s="845" t="n"/>
      <c r="B414" s="845" t="n"/>
      <c r="C414" s="845" t="n"/>
      <c r="D414" s="845" t="n"/>
      <c r="E414" s="845" t="n"/>
      <c r="F414" s="845" t="n"/>
      <c r="G414" s="879" t="n"/>
      <c r="H414" s="845" t="n"/>
      <c r="I414" s="845" t="n"/>
      <c r="J414" s="845" t="n"/>
      <c r="K414" s="845" t="n"/>
      <c r="L414" s="845" t="n"/>
      <c r="M414" s="845" t="n"/>
      <c r="N414" s="845" t="n"/>
      <c r="O414" s="845" t="n"/>
      <c r="P414" s="845" t="n"/>
      <c r="Q414" s="845" t="n"/>
      <c r="R414" s="845" t="n"/>
      <c r="S414" s="845" t="n"/>
      <c r="T414" s="845" t="n"/>
      <c r="U414" s="845" t="n"/>
      <c r="V414" s="845" t="n"/>
      <c r="W414" s="845" t="n"/>
      <c r="X414" s="845" t="n"/>
      <c r="Y414" s="845" t="n"/>
      <c r="Z414" s="845" t="n"/>
    </row>
    <row r="415" ht="13.2" customHeight="1" s="1127">
      <c r="A415" s="845" t="n"/>
      <c r="B415" s="845" t="n"/>
      <c r="C415" s="845" t="n"/>
      <c r="D415" s="845" t="n"/>
      <c r="E415" s="845" t="n"/>
      <c r="F415" s="845" t="n"/>
      <c r="G415" s="879" t="n"/>
      <c r="H415" s="845" t="n"/>
      <c r="I415" s="845" t="n"/>
      <c r="J415" s="845" t="n"/>
      <c r="K415" s="845" t="n"/>
      <c r="L415" s="845" t="n"/>
      <c r="M415" s="845" t="n"/>
      <c r="N415" s="845" t="n"/>
      <c r="O415" s="845" t="n"/>
      <c r="P415" s="845" t="n"/>
      <c r="Q415" s="845" t="n"/>
      <c r="R415" s="845" t="n"/>
      <c r="S415" s="845" t="n"/>
      <c r="T415" s="845" t="n"/>
      <c r="U415" s="845" t="n"/>
      <c r="V415" s="845" t="n"/>
      <c r="W415" s="845" t="n"/>
      <c r="X415" s="845" t="n"/>
      <c r="Y415" s="845" t="n"/>
      <c r="Z415" s="845" t="n"/>
    </row>
    <row r="416" ht="13.2" customHeight="1" s="1127">
      <c r="A416" s="845" t="n"/>
      <c r="B416" s="845" t="n"/>
      <c r="C416" s="845" t="n"/>
      <c r="D416" s="845" t="n"/>
      <c r="E416" s="845" t="n"/>
      <c r="F416" s="845" t="n"/>
      <c r="G416" s="879" t="n"/>
      <c r="H416" s="845" t="n"/>
      <c r="I416" s="845" t="n"/>
      <c r="J416" s="845" t="n"/>
      <c r="K416" s="845" t="n"/>
      <c r="L416" s="845" t="n"/>
      <c r="M416" s="845" t="n"/>
      <c r="N416" s="845" t="n"/>
      <c r="O416" s="845" t="n"/>
      <c r="P416" s="845" t="n"/>
      <c r="Q416" s="845" t="n"/>
      <c r="R416" s="845" t="n"/>
      <c r="S416" s="845" t="n"/>
      <c r="T416" s="845" t="n"/>
      <c r="U416" s="845" t="n"/>
      <c r="V416" s="845" t="n"/>
      <c r="W416" s="845" t="n"/>
      <c r="X416" s="845" t="n"/>
      <c r="Y416" s="845" t="n"/>
      <c r="Z416" s="845" t="n"/>
    </row>
    <row r="417" ht="13.2" customHeight="1" s="1127">
      <c r="A417" s="845" t="n"/>
      <c r="B417" s="845" t="n"/>
      <c r="C417" s="845" t="n"/>
      <c r="D417" s="845" t="n"/>
      <c r="E417" s="845" t="n"/>
      <c r="F417" s="845" t="n"/>
      <c r="G417" s="879" t="n"/>
      <c r="H417" s="845" t="n"/>
      <c r="I417" s="845" t="n"/>
      <c r="J417" s="845" t="n"/>
      <c r="K417" s="845" t="n"/>
      <c r="L417" s="845" t="n"/>
      <c r="M417" s="845" t="n"/>
      <c r="N417" s="845" t="n"/>
      <c r="O417" s="845" t="n"/>
      <c r="P417" s="845" t="n"/>
      <c r="Q417" s="845" t="n"/>
      <c r="R417" s="845" t="n"/>
      <c r="S417" s="845" t="n"/>
      <c r="T417" s="845" t="n"/>
      <c r="U417" s="845" t="n"/>
      <c r="V417" s="845" t="n"/>
      <c r="W417" s="845" t="n"/>
      <c r="X417" s="845" t="n"/>
      <c r="Y417" s="845" t="n"/>
      <c r="Z417" s="845" t="n"/>
    </row>
    <row r="418" ht="13.2" customHeight="1" s="1127">
      <c r="A418" s="845" t="n"/>
      <c r="B418" s="845" t="n"/>
      <c r="C418" s="845" t="n"/>
      <c r="D418" s="845" t="n"/>
      <c r="E418" s="845" t="n"/>
      <c r="F418" s="845" t="n"/>
      <c r="G418" s="879" t="n"/>
      <c r="H418" s="845" t="n"/>
      <c r="I418" s="845" t="n"/>
      <c r="J418" s="845" t="n"/>
      <c r="K418" s="845" t="n"/>
      <c r="L418" s="845" t="n"/>
      <c r="M418" s="845" t="n"/>
      <c r="N418" s="845" t="n"/>
      <c r="O418" s="845" t="n"/>
      <c r="P418" s="845" t="n"/>
      <c r="Q418" s="845" t="n"/>
      <c r="R418" s="845" t="n"/>
      <c r="S418" s="845" t="n"/>
      <c r="T418" s="845" t="n"/>
      <c r="U418" s="845" t="n"/>
      <c r="V418" s="845" t="n"/>
      <c r="W418" s="845" t="n"/>
      <c r="X418" s="845" t="n"/>
      <c r="Y418" s="845" t="n"/>
      <c r="Z418" s="845" t="n"/>
    </row>
    <row r="419" ht="13.2" customHeight="1" s="1127">
      <c r="A419" s="845" t="n"/>
      <c r="B419" s="845" t="n"/>
      <c r="C419" s="845" t="n"/>
      <c r="D419" s="845" t="n"/>
      <c r="E419" s="845" t="n"/>
      <c r="F419" s="845" t="n"/>
      <c r="G419" s="879" t="n"/>
      <c r="H419" s="845" t="n"/>
      <c r="I419" s="845" t="n"/>
      <c r="J419" s="845" t="n"/>
      <c r="K419" s="845" t="n"/>
      <c r="L419" s="845" t="n"/>
      <c r="M419" s="845" t="n"/>
      <c r="N419" s="845" t="n"/>
      <c r="O419" s="845" t="n"/>
      <c r="P419" s="845" t="n"/>
      <c r="Q419" s="845" t="n"/>
      <c r="R419" s="845" t="n"/>
      <c r="S419" s="845" t="n"/>
      <c r="T419" s="845" t="n"/>
      <c r="U419" s="845" t="n"/>
      <c r="V419" s="845" t="n"/>
      <c r="W419" s="845" t="n"/>
      <c r="X419" s="845" t="n"/>
      <c r="Y419" s="845" t="n"/>
      <c r="Z419" s="845" t="n"/>
    </row>
    <row r="420" ht="13.2" customHeight="1" s="1127">
      <c r="A420" s="845" t="n"/>
      <c r="B420" s="845" t="n"/>
      <c r="C420" s="845" t="n"/>
      <c r="D420" s="845" t="n"/>
      <c r="E420" s="845" t="n"/>
      <c r="F420" s="845" t="n"/>
      <c r="G420" s="879" t="n"/>
      <c r="H420" s="845" t="n"/>
      <c r="I420" s="845" t="n"/>
      <c r="J420" s="845" t="n"/>
      <c r="K420" s="845" t="n"/>
      <c r="L420" s="845" t="n"/>
      <c r="M420" s="845" t="n"/>
      <c r="N420" s="845" t="n"/>
      <c r="O420" s="845" t="n"/>
      <c r="P420" s="845" t="n"/>
      <c r="Q420" s="845" t="n"/>
      <c r="R420" s="845" t="n"/>
      <c r="S420" s="845" t="n"/>
      <c r="T420" s="845" t="n"/>
      <c r="U420" s="845" t="n"/>
      <c r="V420" s="845" t="n"/>
      <c r="W420" s="845" t="n"/>
      <c r="X420" s="845" t="n"/>
      <c r="Y420" s="845" t="n"/>
      <c r="Z420" s="845" t="n"/>
    </row>
    <row r="421" ht="13.2" customHeight="1" s="1127">
      <c r="A421" s="845" t="n"/>
      <c r="B421" s="845" t="n"/>
      <c r="C421" s="845" t="n"/>
      <c r="D421" s="845" t="n"/>
      <c r="E421" s="845" t="n"/>
      <c r="F421" s="845" t="n"/>
      <c r="G421" s="879" t="n"/>
      <c r="H421" s="845" t="n"/>
      <c r="I421" s="845" t="n"/>
      <c r="J421" s="845" t="n"/>
      <c r="K421" s="845" t="n"/>
      <c r="L421" s="845" t="n"/>
      <c r="M421" s="845" t="n"/>
      <c r="N421" s="845" t="n"/>
      <c r="O421" s="845" t="n"/>
      <c r="P421" s="845" t="n"/>
      <c r="Q421" s="845" t="n"/>
      <c r="R421" s="845" t="n"/>
      <c r="S421" s="845" t="n"/>
      <c r="T421" s="845" t="n"/>
      <c r="U421" s="845" t="n"/>
      <c r="V421" s="845" t="n"/>
      <c r="W421" s="845" t="n"/>
      <c r="X421" s="845" t="n"/>
      <c r="Y421" s="845" t="n"/>
      <c r="Z421" s="845" t="n"/>
    </row>
    <row r="422" ht="13.2" customHeight="1" s="1127">
      <c r="A422" s="845" t="n"/>
      <c r="B422" s="845" t="n"/>
      <c r="C422" s="845" t="n"/>
      <c r="D422" s="845" t="n"/>
      <c r="E422" s="845" t="n"/>
      <c r="F422" s="845" t="n"/>
      <c r="G422" s="879" t="n"/>
      <c r="H422" s="845" t="n"/>
      <c r="I422" s="845" t="n"/>
      <c r="J422" s="845" t="n"/>
      <c r="K422" s="845" t="n"/>
      <c r="L422" s="845" t="n"/>
      <c r="M422" s="845" t="n"/>
      <c r="N422" s="845" t="n"/>
      <c r="O422" s="845" t="n"/>
      <c r="P422" s="845" t="n"/>
      <c r="Q422" s="845" t="n"/>
      <c r="R422" s="845" t="n"/>
      <c r="S422" s="845" t="n"/>
      <c r="T422" s="845" t="n"/>
      <c r="U422" s="845" t="n"/>
      <c r="V422" s="845" t="n"/>
      <c r="W422" s="845" t="n"/>
      <c r="X422" s="845" t="n"/>
      <c r="Y422" s="845" t="n"/>
      <c r="Z422" s="845" t="n"/>
    </row>
    <row r="423" ht="13.2" customHeight="1" s="1127">
      <c r="A423" s="845" t="n"/>
      <c r="B423" s="845" t="n"/>
      <c r="C423" s="845" t="n"/>
      <c r="D423" s="845" t="n"/>
      <c r="E423" s="845" t="n"/>
      <c r="F423" s="845" t="n"/>
      <c r="G423" s="879" t="n"/>
      <c r="H423" s="845" t="n"/>
      <c r="I423" s="845" t="n"/>
      <c r="J423" s="845" t="n"/>
      <c r="K423" s="845" t="n"/>
      <c r="L423" s="845" t="n"/>
      <c r="M423" s="845" t="n"/>
      <c r="N423" s="845" t="n"/>
      <c r="O423" s="845" t="n"/>
      <c r="P423" s="845" t="n"/>
      <c r="Q423" s="845" t="n"/>
      <c r="R423" s="845" t="n"/>
      <c r="S423" s="845" t="n"/>
      <c r="T423" s="845" t="n"/>
      <c r="U423" s="845" t="n"/>
      <c r="V423" s="845" t="n"/>
      <c r="W423" s="845" t="n"/>
      <c r="X423" s="845" t="n"/>
      <c r="Y423" s="845" t="n"/>
      <c r="Z423" s="845" t="n"/>
    </row>
    <row r="424" ht="13.2" customHeight="1" s="1127">
      <c r="A424" s="845" t="n"/>
      <c r="B424" s="845" t="n"/>
      <c r="C424" s="845" t="n"/>
      <c r="D424" s="845" t="n"/>
      <c r="E424" s="845" t="n"/>
      <c r="F424" s="845" t="n"/>
      <c r="G424" s="879" t="n"/>
      <c r="H424" s="845" t="n"/>
      <c r="I424" s="845" t="n"/>
      <c r="J424" s="845" t="n"/>
      <c r="K424" s="845" t="n"/>
      <c r="L424" s="845" t="n"/>
      <c r="M424" s="845" t="n"/>
      <c r="N424" s="845" t="n"/>
      <c r="O424" s="845" t="n"/>
      <c r="P424" s="845" t="n"/>
      <c r="Q424" s="845" t="n"/>
      <c r="R424" s="845" t="n"/>
      <c r="S424" s="845" t="n"/>
      <c r="T424" s="845" t="n"/>
      <c r="U424" s="845" t="n"/>
      <c r="V424" s="845" t="n"/>
      <c r="W424" s="845" t="n"/>
      <c r="X424" s="845" t="n"/>
      <c r="Y424" s="845" t="n"/>
      <c r="Z424" s="845" t="n"/>
    </row>
    <row r="425" ht="13.2" customHeight="1" s="1127">
      <c r="A425" s="845" t="n"/>
      <c r="B425" s="845" t="n"/>
      <c r="C425" s="845" t="n"/>
      <c r="D425" s="845" t="n"/>
      <c r="E425" s="845" t="n"/>
      <c r="F425" s="845" t="n"/>
      <c r="G425" s="879" t="n"/>
      <c r="H425" s="845" t="n"/>
      <c r="I425" s="845" t="n"/>
      <c r="J425" s="845" t="n"/>
      <c r="K425" s="845" t="n"/>
      <c r="L425" s="845" t="n"/>
      <c r="M425" s="845" t="n"/>
      <c r="N425" s="845" t="n"/>
      <c r="O425" s="845" t="n"/>
      <c r="P425" s="845" t="n"/>
      <c r="Q425" s="845" t="n"/>
      <c r="R425" s="845" t="n"/>
      <c r="S425" s="845" t="n"/>
      <c r="T425" s="845" t="n"/>
      <c r="U425" s="845" t="n"/>
      <c r="V425" s="845" t="n"/>
      <c r="W425" s="845" t="n"/>
      <c r="X425" s="845" t="n"/>
      <c r="Y425" s="845" t="n"/>
      <c r="Z425" s="845" t="n"/>
    </row>
    <row r="426" ht="13.2" customHeight="1" s="1127">
      <c r="A426" s="845" t="n"/>
      <c r="B426" s="845" t="n"/>
      <c r="C426" s="845" t="n"/>
      <c r="D426" s="845" t="n"/>
      <c r="E426" s="845" t="n"/>
      <c r="F426" s="845" t="n"/>
      <c r="G426" s="879" t="n"/>
      <c r="H426" s="845" t="n"/>
      <c r="I426" s="845" t="n"/>
      <c r="J426" s="845" t="n"/>
      <c r="K426" s="845" t="n"/>
      <c r="L426" s="845" t="n"/>
      <c r="M426" s="845" t="n"/>
      <c r="N426" s="845" t="n"/>
      <c r="O426" s="845" t="n"/>
      <c r="P426" s="845" t="n"/>
      <c r="Q426" s="845" t="n"/>
      <c r="R426" s="845" t="n"/>
      <c r="S426" s="845" t="n"/>
      <c r="T426" s="845" t="n"/>
      <c r="U426" s="845" t="n"/>
      <c r="V426" s="845" t="n"/>
      <c r="W426" s="845" t="n"/>
      <c r="X426" s="845" t="n"/>
      <c r="Y426" s="845" t="n"/>
      <c r="Z426" s="845" t="n"/>
    </row>
    <row r="427" ht="13.2" customHeight="1" s="1127">
      <c r="A427" s="845" t="n"/>
      <c r="B427" s="845" t="n"/>
      <c r="C427" s="845" t="n"/>
      <c r="D427" s="845" t="n"/>
      <c r="E427" s="845" t="n"/>
      <c r="F427" s="845" t="n"/>
      <c r="G427" s="879" t="n"/>
      <c r="H427" s="845" t="n"/>
      <c r="I427" s="845" t="n"/>
      <c r="J427" s="845" t="n"/>
      <c r="K427" s="845" t="n"/>
      <c r="L427" s="845" t="n"/>
      <c r="M427" s="845" t="n"/>
      <c r="N427" s="845" t="n"/>
      <c r="O427" s="845" t="n"/>
      <c r="P427" s="845" t="n"/>
      <c r="Q427" s="845" t="n"/>
      <c r="R427" s="845" t="n"/>
      <c r="S427" s="845" t="n"/>
      <c r="T427" s="845" t="n"/>
      <c r="U427" s="845" t="n"/>
      <c r="V427" s="845" t="n"/>
      <c r="W427" s="845" t="n"/>
      <c r="X427" s="845" t="n"/>
      <c r="Y427" s="845" t="n"/>
      <c r="Z427" s="845" t="n"/>
    </row>
    <row r="428" ht="13.2" customHeight="1" s="1127">
      <c r="A428" s="845" t="n"/>
      <c r="B428" s="845" t="n"/>
      <c r="C428" s="845" t="n"/>
      <c r="D428" s="845" t="n"/>
      <c r="E428" s="845" t="n"/>
      <c r="F428" s="845" t="n"/>
      <c r="G428" s="879" t="n"/>
      <c r="H428" s="845" t="n"/>
      <c r="I428" s="845" t="n"/>
      <c r="J428" s="845" t="n"/>
      <c r="K428" s="845" t="n"/>
      <c r="L428" s="845" t="n"/>
      <c r="M428" s="845" t="n"/>
      <c r="N428" s="845" t="n"/>
      <c r="O428" s="845" t="n"/>
      <c r="P428" s="845" t="n"/>
      <c r="Q428" s="845" t="n"/>
      <c r="R428" s="845" t="n"/>
      <c r="S428" s="845" t="n"/>
      <c r="T428" s="845" t="n"/>
      <c r="U428" s="845" t="n"/>
      <c r="V428" s="845" t="n"/>
      <c r="W428" s="845" t="n"/>
      <c r="X428" s="845" t="n"/>
      <c r="Y428" s="845" t="n"/>
      <c r="Z428" s="845" t="n"/>
    </row>
    <row r="429" ht="13.2" customHeight="1" s="1127">
      <c r="A429" s="845" t="n"/>
      <c r="B429" s="845" t="n"/>
      <c r="C429" s="845" t="n"/>
      <c r="D429" s="845" t="n"/>
      <c r="E429" s="845" t="n"/>
      <c r="F429" s="845" t="n"/>
      <c r="G429" s="879" t="n"/>
      <c r="H429" s="845" t="n"/>
      <c r="I429" s="845" t="n"/>
      <c r="J429" s="845" t="n"/>
      <c r="K429" s="845" t="n"/>
      <c r="L429" s="845" t="n"/>
      <c r="M429" s="845" t="n"/>
      <c r="N429" s="845" t="n"/>
      <c r="O429" s="845" t="n"/>
      <c r="P429" s="845" t="n"/>
      <c r="Q429" s="845" t="n"/>
      <c r="R429" s="845" t="n"/>
      <c r="S429" s="845" t="n"/>
      <c r="T429" s="845" t="n"/>
      <c r="U429" s="845" t="n"/>
      <c r="V429" s="845" t="n"/>
      <c r="W429" s="845" t="n"/>
      <c r="X429" s="845" t="n"/>
      <c r="Y429" s="845" t="n"/>
      <c r="Z429" s="845" t="n"/>
    </row>
    <row r="430" ht="13.2" customHeight="1" s="1127">
      <c r="A430" s="845" t="n"/>
      <c r="B430" s="845" t="n"/>
      <c r="C430" s="845" t="n"/>
      <c r="D430" s="845" t="n"/>
      <c r="E430" s="845" t="n"/>
      <c r="F430" s="845" t="n"/>
      <c r="G430" s="879" t="n"/>
      <c r="H430" s="845" t="n"/>
      <c r="I430" s="845" t="n"/>
      <c r="J430" s="845" t="n"/>
      <c r="K430" s="845" t="n"/>
      <c r="L430" s="845" t="n"/>
      <c r="M430" s="845" t="n"/>
      <c r="N430" s="845" t="n"/>
      <c r="O430" s="845" t="n"/>
      <c r="P430" s="845" t="n"/>
      <c r="Q430" s="845" t="n"/>
      <c r="R430" s="845" t="n"/>
      <c r="S430" s="845" t="n"/>
      <c r="T430" s="845" t="n"/>
      <c r="U430" s="845" t="n"/>
      <c r="V430" s="845" t="n"/>
      <c r="W430" s="845" t="n"/>
      <c r="X430" s="845" t="n"/>
      <c r="Y430" s="845" t="n"/>
      <c r="Z430" s="845" t="n"/>
    </row>
    <row r="431" ht="13.2" customHeight="1" s="1127">
      <c r="A431" s="845" t="n"/>
      <c r="B431" s="845" t="n"/>
      <c r="C431" s="845" t="n"/>
      <c r="D431" s="845" t="n"/>
      <c r="E431" s="845" t="n"/>
      <c r="F431" s="845" t="n"/>
      <c r="G431" s="879" t="n"/>
      <c r="H431" s="845" t="n"/>
      <c r="I431" s="845" t="n"/>
      <c r="J431" s="845" t="n"/>
      <c r="K431" s="845" t="n"/>
      <c r="L431" s="845" t="n"/>
      <c r="M431" s="845" t="n"/>
      <c r="N431" s="845" t="n"/>
      <c r="O431" s="845" t="n"/>
      <c r="P431" s="845" t="n"/>
      <c r="Q431" s="845" t="n"/>
      <c r="R431" s="845" t="n"/>
      <c r="S431" s="845" t="n"/>
      <c r="T431" s="845" t="n"/>
      <c r="U431" s="845" t="n"/>
      <c r="V431" s="845" t="n"/>
      <c r="W431" s="845" t="n"/>
      <c r="X431" s="845" t="n"/>
      <c r="Y431" s="845" t="n"/>
      <c r="Z431" s="845" t="n"/>
    </row>
    <row r="432" ht="13.2" customHeight="1" s="1127">
      <c r="A432" s="845" t="n"/>
      <c r="B432" s="845" t="n"/>
      <c r="C432" s="845" t="n"/>
      <c r="D432" s="845" t="n"/>
      <c r="E432" s="845" t="n"/>
      <c r="F432" s="845" t="n"/>
      <c r="G432" s="879" t="n"/>
      <c r="H432" s="845" t="n"/>
      <c r="I432" s="845" t="n"/>
      <c r="J432" s="845" t="n"/>
      <c r="K432" s="845" t="n"/>
      <c r="L432" s="845" t="n"/>
      <c r="M432" s="845" t="n"/>
      <c r="N432" s="845" t="n"/>
      <c r="O432" s="845" t="n"/>
      <c r="P432" s="845" t="n"/>
      <c r="Q432" s="845" t="n"/>
      <c r="R432" s="845" t="n"/>
      <c r="S432" s="845" t="n"/>
      <c r="T432" s="845" t="n"/>
      <c r="U432" s="845" t="n"/>
      <c r="V432" s="845" t="n"/>
      <c r="W432" s="845" t="n"/>
      <c r="X432" s="845" t="n"/>
      <c r="Y432" s="845" t="n"/>
      <c r="Z432" s="845" t="n"/>
    </row>
    <row r="433" ht="13.2" customHeight="1" s="1127">
      <c r="A433" s="845" t="n"/>
      <c r="B433" s="845" t="n"/>
      <c r="C433" s="845" t="n"/>
      <c r="D433" s="845" t="n"/>
      <c r="E433" s="845" t="n"/>
      <c r="F433" s="845" t="n"/>
      <c r="G433" s="879" t="n"/>
      <c r="H433" s="845" t="n"/>
      <c r="I433" s="845" t="n"/>
      <c r="J433" s="845" t="n"/>
      <c r="K433" s="845" t="n"/>
      <c r="L433" s="845" t="n"/>
      <c r="M433" s="845" t="n"/>
      <c r="N433" s="845" t="n"/>
      <c r="O433" s="845" t="n"/>
      <c r="P433" s="845" t="n"/>
      <c r="Q433" s="845" t="n"/>
      <c r="R433" s="845" t="n"/>
      <c r="S433" s="845" t="n"/>
      <c r="T433" s="845" t="n"/>
      <c r="U433" s="845" t="n"/>
      <c r="V433" s="845" t="n"/>
      <c r="W433" s="845" t="n"/>
      <c r="X433" s="845" t="n"/>
      <c r="Y433" s="845" t="n"/>
      <c r="Z433" s="845" t="n"/>
    </row>
    <row r="434" ht="13.2" customHeight="1" s="1127">
      <c r="A434" s="845" t="n"/>
      <c r="B434" s="845" t="n"/>
      <c r="C434" s="845" t="n"/>
      <c r="D434" s="845" t="n"/>
      <c r="E434" s="845" t="n"/>
      <c r="F434" s="845" t="n"/>
      <c r="G434" s="879" t="n"/>
      <c r="H434" s="845" t="n"/>
      <c r="I434" s="845" t="n"/>
      <c r="J434" s="845" t="n"/>
      <c r="K434" s="845" t="n"/>
      <c r="L434" s="845" t="n"/>
      <c r="M434" s="845" t="n"/>
      <c r="N434" s="845" t="n"/>
      <c r="O434" s="845" t="n"/>
      <c r="P434" s="845" t="n"/>
      <c r="Q434" s="845" t="n"/>
      <c r="R434" s="845" t="n"/>
      <c r="S434" s="845" t="n"/>
      <c r="T434" s="845" t="n"/>
      <c r="U434" s="845" t="n"/>
      <c r="V434" s="845" t="n"/>
      <c r="W434" s="845" t="n"/>
      <c r="X434" s="845" t="n"/>
      <c r="Y434" s="845" t="n"/>
      <c r="Z434" s="845" t="n"/>
    </row>
    <row r="435" ht="13.2" customHeight="1" s="1127">
      <c r="A435" s="845" t="n"/>
      <c r="B435" s="845" t="n"/>
      <c r="C435" s="845" t="n"/>
      <c r="D435" s="845" t="n"/>
      <c r="E435" s="845" t="n"/>
      <c r="F435" s="845" t="n"/>
      <c r="G435" s="879" t="n"/>
      <c r="H435" s="845" t="n"/>
      <c r="I435" s="845" t="n"/>
      <c r="J435" s="845" t="n"/>
      <c r="K435" s="845" t="n"/>
      <c r="L435" s="845" t="n"/>
      <c r="M435" s="845" t="n"/>
      <c r="N435" s="845" t="n"/>
      <c r="O435" s="845" t="n"/>
      <c r="P435" s="845" t="n"/>
      <c r="Q435" s="845" t="n"/>
      <c r="R435" s="845" t="n"/>
      <c r="S435" s="845" t="n"/>
      <c r="T435" s="845" t="n"/>
      <c r="U435" s="845" t="n"/>
      <c r="V435" s="845" t="n"/>
      <c r="W435" s="845" t="n"/>
      <c r="X435" s="845" t="n"/>
      <c r="Y435" s="845" t="n"/>
      <c r="Z435" s="845" t="n"/>
    </row>
    <row r="436" ht="13.2" customHeight="1" s="1127">
      <c r="A436" s="845" t="n"/>
      <c r="B436" s="845" t="n"/>
      <c r="C436" s="845" t="n"/>
      <c r="D436" s="845" t="n"/>
      <c r="E436" s="845" t="n"/>
      <c r="F436" s="845" t="n"/>
      <c r="G436" s="879" t="n"/>
      <c r="H436" s="845" t="n"/>
      <c r="I436" s="845" t="n"/>
      <c r="J436" s="845" t="n"/>
      <c r="K436" s="845" t="n"/>
      <c r="L436" s="845" t="n"/>
      <c r="M436" s="845" t="n"/>
      <c r="N436" s="845" t="n"/>
      <c r="O436" s="845" t="n"/>
      <c r="P436" s="845" t="n"/>
      <c r="Q436" s="845" t="n"/>
      <c r="R436" s="845" t="n"/>
      <c r="S436" s="845" t="n"/>
      <c r="T436" s="845" t="n"/>
      <c r="U436" s="845" t="n"/>
      <c r="V436" s="845" t="n"/>
      <c r="W436" s="845" t="n"/>
      <c r="X436" s="845" t="n"/>
      <c r="Y436" s="845" t="n"/>
      <c r="Z436" s="845" t="n"/>
    </row>
    <row r="437" ht="13.2" customHeight="1" s="1127">
      <c r="A437" s="845" t="n"/>
      <c r="B437" s="845" t="n"/>
      <c r="C437" s="845" t="n"/>
      <c r="D437" s="845" t="n"/>
      <c r="E437" s="845" t="n"/>
      <c r="F437" s="845" t="n"/>
      <c r="G437" s="879" t="n"/>
      <c r="H437" s="845" t="n"/>
      <c r="I437" s="845" t="n"/>
      <c r="J437" s="845" t="n"/>
      <c r="K437" s="845" t="n"/>
      <c r="L437" s="845" t="n"/>
      <c r="M437" s="845" t="n"/>
      <c r="N437" s="845" t="n"/>
      <c r="O437" s="845" t="n"/>
      <c r="P437" s="845" t="n"/>
      <c r="Q437" s="845" t="n"/>
      <c r="R437" s="845" t="n"/>
      <c r="S437" s="845" t="n"/>
      <c r="T437" s="845" t="n"/>
      <c r="U437" s="845" t="n"/>
      <c r="V437" s="845" t="n"/>
      <c r="W437" s="845" t="n"/>
      <c r="X437" s="845" t="n"/>
      <c r="Y437" s="845" t="n"/>
      <c r="Z437" s="845" t="n"/>
    </row>
    <row r="438" ht="13.2" customHeight="1" s="1127">
      <c r="A438" s="845" t="n"/>
      <c r="B438" s="845" t="n"/>
      <c r="C438" s="845" t="n"/>
      <c r="D438" s="845" t="n"/>
      <c r="E438" s="845" t="n"/>
      <c r="F438" s="845" t="n"/>
      <c r="G438" s="879" t="n"/>
      <c r="H438" s="845" t="n"/>
      <c r="I438" s="845" t="n"/>
      <c r="J438" s="845" t="n"/>
      <c r="K438" s="845" t="n"/>
      <c r="L438" s="845" t="n"/>
      <c r="M438" s="845" t="n"/>
      <c r="N438" s="845" t="n"/>
      <c r="O438" s="845" t="n"/>
      <c r="P438" s="845" t="n"/>
      <c r="Q438" s="845" t="n"/>
      <c r="R438" s="845" t="n"/>
      <c r="S438" s="845" t="n"/>
      <c r="T438" s="845" t="n"/>
      <c r="U438" s="845" t="n"/>
      <c r="V438" s="845" t="n"/>
      <c r="W438" s="845" t="n"/>
      <c r="X438" s="845" t="n"/>
      <c r="Y438" s="845" t="n"/>
      <c r="Z438" s="845" t="n"/>
    </row>
    <row r="439" ht="13.2" customHeight="1" s="1127">
      <c r="A439" s="845" t="n"/>
      <c r="B439" s="845" t="n"/>
      <c r="C439" s="845" t="n"/>
      <c r="D439" s="845" t="n"/>
      <c r="E439" s="845" t="n"/>
      <c r="F439" s="845" t="n"/>
      <c r="G439" s="879" t="n"/>
      <c r="H439" s="845" t="n"/>
      <c r="I439" s="845" t="n"/>
      <c r="J439" s="845" t="n"/>
      <c r="K439" s="845" t="n"/>
      <c r="L439" s="845" t="n"/>
      <c r="M439" s="845" t="n"/>
      <c r="N439" s="845" t="n"/>
      <c r="O439" s="845" t="n"/>
      <c r="P439" s="845" t="n"/>
      <c r="Q439" s="845" t="n"/>
      <c r="R439" s="845" t="n"/>
      <c r="S439" s="845" t="n"/>
      <c r="T439" s="845" t="n"/>
      <c r="U439" s="845" t="n"/>
      <c r="V439" s="845" t="n"/>
      <c r="W439" s="845" t="n"/>
      <c r="X439" s="845" t="n"/>
      <c r="Y439" s="845" t="n"/>
      <c r="Z439" s="845" t="n"/>
    </row>
    <row r="440" ht="13.2" customHeight="1" s="1127">
      <c r="A440" s="845" t="n"/>
      <c r="B440" s="845" t="n"/>
      <c r="C440" s="845" t="n"/>
      <c r="D440" s="845" t="n"/>
      <c r="E440" s="845" t="n"/>
      <c r="F440" s="845" t="n"/>
      <c r="G440" s="879" t="n"/>
      <c r="H440" s="845" t="n"/>
      <c r="I440" s="845" t="n"/>
      <c r="J440" s="845" t="n"/>
      <c r="K440" s="845" t="n"/>
      <c r="L440" s="845" t="n"/>
      <c r="M440" s="845" t="n"/>
      <c r="N440" s="845" t="n"/>
      <c r="O440" s="845" t="n"/>
      <c r="P440" s="845" t="n"/>
      <c r="Q440" s="845" t="n"/>
      <c r="R440" s="845" t="n"/>
      <c r="S440" s="845" t="n"/>
      <c r="T440" s="845" t="n"/>
      <c r="U440" s="845" t="n"/>
      <c r="V440" s="845" t="n"/>
      <c r="W440" s="845" t="n"/>
      <c r="X440" s="845" t="n"/>
      <c r="Y440" s="845" t="n"/>
      <c r="Z440" s="845" t="n"/>
    </row>
    <row r="441" ht="13.2" customHeight="1" s="1127">
      <c r="A441" s="845" t="n"/>
      <c r="B441" s="845" t="n"/>
      <c r="C441" s="845" t="n"/>
      <c r="D441" s="845" t="n"/>
      <c r="E441" s="845" t="n"/>
      <c r="F441" s="845" t="n"/>
      <c r="G441" s="879" t="n"/>
      <c r="H441" s="845" t="n"/>
      <c r="I441" s="845" t="n"/>
      <c r="J441" s="845" t="n"/>
      <c r="K441" s="845" t="n"/>
      <c r="L441" s="845" t="n"/>
      <c r="M441" s="845" t="n"/>
      <c r="N441" s="845" t="n"/>
      <c r="O441" s="845" t="n"/>
      <c r="P441" s="845" t="n"/>
      <c r="Q441" s="845" t="n"/>
      <c r="R441" s="845" t="n"/>
      <c r="S441" s="845" t="n"/>
      <c r="T441" s="845" t="n"/>
      <c r="U441" s="845" t="n"/>
      <c r="V441" s="845" t="n"/>
      <c r="W441" s="845" t="n"/>
      <c r="X441" s="845" t="n"/>
      <c r="Y441" s="845" t="n"/>
      <c r="Z441" s="845" t="n"/>
    </row>
    <row r="442" ht="13.2" customHeight="1" s="1127">
      <c r="A442" s="845" t="n"/>
      <c r="B442" s="845" t="n"/>
      <c r="C442" s="845" t="n"/>
      <c r="D442" s="845" t="n"/>
      <c r="E442" s="845" t="n"/>
      <c r="F442" s="845" t="n"/>
      <c r="G442" s="879" t="n"/>
      <c r="H442" s="845" t="n"/>
      <c r="I442" s="845" t="n"/>
      <c r="J442" s="845" t="n"/>
      <c r="K442" s="845" t="n"/>
      <c r="L442" s="845" t="n"/>
      <c r="M442" s="845" t="n"/>
      <c r="N442" s="845" t="n"/>
      <c r="O442" s="845" t="n"/>
      <c r="P442" s="845" t="n"/>
      <c r="Q442" s="845" t="n"/>
      <c r="R442" s="845" t="n"/>
      <c r="S442" s="845" t="n"/>
      <c r="T442" s="845" t="n"/>
      <c r="U442" s="845" t="n"/>
      <c r="V442" s="845" t="n"/>
      <c r="W442" s="845" t="n"/>
      <c r="X442" s="845" t="n"/>
      <c r="Y442" s="845" t="n"/>
      <c r="Z442" s="845" t="n"/>
    </row>
    <row r="443" ht="13.2" customHeight="1" s="1127">
      <c r="A443" s="845" t="n"/>
      <c r="B443" s="845" t="n"/>
      <c r="C443" s="845" t="n"/>
      <c r="D443" s="845" t="n"/>
      <c r="E443" s="845" t="n"/>
      <c r="F443" s="845" t="n"/>
      <c r="G443" s="879" t="n"/>
      <c r="H443" s="845" t="n"/>
      <c r="I443" s="845" t="n"/>
      <c r="J443" s="845" t="n"/>
      <c r="K443" s="845" t="n"/>
      <c r="L443" s="845" t="n"/>
      <c r="M443" s="845" t="n"/>
      <c r="N443" s="845" t="n"/>
      <c r="O443" s="845" t="n"/>
      <c r="P443" s="845" t="n"/>
      <c r="Q443" s="845" t="n"/>
      <c r="R443" s="845" t="n"/>
      <c r="S443" s="845" t="n"/>
      <c r="T443" s="845" t="n"/>
      <c r="U443" s="845" t="n"/>
      <c r="V443" s="845" t="n"/>
      <c r="W443" s="845" t="n"/>
      <c r="X443" s="845" t="n"/>
      <c r="Y443" s="845" t="n"/>
      <c r="Z443" s="845" t="n"/>
    </row>
    <row r="444" ht="13.2" customHeight="1" s="1127">
      <c r="A444" s="845" t="n"/>
      <c r="B444" s="845" t="n"/>
      <c r="C444" s="845" t="n"/>
      <c r="D444" s="845" t="n"/>
      <c r="E444" s="845" t="n"/>
      <c r="F444" s="845" t="n"/>
      <c r="G444" s="879" t="n"/>
      <c r="H444" s="845" t="n"/>
      <c r="I444" s="845" t="n"/>
      <c r="J444" s="845" t="n"/>
      <c r="K444" s="845" t="n"/>
      <c r="L444" s="845" t="n"/>
      <c r="M444" s="845" t="n"/>
      <c r="N444" s="845" t="n"/>
      <c r="O444" s="845" t="n"/>
      <c r="P444" s="845" t="n"/>
      <c r="Q444" s="845" t="n"/>
      <c r="R444" s="845" t="n"/>
      <c r="S444" s="845" t="n"/>
      <c r="T444" s="845" t="n"/>
      <c r="U444" s="845" t="n"/>
      <c r="V444" s="845" t="n"/>
      <c r="W444" s="845" t="n"/>
      <c r="X444" s="845" t="n"/>
      <c r="Y444" s="845" t="n"/>
      <c r="Z444" s="845" t="n"/>
    </row>
    <row r="445" ht="13.2" customHeight="1" s="1127">
      <c r="A445" s="845" t="n"/>
      <c r="B445" s="845" t="n"/>
      <c r="C445" s="845" t="n"/>
      <c r="D445" s="845" t="n"/>
      <c r="E445" s="845" t="n"/>
      <c r="F445" s="845" t="n"/>
      <c r="G445" s="879" t="n"/>
      <c r="H445" s="845" t="n"/>
      <c r="I445" s="845" t="n"/>
      <c r="J445" s="845" t="n"/>
      <c r="K445" s="845" t="n"/>
      <c r="L445" s="845" t="n"/>
      <c r="M445" s="845" t="n"/>
      <c r="N445" s="845" t="n"/>
      <c r="O445" s="845" t="n"/>
      <c r="P445" s="845" t="n"/>
      <c r="Q445" s="845" t="n"/>
      <c r="R445" s="845" t="n"/>
      <c r="S445" s="845" t="n"/>
      <c r="T445" s="845" t="n"/>
      <c r="U445" s="845" t="n"/>
      <c r="V445" s="845" t="n"/>
      <c r="W445" s="845" t="n"/>
      <c r="X445" s="845" t="n"/>
      <c r="Y445" s="845" t="n"/>
      <c r="Z445" s="845" t="n"/>
    </row>
    <row r="446" ht="13.2" customHeight="1" s="1127">
      <c r="A446" s="845" t="n"/>
      <c r="B446" s="845" t="n"/>
      <c r="C446" s="845" t="n"/>
      <c r="D446" s="845" t="n"/>
      <c r="E446" s="845" t="n"/>
      <c r="F446" s="845" t="n"/>
      <c r="G446" s="879" t="n"/>
      <c r="H446" s="845" t="n"/>
      <c r="I446" s="845" t="n"/>
      <c r="J446" s="845" t="n"/>
      <c r="K446" s="845" t="n"/>
      <c r="L446" s="845" t="n"/>
      <c r="M446" s="845" t="n"/>
      <c r="N446" s="845" t="n"/>
      <c r="O446" s="845" t="n"/>
      <c r="P446" s="845" t="n"/>
      <c r="Q446" s="845" t="n"/>
      <c r="R446" s="845" t="n"/>
      <c r="S446" s="845" t="n"/>
      <c r="T446" s="845" t="n"/>
      <c r="U446" s="845" t="n"/>
      <c r="V446" s="845" t="n"/>
      <c r="W446" s="845" t="n"/>
      <c r="X446" s="845" t="n"/>
      <c r="Y446" s="845" t="n"/>
      <c r="Z446" s="845" t="n"/>
    </row>
    <row r="447" ht="13.2" customHeight="1" s="1127">
      <c r="A447" s="845" t="n"/>
      <c r="B447" s="845" t="n"/>
      <c r="C447" s="845" t="n"/>
      <c r="D447" s="845" t="n"/>
      <c r="E447" s="845" t="n"/>
      <c r="F447" s="845" t="n"/>
      <c r="G447" s="879" t="n"/>
      <c r="H447" s="845" t="n"/>
      <c r="I447" s="845" t="n"/>
      <c r="J447" s="845" t="n"/>
      <c r="K447" s="845" t="n"/>
      <c r="L447" s="845" t="n"/>
      <c r="M447" s="845" t="n"/>
      <c r="N447" s="845" t="n"/>
      <c r="O447" s="845" t="n"/>
      <c r="P447" s="845" t="n"/>
      <c r="Q447" s="845" t="n"/>
      <c r="R447" s="845" t="n"/>
      <c r="S447" s="845" t="n"/>
      <c r="T447" s="845" t="n"/>
      <c r="U447" s="845" t="n"/>
      <c r="V447" s="845" t="n"/>
      <c r="W447" s="845" t="n"/>
      <c r="X447" s="845" t="n"/>
      <c r="Y447" s="845" t="n"/>
      <c r="Z447" s="845" t="n"/>
    </row>
    <row r="448" ht="13.2" customHeight="1" s="1127">
      <c r="A448" s="845" t="n"/>
      <c r="B448" s="845" t="n"/>
      <c r="C448" s="845" t="n"/>
      <c r="D448" s="845" t="n"/>
      <c r="E448" s="845" t="n"/>
      <c r="F448" s="845" t="n"/>
      <c r="G448" s="879" t="n"/>
      <c r="H448" s="845" t="n"/>
      <c r="I448" s="845" t="n"/>
      <c r="J448" s="845" t="n"/>
      <c r="K448" s="845" t="n"/>
      <c r="L448" s="845" t="n"/>
      <c r="M448" s="845" t="n"/>
      <c r="N448" s="845" t="n"/>
      <c r="O448" s="845" t="n"/>
      <c r="P448" s="845" t="n"/>
      <c r="Q448" s="845" t="n"/>
      <c r="R448" s="845" t="n"/>
      <c r="S448" s="845" t="n"/>
      <c r="T448" s="845" t="n"/>
      <c r="U448" s="845" t="n"/>
      <c r="V448" s="845" t="n"/>
      <c r="W448" s="845" t="n"/>
      <c r="X448" s="845" t="n"/>
      <c r="Y448" s="845" t="n"/>
      <c r="Z448" s="845" t="n"/>
    </row>
    <row r="449" ht="13.2" customHeight="1" s="1127">
      <c r="A449" s="845" t="n"/>
      <c r="B449" s="845" t="n"/>
      <c r="C449" s="845" t="n"/>
      <c r="D449" s="845" t="n"/>
      <c r="E449" s="845" t="n"/>
      <c r="F449" s="845" t="n"/>
      <c r="G449" s="879" t="n"/>
      <c r="H449" s="845" t="n"/>
      <c r="I449" s="845" t="n"/>
      <c r="J449" s="845" t="n"/>
      <c r="K449" s="845" t="n"/>
      <c r="L449" s="845" t="n"/>
      <c r="M449" s="845" t="n"/>
      <c r="N449" s="845" t="n"/>
      <c r="O449" s="845" t="n"/>
      <c r="P449" s="845" t="n"/>
      <c r="Q449" s="845" t="n"/>
      <c r="R449" s="845" t="n"/>
      <c r="S449" s="845" t="n"/>
      <c r="T449" s="845" t="n"/>
      <c r="U449" s="845" t="n"/>
      <c r="V449" s="845" t="n"/>
      <c r="W449" s="845" t="n"/>
      <c r="X449" s="845" t="n"/>
      <c r="Y449" s="845" t="n"/>
      <c r="Z449" s="845" t="n"/>
    </row>
    <row r="450" ht="13.2" customHeight="1" s="1127">
      <c r="A450" s="845" t="n"/>
      <c r="B450" s="845" t="n"/>
      <c r="C450" s="845" t="n"/>
      <c r="D450" s="845" t="n"/>
      <c r="E450" s="845" t="n"/>
      <c r="F450" s="845" t="n"/>
      <c r="G450" s="879" t="n"/>
      <c r="H450" s="845" t="n"/>
      <c r="I450" s="845" t="n"/>
      <c r="J450" s="845" t="n"/>
      <c r="K450" s="845" t="n"/>
      <c r="L450" s="845" t="n"/>
      <c r="M450" s="845" t="n"/>
      <c r="N450" s="845" t="n"/>
      <c r="O450" s="845" t="n"/>
      <c r="P450" s="845" t="n"/>
      <c r="Q450" s="845" t="n"/>
      <c r="R450" s="845" t="n"/>
      <c r="S450" s="845" t="n"/>
      <c r="T450" s="845" t="n"/>
      <c r="U450" s="845" t="n"/>
      <c r="V450" s="845" t="n"/>
      <c r="W450" s="845" t="n"/>
      <c r="X450" s="845" t="n"/>
      <c r="Y450" s="845" t="n"/>
      <c r="Z450" s="845" t="n"/>
    </row>
    <row r="451" ht="13.2" customHeight="1" s="1127">
      <c r="A451" s="845" t="n"/>
      <c r="B451" s="845" t="n"/>
      <c r="C451" s="845" t="n"/>
      <c r="D451" s="845" t="n"/>
      <c r="E451" s="845" t="n"/>
      <c r="F451" s="845" t="n"/>
      <c r="G451" s="879" t="n"/>
      <c r="H451" s="845" t="n"/>
      <c r="I451" s="845" t="n"/>
      <c r="J451" s="845" t="n"/>
      <c r="K451" s="845" t="n"/>
      <c r="L451" s="845" t="n"/>
      <c r="M451" s="845" t="n"/>
      <c r="N451" s="845" t="n"/>
      <c r="O451" s="845" t="n"/>
      <c r="P451" s="845" t="n"/>
      <c r="Q451" s="845" t="n"/>
      <c r="R451" s="845" t="n"/>
      <c r="S451" s="845" t="n"/>
      <c r="T451" s="845" t="n"/>
      <c r="U451" s="845" t="n"/>
      <c r="V451" s="845" t="n"/>
      <c r="W451" s="845" t="n"/>
      <c r="X451" s="845" t="n"/>
      <c r="Y451" s="845" t="n"/>
      <c r="Z451" s="845" t="n"/>
    </row>
    <row r="452" ht="13.2" customHeight="1" s="1127">
      <c r="A452" s="845" t="n"/>
      <c r="B452" s="845" t="n"/>
      <c r="C452" s="845" t="n"/>
      <c r="D452" s="845" t="n"/>
      <c r="E452" s="845" t="n"/>
      <c r="F452" s="845" t="n"/>
      <c r="G452" s="879" t="n"/>
      <c r="H452" s="845" t="n"/>
      <c r="I452" s="845" t="n"/>
      <c r="J452" s="845" t="n"/>
      <c r="K452" s="845" t="n"/>
      <c r="L452" s="845" t="n"/>
      <c r="M452" s="845" t="n"/>
      <c r="N452" s="845" t="n"/>
      <c r="O452" s="845" t="n"/>
      <c r="P452" s="845" t="n"/>
      <c r="Q452" s="845" t="n"/>
      <c r="R452" s="845" t="n"/>
      <c r="S452" s="845" t="n"/>
      <c r="T452" s="845" t="n"/>
      <c r="U452" s="845" t="n"/>
      <c r="V452" s="845" t="n"/>
      <c r="W452" s="845" t="n"/>
      <c r="X452" s="845" t="n"/>
      <c r="Y452" s="845" t="n"/>
      <c r="Z452" s="845" t="n"/>
    </row>
    <row r="453" ht="13.2" customHeight="1" s="1127">
      <c r="A453" s="845" t="n"/>
      <c r="B453" s="845" t="n"/>
      <c r="C453" s="845" t="n"/>
      <c r="D453" s="845" t="n"/>
      <c r="E453" s="845" t="n"/>
      <c r="F453" s="845" t="n"/>
      <c r="G453" s="879" t="n"/>
      <c r="H453" s="845" t="n"/>
      <c r="I453" s="845" t="n"/>
      <c r="J453" s="845" t="n"/>
      <c r="K453" s="845" t="n"/>
      <c r="L453" s="845" t="n"/>
      <c r="M453" s="845" t="n"/>
      <c r="N453" s="845" t="n"/>
      <c r="O453" s="845" t="n"/>
      <c r="P453" s="845" t="n"/>
      <c r="Q453" s="845" t="n"/>
      <c r="R453" s="845" t="n"/>
      <c r="S453" s="845" t="n"/>
      <c r="T453" s="845" t="n"/>
      <c r="U453" s="845" t="n"/>
      <c r="V453" s="845" t="n"/>
      <c r="W453" s="845" t="n"/>
      <c r="X453" s="845" t="n"/>
      <c r="Y453" s="845" t="n"/>
      <c r="Z453" s="845" t="n"/>
    </row>
    <row r="454" ht="13.2" customHeight="1" s="1127">
      <c r="A454" s="845" t="n"/>
      <c r="B454" s="845" t="n"/>
      <c r="C454" s="845" t="n"/>
      <c r="D454" s="845" t="n"/>
      <c r="E454" s="845" t="n"/>
      <c r="F454" s="845" t="n"/>
      <c r="G454" s="879" t="n"/>
      <c r="H454" s="845" t="n"/>
      <c r="I454" s="845" t="n"/>
      <c r="J454" s="845" t="n"/>
      <c r="K454" s="845" t="n"/>
      <c r="L454" s="845" t="n"/>
      <c r="M454" s="845" t="n"/>
      <c r="N454" s="845" t="n"/>
      <c r="O454" s="845" t="n"/>
      <c r="P454" s="845" t="n"/>
      <c r="Q454" s="845" t="n"/>
      <c r="R454" s="845" t="n"/>
      <c r="S454" s="845" t="n"/>
      <c r="T454" s="845" t="n"/>
      <c r="U454" s="845" t="n"/>
      <c r="V454" s="845" t="n"/>
      <c r="W454" s="845" t="n"/>
      <c r="X454" s="845" t="n"/>
      <c r="Y454" s="845" t="n"/>
      <c r="Z454" s="845" t="n"/>
    </row>
    <row r="455" ht="13.2" customHeight="1" s="1127">
      <c r="A455" s="845" t="n"/>
      <c r="B455" s="845" t="n"/>
      <c r="C455" s="845" t="n"/>
      <c r="D455" s="845" t="n"/>
      <c r="E455" s="845" t="n"/>
      <c r="F455" s="845" t="n"/>
      <c r="G455" s="879" t="n"/>
      <c r="H455" s="845" t="n"/>
      <c r="I455" s="845" t="n"/>
      <c r="J455" s="845" t="n"/>
      <c r="K455" s="845" t="n"/>
      <c r="L455" s="845" t="n"/>
      <c r="M455" s="845" t="n"/>
      <c r="N455" s="845" t="n"/>
      <c r="O455" s="845" t="n"/>
      <c r="P455" s="845" t="n"/>
      <c r="Q455" s="845" t="n"/>
      <c r="R455" s="845" t="n"/>
      <c r="S455" s="845" t="n"/>
      <c r="T455" s="845" t="n"/>
      <c r="U455" s="845" t="n"/>
      <c r="V455" s="845" t="n"/>
      <c r="W455" s="845" t="n"/>
      <c r="X455" s="845" t="n"/>
      <c r="Y455" s="845" t="n"/>
      <c r="Z455" s="845" t="n"/>
    </row>
    <row r="456" ht="13.2" customHeight="1" s="1127">
      <c r="A456" s="845" t="n"/>
      <c r="B456" s="845" t="n"/>
      <c r="C456" s="845" t="n"/>
      <c r="D456" s="845" t="n"/>
      <c r="E456" s="845" t="n"/>
      <c r="F456" s="845" t="n"/>
      <c r="G456" s="879" t="n"/>
      <c r="H456" s="845" t="n"/>
      <c r="I456" s="845" t="n"/>
      <c r="J456" s="845" t="n"/>
      <c r="K456" s="845" t="n"/>
      <c r="L456" s="845" t="n"/>
      <c r="M456" s="845" t="n"/>
      <c r="N456" s="845" t="n"/>
      <c r="O456" s="845" t="n"/>
      <c r="P456" s="845" t="n"/>
      <c r="Q456" s="845" t="n"/>
      <c r="R456" s="845" t="n"/>
      <c r="S456" s="845" t="n"/>
      <c r="T456" s="845" t="n"/>
      <c r="U456" s="845" t="n"/>
      <c r="V456" s="845" t="n"/>
      <c r="W456" s="845" t="n"/>
      <c r="X456" s="845" t="n"/>
      <c r="Y456" s="845" t="n"/>
      <c r="Z456" s="845" t="n"/>
    </row>
    <row r="457" ht="13.2" customHeight="1" s="1127">
      <c r="A457" s="845" t="n"/>
      <c r="B457" s="845" t="n"/>
      <c r="C457" s="845" t="n"/>
      <c r="D457" s="845" t="n"/>
      <c r="E457" s="845" t="n"/>
      <c r="F457" s="845" t="n"/>
      <c r="G457" s="879" t="n"/>
      <c r="H457" s="845" t="n"/>
      <c r="I457" s="845" t="n"/>
      <c r="J457" s="845" t="n"/>
      <c r="K457" s="845" t="n"/>
      <c r="L457" s="845" t="n"/>
      <c r="M457" s="845" t="n"/>
      <c r="N457" s="845" t="n"/>
      <c r="O457" s="845" t="n"/>
      <c r="P457" s="845" t="n"/>
      <c r="Q457" s="845" t="n"/>
      <c r="R457" s="845" t="n"/>
      <c r="S457" s="845" t="n"/>
      <c r="T457" s="845" t="n"/>
      <c r="U457" s="845" t="n"/>
      <c r="V457" s="845" t="n"/>
      <c r="W457" s="845" t="n"/>
      <c r="X457" s="845" t="n"/>
      <c r="Y457" s="845" t="n"/>
      <c r="Z457" s="845" t="n"/>
    </row>
    <row r="458" ht="13.2" customHeight="1" s="1127">
      <c r="A458" s="845" t="n"/>
      <c r="B458" s="845" t="n"/>
      <c r="C458" s="845" t="n"/>
      <c r="D458" s="845" t="n"/>
      <c r="E458" s="845" t="n"/>
      <c r="F458" s="845" t="n"/>
      <c r="G458" s="879" t="n"/>
      <c r="H458" s="845" t="n"/>
      <c r="I458" s="845" t="n"/>
      <c r="J458" s="845" t="n"/>
      <c r="K458" s="845" t="n"/>
      <c r="L458" s="845" t="n"/>
      <c r="M458" s="845" t="n"/>
      <c r="N458" s="845" t="n"/>
      <c r="O458" s="845" t="n"/>
      <c r="P458" s="845" t="n"/>
      <c r="Q458" s="845" t="n"/>
      <c r="R458" s="845" t="n"/>
      <c r="S458" s="845" t="n"/>
      <c r="T458" s="845" t="n"/>
      <c r="U458" s="845" t="n"/>
      <c r="V458" s="845" t="n"/>
      <c r="W458" s="845" t="n"/>
      <c r="X458" s="845" t="n"/>
      <c r="Y458" s="845" t="n"/>
      <c r="Z458" s="845" t="n"/>
    </row>
    <row r="459" ht="13.2" customHeight="1" s="1127">
      <c r="A459" s="845" t="n"/>
      <c r="B459" s="845" t="n"/>
      <c r="C459" s="845" t="n"/>
      <c r="D459" s="845" t="n"/>
      <c r="E459" s="845" t="n"/>
      <c r="F459" s="845" t="n"/>
      <c r="G459" s="879" t="n"/>
      <c r="H459" s="845" t="n"/>
      <c r="I459" s="845" t="n"/>
      <c r="J459" s="845" t="n"/>
      <c r="K459" s="845" t="n"/>
      <c r="L459" s="845" t="n"/>
      <c r="M459" s="845" t="n"/>
      <c r="N459" s="845" t="n"/>
      <c r="O459" s="845" t="n"/>
      <c r="P459" s="845" t="n"/>
      <c r="Q459" s="845" t="n"/>
      <c r="R459" s="845" t="n"/>
      <c r="S459" s="845" t="n"/>
      <c r="T459" s="845" t="n"/>
      <c r="U459" s="845" t="n"/>
      <c r="V459" s="845" t="n"/>
      <c r="W459" s="845" t="n"/>
      <c r="X459" s="845" t="n"/>
      <c r="Y459" s="845" t="n"/>
      <c r="Z459" s="845" t="n"/>
    </row>
    <row r="460" ht="13.2" customHeight="1" s="1127">
      <c r="A460" s="845" t="n"/>
      <c r="B460" s="845" t="n"/>
      <c r="C460" s="845" t="n"/>
      <c r="D460" s="845" t="n"/>
      <c r="E460" s="845" t="n"/>
      <c r="F460" s="845" t="n"/>
      <c r="G460" s="879" t="n"/>
      <c r="H460" s="845" t="n"/>
      <c r="I460" s="845" t="n"/>
      <c r="J460" s="845" t="n"/>
      <c r="K460" s="845" t="n"/>
      <c r="L460" s="845" t="n"/>
      <c r="M460" s="845" t="n"/>
      <c r="N460" s="845" t="n"/>
      <c r="O460" s="845" t="n"/>
      <c r="P460" s="845" t="n"/>
      <c r="Q460" s="845" t="n"/>
      <c r="R460" s="845" t="n"/>
      <c r="S460" s="845" t="n"/>
      <c r="T460" s="845" t="n"/>
      <c r="U460" s="845" t="n"/>
      <c r="V460" s="845" t="n"/>
      <c r="W460" s="845" t="n"/>
      <c r="X460" s="845" t="n"/>
      <c r="Y460" s="845" t="n"/>
      <c r="Z460" s="845" t="n"/>
    </row>
    <row r="461" ht="13.2" customHeight="1" s="1127">
      <c r="A461" s="845" t="n"/>
      <c r="B461" s="845" t="n"/>
      <c r="C461" s="845" t="n"/>
      <c r="D461" s="845" t="n"/>
      <c r="E461" s="845" t="n"/>
      <c r="F461" s="845" t="n"/>
      <c r="G461" s="879" t="n"/>
      <c r="H461" s="845" t="n"/>
      <c r="I461" s="845" t="n"/>
      <c r="J461" s="845" t="n"/>
      <c r="K461" s="845" t="n"/>
      <c r="L461" s="845" t="n"/>
      <c r="M461" s="845" t="n"/>
      <c r="N461" s="845" t="n"/>
      <c r="O461" s="845" t="n"/>
      <c r="P461" s="845" t="n"/>
      <c r="Q461" s="845" t="n"/>
      <c r="R461" s="845" t="n"/>
      <c r="S461" s="845" t="n"/>
      <c r="T461" s="845" t="n"/>
      <c r="U461" s="845" t="n"/>
      <c r="V461" s="845" t="n"/>
      <c r="W461" s="845" t="n"/>
      <c r="X461" s="845" t="n"/>
      <c r="Y461" s="845" t="n"/>
      <c r="Z461" s="845" t="n"/>
    </row>
    <row r="462" ht="13.2" customHeight="1" s="1127">
      <c r="A462" s="845" t="n"/>
      <c r="B462" s="845" t="n"/>
      <c r="C462" s="845" t="n"/>
      <c r="D462" s="845" t="n"/>
      <c r="E462" s="845" t="n"/>
      <c r="F462" s="845" t="n"/>
      <c r="G462" s="879" t="n"/>
      <c r="H462" s="845" t="n"/>
      <c r="I462" s="845" t="n"/>
      <c r="J462" s="845" t="n"/>
      <c r="K462" s="845" t="n"/>
      <c r="L462" s="845" t="n"/>
      <c r="M462" s="845" t="n"/>
      <c r="N462" s="845" t="n"/>
      <c r="O462" s="845" t="n"/>
      <c r="P462" s="845" t="n"/>
      <c r="Q462" s="845" t="n"/>
      <c r="R462" s="845" t="n"/>
      <c r="S462" s="845" t="n"/>
      <c r="T462" s="845" t="n"/>
      <c r="U462" s="845" t="n"/>
      <c r="V462" s="845" t="n"/>
      <c r="W462" s="845" t="n"/>
      <c r="X462" s="845" t="n"/>
      <c r="Y462" s="845" t="n"/>
      <c r="Z462" s="845" t="n"/>
    </row>
    <row r="463" ht="13.2" customHeight="1" s="1127">
      <c r="A463" s="845" t="n"/>
      <c r="B463" s="845" t="n"/>
      <c r="C463" s="845" t="n"/>
      <c r="D463" s="845" t="n"/>
      <c r="E463" s="845" t="n"/>
      <c r="F463" s="845" t="n"/>
      <c r="G463" s="879" t="n"/>
      <c r="H463" s="845" t="n"/>
      <c r="I463" s="845" t="n"/>
      <c r="J463" s="845" t="n"/>
      <c r="K463" s="845" t="n"/>
      <c r="L463" s="845" t="n"/>
      <c r="M463" s="845" t="n"/>
      <c r="N463" s="845" t="n"/>
      <c r="O463" s="845" t="n"/>
      <c r="P463" s="845" t="n"/>
      <c r="Q463" s="845" t="n"/>
      <c r="R463" s="845" t="n"/>
      <c r="S463" s="845" t="n"/>
      <c r="T463" s="845" t="n"/>
      <c r="U463" s="845" t="n"/>
      <c r="V463" s="845" t="n"/>
      <c r="W463" s="845" t="n"/>
      <c r="X463" s="845" t="n"/>
      <c r="Y463" s="845" t="n"/>
      <c r="Z463" s="845" t="n"/>
    </row>
    <row r="464" ht="13.2" customHeight="1" s="1127">
      <c r="A464" s="845" t="n"/>
      <c r="B464" s="845" t="n"/>
      <c r="C464" s="845" t="n"/>
      <c r="D464" s="845" t="n"/>
      <c r="E464" s="845" t="n"/>
      <c r="F464" s="845" t="n"/>
      <c r="G464" s="879" t="n"/>
      <c r="H464" s="845" t="n"/>
      <c r="I464" s="845" t="n"/>
      <c r="J464" s="845" t="n"/>
      <c r="K464" s="845" t="n"/>
      <c r="L464" s="845" t="n"/>
      <c r="M464" s="845" t="n"/>
      <c r="N464" s="845" t="n"/>
      <c r="O464" s="845" t="n"/>
      <c r="P464" s="845" t="n"/>
      <c r="Q464" s="845" t="n"/>
      <c r="R464" s="845" t="n"/>
      <c r="S464" s="845" t="n"/>
      <c r="T464" s="845" t="n"/>
      <c r="U464" s="845" t="n"/>
      <c r="V464" s="845" t="n"/>
      <c r="W464" s="845" t="n"/>
      <c r="X464" s="845" t="n"/>
      <c r="Y464" s="845" t="n"/>
      <c r="Z464" s="845" t="n"/>
    </row>
    <row r="465" ht="13.2" customHeight="1" s="1127">
      <c r="A465" s="845" t="n"/>
      <c r="B465" s="845" t="n"/>
      <c r="C465" s="845" t="n"/>
      <c r="D465" s="845" t="n"/>
      <c r="E465" s="845" t="n"/>
      <c r="F465" s="845" t="n"/>
      <c r="G465" s="879" t="n"/>
      <c r="H465" s="845" t="n"/>
      <c r="I465" s="845" t="n"/>
      <c r="J465" s="845" t="n"/>
      <c r="K465" s="845" t="n"/>
      <c r="L465" s="845" t="n"/>
      <c r="M465" s="845" t="n"/>
      <c r="N465" s="845" t="n"/>
      <c r="O465" s="845" t="n"/>
      <c r="P465" s="845" t="n"/>
      <c r="Q465" s="845" t="n"/>
      <c r="R465" s="845" t="n"/>
      <c r="S465" s="845" t="n"/>
      <c r="T465" s="845" t="n"/>
      <c r="U465" s="845" t="n"/>
      <c r="V465" s="845" t="n"/>
      <c r="W465" s="845" t="n"/>
      <c r="X465" s="845" t="n"/>
      <c r="Y465" s="845" t="n"/>
      <c r="Z465" s="845" t="n"/>
    </row>
    <row r="466" ht="13.2" customHeight="1" s="1127">
      <c r="A466" s="845" t="n"/>
      <c r="B466" s="845" t="n"/>
      <c r="C466" s="845" t="n"/>
      <c r="D466" s="845" t="n"/>
      <c r="E466" s="845" t="n"/>
      <c r="F466" s="845" t="n"/>
      <c r="G466" s="879" t="n"/>
      <c r="H466" s="845" t="n"/>
      <c r="I466" s="845" t="n"/>
      <c r="J466" s="845" t="n"/>
      <c r="K466" s="845" t="n"/>
      <c r="L466" s="845" t="n"/>
      <c r="M466" s="845" t="n"/>
      <c r="N466" s="845" t="n"/>
      <c r="O466" s="845" t="n"/>
      <c r="P466" s="845" t="n"/>
      <c r="Q466" s="845" t="n"/>
      <c r="R466" s="845" t="n"/>
      <c r="S466" s="845" t="n"/>
      <c r="T466" s="845" t="n"/>
      <c r="U466" s="845" t="n"/>
      <c r="V466" s="845" t="n"/>
      <c r="W466" s="845" t="n"/>
      <c r="X466" s="845" t="n"/>
      <c r="Y466" s="845" t="n"/>
      <c r="Z466" s="845" t="n"/>
    </row>
    <row r="467" ht="13.2" customHeight="1" s="1127">
      <c r="A467" s="845" t="n"/>
      <c r="B467" s="845" t="n"/>
      <c r="C467" s="845" t="n"/>
      <c r="D467" s="845" t="n"/>
      <c r="E467" s="845" t="n"/>
      <c r="F467" s="845" t="n"/>
      <c r="G467" s="879" t="n"/>
      <c r="H467" s="845" t="n"/>
      <c r="I467" s="845" t="n"/>
      <c r="J467" s="845" t="n"/>
      <c r="K467" s="845" t="n"/>
      <c r="L467" s="845" t="n"/>
      <c r="M467" s="845" t="n"/>
      <c r="N467" s="845" t="n"/>
      <c r="O467" s="845" t="n"/>
      <c r="P467" s="845" t="n"/>
      <c r="Q467" s="845" t="n"/>
      <c r="R467" s="845" t="n"/>
      <c r="S467" s="845" t="n"/>
      <c r="T467" s="845" t="n"/>
      <c r="U467" s="845" t="n"/>
      <c r="V467" s="845" t="n"/>
      <c r="W467" s="845" t="n"/>
      <c r="X467" s="845" t="n"/>
      <c r="Y467" s="845" t="n"/>
      <c r="Z467" s="845" t="n"/>
    </row>
    <row r="468" ht="13.2" customHeight="1" s="1127">
      <c r="A468" s="845" t="n"/>
      <c r="B468" s="845" t="n"/>
      <c r="C468" s="845" t="n"/>
      <c r="D468" s="845" t="n"/>
      <c r="E468" s="845" t="n"/>
      <c r="F468" s="845" t="n"/>
      <c r="G468" s="879" t="n"/>
      <c r="H468" s="845" t="n"/>
      <c r="I468" s="845" t="n"/>
      <c r="J468" s="845" t="n"/>
      <c r="K468" s="845" t="n"/>
      <c r="L468" s="845" t="n"/>
      <c r="M468" s="845" t="n"/>
      <c r="N468" s="845" t="n"/>
      <c r="O468" s="845" t="n"/>
      <c r="P468" s="845" t="n"/>
      <c r="Q468" s="845" t="n"/>
      <c r="R468" s="845" t="n"/>
      <c r="S468" s="845" t="n"/>
      <c r="T468" s="845" t="n"/>
      <c r="U468" s="845" t="n"/>
      <c r="V468" s="845" t="n"/>
      <c r="W468" s="845" t="n"/>
      <c r="X468" s="845" t="n"/>
      <c r="Y468" s="845" t="n"/>
      <c r="Z468" s="845" t="n"/>
    </row>
    <row r="469" ht="13.2" customHeight="1" s="1127">
      <c r="A469" s="845" t="n"/>
      <c r="B469" s="845" t="n"/>
      <c r="C469" s="845" t="n"/>
      <c r="D469" s="845" t="n"/>
      <c r="E469" s="845" t="n"/>
      <c r="F469" s="845" t="n"/>
      <c r="G469" s="879" t="n"/>
      <c r="H469" s="845" t="n"/>
      <c r="I469" s="845" t="n"/>
      <c r="J469" s="845" t="n"/>
      <c r="K469" s="845" t="n"/>
      <c r="L469" s="845" t="n"/>
      <c r="M469" s="845" t="n"/>
      <c r="N469" s="845" t="n"/>
      <c r="O469" s="845" t="n"/>
      <c r="P469" s="845" t="n"/>
      <c r="Q469" s="845" t="n"/>
      <c r="R469" s="845" t="n"/>
      <c r="S469" s="845" t="n"/>
      <c r="T469" s="845" t="n"/>
      <c r="U469" s="845" t="n"/>
      <c r="V469" s="845" t="n"/>
      <c r="W469" s="845" t="n"/>
      <c r="X469" s="845" t="n"/>
      <c r="Y469" s="845" t="n"/>
      <c r="Z469" s="845" t="n"/>
    </row>
    <row r="470" ht="13.2" customHeight="1" s="1127">
      <c r="A470" s="845" t="n"/>
      <c r="B470" s="845" t="n"/>
      <c r="C470" s="845" t="n"/>
      <c r="D470" s="845" t="n"/>
      <c r="E470" s="845" t="n"/>
      <c r="F470" s="845" t="n"/>
      <c r="G470" s="879" t="n"/>
      <c r="H470" s="845" t="n"/>
      <c r="I470" s="845" t="n"/>
      <c r="J470" s="845" t="n"/>
      <c r="K470" s="845" t="n"/>
      <c r="L470" s="845" t="n"/>
      <c r="M470" s="845" t="n"/>
      <c r="N470" s="845" t="n"/>
      <c r="O470" s="845" t="n"/>
      <c r="P470" s="845" t="n"/>
      <c r="Q470" s="845" t="n"/>
      <c r="R470" s="845" t="n"/>
      <c r="S470" s="845" t="n"/>
      <c r="T470" s="845" t="n"/>
      <c r="U470" s="845" t="n"/>
      <c r="V470" s="845" t="n"/>
      <c r="W470" s="845" t="n"/>
      <c r="X470" s="845" t="n"/>
      <c r="Y470" s="845" t="n"/>
      <c r="Z470" s="845" t="n"/>
    </row>
    <row r="471" ht="13.2" customHeight="1" s="1127">
      <c r="A471" s="845" t="n"/>
      <c r="B471" s="845" t="n"/>
      <c r="C471" s="845" t="n"/>
      <c r="D471" s="845" t="n"/>
      <c r="E471" s="845" t="n"/>
      <c r="F471" s="845" t="n"/>
      <c r="G471" s="879" t="n"/>
      <c r="H471" s="845" t="n"/>
      <c r="I471" s="845" t="n"/>
      <c r="J471" s="845" t="n"/>
      <c r="K471" s="845" t="n"/>
      <c r="L471" s="845" t="n"/>
      <c r="M471" s="845" t="n"/>
      <c r="N471" s="845" t="n"/>
      <c r="O471" s="845" t="n"/>
      <c r="P471" s="845" t="n"/>
      <c r="Q471" s="845" t="n"/>
      <c r="R471" s="845" t="n"/>
      <c r="S471" s="845" t="n"/>
      <c r="T471" s="845" t="n"/>
      <c r="U471" s="845" t="n"/>
      <c r="V471" s="845" t="n"/>
      <c r="W471" s="845" t="n"/>
      <c r="X471" s="845" t="n"/>
      <c r="Y471" s="845" t="n"/>
      <c r="Z471" s="845" t="n"/>
    </row>
    <row r="472" ht="13.2" customHeight="1" s="1127">
      <c r="A472" s="845" t="n"/>
      <c r="B472" s="845" t="n"/>
      <c r="C472" s="845" t="n"/>
      <c r="D472" s="845" t="n"/>
      <c r="E472" s="845" t="n"/>
      <c r="F472" s="845" t="n"/>
      <c r="G472" s="879" t="n"/>
      <c r="H472" s="845" t="n"/>
      <c r="I472" s="845" t="n"/>
      <c r="J472" s="845" t="n"/>
      <c r="K472" s="845" t="n"/>
      <c r="L472" s="845" t="n"/>
      <c r="M472" s="845" t="n"/>
      <c r="N472" s="845" t="n"/>
      <c r="O472" s="845" t="n"/>
      <c r="P472" s="845" t="n"/>
      <c r="Q472" s="845" t="n"/>
      <c r="R472" s="845" t="n"/>
      <c r="S472" s="845" t="n"/>
      <c r="T472" s="845" t="n"/>
      <c r="U472" s="845" t="n"/>
      <c r="V472" s="845" t="n"/>
      <c r="W472" s="845" t="n"/>
      <c r="X472" s="845" t="n"/>
      <c r="Y472" s="845" t="n"/>
      <c r="Z472" s="845" t="n"/>
    </row>
    <row r="473" ht="13.2" customHeight="1" s="1127">
      <c r="A473" s="845" t="n"/>
      <c r="B473" s="845" t="n"/>
      <c r="C473" s="845" t="n"/>
      <c r="D473" s="845" t="n"/>
      <c r="E473" s="845" t="n"/>
      <c r="F473" s="845" t="n"/>
      <c r="G473" s="879" t="n"/>
      <c r="H473" s="845" t="n"/>
      <c r="I473" s="845" t="n"/>
      <c r="J473" s="845" t="n"/>
      <c r="K473" s="845" t="n"/>
      <c r="L473" s="845" t="n"/>
      <c r="M473" s="845" t="n"/>
      <c r="N473" s="845" t="n"/>
      <c r="O473" s="845" t="n"/>
      <c r="P473" s="845" t="n"/>
      <c r="Q473" s="845" t="n"/>
      <c r="R473" s="845" t="n"/>
      <c r="S473" s="845" t="n"/>
      <c r="T473" s="845" t="n"/>
      <c r="U473" s="845" t="n"/>
      <c r="V473" s="845" t="n"/>
      <c r="W473" s="845" t="n"/>
      <c r="X473" s="845" t="n"/>
      <c r="Y473" s="845" t="n"/>
      <c r="Z473" s="845" t="n"/>
    </row>
    <row r="474" ht="13.2" customHeight="1" s="1127">
      <c r="A474" s="845" t="n"/>
      <c r="B474" s="845" t="n"/>
      <c r="C474" s="845" t="n"/>
      <c r="D474" s="845" t="n"/>
      <c r="E474" s="845" t="n"/>
      <c r="F474" s="845" t="n"/>
      <c r="G474" s="879" t="n"/>
      <c r="H474" s="845" t="n"/>
      <c r="I474" s="845" t="n"/>
      <c r="J474" s="845" t="n"/>
      <c r="K474" s="845" t="n"/>
      <c r="L474" s="845" t="n"/>
      <c r="M474" s="845" t="n"/>
      <c r="N474" s="845" t="n"/>
      <c r="O474" s="845" t="n"/>
      <c r="P474" s="845" t="n"/>
      <c r="Q474" s="845" t="n"/>
      <c r="R474" s="845" t="n"/>
      <c r="S474" s="845" t="n"/>
      <c r="T474" s="845" t="n"/>
      <c r="U474" s="845" t="n"/>
      <c r="V474" s="845" t="n"/>
      <c r="W474" s="845" t="n"/>
      <c r="X474" s="845" t="n"/>
      <c r="Y474" s="845" t="n"/>
      <c r="Z474" s="845" t="n"/>
    </row>
    <row r="475" ht="13.2" customHeight="1" s="1127">
      <c r="A475" s="845" t="n"/>
      <c r="B475" s="845" t="n"/>
      <c r="C475" s="845" t="n"/>
      <c r="D475" s="845" t="n"/>
      <c r="E475" s="845" t="n"/>
      <c r="F475" s="845" t="n"/>
      <c r="G475" s="879" t="n"/>
      <c r="H475" s="845" t="n"/>
      <c r="I475" s="845" t="n"/>
      <c r="J475" s="845" t="n"/>
      <c r="K475" s="845" t="n"/>
      <c r="L475" s="845" t="n"/>
      <c r="M475" s="845" t="n"/>
      <c r="N475" s="845" t="n"/>
      <c r="O475" s="845" t="n"/>
      <c r="P475" s="845" t="n"/>
      <c r="Q475" s="845" t="n"/>
      <c r="R475" s="845" t="n"/>
      <c r="S475" s="845" t="n"/>
      <c r="T475" s="845" t="n"/>
      <c r="U475" s="845" t="n"/>
      <c r="V475" s="845" t="n"/>
      <c r="W475" s="845" t="n"/>
      <c r="X475" s="845" t="n"/>
      <c r="Y475" s="845" t="n"/>
      <c r="Z475" s="845" t="n"/>
    </row>
    <row r="476" ht="13.2" customHeight="1" s="1127">
      <c r="A476" s="845" t="n"/>
      <c r="B476" s="845" t="n"/>
      <c r="C476" s="845" t="n"/>
      <c r="D476" s="845" t="n"/>
      <c r="E476" s="845" t="n"/>
      <c r="F476" s="845" t="n"/>
      <c r="G476" s="879" t="n"/>
      <c r="H476" s="845" t="n"/>
      <c r="I476" s="845" t="n"/>
      <c r="J476" s="845" t="n"/>
      <c r="K476" s="845" t="n"/>
      <c r="L476" s="845" t="n"/>
      <c r="M476" s="845" t="n"/>
      <c r="N476" s="845" t="n"/>
      <c r="O476" s="845" t="n"/>
      <c r="P476" s="845" t="n"/>
      <c r="Q476" s="845" t="n"/>
      <c r="R476" s="845" t="n"/>
      <c r="S476" s="845" t="n"/>
      <c r="T476" s="845" t="n"/>
      <c r="U476" s="845" t="n"/>
      <c r="V476" s="845" t="n"/>
      <c r="W476" s="845" t="n"/>
      <c r="X476" s="845" t="n"/>
      <c r="Y476" s="845" t="n"/>
      <c r="Z476" s="845" t="n"/>
    </row>
    <row r="477" ht="13.2" customHeight="1" s="1127">
      <c r="A477" s="845" t="n"/>
      <c r="B477" s="845" t="n"/>
      <c r="C477" s="845" t="n"/>
      <c r="D477" s="845" t="n"/>
      <c r="E477" s="845" t="n"/>
      <c r="F477" s="845" t="n"/>
      <c r="G477" s="879" t="n"/>
      <c r="H477" s="845" t="n"/>
      <c r="I477" s="845" t="n"/>
      <c r="J477" s="845" t="n"/>
      <c r="K477" s="845" t="n"/>
      <c r="L477" s="845" t="n"/>
      <c r="M477" s="845" t="n"/>
      <c r="N477" s="845" t="n"/>
      <c r="O477" s="845" t="n"/>
      <c r="P477" s="845" t="n"/>
      <c r="Q477" s="845" t="n"/>
      <c r="R477" s="845" t="n"/>
      <c r="S477" s="845" t="n"/>
      <c r="T477" s="845" t="n"/>
      <c r="U477" s="845" t="n"/>
      <c r="V477" s="845" t="n"/>
      <c r="W477" s="845" t="n"/>
      <c r="X477" s="845" t="n"/>
      <c r="Y477" s="845" t="n"/>
      <c r="Z477" s="845" t="n"/>
    </row>
    <row r="478" ht="13.2" customHeight="1" s="1127">
      <c r="A478" s="845" t="n"/>
      <c r="B478" s="845" t="n"/>
      <c r="C478" s="845" t="n"/>
      <c r="D478" s="845" t="n"/>
      <c r="E478" s="845" t="n"/>
      <c r="F478" s="845" t="n"/>
      <c r="G478" s="879" t="n"/>
      <c r="H478" s="845" t="n"/>
      <c r="I478" s="845" t="n"/>
      <c r="J478" s="845" t="n"/>
      <c r="K478" s="845" t="n"/>
      <c r="L478" s="845" t="n"/>
      <c r="M478" s="845" t="n"/>
      <c r="N478" s="845" t="n"/>
      <c r="O478" s="845" t="n"/>
      <c r="P478" s="845" t="n"/>
      <c r="Q478" s="845" t="n"/>
      <c r="R478" s="845" t="n"/>
      <c r="S478" s="845" t="n"/>
      <c r="T478" s="845" t="n"/>
      <c r="U478" s="845" t="n"/>
      <c r="V478" s="845" t="n"/>
      <c r="W478" s="845" t="n"/>
      <c r="X478" s="845" t="n"/>
      <c r="Y478" s="845" t="n"/>
      <c r="Z478" s="845" t="n"/>
    </row>
    <row r="479" ht="13.2" customHeight="1" s="1127">
      <c r="A479" s="845" t="n"/>
      <c r="B479" s="845" t="n"/>
      <c r="C479" s="845" t="n"/>
      <c r="D479" s="845" t="n"/>
      <c r="E479" s="845" t="n"/>
      <c r="F479" s="845" t="n"/>
      <c r="G479" s="879" t="n"/>
      <c r="H479" s="845" t="n"/>
      <c r="I479" s="845" t="n"/>
      <c r="J479" s="845" t="n"/>
      <c r="K479" s="845" t="n"/>
      <c r="L479" s="845" t="n"/>
      <c r="M479" s="845" t="n"/>
      <c r="N479" s="845" t="n"/>
      <c r="O479" s="845" t="n"/>
      <c r="P479" s="845" t="n"/>
      <c r="Q479" s="845" t="n"/>
      <c r="R479" s="845" t="n"/>
      <c r="S479" s="845" t="n"/>
      <c r="T479" s="845" t="n"/>
      <c r="U479" s="845" t="n"/>
      <c r="V479" s="845" t="n"/>
      <c r="W479" s="845" t="n"/>
      <c r="X479" s="845" t="n"/>
      <c r="Y479" s="845" t="n"/>
      <c r="Z479" s="845" t="n"/>
    </row>
    <row r="480" ht="13.2" customHeight="1" s="1127">
      <c r="A480" s="845" t="n"/>
      <c r="B480" s="845" t="n"/>
      <c r="C480" s="845" t="n"/>
      <c r="D480" s="845" t="n"/>
      <c r="E480" s="845" t="n"/>
      <c r="F480" s="845" t="n"/>
      <c r="G480" s="879" t="n"/>
      <c r="H480" s="845" t="n"/>
      <c r="I480" s="845" t="n"/>
      <c r="J480" s="845" t="n"/>
      <c r="K480" s="845" t="n"/>
      <c r="L480" s="845" t="n"/>
      <c r="M480" s="845" t="n"/>
      <c r="N480" s="845" t="n"/>
      <c r="O480" s="845" t="n"/>
      <c r="P480" s="845" t="n"/>
      <c r="Q480" s="845" t="n"/>
      <c r="R480" s="845" t="n"/>
      <c r="S480" s="845" t="n"/>
      <c r="T480" s="845" t="n"/>
      <c r="U480" s="845" t="n"/>
      <c r="V480" s="845" t="n"/>
      <c r="W480" s="845" t="n"/>
      <c r="X480" s="845" t="n"/>
      <c r="Y480" s="845" t="n"/>
      <c r="Z480" s="845" t="n"/>
    </row>
    <row r="481" ht="13.2" customHeight="1" s="1127">
      <c r="A481" s="845" t="n"/>
      <c r="B481" s="845" t="n"/>
      <c r="C481" s="845" t="n"/>
      <c r="D481" s="845" t="n"/>
      <c r="E481" s="845" t="n"/>
      <c r="F481" s="845" t="n"/>
      <c r="G481" s="879" t="n"/>
      <c r="H481" s="845" t="n"/>
      <c r="I481" s="845" t="n"/>
      <c r="J481" s="845" t="n"/>
      <c r="K481" s="845" t="n"/>
      <c r="L481" s="845" t="n"/>
      <c r="M481" s="845" t="n"/>
      <c r="N481" s="845" t="n"/>
      <c r="O481" s="845" t="n"/>
      <c r="P481" s="845" t="n"/>
      <c r="Q481" s="845" t="n"/>
      <c r="R481" s="845" t="n"/>
      <c r="S481" s="845" t="n"/>
      <c r="T481" s="845" t="n"/>
      <c r="U481" s="845" t="n"/>
      <c r="V481" s="845" t="n"/>
      <c r="W481" s="845" t="n"/>
      <c r="X481" s="845" t="n"/>
      <c r="Y481" s="845" t="n"/>
      <c r="Z481" s="845" t="n"/>
    </row>
    <row r="482" ht="13.2" customHeight="1" s="1127">
      <c r="A482" s="845" t="n"/>
      <c r="B482" s="845" t="n"/>
      <c r="C482" s="845" t="n"/>
      <c r="D482" s="845" t="n"/>
      <c r="E482" s="845" t="n"/>
      <c r="F482" s="845" t="n"/>
      <c r="G482" s="879" t="n"/>
      <c r="H482" s="845" t="n"/>
      <c r="I482" s="845" t="n"/>
      <c r="J482" s="845" t="n"/>
      <c r="K482" s="845" t="n"/>
      <c r="L482" s="845" t="n"/>
      <c r="M482" s="845" t="n"/>
      <c r="N482" s="845" t="n"/>
      <c r="O482" s="845" t="n"/>
      <c r="P482" s="845" t="n"/>
      <c r="Q482" s="845" t="n"/>
      <c r="R482" s="845" t="n"/>
      <c r="S482" s="845" t="n"/>
      <c r="T482" s="845" t="n"/>
      <c r="U482" s="845" t="n"/>
      <c r="V482" s="845" t="n"/>
      <c r="W482" s="845" t="n"/>
      <c r="X482" s="845" t="n"/>
      <c r="Y482" s="845" t="n"/>
      <c r="Z482" s="845" t="n"/>
    </row>
    <row r="483" ht="13.2" customHeight="1" s="1127">
      <c r="A483" s="845" t="n"/>
      <c r="B483" s="845" t="n"/>
      <c r="C483" s="845" t="n"/>
      <c r="D483" s="845" t="n"/>
      <c r="E483" s="845" t="n"/>
      <c r="F483" s="845" t="n"/>
      <c r="G483" s="879" t="n"/>
      <c r="H483" s="845" t="n"/>
      <c r="I483" s="845" t="n"/>
      <c r="J483" s="845" t="n"/>
      <c r="K483" s="845" t="n"/>
      <c r="L483" s="845" t="n"/>
      <c r="M483" s="845" t="n"/>
      <c r="N483" s="845" t="n"/>
      <c r="O483" s="845" t="n"/>
      <c r="P483" s="845" t="n"/>
      <c r="Q483" s="845" t="n"/>
      <c r="R483" s="845" t="n"/>
      <c r="S483" s="845" t="n"/>
      <c r="T483" s="845" t="n"/>
      <c r="U483" s="845" t="n"/>
      <c r="V483" s="845" t="n"/>
      <c r="W483" s="845" t="n"/>
      <c r="X483" s="845" t="n"/>
      <c r="Y483" s="845" t="n"/>
      <c r="Z483" s="845" t="n"/>
    </row>
    <row r="484" ht="13.2" customHeight="1" s="1127">
      <c r="A484" s="845" t="n"/>
      <c r="B484" s="845" t="n"/>
      <c r="C484" s="845" t="n"/>
      <c r="D484" s="845" t="n"/>
      <c r="E484" s="845" t="n"/>
      <c r="F484" s="845" t="n"/>
      <c r="G484" s="879" t="n"/>
      <c r="H484" s="845" t="n"/>
      <c r="I484" s="845" t="n"/>
      <c r="J484" s="845" t="n"/>
      <c r="K484" s="845" t="n"/>
      <c r="L484" s="845" t="n"/>
      <c r="M484" s="845" t="n"/>
      <c r="N484" s="845" t="n"/>
      <c r="O484" s="845" t="n"/>
      <c r="P484" s="845" t="n"/>
      <c r="Q484" s="845" t="n"/>
      <c r="R484" s="845" t="n"/>
      <c r="S484" s="845" t="n"/>
      <c r="T484" s="845" t="n"/>
      <c r="U484" s="845" t="n"/>
      <c r="V484" s="845" t="n"/>
      <c r="W484" s="845" t="n"/>
      <c r="X484" s="845" t="n"/>
      <c r="Y484" s="845" t="n"/>
      <c r="Z484" s="845" t="n"/>
    </row>
    <row r="485" ht="13.2" customHeight="1" s="1127">
      <c r="A485" s="845" t="n"/>
      <c r="B485" s="845" t="n"/>
      <c r="C485" s="845" t="n"/>
      <c r="D485" s="845" t="n"/>
      <c r="E485" s="845" t="n"/>
      <c r="F485" s="845" t="n"/>
      <c r="G485" s="879" t="n"/>
      <c r="H485" s="845" t="n"/>
      <c r="I485" s="845" t="n"/>
      <c r="J485" s="845" t="n"/>
      <c r="K485" s="845" t="n"/>
      <c r="L485" s="845" t="n"/>
      <c r="M485" s="845" t="n"/>
      <c r="N485" s="845" t="n"/>
      <c r="O485" s="845" t="n"/>
      <c r="P485" s="845" t="n"/>
      <c r="Q485" s="845" t="n"/>
      <c r="R485" s="845" t="n"/>
      <c r="S485" s="845" t="n"/>
      <c r="T485" s="845" t="n"/>
      <c r="U485" s="845" t="n"/>
      <c r="V485" s="845" t="n"/>
      <c r="W485" s="845" t="n"/>
      <c r="X485" s="845" t="n"/>
      <c r="Y485" s="845" t="n"/>
      <c r="Z485" s="845" t="n"/>
    </row>
    <row r="486" ht="13.2" customHeight="1" s="1127">
      <c r="A486" s="845" t="n"/>
      <c r="B486" s="845" t="n"/>
      <c r="C486" s="845" t="n"/>
      <c r="D486" s="845" t="n"/>
      <c r="E486" s="845" t="n"/>
      <c r="F486" s="845" t="n"/>
      <c r="G486" s="879" t="n"/>
      <c r="H486" s="845" t="n"/>
      <c r="I486" s="845" t="n"/>
      <c r="J486" s="845" t="n"/>
      <c r="K486" s="845" t="n"/>
      <c r="L486" s="845" t="n"/>
      <c r="M486" s="845" t="n"/>
      <c r="N486" s="845" t="n"/>
      <c r="O486" s="845" t="n"/>
      <c r="P486" s="845" t="n"/>
      <c r="Q486" s="845" t="n"/>
      <c r="R486" s="845" t="n"/>
      <c r="S486" s="845" t="n"/>
      <c r="T486" s="845" t="n"/>
      <c r="U486" s="845" t="n"/>
      <c r="V486" s="845" t="n"/>
      <c r="W486" s="845" t="n"/>
      <c r="X486" s="845" t="n"/>
      <c r="Y486" s="845" t="n"/>
      <c r="Z486" s="845" t="n"/>
    </row>
    <row r="487" ht="13.2" customHeight="1" s="1127">
      <c r="A487" s="845" t="n"/>
      <c r="B487" s="845" t="n"/>
      <c r="C487" s="845" t="n"/>
      <c r="D487" s="845" t="n"/>
      <c r="E487" s="845" t="n"/>
      <c r="F487" s="845" t="n"/>
      <c r="G487" s="879" t="n"/>
      <c r="H487" s="845" t="n"/>
      <c r="I487" s="845" t="n"/>
      <c r="J487" s="845" t="n"/>
      <c r="K487" s="845" t="n"/>
      <c r="L487" s="845" t="n"/>
      <c r="M487" s="845" t="n"/>
      <c r="N487" s="845" t="n"/>
      <c r="O487" s="845" t="n"/>
      <c r="P487" s="845" t="n"/>
      <c r="Q487" s="845" t="n"/>
      <c r="R487" s="845" t="n"/>
      <c r="S487" s="845" t="n"/>
      <c r="T487" s="845" t="n"/>
      <c r="U487" s="845" t="n"/>
      <c r="V487" s="845" t="n"/>
      <c r="W487" s="845" t="n"/>
      <c r="X487" s="845" t="n"/>
      <c r="Y487" s="845" t="n"/>
      <c r="Z487" s="845" t="n"/>
    </row>
    <row r="488" ht="13.2" customHeight="1" s="1127">
      <c r="A488" s="845" t="n"/>
      <c r="B488" s="845" t="n"/>
      <c r="C488" s="845" t="n"/>
      <c r="D488" s="845" t="n"/>
      <c r="E488" s="845" t="n"/>
      <c r="F488" s="845" t="n"/>
      <c r="G488" s="879" t="n"/>
      <c r="H488" s="845" t="n"/>
      <c r="I488" s="845" t="n"/>
      <c r="J488" s="845" t="n"/>
      <c r="K488" s="845" t="n"/>
      <c r="L488" s="845" t="n"/>
      <c r="M488" s="845" t="n"/>
      <c r="N488" s="845" t="n"/>
      <c r="O488" s="845" t="n"/>
      <c r="P488" s="845" t="n"/>
      <c r="Q488" s="845" t="n"/>
      <c r="R488" s="845" t="n"/>
      <c r="S488" s="845" t="n"/>
      <c r="T488" s="845" t="n"/>
      <c r="U488" s="845" t="n"/>
      <c r="V488" s="845" t="n"/>
      <c r="W488" s="845" t="n"/>
      <c r="X488" s="845" t="n"/>
      <c r="Y488" s="845" t="n"/>
      <c r="Z488" s="845" t="n"/>
    </row>
    <row r="489" ht="13.2" customHeight="1" s="1127">
      <c r="A489" s="845" t="n"/>
      <c r="B489" s="845" t="n"/>
      <c r="C489" s="845" t="n"/>
      <c r="D489" s="845" t="n"/>
      <c r="E489" s="845" t="n"/>
      <c r="F489" s="845" t="n"/>
      <c r="G489" s="879" t="n"/>
      <c r="H489" s="845" t="n"/>
      <c r="I489" s="845" t="n"/>
      <c r="J489" s="845" t="n"/>
      <c r="K489" s="845" t="n"/>
      <c r="L489" s="845" t="n"/>
      <c r="M489" s="845" t="n"/>
      <c r="N489" s="845" t="n"/>
      <c r="O489" s="845" t="n"/>
      <c r="P489" s="845" t="n"/>
      <c r="Q489" s="845" t="n"/>
      <c r="R489" s="845" t="n"/>
      <c r="S489" s="845" t="n"/>
      <c r="T489" s="845" t="n"/>
      <c r="U489" s="845" t="n"/>
      <c r="V489" s="845" t="n"/>
      <c r="W489" s="845" t="n"/>
      <c r="X489" s="845" t="n"/>
      <c r="Y489" s="845" t="n"/>
      <c r="Z489" s="845" t="n"/>
    </row>
    <row r="490" ht="13.2" customHeight="1" s="1127">
      <c r="A490" s="845" t="n"/>
      <c r="B490" s="845" t="n"/>
      <c r="C490" s="845" t="n"/>
      <c r="D490" s="845" t="n"/>
      <c r="E490" s="845" t="n"/>
      <c r="F490" s="845" t="n"/>
      <c r="G490" s="879" t="n"/>
      <c r="H490" s="845" t="n"/>
      <c r="I490" s="845" t="n"/>
      <c r="J490" s="845" t="n"/>
      <c r="K490" s="845" t="n"/>
      <c r="L490" s="845" t="n"/>
      <c r="M490" s="845" t="n"/>
      <c r="N490" s="845" t="n"/>
      <c r="O490" s="845" t="n"/>
      <c r="P490" s="845" t="n"/>
      <c r="Q490" s="845" t="n"/>
      <c r="R490" s="845" t="n"/>
      <c r="S490" s="845" t="n"/>
      <c r="T490" s="845" t="n"/>
      <c r="U490" s="845" t="n"/>
      <c r="V490" s="845" t="n"/>
      <c r="W490" s="845" t="n"/>
      <c r="X490" s="845" t="n"/>
      <c r="Y490" s="845" t="n"/>
      <c r="Z490" s="845" t="n"/>
    </row>
    <row r="491" ht="13.2" customHeight="1" s="1127">
      <c r="A491" s="845" t="n"/>
      <c r="B491" s="845" t="n"/>
      <c r="C491" s="845" t="n"/>
      <c r="D491" s="845" t="n"/>
      <c r="E491" s="845" t="n"/>
      <c r="F491" s="845" t="n"/>
      <c r="G491" s="879" t="n"/>
      <c r="H491" s="845" t="n"/>
      <c r="I491" s="845" t="n"/>
      <c r="J491" s="845" t="n"/>
      <c r="K491" s="845" t="n"/>
      <c r="L491" s="845" t="n"/>
      <c r="M491" s="845" t="n"/>
      <c r="N491" s="845" t="n"/>
      <c r="O491" s="845" t="n"/>
      <c r="P491" s="845" t="n"/>
      <c r="Q491" s="845" t="n"/>
      <c r="R491" s="845" t="n"/>
      <c r="S491" s="845" t="n"/>
      <c r="T491" s="845" t="n"/>
      <c r="U491" s="845" t="n"/>
      <c r="V491" s="845" t="n"/>
      <c r="W491" s="845" t="n"/>
      <c r="X491" s="845" t="n"/>
      <c r="Y491" s="845" t="n"/>
      <c r="Z491" s="845" t="n"/>
    </row>
    <row r="492" ht="13.2" customHeight="1" s="1127">
      <c r="A492" s="845" t="n"/>
      <c r="B492" s="845" t="n"/>
      <c r="C492" s="845" t="n"/>
      <c r="D492" s="845" t="n"/>
      <c r="E492" s="845" t="n"/>
      <c r="F492" s="845" t="n"/>
      <c r="G492" s="879" t="n"/>
      <c r="H492" s="845" t="n"/>
      <c r="I492" s="845" t="n"/>
      <c r="J492" s="845" t="n"/>
      <c r="K492" s="845" t="n"/>
      <c r="L492" s="845" t="n"/>
      <c r="M492" s="845" t="n"/>
      <c r="N492" s="845" t="n"/>
      <c r="O492" s="845" t="n"/>
      <c r="P492" s="845" t="n"/>
      <c r="Q492" s="845" t="n"/>
      <c r="R492" s="845" t="n"/>
      <c r="S492" s="845" t="n"/>
      <c r="T492" s="845" t="n"/>
      <c r="U492" s="845" t="n"/>
      <c r="V492" s="845" t="n"/>
      <c r="W492" s="845" t="n"/>
      <c r="X492" s="845" t="n"/>
      <c r="Y492" s="845" t="n"/>
      <c r="Z492" s="845" t="n"/>
    </row>
    <row r="493" ht="13.2" customHeight="1" s="1127">
      <c r="A493" s="845" t="n"/>
      <c r="B493" s="845" t="n"/>
      <c r="C493" s="845" t="n"/>
      <c r="D493" s="845" t="n"/>
      <c r="E493" s="845" t="n"/>
      <c r="F493" s="845" t="n"/>
      <c r="G493" s="879" t="n"/>
      <c r="H493" s="845" t="n"/>
      <c r="I493" s="845" t="n"/>
      <c r="J493" s="845" t="n"/>
      <c r="K493" s="845" t="n"/>
      <c r="L493" s="845" t="n"/>
      <c r="M493" s="845" t="n"/>
      <c r="N493" s="845" t="n"/>
      <c r="O493" s="845" t="n"/>
      <c r="P493" s="845" t="n"/>
      <c r="Q493" s="845" t="n"/>
      <c r="R493" s="845" t="n"/>
      <c r="S493" s="845" t="n"/>
      <c r="T493" s="845" t="n"/>
      <c r="U493" s="845" t="n"/>
      <c r="V493" s="845" t="n"/>
      <c r="W493" s="845" t="n"/>
      <c r="X493" s="845" t="n"/>
      <c r="Y493" s="845" t="n"/>
      <c r="Z493" s="845" t="n"/>
    </row>
    <row r="494" ht="13.2" customHeight="1" s="1127">
      <c r="A494" s="845" t="n"/>
      <c r="B494" s="845" t="n"/>
      <c r="C494" s="845" t="n"/>
      <c r="D494" s="845" t="n"/>
      <c r="E494" s="845" t="n"/>
      <c r="F494" s="845" t="n"/>
      <c r="G494" s="879" t="n"/>
      <c r="H494" s="845" t="n"/>
      <c r="I494" s="845" t="n"/>
      <c r="J494" s="845" t="n"/>
      <c r="K494" s="845" t="n"/>
      <c r="L494" s="845" t="n"/>
      <c r="M494" s="845" t="n"/>
      <c r="N494" s="845" t="n"/>
      <c r="O494" s="845" t="n"/>
      <c r="P494" s="845" t="n"/>
      <c r="Q494" s="845" t="n"/>
      <c r="R494" s="845" t="n"/>
      <c r="S494" s="845" t="n"/>
      <c r="T494" s="845" t="n"/>
      <c r="U494" s="845" t="n"/>
      <c r="V494" s="845" t="n"/>
      <c r="W494" s="845" t="n"/>
      <c r="X494" s="845" t="n"/>
      <c r="Y494" s="845" t="n"/>
      <c r="Z494" s="845" t="n"/>
    </row>
    <row r="495" ht="13.2" customHeight="1" s="1127">
      <c r="A495" s="845" t="n"/>
      <c r="B495" s="845" t="n"/>
      <c r="C495" s="845" t="n"/>
      <c r="D495" s="845" t="n"/>
      <c r="E495" s="845" t="n"/>
      <c r="F495" s="845" t="n"/>
      <c r="G495" s="879" t="n"/>
      <c r="H495" s="845" t="n"/>
      <c r="I495" s="845" t="n"/>
      <c r="J495" s="845" t="n"/>
      <c r="K495" s="845" t="n"/>
      <c r="L495" s="845" t="n"/>
      <c r="M495" s="845" t="n"/>
      <c r="N495" s="845" t="n"/>
      <c r="O495" s="845" t="n"/>
      <c r="P495" s="845" t="n"/>
      <c r="Q495" s="845" t="n"/>
      <c r="R495" s="845" t="n"/>
      <c r="S495" s="845" t="n"/>
      <c r="T495" s="845" t="n"/>
      <c r="U495" s="845" t="n"/>
      <c r="V495" s="845" t="n"/>
      <c r="W495" s="845" t="n"/>
      <c r="X495" s="845" t="n"/>
      <c r="Y495" s="845" t="n"/>
      <c r="Z495" s="845" t="n"/>
    </row>
    <row r="496" ht="13.2" customHeight="1" s="1127">
      <c r="A496" s="845" t="n"/>
      <c r="B496" s="845" t="n"/>
      <c r="C496" s="845" t="n"/>
      <c r="D496" s="845" t="n"/>
      <c r="E496" s="845" t="n"/>
      <c r="F496" s="845" t="n"/>
      <c r="G496" s="879" t="n"/>
      <c r="H496" s="845" t="n"/>
      <c r="I496" s="845" t="n"/>
      <c r="J496" s="845" t="n"/>
      <c r="K496" s="845" t="n"/>
      <c r="L496" s="845" t="n"/>
      <c r="M496" s="845" t="n"/>
      <c r="N496" s="845" t="n"/>
      <c r="O496" s="845" t="n"/>
      <c r="P496" s="845" t="n"/>
      <c r="Q496" s="845" t="n"/>
      <c r="R496" s="845" t="n"/>
      <c r="S496" s="845" t="n"/>
      <c r="T496" s="845" t="n"/>
      <c r="U496" s="845" t="n"/>
      <c r="V496" s="845" t="n"/>
      <c r="W496" s="845" t="n"/>
      <c r="X496" s="845" t="n"/>
      <c r="Y496" s="845" t="n"/>
      <c r="Z496" s="845" t="n"/>
    </row>
    <row r="497" ht="13.2" customHeight="1" s="1127">
      <c r="A497" s="845" t="n"/>
      <c r="B497" s="845" t="n"/>
      <c r="C497" s="845" t="n"/>
      <c r="D497" s="845" t="n"/>
      <c r="E497" s="845" t="n"/>
      <c r="F497" s="845" t="n"/>
      <c r="G497" s="879" t="n"/>
      <c r="H497" s="845" t="n"/>
      <c r="I497" s="845" t="n"/>
      <c r="J497" s="845" t="n"/>
      <c r="K497" s="845" t="n"/>
      <c r="L497" s="845" t="n"/>
      <c r="M497" s="845" t="n"/>
      <c r="N497" s="845" t="n"/>
      <c r="O497" s="845" t="n"/>
      <c r="P497" s="845" t="n"/>
      <c r="Q497" s="845" t="n"/>
      <c r="R497" s="845" t="n"/>
      <c r="S497" s="845" t="n"/>
      <c r="T497" s="845" t="n"/>
      <c r="U497" s="845" t="n"/>
      <c r="V497" s="845" t="n"/>
      <c r="W497" s="845" t="n"/>
      <c r="X497" s="845" t="n"/>
      <c r="Y497" s="845" t="n"/>
      <c r="Z497" s="845" t="n"/>
    </row>
    <row r="498" ht="13.2" customHeight="1" s="1127">
      <c r="A498" s="845" t="n"/>
      <c r="B498" s="845" t="n"/>
      <c r="C498" s="845" t="n"/>
      <c r="D498" s="845" t="n"/>
      <c r="E498" s="845" t="n"/>
      <c r="F498" s="845" t="n"/>
      <c r="G498" s="879" t="n"/>
      <c r="H498" s="845" t="n"/>
      <c r="I498" s="845" t="n"/>
      <c r="J498" s="845" t="n"/>
      <c r="K498" s="845" t="n"/>
      <c r="L498" s="845" t="n"/>
      <c r="M498" s="845" t="n"/>
      <c r="N498" s="845" t="n"/>
      <c r="O498" s="845" t="n"/>
      <c r="P498" s="845" t="n"/>
      <c r="Q498" s="845" t="n"/>
      <c r="R498" s="845" t="n"/>
      <c r="S498" s="845" t="n"/>
      <c r="T498" s="845" t="n"/>
      <c r="U498" s="845" t="n"/>
      <c r="V498" s="845" t="n"/>
      <c r="W498" s="845" t="n"/>
      <c r="X498" s="845" t="n"/>
      <c r="Y498" s="845" t="n"/>
      <c r="Z498" s="845" t="n"/>
    </row>
    <row r="499" ht="13.2" customHeight="1" s="1127">
      <c r="A499" s="845" t="n"/>
      <c r="B499" s="845" t="n"/>
      <c r="C499" s="845" t="n"/>
      <c r="D499" s="845" t="n"/>
      <c r="E499" s="845" t="n"/>
      <c r="F499" s="845" t="n"/>
      <c r="G499" s="879" t="n"/>
      <c r="H499" s="845" t="n"/>
      <c r="I499" s="845" t="n"/>
      <c r="J499" s="845" t="n"/>
      <c r="K499" s="845" t="n"/>
      <c r="L499" s="845" t="n"/>
      <c r="M499" s="845" t="n"/>
      <c r="N499" s="845" t="n"/>
      <c r="O499" s="845" t="n"/>
      <c r="P499" s="845" t="n"/>
      <c r="Q499" s="845" t="n"/>
      <c r="R499" s="845" t="n"/>
      <c r="S499" s="845" t="n"/>
      <c r="T499" s="845" t="n"/>
      <c r="U499" s="845" t="n"/>
      <c r="V499" s="845" t="n"/>
      <c r="W499" s="845" t="n"/>
      <c r="X499" s="845" t="n"/>
      <c r="Y499" s="845" t="n"/>
      <c r="Z499" s="845" t="n"/>
    </row>
    <row r="500" ht="13.2" customHeight="1" s="1127">
      <c r="A500" s="845" t="n"/>
      <c r="B500" s="845" t="n"/>
      <c r="C500" s="845" t="n"/>
      <c r="D500" s="845" t="n"/>
      <c r="E500" s="845" t="n"/>
      <c r="F500" s="845" t="n"/>
      <c r="G500" s="879" t="n"/>
      <c r="H500" s="845" t="n"/>
      <c r="I500" s="845" t="n"/>
      <c r="J500" s="845" t="n"/>
      <c r="K500" s="845" t="n"/>
      <c r="L500" s="845" t="n"/>
      <c r="M500" s="845" t="n"/>
      <c r="N500" s="845" t="n"/>
      <c r="O500" s="845" t="n"/>
      <c r="P500" s="845" t="n"/>
      <c r="Q500" s="845" t="n"/>
      <c r="R500" s="845" t="n"/>
      <c r="S500" s="845" t="n"/>
      <c r="T500" s="845" t="n"/>
      <c r="U500" s="845" t="n"/>
      <c r="V500" s="845" t="n"/>
      <c r="W500" s="845" t="n"/>
      <c r="X500" s="845" t="n"/>
      <c r="Y500" s="845" t="n"/>
      <c r="Z500" s="845" t="n"/>
    </row>
    <row r="501" ht="13.2" customHeight="1" s="1127">
      <c r="A501" s="845" t="n"/>
      <c r="B501" s="845" t="n"/>
      <c r="C501" s="845" t="n"/>
      <c r="D501" s="845" t="n"/>
      <c r="E501" s="845" t="n"/>
      <c r="F501" s="845" t="n"/>
      <c r="G501" s="879" t="n"/>
      <c r="H501" s="845" t="n"/>
      <c r="I501" s="845" t="n"/>
      <c r="J501" s="845" t="n"/>
      <c r="K501" s="845" t="n"/>
      <c r="L501" s="845" t="n"/>
      <c r="M501" s="845" t="n"/>
      <c r="N501" s="845" t="n"/>
      <c r="O501" s="845" t="n"/>
      <c r="P501" s="845" t="n"/>
      <c r="Q501" s="845" t="n"/>
      <c r="R501" s="845" t="n"/>
      <c r="S501" s="845" t="n"/>
      <c r="T501" s="845" t="n"/>
      <c r="U501" s="845" t="n"/>
      <c r="V501" s="845" t="n"/>
      <c r="W501" s="845" t="n"/>
      <c r="X501" s="845" t="n"/>
      <c r="Y501" s="845" t="n"/>
      <c r="Z501" s="845" t="n"/>
    </row>
    <row r="502" ht="13.2" customHeight="1" s="1127">
      <c r="A502" s="845" t="n"/>
      <c r="B502" s="845" t="n"/>
      <c r="C502" s="845" t="n"/>
      <c r="D502" s="845" t="n"/>
      <c r="E502" s="845" t="n"/>
      <c r="F502" s="845" t="n"/>
      <c r="G502" s="879" t="n"/>
      <c r="H502" s="845" t="n"/>
      <c r="I502" s="845" t="n"/>
      <c r="J502" s="845" t="n"/>
      <c r="K502" s="845" t="n"/>
      <c r="L502" s="845" t="n"/>
      <c r="M502" s="845" t="n"/>
      <c r="N502" s="845" t="n"/>
      <c r="O502" s="845" t="n"/>
      <c r="P502" s="845" t="n"/>
      <c r="Q502" s="845" t="n"/>
      <c r="R502" s="845" t="n"/>
      <c r="S502" s="845" t="n"/>
      <c r="T502" s="845" t="n"/>
      <c r="U502" s="845" t="n"/>
      <c r="V502" s="845" t="n"/>
      <c r="W502" s="845" t="n"/>
      <c r="X502" s="845" t="n"/>
      <c r="Y502" s="845" t="n"/>
      <c r="Z502" s="845" t="n"/>
    </row>
    <row r="503" ht="13.2" customHeight="1" s="1127">
      <c r="A503" s="845" t="n"/>
      <c r="B503" s="845" t="n"/>
      <c r="C503" s="845" t="n"/>
      <c r="D503" s="845" t="n"/>
      <c r="E503" s="845" t="n"/>
      <c r="F503" s="845" t="n"/>
      <c r="G503" s="879" t="n"/>
      <c r="H503" s="845" t="n"/>
      <c r="I503" s="845" t="n"/>
      <c r="J503" s="845" t="n"/>
      <c r="K503" s="845" t="n"/>
      <c r="L503" s="845" t="n"/>
      <c r="M503" s="845" t="n"/>
      <c r="N503" s="845" t="n"/>
      <c r="O503" s="845" t="n"/>
      <c r="P503" s="845" t="n"/>
      <c r="Q503" s="845" t="n"/>
      <c r="R503" s="845" t="n"/>
      <c r="S503" s="845" t="n"/>
      <c r="T503" s="845" t="n"/>
      <c r="U503" s="845" t="n"/>
      <c r="V503" s="845" t="n"/>
      <c r="W503" s="845" t="n"/>
      <c r="X503" s="845" t="n"/>
      <c r="Y503" s="845" t="n"/>
      <c r="Z503" s="845" t="n"/>
    </row>
    <row r="504" ht="13.2" customHeight="1" s="1127">
      <c r="A504" s="845" t="n"/>
      <c r="B504" s="845" t="n"/>
      <c r="C504" s="845" t="n"/>
      <c r="D504" s="845" t="n"/>
      <c r="E504" s="845" t="n"/>
      <c r="F504" s="845" t="n"/>
      <c r="G504" s="879" t="n"/>
      <c r="H504" s="845" t="n"/>
      <c r="I504" s="845" t="n"/>
      <c r="J504" s="845" t="n"/>
      <c r="K504" s="845" t="n"/>
      <c r="L504" s="845" t="n"/>
      <c r="M504" s="845" t="n"/>
      <c r="N504" s="845" t="n"/>
      <c r="O504" s="845" t="n"/>
      <c r="P504" s="845" t="n"/>
      <c r="Q504" s="845" t="n"/>
      <c r="R504" s="845" t="n"/>
      <c r="S504" s="845" t="n"/>
      <c r="T504" s="845" t="n"/>
      <c r="U504" s="845" t="n"/>
      <c r="V504" s="845" t="n"/>
      <c r="W504" s="845" t="n"/>
      <c r="X504" s="845" t="n"/>
      <c r="Y504" s="845" t="n"/>
      <c r="Z504" s="845" t="n"/>
    </row>
    <row r="505" ht="13.2" customHeight="1" s="1127">
      <c r="A505" s="845" t="n"/>
      <c r="B505" s="845" t="n"/>
      <c r="C505" s="845" t="n"/>
      <c r="D505" s="845" t="n"/>
      <c r="E505" s="845" t="n"/>
      <c r="F505" s="845" t="n"/>
      <c r="G505" s="879" t="n"/>
      <c r="H505" s="845" t="n"/>
      <c r="I505" s="845" t="n"/>
      <c r="J505" s="845" t="n"/>
      <c r="K505" s="845" t="n"/>
      <c r="L505" s="845" t="n"/>
      <c r="M505" s="845" t="n"/>
      <c r="N505" s="845" t="n"/>
      <c r="O505" s="845" t="n"/>
      <c r="P505" s="845" t="n"/>
      <c r="Q505" s="845" t="n"/>
      <c r="R505" s="845" t="n"/>
      <c r="S505" s="845" t="n"/>
      <c r="T505" s="845" t="n"/>
      <c r="U505" s="845" t="n"/>
      <c r="V505" s="845" t="n"/>
      <c r="W505" s="845" t="n"/>
      <c r="X505" s="845" t="n"/>
      <c r="Y505" s="845" t="n"/>
      <c r="Z505" s="845" t="n"/>
    </row>
    <row r="506" ht="13.2" customHeight="1" s="1127">
      <c r="A506" s="845" t="n"/>
      <c r="B506" s="845" t="n"/>
      <c r="C506" s="845" t="n"/>
      <c r="D506" s="845" t="n"/>
      <c r="E506" s="845" t="n"/>
      <c r="F506" s="845" t="n"/>
      <c r="G506" s="879" t="n"/>
      <c r="H506" s="845" t="n"/>
      <c r="I506" s="845" t="n"/>
      <c r="J506" s="845" t="n"/>
      <c r="K506" s="845" t="n"/>
      <c r="L506" s="845" t="n"/>
      <c r="M506" s="845" t="n"/>
      <c r="N506" s="845" t="n"/>
      <c r="O506" s="845" t="n"/>
      <c r="P506" s="845" t="n"/>
      <c r="Q506" s="845" t="n"/>
      <c r="R506" s="845" t="n"/>
      <c r="S506" s="845" t="n"/>
      <c r="T506" s="845" t="n"/>
      <c r="U506" s="845" t="n"/>
      <c r="V506" s="845" t="n"/>
      <c r="W506" s="845" t="n"/>
      <c r="X506" s="845" t="n"/>
      <c r="Y506" s="845" t="n"/>
      <c r="Z506" s="845" t="n"/>
    </row>
    <row r="507" ht="13.2" customHeight="1" s="1127">
      <c r="A507" s="845" t="n"/>
      <c r="B507" s="845" t="n"/>
      <c r="C507" s="845" t="n"/>
      <c r="D507" s="845" t="n"/>
      <c r="E507" s="845" t="n"/>
      <c r="F507" s="845" t="n"/>
      <c r="G507" s="879" t="n"/>
      <c r="H507" s="845" t="n"/>
      <c r="I507" s="845" t="n"/>
      <c r="J507" s="845" t="n"/>
      <c r="K507" s="845" t="n"/>
      <c r="L507" s="845" t="n"/>
      <c r="M507" s="845" t="n"/>
      <c r="N507" s="845" t="n"/>
      <c r="O507" s="845" t="n"/>
      <c r="P507" s="845" t="n"/>
      <c r="Q507" s="845" t="n"/>
      <c r="R507" s="845" t="n"/>
      <c r="S507" s="845" t="n"/>
      <c r="T507" s="845" t="n"/>
      <c r="U507" s="845" t="n"/>
      <c r="V507" s="845" t="n"/>
      <c r="W507" s="845" t="n"/>
      <c r="X507" s="845" t="n"/>
      <c r="Y507" s="845" t="n"/>
      <c r="Z507" s="845" t="n"/>
    </row>
    <row r="508" ht="13.2" customHeight="1" s="1127">
      <c r="A508" s="845" t="n"/>
      <c r="B508" s="845" t="n"/>
      <c r="C508" s="845" t="n"/>
      <c r="D508" s="845" t="n"/>
      <c r="E508" s="845" t="n"/>
      <c r="F508" s="845" t="n"/>
      <c r="G508" s="879" t="n"/>
      <c r="H508" s="845" t="n"/>
      <c r="I508" s="845" t="n"/>
      <c r="J508" s="845" t="n"/>
      <c r="K508" s="845" t="n"/>
      <c r="L508" s="845" t="n"/>
      <c r="M508" s="845" t="n"/>
      <c r="N508" s="845" t="n"/>
      <c r="O508" s="845" t="n"/>
      <c r="P508" s="845" t="n"/>
      <c r="Q508" s="845" t="n"/>
      <c r="R508" s="845" t="n"/>
      <c r="S508" s="845" t="n"/>
      <c r="T508" s="845" t="n"/>
      <c r="U508" s="845" t="n"/>
      <c r="V508" s="845" t="n"/>
      <c r="W508" s="845" t="n"/>
      <c r="X508" s="845" t="n"/>
      <c r="Y508" s="845" t="n"/>
      <c r="Z508" s="845" t="n"/>
    </row>
    <row r="509" ht="13.2" customHeight="1" s="1127">
      <c r="A509" s="845" t="n"/>
      <c r="B509" s="845" t="n"/>
      <c r="C509" s="845" t="n"/>
      <c r="D509" s="845" t="n"/>
      <c r="E509" s="845" t="n"/>
      <c r="F509" s="845" t="n"/>
      <c r="G509" s="879" t="n"/>
      <c r="H509" s="845" t="n"/>
      <c r="I509" s="845" t="n"/>
      <c r="J509" s="845" t="n"/>
      <c r="K509" s="845" t="n"/>
      <c r="L509" s="845" t="n"/>
      <c r="M509" s="845" t="n"/>
      <c r="N509" s="845" t="n"/>
      <c r="O509" s="845" t="n"/>
      <c r="P509" s="845" t="n"/>
      <c r="Q509" s="845" t="n"/>
      <c r="R509" s="845" t="n"/>
      <c r="S509" s="845" t="n"/>
      <c r="T509" s="845" t="n"/>
      <c r="U509" s="845" t="n"/>
      <c r="V509" s="845" t="n"/>
      <c r="W509" s="845" t="n"/>
      <c r="X509" s="845" t="n"/>
      <c r="Y509" s="845" t="n"/>
      <c r="Z509" s="845" t="n"/>
    </row>
    <row r="510" ht="13.2" customHeight="1" s="1127">
      <c r="A510" s="845" t="n"/>
      <c r="B510" s="845" t="n"/>
      <c r="C510" s="845" t="n"/>
      <c r="D510" s="845" t="n"/>
      <c r="E510" s="845" t="n"/>
      <c r="F510" s="845" t="n"/>
      <c r="G510" s="879" t="n"/>
      <c r="H510" s="845" t="n"/>
      <c r="I510" s="845" t="n"/>
      <c r="J510" s="845" t="n"/>
      <c r="K510" s="845" t="n"/>
      <c r="L510" s="845" t="n"/>
      <c r="M510" s="845" t="n"/>
      <c r="N510" s="845" t="n"/>
      <c r="O510" s="845" t="n"/>
      <c r="P510" s="845" t="n"/>
      <c r="Q510" s="845" t="n"/>
      <c r="R510" s="845" t="n"/>
      <c r="S510" s="845" t="n"/>
      <c r="T510" s="845" t="n"/>
      <c r="U510" s="845" t="n"/>
      <c r="V510" s="845" t="n"/>
      <c r="W510" s="845" t="n"/>
      <c r="X510" s="845" t="n"/>
      <c r="Y510" s="845" t="n"/>
      <c r="Z510" s="845" t="n"/>
    </row>
    <row r="511" ht="13.2" customHeight="1" s="1127">
      <c r="A511" s="845" t="n"/>
      <c r="B511" s="845" t="n"/>
      <c r="C511" s="845" t="n"/>
      <c r="D511" s="845" t="n"/>
      <c r="E511" s="845" t="n"/>
      <c r="F511" s="845" t="n"/>
      <c r="G511" s="879" t="n"/>
      <c r="H511" s="845" t="n"/>
      <c r="I511" s="845" t="n"/>
      <c r="J511" s="845" t="n"/>
      <c r="K511" s="845" t="n"/>
      <c r="L511" s="845" t="n"/>
      <c r="M511" s="845" t="n"/>
      <c r="N511" s="845" t="n"/>
      <c r="O511" s="845" t="n"/>
      <c r="P511" s="845" t="n"/>
      <c r="Q511" s="845" t="n"/>
      <c r="R511" s="845" t="n"/>
      <c r="S511" s="845" t="n"/>
      <c r="T511" s="845" t="n"/>
      <c r="U511" s="845" t="n"/>
      <c r="V511" s="845" t="n"/>
      <c r="W511" s="845" t="n"/>
      <c r="X511" s="845" t="n"/>
      <c r="Y511" s="845" t="n"/>
      <c r="Z511" s="845" t="n"/>
    </row>
    <row r="512" ht="13.2" customHeight="1" s="1127">
      <c r="A512" s="845" t="n"/>
      <c r="B512" s="845" t="n"/>
      <c r="C512" s="845" t="n"/>
      <c r="D512" s="845" t="n"/>
      <c r="E512" s="845" t="n"/>
      <c r="F512" s="845" t="n"/>
      <c r="G512" s="879" t="n"/>
      <c r="H512" s="845" t="n"/>
      <c r="I512" s="845" t="n"/>
      <c r="J512" s="845" t="n"/>
      <c r="K512" s="845" t="n"/>
      <c r="L512" s="845" t="n"/>
      <c r="M512" s="845" t="n"/>
      <c r="N512" s="845" t="n"/>
      <c r="O512" s="845" t="n"/>
      <c r="P512" s="845" t="n"/>
      <c r="Q512" s="845" t="n"/>
      <c r="R512" s="845" t="n"/>
      <c r="S512" s="845" t="n"/>
      <c r="T512" s="845" t="n"/>
      <c r="U512" s="845" t="n"/>
      <c r="V512" s="845" t="n"/>
      <c r="W512" s="845" t="n"/>
      <c r="X512" s="845" t="n"/>
      <c r="Y512" s="845" t="n"/>
      <c r="Z512" s="845" t="n"/>
    </row>
    <row r="513" ht="13.2" customHeight="1" s="1127">
      <c r="A513" s="845" t="n"/>
      <c r="B513" s="845" t="n"/>
      <c r="C513" s="845" t="n"/>
      <c r="D513" s="845" t="n"/>
      <c r="E513" s="845" t="n"/>
      <c r="F513" s="845" t="n"/>
      <c r="G513" s="879" t="n"/>
      <c r="H513" s="845" t="n"/>
      <c r="I513" s="845" t="n"/>
      <c r="J513" s="845" t="n"/>
      <c r="K513" s="845" t="n"/>
      <c r="L513" s="845" t="n"/>
      <c r="M513" s="845" t="n"/>
      <c r="N513" s="845" t="n"/>
      <c r="O513" s="845" t="n"/>
      <c r="P513" s="845" t="n"/>
      <c r="Q513" s="845" t="n"/>
      <c r="R513" s="845" t="n"/>
      <c r="S513" s="845" t="n"/>
      <c r="T513" s="845" t="n"/>
      <c r="U513" s="845" t="n"/>
      <c r="V513" s="845" t="n"/>
      <c r="W513" s="845" t="n"/>
      <c r="X513" s="845" t="n"/>
      <c r="Y513" s="845" t="n"/>
      <c r="Z513" s="845" t="n"/>
    </row>
    <row r="514" ht="13.2" customHeight="1" s="1127">
      <c r="A514" s="845" t="n"/>
      <c r="B514" s="845" t="n"/>
      <c r="C514" s="845" t="n"/>
      <c r="D514" s="845" t="n"/>
      <c r="E514" s="845" t="n"/>
      <c r="F514" s="845" t="n"/>
      <c r="G514" s="879" t="n"/>
      <c r="H514" s="845" t="n"/>
      <c r="I514" s="845" t="n"/>
      <c r="J514" s="845" t="n"/>
      <c r="K514" s="845" t="n"/>
      <c r="L514" s="845" t="n"/>
      <c r="M514" s="845" t="n"/>
      <c r="N514" s="845" t="n"/>
      <c r="O514" s="845" t="n"/>
      <c r="P514" s="845" t="n"/>
      <c r="Q514" s="845" t="n"/>
      <c r="R514" s="845" t="n"/>
      <c r="S514" s="845" t="n"/>
      <c r="T514" s="845" t="n"/>
      <c r="U514" s="845" t="n"/>
      <c r="V514" s="845" t="n"/>
      <c r="W514" s="845" t="n"/>
      <c r="X514" s="845" t="n"/>
      <c r="Y514" s="845" t="n"/>
      <c r="Z514" s="845" t="n"/>
    </row>
    <row r="515" ht="13.2" customHeight="1" s="1127">
      <c r="A515" s="845" t="n"/>
      <c r="B515" s="845" t="n"/>
      <c r="C515" s="845" t="n"/>
      <c r="D515" s="845" t="n"/>
      <c r="E515" s="845" t="n"/>
      <c r="F515" s="845" t="n"/>
      <c r="G515" s="879" t="n"/>
      <c r="H515" s="845" t="n"/>
      <c r="I515" s="845" t="n"/>
      <c r="J515" s="845" t="n"/>
      <c r="K515" s="845" t="n"/>
      <c r="L515" s="845" t="n"/>
      <c r="M515" s="845" t="n"/>
      <c r="N515" s="845" t="n"/>
      <c r="O515" s="845" t="n"/>
      <c r="P515" s="845" t="n"/>
      <c r="Q515" s="845" t="n"/>
      <c r="R515" s="845" t="n"/>
      <c r="S515" s="845" t="n"/>
      <c r="T515" s="845" t="n"/>
      <c r="U515" s="845" t="n"/>
      <c r="V515" s="845" t="n"/>
      <c r="W515" s="845" t="n"/>
      <c r="X515" s="845" t="n"/>
      <c r="Y515" s="845" t="n"/>
      <c r="Z515" s="845" t="n"/>
    </row>
    <row r="516" ht="13.2" customHeight="1" s="1127">
      <c r="A516" s="845" t="n"/>
      <c r="B516" s="845" t="n"/>
      <c r="C516" s="845" t="n"/>
      <c r="D516" s="845" t="n"/>
      <c r="E516" s="845" t="n"/>
      <c r="F516" s="845" t="n"/>
      <c r="G516" s="879" t="n"/>
      <c r="H516" s="845" t="n"/>
      <c r="I516" s="845" t="n"/>
      <c r="J516" s="845" t="n"/>
      <c r="K516" s="845" t="n"/>
      <c r="L516" s="845" t="n"/>
      <c r="M516" s="845" t="n"/>
      <c r="N516" s="845" t="n"/>
      <c r="O516" s="845" t="n"/>
      <c r="P516" s="845" t="n"/>
      <c r="Q516" s="845" t="n"/>
      <c r="R516" s="845" t="n"/>
      <c r="S516" s="845" t="n"/>
      <c r="T516" s="845" t="n"/>
      <c r="U516" s="845" t="n"/>
      <c r="V516" s="845" t="n"/>
      <c r="W516" s="845" t="n"/>
      <c r="X516" s="845" t="n"/>
      <c r="Y516" s="845" t="n"/>
      <c r="Z516" s="845" t="n"/>
    </row>
    <row r="517" ht="13.2" customHeight="1" s="1127">
      <c r="A517" s="845" t="n"/>
      <c r="B517" s="845" t="n"/>
      <c r="C517" s="845" t="n"/>
      <c r="D517" s="845" t="n"/>
      <c r="E517" s="845" t="n"/>
      <c r="F517" s="845" t="n"/>
      <c r="G517" s="879" t="n"/>
      <c r="H517" s="845" t="n"/>
      <c r="I517" s="845" t="n"/>
      <c r="J517" s="845" t="n"/>
      <c r="K517" s="845" t="n"/>
      <c r="L517" s="845" t="n"/>
      <c r="M517" s="845" t="n"/>
      <c r="N517" s="845" t="n"/>
      <c r="O517" s="845" t="n"/>
      <c r="P517" s="845" t="n"/>
      <c r="Q517" s="845" t="n"/>
      <c r="R517" s="845" t="n"/>
      <c r="S517" s="845" t="n"/>
      <c r="T517" s="845" t="n"/>
      <c r="U517" s="845" t="n"/>
      <c r="V517" s="845" t="n"/>
      <c r="W517" s="845" t="n"/>
      <c r="X517" s="845" t="n"/>
      <c r="Y517" s="845" t="n"/>
      <c r="Z517" s="845" t="n"/>
    </row>
    <row r="518" ht="13.2" customHeight="1" s="1127">
      <c r="A518" s="845" t="n"/>
      <c r="B518" s="845" t="n"/>
      <c r="C518" s="845" t="n"/>
      <c r="D518" s="845" t="n"/>
      <c r="E518" s="845" t="n"/>
      <c r="F518" s="845" t="n"/>
      <c r="G518" s="879" t="n"/>
      <c r="H518" s="845" t="n"/>
      <c r="I518" s="845" t="n"/>
      <c r="J518" s="845" t="n"/>
      <c r="K518" s="845" t="n"/>
      <c r="L518" s="845" t="n"/>
      <c r="M518" s="845" t="n"/>
      <c r="N518" s="845" t="n"/>
      <c r="O518" s="845" t="n"/>
      <c r="P518" s="845" t="n"/>
      <c r="Q518" s="845" t="n"/>
      <c r="R518" s="845" t="n"/>
      <c r="S518" s="845" t="n"/>
      <c r="T518" s="845" t="n"/>
      <c r="U518" s="845" t="n"/>
      <c r="V518" s="845" t="n"/>
      <c r="W518" s="845" t="n"/>
      <c r="X518" s="845" t="n"/>
      <c r="Y518" s="845" t="n"/>
      <c r="Z518" s="845" t="n"/>
    </row>
    <row r="519" ht="13.2" customHeight="1" s="1127">
      <c r="A519" s="845" t="n"/>
      <c r="B519" s="845" t="n"/>
      <c r="C519" s="845" t="n"/>
      <c r="D519" s="845" t="n"/>
      <c r="E519" s="845" t="n"/>
      <c r="F519" s="845" t="n"/>
      <c r="G519" s="879" t="n"/>
      <c r="H519" s="845" t="n"/>
      <c r="I519" s="845" t="n"/>
      <c r="J519" s="845" t="n"/>
      <c r="K519" s="845" t="n"/>
      <c r="L519" s="845" t="n"/>
      <c r="M519" s="845" t="n"/>
      <c r="N519" s="845" t="n"/>
      <c r="O519" s="845" t="n"/>
      <c r="P519" s="845" t="n"/>
      <c r="Q519" s="845" t="n"/>
      <c r="R519" s="845" t="n"/>
      <c r="S519" s="845" t="n"/>
      <c r="T519" s="845" t="n"/>
      <c r="U519" s="845" t="n"/>
      <c r="V519" s="845" t="n"/>
      <c r="W519" s="845" t="n"/>
      <c r="X519" s="845" t="n"/>
      <c r="Y519" s="845" t="n"/>
      <c r="Z519" s="845" t="n"/>
    </row>
    <row r="520" ht="13.2" customHeight="1" s="1127">
      <c r="A520" s="845" t="n"/>
      <c r="B520" s="845" t="n"/>
      <c r="C520" s="845" t="n"/>
      <c r="D520" s="845" t="n"/>
      <c r="E520" s="845" t="n"/>
      <c r="F520" s="845" t="n"/>
      <c r="G520" s="879" t="n"/>
      <c r="H520" s="845" t="n"/>
      <c r="I520" s="845" t="n"/>
      <c r="J520" s="845" t="n"/>
      <c r="K520" s="845" t="n"/>
      <c r="L520" s="845" t="n"/>
      <c r="M520" s="845" t="n"/>
      <c r="N520" s="845" t="n"/>
      <c r="O520" s="845" t="n"/>
      <c r="P520" s="845" t="n"/>
      <c r="Q520" s="845" t="n"/>
      <c r="R520" s="845" t="n"/>
      <c r="S520" s="845" t="n"/>
      <c r="T520" s="845" t="n"/>
      <c r="U520" s="845" t="n"/>
      <c r="V520" s="845" t="n"/>
      <c r="W520" s="845" t="n"/>
      <c r="X520" s="845" t="n"/>
      <c r="Y520" s="845" t="n"/>
      <c r="Z520" s="845" t="n"/>
    </row>
    <row r="521" ht="13.2" customHeight="1" s="1127">
      <c r="A521" s="845" t="n"/>
      <c r="B521" s="845" t="n"/>
      <c r="C521" s="845" t="n"/>
      <c r="D521" s="845" t="n"/>
      <c r="E521" s="845" t="n"/>
      <c r="F521" s="845" t="n"/>
      <c r="G521" s="879" t="n"/>
      <c r="H521" s="845" t="n"/>
      <c r="I521" s="845" t="n"/>
      <c r="J521" s="845" t="n"/>
      <c r="K521" s="845" t="n"/>
      <c r="L521" s="845" t="n"/>
      <c r="M521" s="845" t="n"/>
      <c r="N521" s="845" t="n"/>
      <c r="O521" s="845" t="n"/>
      <c r="P521" s="845" t="n"/>
      <c r="Q521" s="845" t="n"/>
      <c r="R521" s="845" t="n"/>
      <c r="S521" s="845" t="n"/>
      <c r="T521" s="845" t="n"/>
      <c r="U521" s="845" t="n"/>
      <c r="V521" s="845" t="n"/>
      <c r="W521" s="845" t="n"/>
      <c r="X521" s="845" t="n"/>
      <c r="Y521" s="845" t="n"/>
      <c r="Z521" s="845" t="n"/>
    </row>
    <row r="522" ht="13.2" customHeight="1" s="1127">
      <c r="A522" s="845" t="n"/>
      <c r="B522" s="845" t="n"/>
      <c r="C522" s="845" t="n"/>
      <c r="D522" s="845" t="n"/>
      <c r="E522" s="845" t="n"/>
      <c r="F522" s="845" t="n"/>
      <c r="G522" s="879" t="n"/>
      <c r="H522" s="845" t="n"/>
      <c r="I522" s="845" t="n"/>
      <c r="J522" s="845" t="n"/>
      <c r="K522" s="845" t="n"/>
      <c r="L522" s="845" t="n"/>
      <c r="M522" s="845" t="n"/>
      <c r="N522" s="845" t="n"/>
      <c r="O522" s="845" t="n"/>
      <c r="P522" s="845" t="n"/>
      <c r="Q522" s="845" t="n"/>
      <c r="R522" s="845" t="n"/>
      <c r="S522" s="845" t="n"/>
      <c r="T522" s="845" t="n"/>
      <c r="U522" s="845" t="n"/>
      <c r="V522" s="845" t="n"/>
      <c r="W522" s="845" t="n"/>
      <c r="X522" s="845" t="n"/>
      <c r="Y522" s="845" t="n"/>
      <c r="Z522" s="845" t="n"/>
    </row>
    <row r="523" ht="13.2" customHeight="1" s="1127">
      <c r="A523" s="845" t="n"/>
      <c r="B523" s="845" t="n"/>
      <c r="C523" s="845" t="n"/>
      <c r="D523" s="845" t="n"/>
      <c r="E523" s="845" t="n"/>
      <c r="F523" s="845" t="n"/>
      <c r="G523" s="879" t="n"/>
      <c r="H523" s="845" t="n"/>
      <c r="I523" s="845" t="n"/>
      <c r="J523" s="845" t="n"/>
      <c r="K523" s="845" t="n"/>
      <c r="L523" s="845" t="n"/>
      <c r="M523" s="845" t="n"/>
      <c r="N523" s="845" t="n"/>
      <c r="O523" s="845" t="n"/>
      <c r="P523" s="845" t="n"/>
      <c r="Q523" s="845" t="n"/>
      <c r="R523" s="845" t="n"/>
      <c r="S523" s="845" t="n"/>
      <c r="T523" s="845" t="n"/>
      <c r="U523" s="845" t="n"/>
      <c r="V523" s="845" t="n"/>
      <c r="W523" s="845" t="n"/>
      <c r="X523" s="845" t="n"/>
      <c r="Y523" s="845" t="n"/>
      <c r="Z523" s="845" t="n"/>
    </row>
    <row r="524" ht="13.2" customHeight="1" s="1127">
      <c r="A524" s="845" t="n"/>
      <c r="B524" s="845" t="n"/>
      <c r="C524" s="845" t="n"/>
      <c r="D524" s="845" t="n"/>
      <c r="E524" s="845" t="n"/>
      <c r="F524" s="845" t="n"/>
      <c r="G524" s="879" t="n"/>
      <c r="H524" s="845" t="n"/>
      <c r="I524" s="845" t="n"/>
      <c r="J524" s="845" t="n"/>
      <c r="K524" s="845" t="n"/>
      <c r="L524" s="845" t="n"/>
      <c r="M524" s="845" t="n"/>
      <c r="N524" s="845" t="n"/>
      <c r="O524" s="845" t="n"/>
      <c r="P524" s="845" t="n"/>
      <c r="Q524" s="845" t="n"/>
      <c r="R524" s="845" t="n"/>
      <c r="S524" s="845" t="n"/>
      <c r="T524" s="845" t="n"/>
      <c r="U524" s="845" t="n"/>
      <c r="V524" s="845" t="n"/>
      <c r="W524" s="845" t="n"/>
      <c r="X524" s="845" t="n"/>
      <c r="Y524" s="845" t="n"/>
      <c r="Z524" s="845" t="n"/>
    </row>
    <row r="525" ht="13.2" customHeight="1" s="1127">
      <c r="A525" s="845" t="n"/>
      <c r="B525" s="845" t="n"/>
      <c r="C525" s="845" t="n"/>
      <c r="D525" s="845" t="n"/>
      <c r="E525" s="845" t="n"/>
      <c r="F525" s="845" t="n"/>
      <c r="G525" s="879" t="n"/>
      <c r="H525" s="845" t="n"/>
      <c r="I525" s="845" t="n"/>
      <c r="J525" s="845" t="n"/>
      <c r="K525" s="845" t="n"/>
      <c r="L525" s="845" t="n"/>
      <c r="M525" s="845" t="n"/>
      <c r="N525" s="845" t="n"/>
      <c r="O525" s="845" t="n"/>
      <c r="P525" s="845" t="n"/>
      <c r="Q525" s="845" t="n"/>
      <c r="R525" s="845" t="n"/>
      <c r="S525" s="845" t="n"/>
      <c r="T525" s="845" t="n"/>
      <c r="U525" s="845" t="n"/>
      <c r="V525" s="845" t="n"/>
      <c r="W525" s="845" t="n"/>
      <c r="X525" s="845" t="n"/>
      <c r="Y525" s="845" t="n"/>
      <c r="Z525" s="845" t="n"/>
    </row>
    <row r="526" ht="13.2" customHeight="1" s="1127">
      <c r="A526" s="845" t="n"/>
      <c r="B526" s="845" t="n"/>
      <c r="C526" s="845" t="n"/>
      <c r="D526" s="845" t="n"/>
      <c r="E526" s="845" t="n"/>
      <c r="F526" s="845" t="n"/>
      <c r="G526" s="879" t="n"/>
      <c r="H526" s="845" t="n"/>
      <c r="I526" s="845" t="n"/>
      <c r="J526" s="845" t="n"/>
      <c r="K526" s="845" t="n"/>
      <c r="L526" s="845" t="n"/>
      <c r="M526" s="845" t="n"/>
      <c r="N526" s="845" t="n"/>
      <c r="O526" s="845" t="n"/>
      <c r="P526" s="845" t="n"/>
      <c r="Q526" s="845" t="n"/>
      <c r="R526" s="845" t="n"/>
      <c r="S526" s="845" t="n"/>
      <c r="T526" s="845" t="n"/>
      <c r="U526" s="845" t="n"/>
      <c r="V526" s="845" t="n"/>
      <c r="W526" s="845" t="n"/>
      <c r="X526" s="845" t="n"/>
      <c r="Y526" s="845" t="n"/>
      <c r="Z526" s="845" t="n"/>
    </row>
    <row r="527" ht="13.2" customHeight="1" s="1127">
      <c r="A527" s="845" t="n"/>
      <c r="B527" s="845" t="n"/>
      <c r="C527" s="845" t="n"/>
      <c r="D527" s="845" t="n"/>
      <c r="E527" s="845" t="n"/>
      <c r="F527" s="845" t="n"/>
      <c r="G527" s="879" t="n"/>
      <c r="H527" s="845" t="n"/>
      <c r="I527" s="845" t="n"/>
      <c r="J527" s="845" t="n"/>
      <c r="K527" s="845" t="n"/>
      <c r="L527" s="845" t="n"/>
      <c r="M527" s="845" t="n"/>
      <c r="N527" s="845" t="n"/>
      <c r="O527" s="845" t="n"/>
      <c r="P527" s="845" t="n"/>
      <c r="Q527" s="845" t="n"/>
      <c r="R527" s="845" t="n"/>
      <c r="S527" s="845" t="n"/>
      <c r="T527" s="845" t="n"/>
      <c r="U527" s="845" t="n"/>
      <c r="V527" s="845" t="n"/>
      <c r="W527" s="845" t="n"/>
      <c r="X527" s="845" t="n"/>
      <c r="Y527" s="845" t="n"/>
      <c r="Z527" s="845" t="n"/>
    </row>
    <row r="528" ht="13.2" customHeight="1" s="1127">
      <c r="A528" s="845" t="n"/>
      <c r="B528" s="845" t="n"/>
      <c r="C528" s="845" t="n"/>
      <c r="D528" s="845" t="n"/>
      <c r="E528" s="845" t="n"/>
      <c r="F528" s="845" t="n"/>
      <c r="G528" s="879" t="n"/>
      <c r="H528" s="845" t="n"/>
      <c r="I528" s="845" t="n"/>
      <c r="J528" s="845" t="n"/>
      <c r="K528" s="845" t="n"/>
      <c r="L528" s="845" t="n"/>
      <c r="M528" s="845" t="n"/>
      <c r="N528" s="845" t="n"/>
      <c r="O528" s="845" t="n"/>
      <c r="P528" s="845" t="n"/>
      <c r="Q528" s="845" t="n"/>
      <c r="R528" s="845" t="n"/>
      <c r="S528" s="845" t="n"/>
      <c r="T528" s="845" t="n"/>
      <c r="U528" s="845" t="n"/>
      <c r="V528" s="845" t="n"/>
      <c r="W528" s="845" t="n"/>
      <c r="X528" s="845" t="n"/>
      <c r="Y528" s="845" t="n"/>
      <c r="Z528" s="845" t="n"/>
    </row>
    <row r="529" ht="13.2" customHeight="1" s="1127">
      <c r="A529" s="845" t="n"/>
      <c r="B529" s="845" t="n"/>
      <c r="C529" s="845" t="n"/>
      <c r="D529" s="845" t="n"/>
      <c r="E529" s="845" t="n"/>
      <c r="F529" s="845" t="n"/>
      <c r="G529" s="879" t="n"/>
      <c r="H529" s="845" t="n"/>
      <c r="I529" s="845" t="n"/>
      <c r="J529" s="845" t="n"/>
      <c r="K529" s="845" t="n"/>
      <c r="L529" s="845" t="n"/>
      <c r="M529" s="845" t="n"/>
      <c r="N529" s="845" t="n"/>
      <c r="O529" s="845" t="n"/>
      <c r="P529" s="845" t="n"/>
      <c r="Q529" s="845" t="n"/>
      <c r="R529" s="845" t="n"/>
      <c r="S529" s="845" t="n"/>
      <c r="T529" s="845" t="n"/>
      <c r="U529" s="845" t="n"/>
      <c r="V529" s="845" t="n"/>
      <c r="W529" s="845" t="n"/>
      <c r="X529" s="845" t="n"/>
      <c r="Y529" s="845" t="n"/>
      <c r="Z529" s="845" t="n"/>
    </row>
    <row r="530" ht="13.2" customHeight="1" s="1127">
      <c r="A530" s="845" t="n"/>
      <c r="B530" s="845" t="n"/>
      <c r="C530" s="845" t="n"/>
      <c r="D530" s="845" t="n"/>
      <c r="E530" s="845" t="n"/>
      <c r="F530" s="845" t="n"/>
      <c r="G530" s="879" t="n"/>
      <c r="H530" s="845" t="n"/>
      <c r="I530" s="845" t="n"/>
      <c r="J530" s="845" t="n"/>
      <c r="K530" s="845" t="n"/>
      <c r="L530" s="845" t="n"/>
      <c r="M530" s="845" t="n"/>
      <c r="N530" s="845" t="n"/>
      <c r="O530" s="845" t="n"/>
      <c r="P530" s="845" t="n"/>
      <c r="Q530" s="845" t="n"/>
      <c r="R530" s="845" t="n"/>
      <c r="S530" s="845" t="n"/>
      <c r="T530" s="845" t="n"/>
      <c r="U530" s="845" t="n"/>
      <c r="V530" s="845" t="n"/>
      <c r="W530" s="845" t="n"/>
      <c r="X530" s="845" t="n"/>
      <c r="Y530" s="845" t="n"/>
      <c r="Z530" s="845" t="n"/>
    </row>
    <row r="531" ht="13.2" customHeight="1" s="1127">
      <c r="A531" s="845" t="n"/>
      <c r="B531" s="845" t="n"/>
      <c r="C531" s="845" t="n"/>
      <c r="D531" s="845" t="n"/>
      <c r="E531" s="845" t="n"/>
      <c r="F531" s="845" t="n"/>
      <c r="G531" s="879" t="n"/>
      <c r="H531" s="845" t="n"/>
      <c r="I531" s="845" t="n"/>
      <c r="J531" s="845" t="n"/>
      <c r="K531" s="845" t="n"/>
      <c r="L531" s="845" t="n"/>
      <c r="M531" s="845" t="n"/>
      <c r="N531" s="845" t="n"/>
      <c r="O531" s="845" t="n"/>
      <c r="P531" s="845" t="n"/>
      <c r="Q531" s="845" t="n"/>
      <c r="R531" s="845" t="n"/>
      <c r="S531" s="845" t="n"/>
      <c r="T531" s="845" t="n"/>
      <c r="U531" s="845" t="n"/>
      <c r="V531" s="845" t="n"/>
      <c r="W531" s="845" t="n"/>
      <c r="X531" s="845" t="n"/>
      <c r="Y531" s="845" t="n"/>
      <c r="Z531" s="845" t="n"/>
    </row>
    <row r="532" ht="13.2" customHeight="1" s="1127">
      <c r="A532" s="845" t="n"/>
      <c r="B532" s="845" t="n"/>
      <c r="C532" s="845" t="n"/>
      <c r="D532" s="845" t="n"/>
      <c r="E532" s="845" t="n"/>
      <c r="F532" s="845" t="n"/>
      <c r="G532" s="879" t="n"/>
      <c r="H532" s="845" t="n"/>
      <c r="I532" s="845" t="n"/>
      <c r="J532" s="845" t="n"/>
      <c r="K532" s="845" t="n"/>
      <c r="L532" s="845" t="n"/>
      <c r="M532" s="845" t="n"/>
      <c r="N532" s="845" t="n"/>
      <c r="O532" s="845" t="n"/>
      <c r="P532" s="845" t="n"/>
      <c r="Q532" s="845" t="n"/>
      <c r="R532" s="845" t="n"/>
      <c r="S532" s="845" t="n"/>
      <c r="T532" s="845" t="n"/>
      <c r="U532" s="845" t="n"/>
      <c r="V532" s="845" t="n"/>
      <c r="W532" s="845" t="n"/>
      <c r="X532" s="845" t="n"/>
      <c r="Y532" s="845" t="n"/>
      <c r="Z532" s="845" t="n"/>
    </row>
    <row r="533" ht="13.2" customHeight="1" s="1127">
      <c r="A533" s="845" t="n"/>
      <c r="B533" s="845" t="n"/>
      <c r="C533" s="845" t="n"/>
      <c r="D533" s="845" t="n"/>
      <c r="E533" s="845" t="n"/>
      <c r="F533" s="845" t="n"/>
      <c r="G533" s="879" t="n"/>
      <c r="H533" s="845" t="n"/>
      <c r="I533" s="845" t="n"/>
      <c r="J533" s="845" t="n"/>
      <c r="K533" s="845" t="n"/>
      <c r="L533" s="845" t="n"/>
      <c r="M533" s="845" t="n"/>
      <c r="N533" s="845" t="n"/>
      <c r="O533" s="845" t="n"/>
      <c r="P533" s="845" t="n"/>
      <c r="Q533" s="845" t="n"/>
      <c r="R533" s="845" t="n"/>
      <c r="S533" s="845" t="n"/>
      <c r="T533" s="845" t="n"/>
      <c r="U533" s="845" t="n"/>
      <c r="V533" s="845" t="n"/>
      <c r="W533" s="845" t="n"/>
      <c r="X533" s="845" t="n"/>
      <c r="Y533" s="845" t="n"/>
      <c r="Z533" s="845" t="n"/>
    </row>
    <row r="534" ht="13.2" customHeight="1" s="1127">
      <c r="A534" s="845" t="n"/>
      <c r="B534" s="845" t="n"/>
      <c r="C534" s="845" t="n"/>
      <c r="D534" s="845" t="n"/>
      <c r="E534" s="845" t="n"/>
      <c r="F534" s="845" t="n"/>
      <c r="G534" s="879" t="n"/>
      <c r="H534" s="845" t="n"/>
      <c r="I534" s="845" t="n"/>
      <c r="J534" s="845" t="n"/>
      <c r="K534" s="845" t="n"/>
      <c r="L534" s="845" t="n"/>
      <c r="M534" s="845" t="n"/>
      <c r="N534" s="845" t="n"/>
      <c r="O534" s="845" t="n"/>
      <c r="P534" s="845" t="n"/>
      <c r="Q534" s="845" t="n"/>
      <c r="R534" s="845" t="n"/>
      <c r="S534" s="845" t="n"/>
      <c r="T534" s="845" t="n"/>
      <c r="U534" s="845" t="n"/>
      <c r="V534" s="845" t="n"/>
      <c r="W534" s="845" t="n"/>
      <c r="X534" s="845" t="n"/>
      <c r="Y534" s="845" t="n"/>
      <c r="Z534" s="845" t="n"/>
    </row>
    <row r="535" ht="13.2" customHeight="1" s="1127">
      <c r="A535" s="845" t="n"/>
      <c r="B535" s="845" t="n"/>
      <c r="C535" s="845" t="n"/>
      <c r="D535" s="845" t="n"/>
      <c r="E535" s="845" t="n"/>
      <c r="F535" s="845" t="n"/>
      <c r="G535" s="879" t="n"/>
      <c r="H535" s="845" t="n"/>
      <c r="I535" s="845" t="n"/>
      <c r="J535" s="845" t="n"/>
      <c r="K535" s="845" t="n"/>
      <c r="L535" s="845" t="n"/>
      <c r="M535" s="845" t="n"/>
      <c r="N535" s="845" t="n"/>
      <c r="O535" s="845" t="n"/>
      <c r="P535" s="845" t="n"/>
      <c r="Q535" s="845" t="n"/>
      <c r="R535" s="845" t="n"/>
      <c r="S535" s="845" t="n"/>
      <c r="T535" s="845" t="n"/>
      <c r="U535" s="845" t="n"/>
      <c r="V535" s="845" t="n"/>
      <c r="W535" s="845" t="n"/>
      <c r="X535" s="845" t="n"/>
      <c r="Y535" s="845" t="n"/>
      <c r="Z535" s="845" t="n"/>
    </row>
    <row r="536" ht="13.2" customHeight="1" s="1127">
      <c r="A536" s="845" t="n"/>
      <c r="B536" s="845" t="n"/>
      <c r="C536" s="845" t="n"/>
      <c r="D536" s="845" t="n"/>
      <c r="E536" s="845" t="n"/>
      <c r="F536" s="845" t="n"/>
      <c r="G536" s="879" t="n"/>
      <c r="H536" s="845" t="n"/>
      <c r="I536" s="845" t="n"/>
      <c r="J536" s="845" t="n"/>
      <c r="K536" s="845" t="n"/>
      <c r="L536" s="845" t="n"/>
      <c r="M536" s="845" t="n"/>
      <c r="N536" s="845" t="n"/>
      <c r="O536" s="845" t="n"/>
      <c r="P536" s="845" t="n"/>
      <c r="Q536" s="845" t="n"/>
      <c r="R536" s="845" t="n"/>
      <c r="S536" s="845" t="n"/>
      <c r="T536" s="845" t="n"/>
      <c r="U536" s="845" t="n"/>
      <c r="V536" s="845" t="n"/>
      <c r="W536" s="845" t="n"/>
      <c r="X536" s="845" t="n"/>
      <c r="Y536" s="845" t="n"/>
      <c r="Z536" s="845" t="n"/>
    </row>
    <row r="537" ht="13.2" customHeight="1" s="1127">
      <c r="A537" s="845" t="n"/>
      <c r="B537" s="845" t="n"/>
      <c r="C537" s="845" t="n"/>
      <c r="D537" s="845" t="n"/>
      <c r="E537" s="845" t="n"/>
      <c r="F537" s="845" t="n"/>
      <c r="G537" s="879" t="n"/>
      <c r="H537" s="845" t="n"/>
      <c r="I537" s="845" t="n"/>
      <c r="J537" s="845" t="n"/>
      <c r="K537" s="845" t="n"/>
      <c r="L537" s="845" t="n"/>
      <c r="M537" s="845" t="n"/>
      <c r="N537" s="845" t="n"/>
      <c r="O537" s="845" t="n"/>
      <c r="P537" s="845" t="n"/>
      <c r="Q537" s="845" t="n"/>
      <c r="R537" s="845" t="n"/>
      <c r="S537" s="845" t="n"/>
      <c r="T537" s="845" t="n"/>
      <c r="U537" s="845" t="n"/>
      <c r="V537" s="845" t="n"/>
      <c r="W537" s="845" t="n"/>
      <c r="X537" s="845" t="n"/>
      <c r="Y537" s="845" t="n"/>
      <c r="Z537" s="845" t="n"/>
    </row>
    <row r="538" ht="13.2" customHeight="1" s="1127">
      <c r="A538" s="845" t="n"/>
      <c r="B538" s="845" t="n"/>
      <c r="C538" s="845" t="n"/>
      <c r="D538" s="845" t="n"/>
      <c r="E538" s="845" t="n"/>
      <c r="F538" s="845" t="n"/>
      <c r="G538" s="879" t="n"/>
      <c r="H538" s="845" t="n"/>
      <c r="I538" s="845" t="n"/>
      <c r="J538" s="845" t="n"/>
      <c r="K538" s="845" t="n"/>
      <c r="L538" s="845" t="n"/>
      <c r="M538" s="845" t="n"/>
      <c r="N538" s="845" t="n"/>
      <c r="O538" s="845" t="n"/>
      <c r="P538" s="845" t="n"/>
      <c r="Q538" s="845" t="n"/>
      <c r="R538" s="845" t="n"/>
      <c r="S538" s="845" t="n"/>
      <c r="T538" s="845" t="n"/>
      <c r="U538" s="845" t="n"/>
      <c r="V538" s="845" t="n"/>
      <c r="W538" s="845" t="n"/>
      <c r="X538" s="845" t="n"/>
      <c r="Y538" s="845" t="n"/>
      <c r="Z538" s="845" t="n"/>
    </row>
    <row r="539" ht="13.2" customHeight="1" s="1127">
      <c r="A539" s="845" t="n"/>
      <c r="B539" s="845" t="n"/>
      <c r="C539" s="845" t="n"/>
      <c r="D539" s="845" t="n"/>
      <c r="E539" s="845" t="n"/>
      <c r="F539" s="845" t="n"/>
      <c r="G539" s="879" t="n"/>
      <c r="H539" s="845" t="n"/>
      <c r="I539" s="845" t="n"/>
      <c r="J539" s="845" t="n"/>
      <c r="K539" s="845" t="n"/>
      <c r="L539" s="845" t="n"/>
      <c r="M539" s="845" t="n"/>
      <c r="N539" s="845" t="n"/>
      <c r="O539" s="845" t="n"/>
      <c r="P539" s="845" t="n"/>
      <c r="Q539" s="845" t="n"/>
      <c r="R539" s="845" t="n"/>
      <c r="S539" s="845" t="n"/>
      <c r="T539" s="845" t="n"/>
      <c r="U539" s="845" t="n"/>
      <c r="V539" s="845" t="n"/>
      <c r="W539" s="845" t="n"/>
      <c r="X539" s="845" t="n"/>
      <c r="Y539" s="845" t="n"/>
      <c r="Z539" s="845" t="n"/>
    </row>
    <row r="540" ht="13.2" customHeight="1" s="1127">
      <c r="A540" s="845" t="n"/>
      <c r="B540" s="845" t="n"/>
      <c r="C540" s="845" t="n"/>
      <c r="D540" s="845" t="n"/>
      <c r="E540" s="845" t="n"/>
      <c r="F540" s="845" t="n"/>
      <c r="G540" s="879" t="n"/>
      <c r="H540" s="845" t="n"/>
      <c r="I540" s="845" t="n"/>
      <c r="J540" s="845" t="n"/>
      <c r="K540" s="845" t="n"/>
      <c r="L540" s="845" t="n"/>
      <c r="M540" s="845" t="n"/>
      <c r="N540" s="845" t="n"/>
      <c r="O540" s="845" t="n"/>
      <c r="P540" s="845" t="n"/>
      <c r="Q540" s="845" t="n"/>
      <c r="R540" s="845" t="n"/>
      <c r="S540" s="845" t="n"/>
      <c r="T540" s="845" t="n"/>
      <c r="U540" s="845" t="n"/>
      <c r="V540" s="845" t="n"/>
      <c r="W540" s="845" t="n"/>
      <c r="X540" s="845" t="n"/>
      <c r="Y540" s="845" t="n"/>
      <c r="Z540" s="845" t="n"/>
    </row>
    <row r="541" ht="13.2" customHeight="1" s="1127">
      <c r="A541" s="845" t="n"/>
      <c r="B541" s="845" t="n"/>
      <c r="C541" s="845" t="n"/>
      <c r="D541" s="845" t="n"/>
      <c r="E541" s="845" t="n"/>
      <c r="F541" s="845" t="n"/>
      <c r="G541" s="879" t="n"/>
      <c r="H541" s="845" t="n"/>
      <c r="I541" s="845" t="n"/>
      <c r="J541" s="845" t="n"/>
      <c r="K541" s="845" t="n"/>
      <c r="L541" s="845" t="n"/>
      <c r="M541" s="845" t="n"/>
      <c r="N541" s="845" t="n"/>
      <c r="O541" s="845" t="n"/>
      <c r="P541" s="845" t="n"/>
      <c r="Q541" s="845" t="n"/>
      <c r="R541" s="845" t="n"/>
      <c r="S541" s="845" t="n"/>
      <c r="T541" s="845" t="n"/>
      <c r="U541" s="845" t="n"/>
      <c r="V541" s="845" t="n"/>
      <c r="W541" s="845" t="n"/>
      <c r="X541" s="845" t="n"/>
      <c r="Y541" s="845" t="n"/>
      <c r="Z541" s="845" t="n"/>
    </row>
    <row r="542" ht="13.2" customHeight="1" s="1127">
      <c r="A542" s="845" t="n"/>
      <c r="B542" s="845" t="n"/>
      <c r="C542" s="845" t="n"/>
      <c r="D542" s="845" t="n"/>
      <c r="E542" s="845" t="n"/>
      <c r="F542" s="845" t="n"/>
      <c r="G542" s="879" t="n"/>
      <c r="H542" s="845" t="n"/>
      <c r="I542" s="845" t="n"/>
      <c r="J542" s="845" t="n"/>
      <c r="K542" s="845" t="n"/>
      <c r="L542" s="845" t="n"/>
      <c r="M542" s="845" t="n"/>
      <c r="N542" s="845" t="n"/>
      <c r="O542" s="845" t="n"/>
      <c r="P542" s="845" t="n"/>
      <c r="Q542" s="845" t="n"/>
      <c r="R542" s="845" t="n"/>
      <c r="S542" s="845" t="n"/>
      <c r="T542" s="845" t="n"/>
      <c r="U542" s="845" t="n"/>
      <c r="V542" s="845" t="n"/>
      <c r="W542" s="845" t="n"/>
      <c r="X542" s="845" t="n"/>
      <c r="Y542" s="845" t="n"/>
      <c r="Z542" s="845" t="n"/>
    </row>
    <row r="543" ht="13.2" customHeight="1" s="1127">
      <c r="A543" s="845" t="n"/>
      <c r="B543" s="845" t="n"/>
      <c r="C543" s="845" t="n"/>
      <c r="D543" s="845" t="n"/>
      <c r="E543" s="845" t="n"/>
      <c r="F543" s="845" t="n"/>
      <c r="G543" s="879" t="n"/>
      <c r="H543" s="845" t="n"/>
      <c r="I543" s="845" t="n"/>
      <c r="J543" s="845" t="n"/>
      <c r="K543" s="845" t="n"/>
      <c r="L543" s="845" t="n"/>
      <c r="M543" s="845" t="n"/>
      <c r="N543" s="845" t="n"/>
      <c r="O543" s="845" t="n"/>
      <c r="P543" s="845" t="n"/>
      <c r="Q543" s="845" t="n"/>
      <c r="R543" s="845" t="n"/>
      <c r="S543" s="845" t="n"/>
      <c r="T543" s="845" t="n"/>
      <c r="U543" s="845" t="n"/>
      <c r="V543" s="845" t="n"/>
      <c r="W543" s="845" t="n"/>
      <c r="X543" s="845" t="n"/>
      <c r="Y543" s="845" t="n"/>
      <c r="Z543" s="845" t="n"/>
    </row>
    <row r="544" ht="13.2" customHeight="1" s="1127">
      <c r="A544" s="845" t="n"/>
      <c r="B544" s="845" t="n"/>
      <c r="C544" s="845" t="n"/>
      <c r="D544" s="845" t="n"/>
      <c r="E544" s="845" t="n"/>
      <c r="F544" s="845" t="n"/>
      <c r="G544" s="879" t="n"/>
      <c r="H544" s="845" t="n"/>
      <c r="I544" s="845" t="n"/>
      <c r="J544" s="845" t="n"/>
      <c r="K544" s="845" t="n"/>
      <c r="L544" s="845" t="n"/>
      <c r="M544" s="845" t="n"/>
      <c r="N544" s="845" t="n"/>
      <c r="O544" s="845" t="n"/>
      <c r="P544" s="845" t="n"/>
      <c r="Q544" s="845" t="n"/>
      <c r="R544" s="845" t="n"/>
      <c r="S544" s="845" t="n"/>
      <c r="T544" s="845" t="n"/>
      <c r="U544" s="845" t="n"/>
      <c r="V544" s="845" t="n"/>
      <c r="W544" s="845" t="n"/>
      <c r="X544" s="845" t="n"/>
      <c r="Y544" s="845" t="n"/>
      <c r="Z544" s="845" t="n"/>
    </row>
    <row r="545" ht="13.2" customHeight="1" s="1127">
      <c r="A545" s="845" t="n"/>
      <c r="B545" s="845" t="n"/>
      <c r="C545" s="845" t="n"/>
      <c r="D545" s="845" t="n"/>
      <c r="E545" s="845" t="n"/>
      <c r="F545" s="845" t="n"/>
      <c r="G545" s="879" t="n"/>
      <c r="H545" s="845" t="n"/>
      <c r="I545" s="845" t="n"/>
      <c r="J545" s="845" t="n"/>
      <c r="K545" s="845" t="n"/>
      <c r="L545" s="845" t="n"/>
      <c r="M545" s="845" t="n"/>
      <c r="N545" s="845" t="n"/>
      <c r="O545" s="845" t="n"/>
      <c r="P545" s="845" t="n"/>
      <c r="Q545" s="845" t="n"/>
      <c r="R545" s="845" t="n"/>
      <c r="S545" s="845" t="n"/>
      <c r="T545" s="845" t="n"/>
      <c r="U545" s="845" t="n"/>
      <c r="V545" s="845" t="n"/>
      <c r="W545" s="845" t="n"/>
      <c r="X545" s="845" t="n"/>
      <c r="Y545" s="845" t="n"/>
      <c r="Z545" s="845" t="n"/>
    </row>
    <row r="546" ht="13.2" customHeight="1" s="1127">
      <c r="A546" s="845" t="n"/>
      <c r="B546" s="845" t="n"/>
      <c r="C546" s="845" t="n"/>
      <c r="D546" s="845" t="n"/>
      <c r="E546" s="845" t="n"/>
      <c r="F546" s="845" t="n"/>
      <c r="G546" s="879" t="n"/>
      <c r="H546" s="845" t="n"/>
      <c r="I546" s="845" t="n"/>
      <c r="J546" s="845" t="n"/>
      <c r="K546" s="845" t="n"/>
      <c r="L546" s="845" t="n"/>
      <c r="M546" s="845" t="n"/>
      <c r="N546" s="845" t="n"/>
      <c r="O546" s="845" t="n"/>
      <c r="P546" s="845" t="n"/>
      <c r="Q546" s="845" t="n"/>
      <c r="R546" s="845" t="n"/>
      <c r="S546" s="845" t="n"/>
      <c r="T546" s="845" t="n"/>
      <c r="U546" s="845" t="n"/>
      <c r="V546" s="845" t="n"/>
      <c r="W546" s="845" t="n"/>
      <c r="X546" s="845" t="n"/>
      <c r="Y546" s="845" t="n"/>
      <c r="Z546" s="845" t="n"/>
    </row>
    <row r="547" ht="13.2" customHeight="1" s="1127">
      <c r="A547" s="845" t="n"/>
      <c r="B547" s="845" t="n"/>
      <c r="C547" s="845" t="n"/>
      <c r="D547" s="845" t="n"/>
      <c r="E547" s="845" t="n"/>
      <c r="F547" s="845" t="n"/>
      <c r="G547" s="879" t="n"/>
      <c r="H547" s="845" t="n"/>
      <c r="I547" s="845" t="n"/>
      <c r="J547" s="845" t="n"/>
      <c r="K547" s="845" t="n"/>
      <c r="L547" s="845" t="n"/>
      <c r="M547" s="845" t="n"/>
      <c r="N547" s="845" t="n"/>
      <c r="O547" s="845" t="n"/>
      <c r="P547" s="845" t="n"/>
      <c r="Q547" s="845" t="n"/>
      <c r="R547" s="845" t="n"/>
      <c r="S547" s="845" t="n"/>
      <c r="T547" s="845" t="n"/>
      <c r="U547" s="845" t="n"/>
      <c r="V547" s="845" t="n"/>
      <c r="W547" s="845" t="n"/>
      <c r="X547" s="845" t="n"/>
      <c r="Y547" s="845" t="n"/>
      <c r="Z547" s="845" t="n"/>
    </row>
    <row r="548" ht="13.2" customHeight="1" s="1127">
      <c r="A548" s="845" t="n"/>
      <c r="B548" s="845" t="n"/>
      <c r="C548" s="845" t="n"/>
      <c r="D548" s="845" t="n"/>
      <c r="E548" s="845" t="n"/>
      <c r="F548" s="845" t="n"/>
      <c r="G548" s="879" t="n"/>
      <c r="H548" s="845" t="n"/>
      <c r="I548" s="845" t="n"/>
      <c r="J548" s="845" t="n"/>
      <c r="K548" s="845" t="n"/>
      <c r="L548" s="845" t="n"/>
      <c r="M548" s="845" t="n"/>
      <c r="N548" s="845" t="n"/>
      <c r="O548" s="845" t="n"/>
      <c r="P548" s="845" t="n"/>
      <c r="Q548" s="845" t="n"/>
      <c r="R548" s="845" t="n"/>
      <c r="S548" s="845" t="n"/>
      <c r="T548" s="845" t="n"/>
      <c r="U548" s="845" t="n"/>
      <c r="V548" s="845" t="n"/>
      <c r="W548" s="845" t="n"/>
      <c r="X548" s="845" t="n"/>
      <c r="Y548" s="845" t="n"/>
      <c r="Z548" s="845" t="n"/>
    </row>
    <row r="549" ht="13.2" customHeight="1" s="1127">
      <c r="A549" s="845" t="n"/>
      <c r="B549" s="845" t="n"/>
      <c r="C549" s="845" t="n"/>
      <c r="D549" s="845" t="n"/>
      <c r="E549" s="845" t="n"/>
      <c r="F549" s="845" t="n"/>
      <c r="G549" s="879" t="n"/>
      <c r="H549" s="845" t="n"/>
      <c r="I549" s="845" t="n"/>
      <c r="J549" s="845" t="n"/>
      <c r="K549" s="845" t="n"/>
      <c r="L549" s="845" t="n"/>
      <c r="M549" s="845" t="n"/>
      <c r="N549" s="845" t="n"/>
      <c r="O549" s="845" t="n"/>
      <c r="P549" s="845" t="n"/>
      <c r="Q549" s="845" t="n"/>
      <c r="R549" s="845" t="n"/>
      <c r="S549" s="845" t="n"/>
      <c r="T549" s="845" t="n"/>
      <c r="U549" s="845" t="n"/>
      <c r="V549" s="845" t="n"/>
      <c r="W549" s="845" t="n"/>
      <c r="X549" s="845" t="n"/>
      <c r="Y549" s="845" t="n"/>
      <c r="Z549" s="845" t="n"/>
    </row>
    <row r="550" ht="13.2" customHeight="1" s="1127">
      <c r="A550" s="845" t="n"/>
      <c r="B550" s="845" t="n"/>
      <c r="C550" s="845" t="n"/>
      <c r="D550" s="845" t="n"/>
      <c r="E550" s="845" t="n"/>
      <c r="F550" s="845" t="n"/>
      <c r="G550" s="879" t="n"/>
      <c r="H550" s="845" t="n"/>
      <c r="I550" s="845" t="n"/>
      <c r="J550" s="845" t="n"/>
      <c r="K550" s="845" t="n"/>
      <c r="L550" s="845" t="n"/>
      <c r="M550" s="845" t="n"/>
      <c r="N550" s="845" t="n"/>
      <c r="O550" s="845" t="n"/>
      <c r="P550" s="845" t="n"/>
      <c r="Q550" s="845" t="n"/>
      <c r="R550" s="845" t="n"/>
      <c r="S550" s="845" t="n"/>
      <c r="T550" s="845" t="n"/>
      <c r="U550" s="845" t="n"/>
      <c r="V550" s="845" t="n"/>
      <c r="W550" s="845" t="n"/>
      <c r="X550" s="845" t="n"/>
      <c r="Y550" s="845" t="n"/>
      <c r="Z550" s="845" t="n"/>
    </row>
    <row r="551" ht="13.2" customHeight="1" s="1127">
      <c r="A551" s="845" t="n"/>
      <c r="B551" s="845" t="n"/>
      <c r="C551" s="845" t="n"/>
      <c r="D551" s="845" t="n"/>
      <c r="E551" s="845" t="n"/>
      <c r="F551" s="845" t="n"/>
      <c r="G551" s="879" t="n"/>
      <c r="H551" s="845" t="n"/>
      <c r="I551" s="845" t="n"/>
      <c r="J551" s="845" t="n"/>
      <c r="K551" s="845" t="n"/>
      <c r="L551" s="845" t="n"/>
      <c r="M551" s="845" t="n"/>
      <c r="N551" s="845" t="n"/>
      <c r="O551" s="845" t="n"/>
      <c r="P551" s="845" t="n"/>
      <c r="Q551" s="845" t="n"/>
      <c r="R551" s="845" t="n"/>
      <c r="S551" s="845" t="n"/>
      <c r="T551" s="845" t="n"/>
      <c r="U551" s="845" t="n"/>
      <c r="V551" s="845" t="n"/>
      <c r="W551" s="845" t="n"/>
      <c r="X551" s="845" t="n"/>
      <c r="Y551" s="845" t="n"/>
      <c r="Z551" s="845" t="n"/>
    </row>
    <row r="552" ht="13.2" customHeight="1" s="1127">
      <c r="A552" s="845" t="n"/>
      <c r="B552" s="845" t="n"/>
      <c r="C552" s="845" t="n"/>
      <c r="D552" s="845" t="n"/>
      <c r="E552" s="845" t="n"/>
      <c r="F552" s="845" t="n"/>
      <c r="G552" s="879" t="n"/>
      <c r="H552" s="845" t="n"/>
      <c r="I552" s="845" t="n"/>
      <c r="J552" s="845" t="n"/>
      <c r="K552" s="845" t="n"/>
      <c r="L552" s="845" t="n"/>
      <c r="M552" s="845" t="n"/>
      <c r="N552" s="845" t="n"/>
      <c r="O552" s="845" t="n"/>
      <c r="P552" s="845" t="n"/>
      <c r="Q552" s="845" t="n"/>
      <c r="R552" s="845" t="n"/>
      <c r="S552" s="845" t="n"/>
      <c r="T552" s="845" t="n"/>
      <c r="U552" s="845" t="n"/>
      <c r="V552" s="845" t="n"/>
      <c r="W552" s="845" t="n"/>
      <c r="X552" s="845" t="n"/>
      <c r="Y552" s="845" t="n"/>
      <c r="Z552" s="845" t="n"/>
    </row>
    <row r="553" ht="13.2" customHeight="1" s="1127">
      <c r="A553" s="845" t="n"/>
      <c r="B553" s="845" t="n"/>
      <c r="C553" s="845" t="n"/>
      <c r="D553" s="845" t="n"/>
      <c r="E553" s="845" t="n"/>
      <c r="F553" s="845" t="n"/>
      <c r="G553" s="879" t="n"/>
      <c r="H553" s="845" t="n"/>
      <c r="I553" s="845" t="n"/>
      <c r="J553" s="845" t="n"/>
      <c r="K553" s="845" t="n"/>
      <c r="L553" s="845" t="n"/>
      <c r="M553" s="845" t="n"/>
      <c r="N553" s="845" t="n"/>
      <c r="O553" s="845" t="n"/>
      <c r="P553" s="845" t="n"/>
      <c r="Q553" s="845" t="n"/>
      <c r="R553" s="845" t="n"/>
      <c r="S553" s="845" t="n"/>
      <c r="T553" s="845" t="n"/>
      <c r="U553" s="845" t="n"/>
      <c r="V553" s="845" t="n"/>
      <c r="W553" s="845" t="n"/>
      <c r="X553" s="845" t="n"/>
      <c r="Y553" s="845" t="n"/>
      <c r="Z553" s="845" t="n"/>
    </row>
    <row r="554" ht="13.2" customHeight="1" s="1127">
      <c r="A554" s="845" t="n"/>
      <c r="B554" s="845" t="n"/>
      <c r="C554" s="845" t="n"/>
      <c r="D554" s="845" t="n"/>
      <c r="E554" s="845" t="n"/>
      <c r="F554" s="845" t="n"/>
      <c r="G554" s="879" t="n"/>
      <c r="H554" s="845" t="n"/>
      <c r="I554" s="845" t="n"/>
      <c r="J554" s="845" t="n"/>
      <c r="K554" s="845" t="n"/>
      <c r="L554" s="845" t="n"/>
      <c r="M554" s="845" t="n"/>
      <c r="N554" s="845" t="n"/>
      <c r="O554" s="845" t="n"/>
      <c r="P554" s="845" t="n"/>
      <c r="Q554" s="845" t="n"/>
      <c r="R554" s="845" t="n"/>
      <c r="S554" s="845" t="n"/>
      <c r="T554" s="845" t="n"/>
      <c r="U554" s="845" t="n"/>
      <c r="V554" s="845" t="n"/>
      <c r="W554" s="845" t="n"/>
      <c r="X554" s="845" t="n"/>
      <c r="Y554" s="845" t="n"/>
      <c r="Z554" s="845" t="n"/>
    </row>
    <row r="555" ht="13.2" customHeight="1" s="1127">
      <c r="A555" s="845" t="n"/>
      <c r="B555" s="845" t="n"/>
      <c r="C555" s="845" t="n"/>
      <c r="D555" s="845" t="n"/>
      <c r="E555" s="845" t="n"/>
      <c r="F555" s="845" t="n"/>
      <c r="G555" s="879" t="n"/>
      <c r="H555" s="845" t="n"/>
      <c r="I555" s="845" t="n"/>
      <c r="J555" s="845" t="n"/>
      <c r="K555" s="845" t="n"/>
      <c r="L555" s="845" t="n"/>
      <c r="M555" s="845" t="n"/>
      <c r="N555" s="845" t="n"/>
      <c r="O555" s="845" t="n"/>
      <c r="P555" s="845" t="n"/>
      <c r="Q555" s="845" t="n"/>
      <c r="R555" s="845" t="n"/>
      <c r="S555" s="845" t="n"/>
      <c r="T555" s="845" t="n"/>
      <c r="U555" s="845" t="n"/>
      <c r="V555" s="845" t="n"/>
      <c r="W555" s="845" t="n"/>
      <c r="X555" s="845" t="n"/>
      <c r="Y555" s="845" t="n"/>
      <c r="Z555" s="845" t="n"/>
    </row>
    <row r="556" ht="13.2" customHeight="1" s="1127">
      <c r="A556" s="845" t="n"/>
      <c r="B556" s="845" t="n"/>
      <c r="C556" s="845" t="n"/>
      <c r="D556" s="845" t="n"/>
      <c r="E556" s="845" t="n"/>
      <c r="F556" s="845" t="n"/>
      <c r="G556" s="879" t="n"/>
      <c r="H556" s="845" t="n"/>
      <c r="I556" s="845" t="n"/>
      <c r="J556" s="845" t="n"/>
      <c r="K556" s="845" t="n"/>
      <c r="L556" s="845" t="n"/>
      <c r="M556" s="845" t="n"/>
      <c r="N556" s="845" t="n"/>
      <c r="O556" s="845" t="n"/>
      <c r="P556" s="845" t="n"/>
      <c r="Q556" s="845" t="n"/>
      <c r="R556" s="845" t="n"/>
      <c r="S556" s="845" t="n"/>
      <c r="T556" s="845" t="n"/>
      <c r="U556" s="845" t="n"/>
      <c r="V556" s="845" t="n"/>
      <c r="W556" s="845" t="n"/>
      <c r="X556" s="845" t="n"/>
      <c r="Y556" s="845" t="n"/>
      <c r="Z556" s="845" t="n"/>
    </row>
    <row r="557" ht="13.2" customHeight="1" s="1127">
      <c r="A557" s="845" t="n"/>
      <c r="B557" s="845" t="n"/>
      <c r="C557" s="845" t="n"/>
      <c r="D557" s="845" t="n"/>
      <c r="E557" s="845" t="n"/>
      <c r="F557" s="845" t="n"/>
      <c r="G557" s="879" t="n"/>
      <c r="H557" s="845" t="n"/>
      <c r="I557" s="845" t="n"/>
      <c r="J557" s="845" t="n"/>
      <c r="K557" s="845" t="n"/>
      <c r="L557" s="845" t="n"/>
      <c r="M557" s="845" t="n"/>
      <c r="N557" s="845" t="n"/>
      <c r="O557" s="845" t="n"/>
      <c r="P557" s="845" t="n"/>
      <c r="Q557" s="845" t="n"/>
      <c r="R557" s="845" t="n"/>
      <c r="S557" s="845" t="n"/>
      <c r="T557" s="845" t="n"/>
      <c r="U557" s="845" t="n"/>
      <c r="V557" s="845" t="n"/>
      <c r="W557" s="845" t="n"/>
      <c r="X557" s="845" t="n"/>
      <c r="Y557" s="845" t="n"/>
      <c r="Z557" s="845" t="n"/>
    </row>
    <row r="558" ht="13.2" customHeight="1" s="1127">
      <c r="A558" s="845" t="n"/>
      <c r="B558" s="845" t="n"/>
      <c r="C558" s="845" t="n"/>
      <c r="D558" s="845" t="n"/>
      <c r="E558" s="845" t="n"/>
      <c r="F558" s="845" t="n"/>
      <c r="G558" s="879" t="n"/>
      <c r="H558" s="845" t="n"/>
      <c r="I558" s="845" t="n"/>
      <c r="J558" s="845" t="n"/>
      <c r="K558" s="845" t="n"/>
      <c r="L558" s="845" t="n"/>
      <c r="M558" s="845" t="n"/>
      <c r="N558" s="845" t="n"/>
      <c r="O558" s="845" t="n"/>
      <c r="P558" s="845" t="n"/>
      <c r="Q558" s="845" t="n"/>
      <c r="R558" s="845" t="n"/>
      <c r="S558" s="845" t="n"/>
      <c r="T558" s="845" t="n"/>
      <c r="U558" s="845" t="n"/>
      <c r="V558" s="845" t="n"/>
      <c r="W558" s="845" t="n"/>
      <c r="X558" s="845" t="n"/>
      <c r="Y558" s="845" t="n"/>
      <c r="Z558" s="845" t="n"/>
    </row>
    <row r="559" ht="13.2" customHeight="1" s="1127">
      <c r="A559" s="845" t="n"/>
      <c r="B559" s="845" t="n"/>
      <c r="C559" s="845" t="n"/>
      <c r="D559" s="845" t="n"/>
      <c r="E559" s="845" t="n"/>
      <c r="F559" s="845" t="n"/>
      <c r="G559" s="879" t="n"/>
      <c r="H559" s="845" t="n"/>
      <c r="I559" s="845" t="n"/>
      <c r="J559" s="845" t="n"/>
      <c r="K559" s="845" t="n"/>
      <c r="L559" s="845" t="n"/>
      <c r="M559" s="845" t="n"/>
      <c r="N559" s="845" t="n"/>
      <c r="O559" s="845" t="n"/>
      <c r="P559" s="845" t="n"/>
      <c r="Q559" s="845" t="n"/>
      <c r="R559" s="845" t="n"/>
      <c r="S559" s="845" t="n"/>
      <c r="T559" s="845" t="n"/>
      <c r="U559" s="845" t="n"/>
      <c r="V559" s="845" t="n"/>
      <c r="W559" s="845" t="n"/>
      <c r="X559" s="845" t="n"/>
      <c r="Y559" s="845" t="n"/>
      <c r="Z559" s="845" t="n"/>
    </row>
    <row r="560" ht="13.2" customHeight="1" s="1127">
      <c r="A560" s="845" t="n"/>
      <c r="B560" s="845" t="n"/>
      <c r="C560" s="845" t="n"/>
      <c r="D560" s="845" t="n"/>
      <c r="E560" s="845" t="n"/>
      <c r="F560" s="845" t="n"/>
      <c r="G560" s="879" t="n"/>
      <c r="H560" s="845" t="n"/>
      <c r="I560" s="845" t="n"/>
      <c r="J560" s="845" t="n"/>
      <c r="K560" s="845" t="n"/>
      <c r="L560" s="845" t="n"/>
      <c r="M560" s="845" t="n"/>
      <c r="N560" s="845" t="n"/>
      <c r="O560" s="845" t="n"/>
      <c r="P560" s="845" t="n"/>
      <c r="Q560" s="845" t="n"/>
      <c r="R560" s="845" t="n"/>
      <c r="S560" s="845" t="n"/>
      <c r="T560" s="845" t="n"/>
      <c r="U560" s="845" t="n"/>
      <c r="V560" s="845" t="n"/>
      <c r="W560" s="845" t="n"/>
      <c r="X560" s="845" t="n"/>
      <c r="Y560" s="845" t="n"/>
      <c r="Z560" s="845" t="n"/>
    </row>
    <row r="561" ht="13.2" customHeight="1" s="1127">
      <c r="A561" s="845" t="n"/>
      <c r="B561" s="845" t="n"/>
      <c r="C561" s="845" t="n"/>
      <c r="D561" s="845" t="n"/>
      <c r="E561" s="845" t="n"/>
      <c r="F561" s="845" t="n"/>
      <c r="G561" s="879" t="n"/>
      <c r="H561" s="845" t="n"/>
      <c r="I561" s="845" t="n"/>
      <c r="J561" s="845" t="n"/>
      <c r="K561" s="845" t="n"/>
      <c r="L561" s="845" t="n"/>
      <c r="M561" s="845" t="n"/>
      <c r="N561" s="845" t="n"/>
      <c r="O561" s="845" t="n"/>
      <c r="P561" s="845" t="n"/>
      <c r="Q561" s="845" t="n"/>
      <c r="R561" s="845" t="n"/>
      <c r="S561" s="845" t="n"/>
      <c r="T561" s="845" t="n"/>
      <c r="U561" s="845" t="n"/>
      <c r="V561" s="845" t="n"/>
      <c r="W561" s="845" t="n"/>
      <c r="X561" s="845" t="n"/>
      <c r="Y561" s="845" t="n"/>
      <c r="Z561" s="845" t="n"/>
    </row>
    <row r="562" ht="13.2" customHeight="1" s="1127">
      <c r="A562" s="845" t="n"/>
      <c r="B562" s="845" t="n"/>
      <c r="C562" s="845" t="n"/>
      <c r="D562" s="845" t="n"/>
      <c r="E562" s="845" t="n"/>
      <c r="F562" s="845" t="n"/>
      <c r="G562" s="879" t="n"/>
      <c r="H562" s="845" t="n"/>
      <c r="I562" s="845" t="n"/>
      <c r="J562" s="845" t="n"/>
      <c r="K562" s="845" t="n"/>
      <c r="L562" s="845" t="n"/>
      <c r="M562" s="845" t="n"/>
      <c r="N562" s="845" t="n"/>
      <c r="O562" s="845" t="n"/>
      <c r="P562" s="845" t="n"/>
      <c r="Q562" s="845" t="n"/>
      <c r="R562" s="845" t="n"/>
      <c r="S562" s="845" t="n"/>
      <c r="T562" s="845" t="n"/>
      <c r="U562" s="845" t="n"/>
      <c r="V562" s="845" t="n"/>
      <c r="W562" s="845" t="n"/>
      <c r="X562" s="845" t="n"/>
      <c r="Y562" s="845" t="n"/>
      <c r="Z562" s="845" t="n"/>
    </row>
    <row r="563" ht="13.2" customHeight="1" s="1127">
      <c r="A563" s="845" t="n"/>
      <c r="B563" s="845" t="n"/>
      <c r="C563" s="845" t="n"/>
      <c r="D563" s="845" t="n"/>
      <c r="E563" s="845" t="n"/>
      <c r="F563" s="845" t="n"/>
      <c r="G563" s="879" t="n"/>
      <c r="H563" s="845" t="n"/>
      <c r="I563" s="845" t="n"/>
      <c r="J563" s="845" t="n"/>
      <c r="K563" s="845" t="n"/>
      <c r="L563" s="845" t="n"/>
      <c r="M563" s="845" t="n"/>
      <c r="N563" s="845" t="n"/>
      <c r="O563" s="845" t="n"/>
      <c r="P563" s="845" t="n"/>
      <c r="Q563" s="845" t="n"/>
      <c r="R563" s="845" t="n"/>
      <c r="S563" s="845" t="n"/>
      <c r="T563" s="845" t="n"/>
      <c r="U563" s="845" t="n"/>
      <c r="V563" s="845" t="n"/>
      <c r="W563" s="845" t="n"/>
      <c r="X563" s="845" t="n"/>
      <c r="Y563" s="845" t="n"/>
      <c r="Z563" s="845" t="n"/>
    </row>
    <row r="564" ht="13.2" customHeight="1" s="1127">
      <c r="A564" s="845" t="n"/>
      <c r="B564" s="845" t="n"/>
      <c r="C564" s="845" t="n"/>
      <c r="D564" s="845" t="n"/>
      <c r="E564" s="845" t="n"/>
      <c r="F564" s="845" t="n"/>
      <c r="G564" s="879" t="n"/>
      <c r="H564" s="845" t="n"/>
      <c r="I564" s="845" t="n"/>
      <c r="J564" s="845" t="n"/>
      <c r="K564" s="845" t="n"/>
      <c r="L564" s="845" t="n"/>
      <c r="M564" s="845" t="n"/>
      <c r="N564" s="845" t="n"/>
      <c r="O564" s="845" t="n"/>
      <c r="P564" s="845" t="n"/>
      <c r="Q564" s="845" t="n"/>
      <c r="R564" s="845" t="n"/>
      <c r="S564" s="845" t="n"/>
      <c r="T564" s="845" t="n"/>
      <c r="U564" s="845" t="n"/>
      <c r="V564" s="845" t="n"/>
      <c r="W564" s="845" t="n"/>
      <c r="X564" s="845" t="n"/>
      <c r="Y564" s="845" t="n"/>
      <c r="Z564" s="845" t="n"/>
    </row>
    <row r="565" ht="13.2" customHeight="1" s="1127">
      <c r="A565" s="845" t="n"/>
      <c r="B565" s="845" t="n"/>
      <c r="C565" s="845" t="n"/>
      <c r="D565" s="845" t="n"/>
      <c r="E565" s="845" t="n"/>
      <c r="F565" s="845" t="n"/>
      <c r="G565" s="879" t="n"/>
      <c r="H565" s="845" t="n"/>
      <c r="I565" s="845" t="n"/>
      <c r="J565" s="845" t="n"/>
      <c r="K565" s="845" t="n"/>
      <c r="L565" s="845" t="n"/>
      <c r="M565" s="845" t="n"/>
      <c r="N565" s="845" t="n"/>
      <c r="O565" s="845" t="n"/>
      <c r="P565" s="845" t="n"/>
      <c r="Q565" s="845" t="n"/>
      <c r="R565" s="845" t="n"/>
      <c r="S565" s="845" t="n"/>
      <c r="T565" s="845" t="n"/>
      <c r="U565" s="845" t="n"/>
      <c r="V565" s="845" t="n"/>
      <c r="W565" s="845" t="n"/>
      <c r="X565" s="845" t="n"/>
      <c r="Y565" s="845" t="n"/>
      <c r="Z565" s="845" t="n"/>
    </row>
    <row r="566" ht="13.2" customHeight="1" s="1127">
      <c r="A566" s="845" t="n"/>
      <c r="B566" s="845" t="n"/>
      <c r="C566" s="845" t="n"/>
      <c r="D566" s="845" t="n"/>
      <c r="E566" s="845" t="n"/>
      <c r="F566" s="845" t="n"/>
      <c r="G566" s="879" t="n"/>
      <c r="H566" s="845" t="n"/>
      <c r="I566" s="845" t="n"/>
      <c r="J566" s="845" t="n"/>
      <c r="K566" s="845" t="n"/>
      <c r="L566" s="845" t="n"/>
      <c r="M566" s="845" t="n"/>
      <c r="N566" s="845" t="n"/>
      <c r="O566" s="845" t="n"/>
      <c r="P566" s="845" t="n"/>
      <c r="Q566" s="845" t="n"/>
      <c r="R566" s="845" t="n"/>
      <c r="S566" s="845" t="n"/>
      <c r="T566" s="845" t="n"/>
      <c r="U566" s="845" t="n"/>
      <c r="V566" s="845" t="n"/>
      <c r="W566" s="845" t="n"/>
      <c r="X566" s="845" t="n"/>
      <c r="Y566" s="845" t="n"/>
      <c r="Z566" s="845" t="n"/>
    </row>
    <row r="567" ht="13.2" customHeight="1" s="1127">
      <c r="A567" s="845" t="n"/>
      <c r="B567" s="845" t="n"/>
      <c r="C567" s="845" t="n"/>
      <c r="D567" s="845" t="n"/>
      <c r="E567" s="845" t="n"/>
      <c r="F567" s="845" t="n"/>
      <c r="G567" s="879" t="n"/>
      <c r="H567" s="845" t="n"/>
      <c r="I567" s="845" t="n"/>
      <c r="J567" s="845" t="n"/>
      <c r="K567" s="845" t="n"/>
      <c r="L567" s="845" t="n"/>
      <c r="M567" s="845" t="n"/>
      <c r="N567" s="845" t="n"/>
      <c r="O567" s="845" t="n"/>
      <c r="P567" s="845" t="n"/>
      <c r="Q567" s="845" t="n"/>
      <c r="R567" s="845" t="n"/>
      <c r="S567" s="845" t="n"/>
      <c r="T567" s="845" t="n"/>
      <c r="U567" s="845" t="n"/>
      <c r="V567" s="845" t="n"/>
      <c r="W567" s="845" t="n"/>
      <c r="X567" s="845" t="n"/>
      <c r="Y567" s="845" t="n"/>
      <c r="Z567" s="845" t="n"/>
    </row>
    <row r="568" ht="13.2" customHeight="1" s="1127">
      <c r="A568" s="845" t="n"/>
      <c r="B568" s="845" t="n"/>
      <c r="C568" s="845" t="n"/>
      <c r="D568" s="845" t="n"/>
      <c r="E568" s="845" t="n"/>
      <c r="F568" s="845" t="n"/>
      <c r="G568" s="879" t="n"/>
      <c r="H568" s="845" t="n"/>
      <c r="I568" s="845" t="n"/>
      <c r="J568" s="845" t="n"/>
      <c r="K568" s="845" t="n"/>
      <c r="L568" s="845" t="n"/>
      <c r="M568" s="845" t="n"/>
      <c r="N568" s="845" t="n"/>
      <c r="O568" s="845" t="n"/>
      <c r="P568" s="845" t="n"/>
      <c r="Q568" s="845" t="n"/>
      <c r="R568" s="845" t="n"/>
      <c r="S568" s="845" t="n"/>
      <c r="T568" s="845" t="n"/>
      <c r="U568" s="845" t="n"/>
      <c r="V568" s="845" t="n"/>
      <c r="W568" s="845" t="n"/>
      <c r="X568" s="845" t="n"/>
      <c r="Y568" s="845" t="n"/>
      <c r="Z568" s="845" t="n"/>
    </row>
    <row r="569" ht="13.2" customHeight="1" s="1127">
      <c r="A569" s="845" t="n"/>
      <c r="B569" s="845" t="n"/>
      <c r="C569" s="845" t="n"/>
      <c r="D569" s="845" t="n"/>
      <c r="E569" s="845" t="n"/>
      <c r="F569" s="845" t="n"/>
      <c r="G569" s="879" t="n"/>
      <c r="H569" s="845" t="n"/>
      <c r="I569" s="845" t="n"/>
      <c r="J569" s="845" t="n"/>
      <c r="K569" s="845" t="n"/>
      <c r="L569" s="845" t="n"/>
      <c r="M569" s="845" t="n"/>
      <c r="N569" s="845" t="n"/>
      <c r="O569" s="845" t="n"/>
      <c r="P569" s="845" t="n"/>
      <c r="Q569" s="845" t="n"/>
      <c r="R569" s="845" t="n"/>
      <c r="S569" s="845" t="n"/>
      <c r="T569" s="845" t="n"/>
      <c r="U569" s="845" t="n"/>
      <c r="V569" s="845" t="n"/>
      <c r="W569" s="845" t="n"/>
      <c r="X569" s="845" t="n"/>
      <c r="Y569" s="845" t="n"/>
      <c r="Z569" s="845" t="n"/>
    </row>
    <row r="570" ht="13.2" customHeight="1" s="1127">
      <c r="A570" s="845" t="n"/>
      <c r="B570" s="845" t="n"/>
      <c r="C570" s="845" t="n"/>
      <c r="D570" s="845" t="n"/>
      <c r="E570" s="845" t="n"/>
      <c r="F570" s="845" t="n"/>
      <c r="G570" s="879" t="n"/>
      <c r="H570" s="845" t="n"/>
      <c r="I570" s="845" t="n"/>
      <c r="J570" s="845" t="n"/>
      <c r="K570" s="845" t="n"/>
      <c r="L570" s="845" t="n"/>
      <c r="M570" s="845" t="n"/>
      <c r="N570" s="845" t="n"/>
      <c r="O570" s="845" t="n"/>
      <c r="P570" s="845" t="n"/>
      <c r="Q570" s="845" t="n"/>
      <c r="R570" s="845" t="n"/>
      <c r="S570" s="845" t="n"/>
      <c r="T570" s="845" t="n"/>
      <c r="U570" s="845" t="n"/>
      <c r="V570" s="845" t="n"/>
      <c r="W570" s="845" t="n"/>
      <c r="X570" s="845" t="n"/>
      <c r="Y570" s="845" t="n"/>
      <c r="Z570" s="845" t="n"/>
    </row>
    <row r="571" ht="13.2" customHeight="1" s="1127">
      <c r="A571" s="845" t="n"/>
      <c r="B571" s="845" t="n"/>
      <c r="C571" s="845" t="n"/>
      <c r="D571" s="845" t="n"/>
      <c r="E571" s="845" t="n"/>
      <c r="F571" s="845" t="n"/>
      <c r="G571" s="879" t="n"/>
      <c r="H571" s="845" t="n"/>
      <c r="I571" s="845" t="n"/>
      <c r="J571" s="845" t="n"/>
      <c r="K571" s="845" t="n"/>
      <c r="L571" s="845" t="n"/>
      <c r="M571" s="845" t="n"/>
      <c r="N571" s="845" t="n"/>
      <c r="O571" s="845" t="n"/>
      <c r="P571" s="845" t="n"/>
      <c r="Q571" s="845" t="n"/>
      <c r="R571" s="845" t="n"/>
      <c r="S571" s="845" t="n"/>
      <c r="T571" s="845" t="n"/>
      <c r="U571" s="845" t="n"/>
      <c r="V571" s="845" t="n"/>
      <c r="W571" s="845" t="n"/>
      <c r="X571" s="845" t="n"/>
      <c r="Y571" s="845" t="n"/>
      <c r="Z571" s="845" t="n"/>
    </row>
    <row r="572" ht="13.2" customHeight="1" s="1127">
      <c r="A572" s="845" t="n"/>
      <c r="B572" s="845" t="n"/>
      <c r="C572" s="845" t="n"/>
      <c r="D572" s="845" t="n"/>
      <c r="E572" s="845" t="n"/>
      <c r="F572" s="845" t="n"/>
      <c r="G572" s="879" t="n"/>
      <c r="H572" s="845" t="n"/>
      <c r="I572" s="845" t="n"/>
      <c r="J572" s="845" t="n"/>
      <c r="K572" s="845" t="n"/>
      <c r="L572" s="845" t="n"/>
      <c r="M572" s="845" t="n"/>
      <c r="N572" s="845" t="n"/>
      <c r="O572" s="845" t="n"/>
      <c r="P572" s="845" t="n"/>
      <c r="Q572" s="845" t="n"/>
      <c r="R572" s="845" t="n"/>
      <c r="S572" s="845" t="n"/>
      <c r="T572" s="845" t="n"/>
      <c r="U572" s="845" t="n"/>
      <c r="V572" s="845" t="n"/>
      <c r="W572" s="845" t="n"/>
      <c r="X572" s="845" t="n"/>
      <c r="Y572" s="845" t="n"/>
      <c r="Z572" s="845" t="n"/>
    </row>
    <row r="573" ht="13.2" customHeight="1" s="1127">
      <c r="A573" s="845" t="n"/>
      <c r="B573" s="845" t="n"/>
      <c r="C573" s="845" t="n"/>
      <c r="D573" s="845" t="n"/>
      <c r="E573" s="845" t="n"/>
      <c r="F573" s="845" t="n"/>
      <c r="G573" s="879" t="n"/>
      <c r="H573" s="845" t="n"/>
      <c r="I573" s="845" t="n"/>
      <c r="J573" s="845" t="n"/>
      <c r="K573" s="845" t="n"/>
      <c r="L573" s="845" t="n"/>
      <c r="M573" s="845" t="n"/>
      <c r="N573" s="845" t="n"/>
      <c r="O573" s="845" t="n"/>
      <c r="P573" s="845" t="n"/>
      <c r="Q573" s="845" t="n"/>
      <c r="R573" s="845" t="n"/>
      <c r="S573" s="845" t="n"/>
      <c r="T573" s="845" t="n"/>
      <c r="U573" s="845" t="n"/>
      <c r="V573" s="845" t="n"/>
      <c r="W573" s="845" t="n"/>
      <c r="X573" s="845" t="n"/>
      <c r="Y573" s="845" t="n"/>
      <c r="Z573" s="845" t="n"/>
    </row>
    <row r="574" ht="13.2" customHeight="1" s="1127">
      <c r="A574" s="845" t="n"/>
      <c r="B574" s="845" t="n"/>
      <c r="C574" s="845" t="n"/>
      <c r="D574" s="845" t="n"/>
      <c r="E574" s="845" t="n"/>
      <c r="F574" s="845" t="n"/>
      <c r="G574" s="879" t="n"/>
      <c r="H574" s="845" t="n"/>
      <c r="I574" s="845" t="n"/>
      <c r="J574" s="845" t="n"/>
      <c r="K574" s="845" t="n"/>
      <c r="L574" s="845" t="n"/>
      <c r="M574" s="845" t="n"/>
      <c r="N574" s="845" t="n"/>
      <c r="O574" s="845" t="n"/>
      <c r="P574" s="845" t="n"/>
      <c r="Q574" s="845" t="n"/>
      <c r="R574" s="845" t="n"/>
      <c r="S574" s="845" t="n"/>
      <c r="T574" s="845" t="n"/>
      <c r="U574" s="845" t="n"/>
      <c r="V574" s="845" t="n"/>
      <c r="W574" s="845" t="n"/>
      <c r="X574" s="845" t="n"/>
      <c r="Y574" s="845" t="n"/>
      <c r="Z574" s="845" t="n"/>
    </row>
    <row r="575" ht="13.2" customHeight="1" s="1127">
      <c r="A575" s="845" t="n"/>
      <c r="B575" s="845" t="n"/>
      <c r="C575" s="845" t="n"/>
      <c r="D575" s="845" t="n"/>
      <c r="E575" s="845" t="n"/>
      <c r="F575" s="845" t="n"/>
      <c r="G575" s="879" t="n"/>
      <c r="H575" s="845" t="n"/>
      <c r="I575" s="845" t="n"/>
      <c r="J575" s="845" t="n"/>
      <c r="K575" s="845" t="n"/>
      <c r="L575" s="845" t="n"/>
      <c r="M575" s="845" t="n"/>
      <c r="N575" s="845" t="n"/>
      <c r="O575" s="845" t="n"/>
      <c r="P575" s="845" t="n"/>
      <c r="Q575" s="845" t="n"/>
      <c r="R575" s="845" t="n"/>
      <c r="S575" s="845" t="n"/>
      <c r="T575" s="845" t="n"/>
      <c r="U575" s="845" t="n"/>
      <c r="V575" s="845" t="n"/>
      <c r="W575" s="845" t="n"/>
      <c r="X575" s="845" t="n"/>
      <c r="Y575" s="845" t="n"/>
      <c r="Z575" s="845" t="n"/>
    </row>
    <row r="576" ht="13.2" customHeight="1" s="1127">
      <c r="A576" s="845" t="n"/>
      <c r="B576" s="845" t="n"/>
      <c r="C576" s="845" t="n"/>
      <c r="D576" s="845" t="n"/>
      <c r="E576" s="845" t="n"/>
      <c r="F576" s="845" t="n"/>
      <c r="G576" s="879" t="n"/>
      <c r="H576" s="845" t="n"/>
      <c r="I576" s="845" t="n"/>
      <c r="J576" s="845" t="n"/>
      <c r="K576" s="845" t="n"/>
      <c r="L576" s="845" t="n"/>
      <c r="M576" s="845" t="n"/>
      <c r="N576" s="845" t="n"/>
      <c r="O576" s="845" t="n"/>
      <c r="P576" s="845" t="n"/>
      <c r="Q576" s="845" t="n"/>
      <c r="R576" s="845" t="n"/>
      <c r="S576" s="845" t="n"/>
      <c r="T576" s="845" t="n"/>
      <c r="U576" s="845" t="n"/>
      <c r="V576" s="845" t="n"/>
      <c r="W576" s="845" t="n"/>
      <c r="X576" s="845" t="n"/>
      <c r="Y576" s="845" t="n"/>
      <c r="Z576" s="845" t="n"/>
    </row>
    <row r="577" ht="13.2" customHeight="1" s="1127">
      <c r="A577" s="845" t="n"/>
      <c r="B577" s="845" t="n"/>
      <c r="C577" s="845" t="n"/>
      <c r="D577" s="845" t="n"/>
      <c r="E577" s="845" t="n"/>
      <c r="F577" s="845" t="n"/>
      <c r="G577" s="879" t="n"/>
      <c r="H577" s="845" t="n"/>
      <c r="I577" s="845" t="n"/>
      <c r="J577" s="845" t="n"/>
      <c r="K577" s="845" t="n"/>
      <c r="L577" s="845" t="n"/>
      <c r="M577" s="845" t="n"/>
      <c r="N577" s="845" t="n"/>
      <c r="O577" s="845" t="n"/>
      <c r="P577" s="845" t="n"/>
      <c r="Q577" s="845" t="n"/>
      <c r="R577" s="845" t="n"/>
      <c r="S577" s="845" t="n"/>
      <c r="T577" s="845" t="n"/>
      <c r="U577" s="845" t="n"/>
      <c r="V577" s="845" t="n"/>
      <c r="W577" s="845" t="n"/>
      <c r="X577" s="845" t="n"/>
      <c r="Y577" s="845" t="n"/>
      <c r="Z577" s="845" t="n"/>
    </row>
    <row r="578" ht="13.2" customHeight="1" s="1127">
      <c r="A578" s="845" t="n"/>
      <c r="B578" s="845" t="n"/>
      <c r="C578" s="845" t="n"/>
      <c r="D578" s="845" t="n"/>
      <c r="E578" s="845" t="n"/>
      <c r="F578" s="845" t="n"/>
      <c r="G578" s="879" t="n"/>
      <c r="H578" s="845" t="n"/>
      <c r="I578" s="845" t="n"/>
      <c r="J578" s="845" t="n"/>
      <c r="K578" s="845" t="n"/>
      <c r="L578" s="845" t="n"/>
      <c r="M578" s="845" t="n"/>
      <c r="N578" s="845" t="n"/>
      <c r="O578" s="845" t="n"/>
      <c r="P578" s="845" t="n"/>
      <c r="Q578" s="845" t="n"/>
      <c r="R578" s="845" t="n"/>
      <c r="S578" s="845" t="n"/>
      <c r="T578" s="845" t="n"/>
      <c r="U578" s="845" t="n"/>
      <c r="V578" s="845" t="n"/>
      <c r="W578" s="845" t="n"/>
      <c r="X578" s="845" t="n"/>
      <c r="Y578" s="845" t="n"/>
      <c r="Z578" s="845" t="n"/>
    </row>
    <row r="579" ht="13.2" customHeight="1" s="1127">
      <c r="A579" s="845" t="n"/>
      <c r="B579" s="845" t="n"/>
      <c r="C579" s="845" t="n"/>
      <c r="D579" s="845" t="n"/>
      <c r="E579" s="845" t="n"/>
      <c r="F579" s="845" t="n"/>
      <c r="G579" s="879" t="n"/>
      <c r="H579" s="845" t="n"/>
      <c r="I579" s="845" t="n"/>
      <c r="J579" s="845" t="n"/>
      <c r="K579" s="845" t="n"/>
      <c r="L579" s="845" t="n"/>
      <c r="M579" s="845" t="n"/>
      <c r="N579" s="845" t="n"/>
      <c r="O579" s="845" t="n"/>
      <c r="P579" s="845" t="n"/>
      <c r="Q579" s="845" t="n"/>
      <c r="R579" s="845" t="n"/>
      <c r="S579" s="845" t="n"/>
      <c r="T579" s="845" t="n"/>
      <c r="U579" s="845" t="n"/>
      <c r="V579" s="845" t="n"/>
      <c r="W579" s="845" t="n"/>
      <c r="X579" s="845" t="n"/>
      <c r="Y579" s="845" t="n"/>
      <c r="Z579" s="845" t="n"/>
    </row>
    <row r="580" ht="13.2" customHeight="1" s="1127">
      <c r="A580" s="845" t="n"/>
      <c r="B580" s="845" t="n"/>
      <c r="C580" s="845" t="n"/>
      <c r="D580" s="845" t="n"/>
      <c r="E580" s="845" t="n"/>
      <c r="F580" s="845" t="n"/>
      <c r="G580" s="879" t="n"/>
      <c r="H580" s="845" t="n"/>
      <c r="I580" s="845" t="n"/>
      <c r="J580" s="845" t="n"/>
      <c r="K580" s="845" t="n"/>
      <c r="L580" s="845" t="n"/>
      <c r="M580" s="845" t="n"/>
      <c r="N580" s="845" t="n"/>
      <c r="O580" s="845" t="n"/>
      <c r="P580" s="845" t="n"/>
      <c r="Q580" s="845" t="n"/>
      <c r="R580" s="845" t="n"/>
      <c r="S580" s="845" t="n"/>
      <c r="T580" s="845" t="n"/>
      <c r="U580" s="845" t="n"/>
      <c r="V580" s="845" t="n"/>
      <c r="W580" s="845" t="n"/>
      <c r="X580" s="845" t="n"/>
      <c r="Y580" s="845" t="n"/>
      <c r="Z580" s="845" t="n"/>
    </row>
    <row r="581" ht="13.2" customHeight="1" s="1127">
      <c r="A581" s="845" t="n"/>
      <c r="B581" s="845" t="n"/>
      <c r="C581" s="845" t="n"/>
      <c r="D581" s="845" t="n"/>
      <c r="E581" s="845" t="n"/>
      <c r="F581" s="845" t="n"/>
      <c r="G581" s="879" t="n"/>
      <c r="H581" s="845" t="n"/>
      <c r="I581" s="845" t="n"/>
      <c r="J581" s="845" t="n"/>
      <c r="K581" s="845" t="n"/>
      <c r="L581" s="845" t="n"/>
      <c r="M581" s="845" t="n"/>
      <c r="N581" s="845" t="n"/>
      <c r="O581" s="845" t="n"/>
      <c r="P581" s="845" t="n"/>
      <c r="Q581" s="845" t="n"/>
      <c r="R581" s="845" t="n"/>
      <c r="S581" s="845" t="n"/>
      <c r="T581" s="845" t="n"/>
      <c r="U581" s="845" t="n"/>
      <c r="V581" s="845" t="n"/>
      <c r="W581" s="845" t="n"/>
      <c r="X581" s="845" t="n"/>
      <c r="Y581" s="845" t="n"/>
      <c r="Z581" s="845" t="n"/>
    </row>
    <row r="582" ht="13.2" customHeight="1" s="1127">
      <c r="A582" s="845" t="n"/>
      <c r="B582" s="845" t="n"/>
      <c r="C582" s="845" t="n"/>
      <c r="D582" s="845" t="n"/>
      <c r="E582" s="845" t="n"/>
      <c r="F582" s="845" t="n"/>
      <c r="G582" s="879" t="n"/>
      <c r="H582" s="845" t="n"/>
      <c r="I582" s="845" t="n"/>
      <c r="J582" s="845" t="n"/>
      <c r="K582" s="845" t="n"/>
      <c r="L582" s="845" t="n"/>
      <c r="M582" s="845" t="n"/>
      <c r="N582" s="845" t="n"/>
      <c r="O582" s="845" t="n"/>
      <c r="P582" s="845" t="n"/>
      <c r="Q582" s="845" t="n"/>
      <c r="R582" s="845" t="n"/>
      <c r="S582" s="845" t="n"/>
      <c r="T582" s="845" t="n"/>
      <c r="U582" s="845" t="n"/>
      <c r="V582" s="845" t="n"/>
      <c r="W582" s="845" t="n"/>
      <c r="X582" s="845" t="n"/>
      <c r="Y582" s="845" t="n"/>
      <c r="Z582" s="845" t="n"/>
    </row>
    <row r="583" ht="13.2" customHeight="1" s="1127">
      <c r="A583" s="845" t="n"/>
      <c r="B583" s="845" t="n"/>
      <c r="C583" s="845" t="n"/>
      <c r="D583" s="845" t="n"/>
      <c r="E583" s="845" t="n"/>
      <c r="F583" s="845" t="n"/>
      <c r="G583" s="879" t="n"/>
      <c r="H583" s="845" t="n"/>
      <c r="I583" s="845" t="n"/>
      <c r="J583" s="845" t="n"/>
      <c r="K583" s="845" t="n"/>
      <c r="L583" s="845" t="n"/>
      <c r="M583" s="845" t="n"/>
      <c r="N583" s="845" t="n"/>
      <c r="O583" s="845" t="n"/>
      <c r="P583" s="845" t="n"/>
      <c r="Q583" s="845" t="n"/>
      <c r="R583" s="845" t="n"/>
      <c r="S583" s="845" t="n"/>
      <c r="T583" s="845" t="n"/>
      <c r="U583" s="845" t="n"/>
      <c r="V583" s="845" t="n"/>
      <c r="W583" s="845" t="n"/>
      <c r="X583" s="845" t="n"/>
      <c r="Y583" s="845" t="n"/>
      <c r="Z583" s="845" t="n"/>
    </row>
    <row r="584" ht="13.2" customHeight="1" s="1127">
      <c r="A584" s="845" t="n"/>
      <c r="B584" s="845" t="n"/>
      <c r="C584" s="845" t="n"/>
      <c r="D584" s="845" t="n"/>
      <c r="E584" s="845" t="n"/>
      <c r="F584" s="845" t="n"/>
      <c r="G584" s="879" t="n"/>
      <c r="H584" s="845" t="n"/>
      <c r="I584" s="845" t="n"/>
      <c r="J584" s="845" t="n"/>
      <c r="K584" s="845" t="n"/>
      <c r="L584" s="845" t="n"/>
      <c r="M584" s="845" t="n"/>
      <c r="N584" s="845" t="n"/>
      <c r="O584" s="845" t="n"/>
      <c r="P584" s="845" t="n"/>
      <c r="Q584" s="845" t="n"/>
      <c r="R584" s="845" t="n"/>
      <c r="S584" s="845" t="n"/>
      <c r="T584" s="845" t="n"/>
      <c r="U584" s="845" t="n"/>
      <c r="V584" s="845" t="n"/>
      <c r="W584" s="845" t="n"/>
      <c r="X584" s="845" t="n"/>
      <c r="Y584" s="845" t="n"/>
      <c r="Z584" s="845" t="n"/>
    </row>
    <row r="585" ht="13.2" customHeight="1" s="1127">
      <c r="A585" s="845" t="n"/>
      <c r="B585" s="845" t="n"/>
      <c r="C585" s="845" t="n"/>
      <c r="D585" s="845" t="n"/>
      <c r="E585" s="845" t="n"/>
      <c r="F585" s="845" t="n"/>
      <c r="G585" s="879" t="n"/>
      <c r="H585" s="845" t="n"/>
      <c r="I585" s="845" t="n"/>
      <c r="J585" s="845" t="n"/>
      <c r="K585" s="845" t="n"/>
      <c r="L585" s="845" t="n"/>
      <c r="M585" s="845" t="n"/>
      <c r="N585" s="845" t="n"/>
      <c r="O585" s="845" t="n"/>
      <c r="P585" s="845" t="n"/>
      <c r="Q585" s="845" t="n"/>
      <c r="R585" s="845" t="n"/>
      <c r="S585" s="845" t="n"/>
      <c r="T585" s="845" t="n"/>
      <c r="U585" s="845" t="n"/>
      <c r="V585" s="845" t="n"/>
      <c r="W585" s="845" t="n"/>
      <c r="X585" s="845" t="n"/>
      <c r="Y585" s="845" t="n"/>
      <c r="Z585" s="845" t="n"/>
    </row>
    <row r="586" ht="13.2" customHeight="1" s="1127">
      <c r="A586" s="845" t="n"/>
      <c r="B586" s="845" t="n"/>
      <c r="C586" s="845" t="n"/>
      <c r="D586" s="845" t="n"/>
      <c r="E586" s="845" t="n"/>
      <c r="F586" s="845" t="n"/>
      <c r="G586" s="879" t="n"/>
      <c r="H586" s="845" t="n"/>
      <c r="I586" s="845" t="n"/>
      <c r="J586" s="845" t="n"/>
      <c r="K586" s="845" t="n"/>
      <c r="L586" s="845" t="n"/>
      <c r="M586" s="845" t="n"/>
      <c r="N586" s="845" t="n"/>
      <c r="O586" s="845" t="n"/>
      <c r="P586" s="845" t="n"/>
      <c r="Q586" s="845" t="n"/>
      <c r="R586" s="845" t="n"/>
      <c r="S586" s="845" t="n"/>
      <c r="T586" s="845" t="n"/>
      <c r="U586" s="845" t="n"/>
      <c r="V586" s="845" t="n"/>
      <c r="W586" s="845" t="n"/>
      <c r="X586" s="845" t="n"/>
      <c r="Y586" s="845" t="n"/>
      <c r="Z586" s="845" t="n"/>
    </row>
    <row r="587" ht="13.2" customHeight="1" s="1127">
      <c r="A587" s="845" t="n"/>
      <c r="B587" s="845" t="n"/>
      <c r="C587" s="845" t="n"/>
      <c r="D587" s="845" t="n"/>
      <c r="E587" s="845" t="n"/>
      <c r="F587" s="845" t="n"/>
      <c r="G587" s="879" t="n"/>
      <c r="H587" s="845" t="n"/>
      <c r="I587" s="845" t="n"/>
      <c r="J587" s="845" t="n"/>
      <c r="K587" s="845" t="n"/>
      <c r="L587" s="845" t="n"/>
      <c r="M587" s="845" t="n"/>
      <c r="N587" s="845" t="n"/>
      <c r="O587" s="845" t="n"/>
      <c r="P587" s="845" t="n"/>
      <c r="Q587" s="845" t="n"/>
      <c r="R587" s="845" t="n"/>
      <c r="S587" s="845" t="n"/>
      <c r="T587" s="845" t="n"/>
      <c r="U587" s="845" t="n"/>
      <c r="V587" s="845" t="n"/>
      <c r="W587" s="845" t="n"/>
      <c r="X587" s="845" t="n"/>
      <c r="Y587" s="845" t="n"/>
      <c r="Z587" s="845" t="n"/>
    </row>
    <row r="588" ht="13.2" customHeight="1" s="1127">
      <c r="A588" s="845" t="n"/>
      <c r="B588" s="845" t="n"/>
      <c r="C588" s="845" t="n"/>
      <c r="D588" s="845" t="n"/>
      <c r="E588" s="845" t="n"/>
      <c r="F588" s="845" t="n"/>
      <c r="G588" s="879" t="n"/>
      <c r="H588" s="845" t="n"/>
      <c r="I588" s="845" t="n"/>
      <c r="J588" s="845" t="n"/>
      <c r="K588" s="845" t="n"/>
      <c r="L588" s="845" t="n"/>
      <c r="M588" s="845" t="n"/>
      <c r="N588" s="845" t="n"/>
      <c r="O588" s="845" t="n"/>
      <c r="P588" s="845" t="n"/>
      <c r="Q588" s="845" t="n"/>
      <c r="R588" s="845" t="n"/>
      <c r="S588" s="845" t="n"/>
      <c r="T588" s="845" t="n"/>
      <c r="U588" s="845" t="n"/>
      <c r="V588" s="845" t="n"/>
      <c r="W588" s="845" t="n"/>
      <c r="X588" s="845" t="n"/>
      <c r="Y588" s="845" t="n"/>
      <c r="Z588" s="845" t="n"/>
    </row>
    <row r="589" ht="13.2" customHeight="1" s="1127">
      <c r="A589" s="845" t="n"/>
      <c r="B589" s="845" t="n"/>
      <c r="C589" s="845" t="n"/>
      <c r="D589" s="845" t="n"/>
      <c r="E589" s="845" t="n"/>
      <c r="F589" s="845" t="n"/>
      <c r="G589" s="879" t="n"/>
      <c r="H589" s="845" t="n"/>
      <c r="I589" s="845" t="n"/>
      <c r="J589" s="845" t="n"/>
      <c r="K589" s="845" t="n"/>
      <c r="L589" s="845" t="n"/>
      <c r="M589" s="845" t="n"/>
      <c r="N589" s="845" t="n"/>
      <c r="O589" s="845" t="n"/>
      <c r="P589" s="845" t="n"/>
      <c r="Q589" s="845" t="n"/>
      <c r="R589" s="845" t="n"/>
      <c r="S589" s="845" t="n"/>
      <c r="T589" s="845" t="n"/>
      <c r="U589" s="845" t="n"/>
      <c r="V589" s="845" t="n"/>
      <c r="W589" s="845" t="n"/>
      <c r="X589" s="845" t="n"/>
      <c r="Y589" s="845" t="n"/>
      <c r="Z589" s="845" t="n"/>
    </row>
    <row r="590" ht="13.2" customHeight="1" s="1127">
      <c r="A590" s="845" t="n"/>
      <c r="B590" s="845" t="n"/>
      <c r="C590" s="845" t="n"/>
      <c r="D590" s="845" t="n"/>
      <c r="E590" s="845" t="n"/>
      <c r="F590" s="845" t="n"/>
      <c r="G590" s="879" t="n"/>
      <c r="H590" s="845" t="n"/>
      <c r="I590" s="845" t="n"/>
      <c r="J590" s="845" t="n"/>
      <c r="K590" s="845" t="n"/>
      <c r="L590" s="845" t="n"/>
      <c r="M590" s="845" t="n"/>
      <c r="N590" s="845" t="n"/>
      <c r="O590" s="845" t="n"/>
      <c r="P590" s="845" t="n"/>
      <c r="Q590" s="845" t="n"/>
      <c r="R590" s="845" t="n"/>
      <c r="S590" s="845" t="n"/>
      <c r="T590" s="845" t="n"/>
      <c r="U590" s="845" t="n"/>
      <c r="V590" s="845" t="n"/>
      <c r="W590" s="845" t="n"/>
      <c r="X590" s="845" t="n"/>
      <c r="Y590" s="845" t="n"/>
      <c r="Z590" s="845" t="n"/>
    </row>
    <row r="591" ht="13.2" customHeight="1" s="1127">
      <c r="A591" s="845" t="n"/>
      <c r="B591" s="845" t="n"/>
      <c r="C591" s="845" t="n"/>
      <c r="D591" s="845" t="n"/>
      <c r="E591" s="845" t="n"/>
      <c r="F591" s="845" t="n"/>
      <c r="G591" s="879" t="n"/>
      <c r="H591" s="845" t="n"/>
      <c r="I591" s="845" t="n"/>
      <c r="J591" s="845" t="n"/>
      <c r="K591" s="845" t="n"/>
      <c r="L591" s="845" t="n"/>
      <c r="M591" s="845" t="n"/>
      <c r="N591" s="845" t="n"/>
      <c r="O591" s="845" t="n"/>
      <c r="P591" s="845" t="n"/>
      <c r="Q591" s="845" t="n"/>
      <c r="R591" s="845" t="n"/>
      <c r="S591" s="845" t="n"/>
      <c r="T591" s="845" t="n"/>
      <c r="U591" s="845" t="n"/>
      <c r="V591" s="845" t="n"/>
      <c r="W591" s="845" t="n"/>
      <c r="X591" s="845" t="n"/>
      <c r="Y591" s="845" t="n"/>
      <c r="Z591" s="845" t="n"/>
    </row>
    <row r="592" ht="13.2" customHeight="1" s="1127">
      <c r="A592" s="845" t="n"/>
      <c r="B592" s="845" t="n"/>
      <c r="C592" s="845" t="n"/>
      <c r="D592" s="845" t="n"/>
      <c r="E592" s="845" t="n"/>
      <c r="F592" s="845" t="n"/>
      <c r="G592" s="879" t="n"/>
      <c r="H592" s="845" t="n"/>
      <c r="I592" s="845" t="n"/>
      <c r="J592" s="845" t="n"/>
      <c r="K592" s="845" t="n"/>
      <c r="L592" s="845" t="n"/>
      <c r="M592" s="845" t="n"/>
      <c r="N592" s="845" t="n"/>
      <c r="O592" s="845" t="n"/>
      <c r="P592" s="845" t="n"/>
      <c r="Q592" s="845" t="n"/>
      <c r="R592" s="845" t="n"/>
      <c r="S592" s="845" t="n"/>
      <c r="T592" s="845" t="n"/>
      <c r="U592" s="845" t="n"/>
      <c r="V592" s="845" t="n"/>
      <c r="W592" s="845" t="n"/>
      <c r="X592" s="845" t="n"/>
      <c r="Y592" s="845" t="n"/>
      <c r="Z592" s="845" t="n"/>
    </row>
    <row r="593" ht="13.2" customHeight="1" s="1127">
      <c r="A593" s="845" t="n"/>
      <c r="B593" s="845" t="n"/>
      <c r="C593" s="845" t="n"/>
      <c r="D593" s="845" t="n"/>
      <c r="E593" s="845" t="n"/>
      <c r="F593" s="845" t="n"/>
      <c r="G593" s="879" t="n"/>
      <c r="H593" s="845" t="n"/>
      <c r="I593" s="845" t="n"/>
      <c r="J593" s="845" t="n"/>
      <c r="K593" s="845" t="n"/>
      <c r="L593" s="845" t="n"/>
      <c r="M593" s="845" t="n"/>
      <c r="N593" s="845" t="n"/>
      <c r="O593" s="845" t="n"/>
      <c r="P593" s="845" t="n"/>
      <c r="Q593" s="845" t="n"/>
      <c r="R593" s="845" t="n"/>
      <c r="S593" s="845" t="n"/>
      <c r="T593" s="845" t="n"/>
      <c r="U593" s="845" t="n"/>
      <c r="V593" s="845" t="n"/>
      <c r="W593" s="845" t="n"/>
      <c r="X593" s="845" t="n"/>
      <c r="Y593" s="845" t="n"/>
      <c r="Z593" s="845" t="n"/>
    </row>
    <row r="594" ht="13.2" customHeight="1" s="1127">
      <c r="A594" s="845" t="n"/>
      <c r="B594" s="845" t="n"/>
      <c r="C594" s="845" t="n"/>
      <c r="D594" s="845" t="n"/>
      <c r="E594" s="845" t="n"/>
      <c r="F594" s="845" t="n"/>
      <c r="G594" s="879" t="n"/>
      <c r="H594" s="845" t="n"/>
      <c r="I594" s="845" t="n"/>
      <c r="J594" s="845" t="n"/>
      <c r="K594" s="845" t="n"/>
      <c r="L594" s="845" t="n"/>
      <c r="M594" s="845" t="n"/>
      <c r="N594" s="845" t="n"/>
      <c r="O594" s="845" t="n"/>
      <c r="P594" s="845" t="n"/>
      <c r="Q594" s="845" t="n"/>
      <c r="R594" s="845" t="n"/>
      <c r="S594" s="845" t="n"/>
      <c r="T594" s="845" t="n"/>
      <c r="U594" s="845" t="n"/>
      <c r="V594" s="845" t="n"/>
      <c r="W594" s="845" t="n"/>
      <c r="X594" s="845" t="n"/>
      <c r="Y594" s="845" t="n"/>
      <c r="Z594" s="845" t="n"/>
    </row>
    <row r="595" ht="13.2" customHeight="1" s="1127">
      <c r="A595" s="845" t="n"/>
      <c r="B595" s="845" t="n"/>
      <c r="C595" s="845" t="n"/>
      <c r="D595" s="845" t="n"/>
      <c r="E595" s="845" t="n"/>
      <c r="F595" s="845" t="n"/>
      <c r="G595" s="879" t="n"/>
      <c r="H595" s="845" t="n"/>
      <c r="I595" s="845" t="n"/>
      <c r="J595" s="845" t="n"/>
      <c r="K595" s="845" t="n"/>
      <c r="L595" s="845" t="n"/>
      <c r="M595" s="845" t="n"/>
      <c r="N595" s="845" t="n"/>
      <c r="O595" s="845" t="n"/>
      <c r="P595" s="845" t="n"/>
      <c r="Q595" s="845" t="n"/>
      <c r="R595" s="845" t="n"/>
      <c r="S595" s="845" t="n"/>
      <c r="T595" s="845" t="n"/>
      <c r="U595" s="845" t="n"/>
      <c r="V595" s="845" t="n"/>
      <c r="W595" s="845" t="n"/>
      <c r="X595" s="845" t="n"/>
      <c r="Y595" s="845" t="n"/>
      <c r="Z595" s="845" t="n"/>
    </row>
    <row r="596" ht="13.2" customHeight="1" s="1127">
      <c r="A596" s="845" t="n"/>
      <c r="B596" s="845" t="n"/>
      <c r="C596" s="845" t="n"/>
      <c r="D596" s="845" t="n"/>
      <c r="E596" s="845" t="n"/>
      <c r="F596" s="845" t="n"/>
      <c r="G596" s="879" t="n"/>
      <c r="H596" s="845" t="n"/>
      <c r="I596" s="845" t="n"/>
      <c r="J596" s="845" t="n"/>
      <c r="K596" s="845" t="n"/>
      <c r="L596" s="845" t="n"/>
      <c r="M596" s="845" t="n"/>
      <c r="N596" s="845" t="n"/>
      <c r="O596" s="845" t="n"/>
      <c r="P596" s="845" t="n"/>
      <c r="Q596" s="845" t="n"/>
      <c r="R596" s="845" t="n"/>
      <c r="S596" s="845" t="n"/>
      <c r="T596" s="845" t="n"/>
      <c r="U596" s="845" t="n"/>
      <c r="V596" s="845" t="n"/>
      <c r="W596" s="845" t="n"/>
      <c r="X596" s="845" t="n"/>
      <c r="Y596" s="845" t="n"/>
      <c r="Z596" s="845" t="n"/>
    </row>
    <row r="597" ht="13.2" customHeight="1" s="1127">
      <c r="A597" s="845" t="n"/>
      <c r="B597" s="845" t="n"/>
      <c r="C597" s="845" t="n"/>
      <c r="D597" s="845" t="n"/>
      <c r="E597" s="845" t="n"/>
      <c r="F597" s="845" t="n"/>
      <c r="G597" s="879" t="n"/>
      <c r="H597" s="845" t="n"/>
      <c r="I597" s="845" t="n"/>
      <c r="J597" s="845" t="n"/>
      <c r="K597" s="845" t="n"/>
      <c r="L597" s="845" t="n"/>
      <c r="M597" s="845" t="n"/>
      <c r="N597" s="845" t="n"/>
      <c r="O597" s="845" t="n"/>
      <c r="P597" s="845" t="n"/>
      <c r="Q597" s="845" t="n"/>
      <c r="R597" s="845" t="n"/>
      <c r="S597" s="845" t="n"/>
      <c r="T597" s="845" t="n"/>
      <c r="U597" s="845" t="n"/>
      <c r="V597" s="845" t="n"/>
      <c r="W597" s="845" t="n"/>
      <c r="X597" s="845" t="n"/>
      <c r="Y597" s="845" t="n"/>
      <c r="Z597" s="845" t="n"/>
    </row>
    <row r="598" ht="13.2" customHeight="1" s="1127">
      <c r="A598" s="845" t="n"/>
      <c r="B598" s="845" t="n"/>
      <c r="C598" s="845" t="n"/>
      <c r="D598" s="845" t="n"/>
      <c r="E598" s="845" t="n"/>
      <c r="F598" s="845" t="n"/>
      <c r="G598" s="879" t="n"/>
      <c r="H598" s="845" t="n"/>
      <c r="I598" s="845" t="n"/>
      <c r="J598" s="845" t="n"/>
      <c r="K598" s="845" t="n"/>
      <c r="L598" s="845" t="n"/>
      <c r="M598" s="845" t="n"/>
      <c r="N598" s="845" t="n"/>
      <c r="O598" s="845" t="n"/>
      <c r="P598" s="845" t="n"/>
      <c r="Q598" s="845" t="n"/>
      <c r="R598" s="845" t="n"/>
      <c r="S598" s="845" t="n"/>
      <c r="T598" s="845" t="n"/>
      <c r="U598" s="845" t="n"/>
      <c r="V598" s="845" t="n"/>
      <c r="W598" s="845" t="n"/>
      <c r="X598" s="845" t="n"/>
      <c r="Y598" s="845" t="n"/>
      <c r="Z598" s="845" t="n"/>
    </row>
    <row r="599" ht="13.2" customHeight="1" s="1127">
      <c r="A599" s="845" t="n"/>
      <c r="B599" s="845" t="n"/>
      <c r="C599" s="845" t="n"/>
      <c r="D599" s="845" t="n"/>
      <c r="E599" s="845" t="n"/>
      <c r="F599" s="845" t="n"/>
      <c r="G599" s="879" t="n"/>
      <c r="H599" s="845" t="n"/>
      <c r="I599" s="845" t="n"/>
      <c r="J599" s="845" t="n"/>
      <c r="K599" s="845" t="n"/>
      <c r="L599" s="845" t="n"/>
      <c r="M599" s="845" t="n"/>
      <c r="N599" s="845" t="n"/>
      <c r="O599" s="845" t="n"/>
      <c r="P599" s="845" t="n"/>
      <c r="Q599" s="845" t="n"/>
      <c r="R599" s="845" t="n"/>
      <c r="S599" s="845" t="n"/>
      <c r="T599" s="845" t="n"/>
      <c r="U599" s="845" t="n"/>
      <c r="V599" s="845" t="n"/>
      <c r="W599" s="845" t="n"/>
      <c r="X599" s="845" t="n"/>
      <c r="Y599" s="845" t="n"/>
      <c r="Z599" s="845" t="n"/>
    </row>
    <row r="600" ht="13.2" customHeight="1" s="1127">
      <c r="A600" s="845" t="n"/>
      <c r="B600" s="845" t="n"/>
      <c r="C600" s="845" t="n"/>
      <c r="D600" s="845" t="n"/>
      <c r="E600" s="845" t="n"/>
      <c r="F600" s="845" t="n"/>
      <c r="G600" s="879" t="n"/>
      <c r="H600" s="845" t="n"/>
      <c r="I600" s="845" t="n"/>
      <c r="J600" s="845" t="n"/>
      <c r="K600" s="845" t="n"/>
      <c r="L600" s="845" t="n"/>
      <c r="M600" s="845" t="n"/>
      <c r="N600" s="845" t="n"/>
      <c r="O600" s="845" t="n"/>
      <c r="P600" s="845" t="n"/>
      <c r="Q600" s="845" t="n"/>
      <c r="R600" s="845" t="n"/>
      <c r="S600" s="845" t="n"/>
      <c r="T600" s="845" t="n"/>
      <c r="U600" s="845" t="n"/>
      <c r="V600" s="845" t="n"/>
      <c r="W600" s="845" t="n"/>
      <c r="X600" s="845" t="n"/>
      <c r="Y600" s="845" t="n"/>
      <c r="Z600" s="845" t="n"/>
    </row>
    <row r="601" ht="13.2" customHeight="1" s="1127">
      <c r="A601" s="845" t="n"/>
      <c r="B601" s="845" t="n"/>
      <c r="C601" s="845" t="n"/>
      <c r="D601" s="845" t="n"/>
      <c r="E601" s="845" t="n"/>
      <c r="F601" s="845" t="n"/>
      <c r="G601" s="879" t="n"/>
      <c r="H601" s="845" t="n"/>
      <c r="I601" s="845" t="n"/>
      <c r="J601" s="845" t="n"/>
      <c r="K601" s="845" t="n"/>
      <c r="L601" s="845" t="n"/>
      <c r="M601" s="845" t="n"/>
      <c r="N601" s="845" t="n"/>
      <c r="O601" s="845" t="n"/>
      <c r="P601" s="845" t="n"/>
      <c r="Q601" s="845" t="n"/>
      <c r="R601" s="845" t="n"/>
      <c r="S601" s="845" t="n"/>
      <c r="T601" s="845" t="n"/>
      <c r="U601" s="845" t="n"/>
      <c r="V601" s="845" t="n"/>
      <c r="W601" s="845" t="n"/>
      <c r="X601" s="845" t="n"/>
      <c r="Y601" s="845" t="n"/>
      <c r="Z601" s="845" t="n"/>
    </row>
    <row r="602" ht="13.2" customHeight="1" s="1127">
      <c r="A602" s="845" t="n"/>
      <c r="B602" s="845" t="n"/>
      <c r="C602" s="845" t="n"/>
      <c r="D602" s="845" t="n"/>
      <c r="E602" s="845" t="n"/>
      <c r="F602" s="845" t="n"/>
      <c r="G602" s="879" t="n"/>
      <c r="H602" s="845" t="n"/>
      <c r="I602" s="845" t="n"/>
      <c r="J602" s="845" t="n"/>
      <c r="K602" s="845" t="n"/>
      <c r="L602" s="845" t="n"/>
      <c r="M602" s="845" t="n"/>
      <c r="N602" s="845" t="n"/>
      <c r="O602" s="845" t="n"/>
      <c r="P602" s="845" t="n"/>
      <c r="Q602" s="845" t="n"/>
      <c r="R602" s="845" t="n"/>
      <c r="S602" s="845" t="n"/>
      <c r="T602" s="845" t="n"/>
      <c r="U602" s="845" t="n"/>
      <c r="V602" s="845" t="n"/>
      <c r="W602" s="845" t="n"/>
      <c r="X602" s="845" t="n"/>
      <c r="Y602" s="845" t="n"/>
      <c r="Z602" s="845" t="n"/>
    </row>
    <row r="603" ht="13.2" customHeight="1" s="1127">
      <c r="A603" s="845" t="n"/>
      <c r="B603" s="845" t="n"/>
      <c r="C603" s="845" t="n"/>
      <c r="D603" s="845" t="n"/>
      <c r="E603" s="845" t="n"/>
      <c r="F603" s="845" t="n"/>
      <c r="G603" s="879" t="n"/>
      <c r="H603" s="845" t="n"/>
      <c r="I603" s="845" t="n"/>
      <c r="J603" s="845" t="n"/>
      <c r="K603" s="845" t="n"/>
      <c r="L603" s="845" t="n"/>
      <c r="M603" s="845" t="n"/>
      <c r="N603" s="845" t="n"/>
      <c r="O603" s="845" t="n"/>
      <c r="P603" s="845" t="n"/>
      <c r="Q603" s="845" t="n"/>
      <c r="R603" s="845" t="n"/>
      <c r="S603" s="845" t="n"/>
      <c r="T603" s="845" t="n"/>
      <c r="U603" s="845" t="n"/>
      <c r="V603" s="845" t="n"/>
      <c r="W603" s="845" t="n"/>
      <c r="X603" s="845" t="n"/>
      <c r="Y603" s="845" t="n"/>
      <c r="Z603" s="845" t="n"/>
    </row>
    <row r="604" ht="13.2" customHeight="1" s="1127">
      <c r="A604" s="845" t="n"/>
      <c r="B604" s="845" t="n"/>
      <c r="C604" s="845" t="n"/>
      <c r="D604" s="845" t="n"/>
      <c r="E604" s="845" t="n"/>
      <c r="F604" s="845" t="n"/>
      <c r="G604" s="879" t="n"/>
      <c r="H604" s="845" t="n"/>
      <c r="I604" s="845" t="n"/>
      <c r="J604" s="845" t="n"/>
      <c r="K604" s="845" t="n"/>
      <c r="L604" s="845" t="n"/>
      <c r="M604" s="845" t="n"/>
      <c r="N604" s="845" t="n"/>
      <c r="O604" s="845" t="n"/>
      <c r="P604" s="845" t="n"/>
      <c r="Q604" s="845" t="n"/>
      <c r="R604" s="845" t="n"/>
      <c r="S604" s="845" t="n"/>
      <c r="T604" s="845" t="n"/>
      <c r="U604" s="845" t="n"/>
      <c r="V604" s="845" t="n"/>
      <c r="W604" s="845" t="n"/>
      <c r="X604" s="845" t="n"/>
      <c r="Y604" s="845" t="n"/>
      <c r="Z604" s="845" t="n"/>
    </row>
    <row r="605" ht="13.2" customHeight="1" s="1127">
      <c r="A605" s="845" t="n"/>
      <c r="B605" s="845" t="n"/>
      <c r="C605" s="845" t="n"/>
      <c r="D605" s="845" t="n"/>
      <c r="E605" s="845" t="n"/>
      <c r="F605" s="845" t="n"/>
      <c r="G605" s="879" t="n"/>
      <c r="H605" s="845" t="n"/>
      <c r="I605" s="845" t="n"/>
      <c r="J605" s="845" t="n"/>
      <c r="K605" s="845" t="n"/>
      <c r="L605" s="845" t="n"/>
      <c r="M605" s="845" t="n"/>
      <c r="N605" s="845" t="n"/>
      <c r="O605" s="845" t="n"/>
      <c r="P605" s="845" t="n"/>
      <c r="Q605" s="845" t="n"/>
      <c r="R605" s="845" t="n"/>
      <c r="S605" s="845" t="n"/>
      <c r="T605" s="845" t="n"/>
      <c r="U605" s="845" t="n"/>
      <c r="V605" s="845" t="n"/>
      <c r="W605" s="845" t="n"/>
      <c r="X605" s="845" t="n"/>
      <c r="Y605" s="845" t="n"/>
      <c r="Z605" s="845" t="n"/>
    </row>
    <row r="606" ht="13.2" customHeight="1" s="1127">
      <c r="A606" s="845" t="n"/>
      <c r="B606" s="845" t="n"/>
      <c r="C606" s="845" t="n"/>
      <c r="D606" s="845" t="n"/>
      <c r="E606" s="845" t="n"/>
      <c r="F606" s="845" t="n"/>
      <c r="G606" s="879" t="n"/>
      <c r="H606" s="845" t="n"/>
      <c r="I606" s="845" t="n"/>
      <c r="J606" s="845" t="n"/>
      <c r="K606" s="845" t="n"/>
      <c r="L606" s="845" t="n"/>
      <c r="M606" s="845" t="n"/>
      <c r="N606" s="845" t="n"/>
      <c r="O606" s="845" t="n"/>
      <c r="P606" s="845" t="n"/>
      <c r="Q606" s="845" t="n"/>
      <c r="R606" s="845" t="n"/>
      <c r="S606" s="845" t="n"/>
      <c r="T606" s="845" t="n"/>
      <c r="U606" s="845" t="n"/>
      <c r="V606" s="845" t="n"/>
      <c r="W606" s="845" t="n"/>
      <c r="X606" s="845" t="n"/>
      <c r="Y606" s="845" t="n"/>
      <c r="Z606" s="845" t="n"/>
    </row>
    <row r="607" ht="13.2" customHeight="1" s="1127">
      <c r="A607" s="845" t="n"/>
      <c r="B607" s="845" t="n"/>
      <c r="C607" s="845" t="n"/>
      <c r="D607" s="845" t="n"/>
      <c r="E607" s="845" t="n"/>
      <c r="F607" s="845" t="n"/>
      <c r="G607" s="879" t="n"/>
      <c r="H607" s="845" t="n"/>
      <c r="I607" s="845" t="n"/>
      <c r="J607" s="845" t="n"/>
      <c r="K607" s="845" t="n"/>
      <c r="L607" s="845" t="n"/>
      <c r="M607" s="845" t="n"/>
      <c r="N607" s="845" t="n"/>
      <c r="O607" s="845" t="n"/>
      <c r="P607" s="845" t="n"/>
      <c r="Q607" s="845" t="n"/>
      <c r="R607" s="845" t="n"/>
      <c r="S607" s="845" t="n"/>
      <c r="T607" s="845" t="n"/>
      <c r="U607" s="845" t="n"/>
      <c r="V607" s="845" t="n"/>
      <c r="W607" s="845" t="n"/>
      <c r="X607" s="845" t="n"/>
      <c r="Y607" s="845" t="n"/>
      <c r="Z607" s="845" t="n"/>
    </row>
    <row r="608" ht="13.2" customHeight="1" s="1127">
      <c r="A608" s="845" t="n"/>
      <c r="B608" s="845" t="n"/>
      <c r="C608" s="845" t="n"/>
      <c r="D608" s="845" t="n"/>
      <c r="E608" s="845" t="n"/>
      <c r="F608" s="845" t="n"/>
      <c r="G608" s="879" t="n"/>
      <c r="H608" s="845" t="n"/>
      <c r="I608" s="845" t="n"/>
      <c r="J608" s="845" t="n"/>
      <c r="K608" s="845" t="n"/>
      <c r="L608" s="845" t="n"/>
      <c r="M608" s="845" t="n"/>
      <c r="N608" s="845" t="n"/>
      <c r="O608" s="845" t="n"/>
      <c r="P608" s="845" t="n"/>
      <c r="Q608" s="845" t="n"/>
      <c r="R608" s="845" t="n"/>
      <c r="S608" s="845" t="n"/>
      <c r="T608" s="845" t="n"/>
      <c r="U608" s="845" t="n"/>
      <c r="V608" s="845" t="n"/>
      <c r="W608" s="845" t="n"/>
      <c r="X608" s="845" t="n"/>
      <c r="Y608" s="845" t="n"/>
      <c r="Z608" s="845" t="n"/>
    </row>
    <row r="609" ht="13.2" customHeight="1" s="1127">
      <c r="A609" s="845" t="n"/>
      <c r="B609" s="845" t="n"/>
      <c r="C609" s="845" t="n"/>
      <c r="D609" s="845" t="n"/>
      <c r="E609" s="845" t="n"/>
      <c r="F609" s="845" t="n"/>
      <c r="G609" s="879" t="n"/>
      <c r="H609" s="845" t="n"/>
      <c r="I609" s="845" t="n"/>
      <c r="J609" s="845" t="n"/>
      <c r="K609" s="845" t="n"/>
      <c r="L609" s="845" t="n"/>
      <c r="M609" s="845" t="n"/>
      <c r="N609" s="845" t="n"/>
      <c r="O609" s="845" t="n"/>
      <c r="P609" s="845" t="n"/>
      <c r="Q609" s="845" t="n"/>
      <c r="R609" s="845" t="n"/>
      <c r="S609" s="845" t="n"/>
      <c r="T609" s="845" t="n"/>
      <c r="U609" s="845" t="n"/>
      <c r="V609" s="845" t="n"/>
      <c r="W609" s="845" t="n"/>
      <c r="X609" s="845" t="n"/>
      <c r="Y609" s="845" t="n"/>
      <c r="Z609" s="845" t="n"/>
    </row>
    <row r="610" ht="13.2" customHeight="1" s="1127">
      <c r="A610" s="845" t="n"/>
      <c r="B610" s="845" t="n"/>
      <c r="C610" s="845" t="n"/>
      <c r="D610" s="845" t="n"/>
      <c r="E610" s="845" t="n"/>
      <c r="F610" s="845" t="n"/>
      <c r="G610" s="879" t="n"/>
      <c r="H610" s="845" t="n"/>
      <c r="I610" s="845" t="n"/>
      <c r="J610" s="845" t="n"/>
      <c r="K610" s="845" t="n"/>
      <c r="L610" s="845" t="n"/>
      <c r="M610" s="845" t="n"/>
      <c r="N610" s="845" t="n"/>
      <c r="O610" s="845" t="n"/>
      <c r="P610" s="845" t="n"/>
      <c r="Q610" s="845" t="n"/>
      <c r="R610" s="845" t="n"/>
      <c r="S610" s="845" t="n"/>
      <c r="T610" s="845" t="n"/>
      <c r="U610" s="845" t="n"/>
      <c r="V610" s="845" t="n"/>
      <c r="W610" s="845" t="n"/>
      <c r="X610" s="845" t="n"/>
      <c r="Y610" s="845" t="n"/>
      <c r="Z610" s="845" t="n"/>
    </row>
    <row r="611" ht="13.2" customHeight="1" s="1127">
      <c r="A611" s="845" t="n"/>
      <c r="B611" s="845" t="n"/>
      <c r="C611" s="845" t="n"/>
      <c r="D611" s="845" t="n"/>
      <c r="E611" s="845" t="n"/>
      <c r="F611" s="845" t="n"/>
      <c r="G611" s="879" t="n"/>
      <c r="H611" s="845" t="n"/>
      <c r="I611" s="845" t="n"/>
      <c r="J611" s="845" t="n"/>
      <c r="K611" s="845" t="n"/>
      <c r="L611" s="845" t="n"/>
      <c r="M611" s="845" t="n"/>
      <c r="N611" s="845" t="n"/>
      <c r="O611" s="845" t="n"/>
      <c r="P611" s="845" t="n"/>
      <c r="Q611" s="845" t="n"/>
      <c r="R611" s="845" t="n"/>
      <c r="S611" s="845" t="n"/>
      <c r="T611" s="845" t="n"/>
      <c r="U611" s="845" t="n"/>
      <c r="V611" s="845" t="n"/>
      <c r="W611" s="845" t="n"/>
      <c r="X611" s="845" t="n"/>
      <c r="Y611" s="845" t="n"/>
      <c r="Z611" s="845" t="n"/>
    </row>
    <row r="612" ht="13.2" customHeight="1" s="1127">
      <c r="A612" s="845" t="n"/>
      <c r="B612" s="845" t="n"/>
      <c r="C612" s="845" t="n"/>
      <c r="D612" s="845" t="n"/>
      <c r="E612" s="845" t="n"/>
      <c r="F612" s="845" t="n"/>
      <c r="G612" s="879" t="n"/>
      <c r="H612" s="845" t="n"/>
      <c r="I612" s="845" t="n"/>
      <c r="J612" s="845" t="n"/>
      <c r="K612" s="845" t="n"/>
      <c r="L612" s="845" t="n"/>
      <c r="M612" s="845" t="n"/>
      <c r="N612" s="845" t="n"/>
      <c r="O612" s="845" t="n"/>
      <c r="P612" s="845" t="n"/>
      <c r="Q612" s="845" t="n"/>
      <c r="R612" s="845" t="n"/>
      <c r="S612" s="845" t="n"/>
      <c r="T612" s="845" t="n"/>
      <c r="U612" s="845" t="n"/>
      <c r="V612" s="845" t="n"/>
      <c r="W612" s="845" t="n"/>
      <c r="X612" s="845" t="n"/>
      <c r="Y612" s="845" t="n"/>
      <c r="Z612" s="845" t="n"/>
    </row>
    <row r="613" ht="13.2" customHeight="1" s="1127">
      <c r="A613" s="845" t="n"/>
      <c r="B613" s="845" t="n"/>
      <c r="C613" s="845" t="n"/>
      <c r="D613" s="845" t="n"/>
      <c r="E613" s="845" t="n"/>
      <c r="F613" s="845" t="n"/>
      <c r="G613" s="879" t="n"/>
      <c r="H613" s="845" t="n"/>
      <c r="I613" s="845" t="n"/>
      <c r="J613" s="845" t="n"/>
      <c r="K613" s="845" t="n"/>
      <c r="L613" s="845" t="n"/>
      <c r="M613" s="845" t="n"/>
      <c r="N613" s="845" t="n"/>
      <c r="O613" s="845" t="n"/>
      <c r="P613" s="845" t="n"/>
      <c r="Q613" s="845" t="n"/>
      <c r="R613" s="845" t="n"/>
      <c r="S613" s="845" t="n"/>
      <c r="T613" s="845" t="n"/>
      <c r="U613" s="845" t="n"/>
      <c r="V613" s="845" t="n"/>
      <c r="W613" s="845" t="n"/>
      <c r="X613" s="845" t="n"/>
      <c r="Y613" s="845" t="n"/>
      <c r="Z613" s="845" t="n"/>
    </row>
    <row r="614" ht="13.2" customHeight="1" s="1127">
      <c r="A614" s="845" t="n"/>
      <c r="B614" s="845" t="n"/>
      <c r="C614" s="845" t="n"/>
      <c r="D614" s="845" t="n"/>
      <c r="E614" s="845" t="n"/>
      <c r="F614" s="845" t="n"/>
      <c r="G614" s="879" t="n"/>
      <c r="H614" s="845" t="n"/>
      <c r="I614" s="845" t="n"/>
      <c r="J614" s="845" t="n"/>
      <c r="K614" s="845" t="n"/>
      <c r="L614" s="845" t="n"/>
      <c r="M614" s="845" t="n"/>
      <c r="N614" s="845" t="n"/>
      <c r="O614" s="845" t="n"/>
      <c r="P614" s="845" t="n"/>
      <c r="Q614" s="845" t="n"/>
      <c r="R614" s="845" t="n"/>
      <c r="S614" s="845" t="n"/>
      <c r="T614" s="845" t="n"/>
      <c r="U614" s="845" t="n"/>
      <c r="V614" s="845" t="n"/>
      <c r="W614" s="845" t="n"/>
      <c r="X614" s="845" t="n"/>
      <c r="Y614" s="845" t="n"/>
      <c r="Z614" s="845" t="n"/>
    </row>
    <row r="615" ht="13.2" customHeight="1" s="1127">
      <c r="A615" s="845" t="n"/>
      <c r="B615" s="845" t="n"/>
      <c r="C615" s="845" t="n"/>
      <c r="D615" s="845" t="n"/>
      <c r="E615" s="845" t="n"/>
      <c r="F615" s="845" t="n"/>
      <c r="G615" s="879" t="n"/>
      <c r="H615" s="845" t="n"/>
      <c r="I615" s="845" t="n"/>
      <c r="J615" s="845" t="n"/>
      <c r="K615" s="845" t="n"/>
      <c r="L615" s="845" t="n"/>
      <c r="M615" s="845" t="n"/>
      <c r="N615" s="845" t="n"/>
      <c r="O615" s="845" t="n"/>
      <c r="P615" s="845" t="n"/>
      <c r="Q615" s="845" t="n"/>
      <c r="R615" s="845" t="n"/>
      <c r="S615" s="845" t="n"/>
      <c r="T615" s="845" t="n"/>
      <c r="U615" s="845" t="n"/>
      <c r="V615" s="845" t="n"/>
      <c r="W615" s="845" t="n"/>
      <c r="X615" s="845" t="n"/>
      <c r="Y615" s="845" t="n"/>
      <c r="Z615" s="845" t="n"/>
    </row>
    <row r="616" ht="13.2" customHeight="1" s="1127">
      <c r="A616" s="845" t="n"/>
      <c r="B616" s="845" t="n"/>
      <c r="C616" s="845" t="n"/>
      <c r="D616" s="845" t="n"/>
      <c r="E616" s="845" t="n"/>
      <c r="F616" s="845" t="n"/>
      <c r="G616" s="879" t="n"/>
      <c r="H616" s="845" t="n"/>
      <c r="I616" s="845" t="n"/>
      <c r="J616" s="845" t="n"/>
      <c r="K616" s="845" t="n"/>
      <c r="L616" s="845" t="n"/>
      <c r="M616" s="845" t="n"/>
      <c r="N616" s="845" t="n"/>
      <c r="O616" s="845" t="n"/>
      <c r="P616" s="845" t="n"/>
      <c r="Q616" s="845" t="n"/>
      <c r="R616" s="845" t="n"/>
      <c r="S616" s="845" t="n"/>
      <c r="T616" s="845" t="n"/>
      <c r="U616" s="845" t="n"/>
      <c r="V616" s="845" t="n"/>
      <c r="W616" s="845" t="n"/>
      <c r="X616" s="845" t="n"/>
      <c r="Y616" s="845" t="n"/>
      <c r="Z616" s="845" t="n"/>
    </row>
    <row r="617" ht="13.2" customHeight="1" s="1127">
      <c r="A617" s="845" t="n"/>
      <c r="B617" s="845" t="n"/>
      <c r="C617" s="845" t="n"/>
      <c r="D617" s="845" t="n"/>
      <c r="E617" s="845" t="n"/>
      <c r="F617" s="845" t="n"/>
      <c r="G617" s="879" t="n"/>
      <c r="H617" s="845" t="n"/>
      <c r="I617" s="845" t="n"/>
      <c r="J617" s="845" t="n"/>
      <c r="K617" s="845" t="n"/>
      <c r="L617" s="845" t="n"/>
      <c r="M617" s="845" t="n"/>
      <c r="N617" s="845" t="n"/>
      <c r="O617" s="845" t="n"/>
      <c r="P617" s="845" t="n"/>
      <c r="Q617" s="845" t="n"/>
      <c r="R617" s="845" t="n"/>
      <c r="S617" s="845" t="n"/>
      <c r="T617" s="845" t="n"/>
      <c r="U617" s="845" t="n"/>
      <c r="V617" s="845" t="n"/>
      <c r="W617" s="845" t="n"/>
      <c r="X617" s="845" t="n"/>
      <c r="Y617" s="845" t="n"/>
      <c r="Z617" s="845" t="n"/>
    </row>
    <row r="618" ht="13.2" customHeight="1" s="1127">
      <c r="A618" s="845" t="n"/>
      <c r="B618" s="845" t="n"/>
      <c r="C618" s="845" t="n"/>
      <c r="D618" s="845" t="n"/>
      <c r="E618" s="845" t="n"/>
      <c r="F618" s="845" t="n"/>
      <c r="G618" s="879" t="n"/>
      <c r="H618" s="845" t="n"/>
      <c r="I618" s="845" t="n"/>
      <c r="J618" s="845" t="n"/>
      <c r="K618" s="845" t="n"/>
      <c r="L618" s="845" t="n"/>
      <c r="M618" s="845" t="n"/>
      <c r="N618" s="845" t="n"/>
      <c r="O618" s="845" t="n"/>
      <c r="P618" s="845" t="n"/>
      <c r="Q618" s="845" t="n"/>
      <c r="R618" s="845" t="n"/>
      <c r="S618" s="845" t="n"/>
      <c r="T618" s="845" t="n"/>
      <c r="U618" s="845" t="n"/>
      <c r="V618" s="845" t="n"/>
      <c r="W618" s="845" t="n"/>
      <c r="X618" s="845" t="n"/>
      <c r="Y618" s="845" t="n"/>
      <c r="Z618" s="845" t="n"/>
    </row>
    <row r="619" ht="13.2" customHeight="1" s="1127">
      <c r="A619" s="845" t="n"/>
      <c r="B619" s="845" t="n"/>
      <c r="C619" s="845" t="n"/>
      <c r="D619" s="845" t="n"/>
      <c r="E619" s="845" t="n"/>
      <c r="F619" s="845" t="n"/>
      <c r="G619" s="879" t="n"/>
      <c r="H619" s="845" t="n"/>
      <c r="I619" s="845" t="n"/>
      <c r="J619" s="845" t="n"/>
      <c r="K619" s="845" t="n"/>
      <c r="L619" s="845" t="n"/>
      <c r="M619" s="845" t="n"/>
      <c r="N619" s="845" t="n"/>
      <c r="O619" s="845" t="n"/>
      <c r="P619" s="845" t="n"/>
      <c r="Q619" s="845" t="n"/>
      <c r="R619" s="845" t="n"/>
      <c r="S619" s="845" t="n"/>
      <c r="T619" s="845" t="n"/>
      <c r="U619" s="845" t="n"/>
      <c r="V619" s="845" t="n"/>
      <c r="W619" s="845" t="n"/>
      <c r="X619" s="845" t="n"/>
      <c r="Y619" s="845" t="n"/>
      <c r="Z619" s="845" t="n"/>
    </row>
    <row r="620" ht="13.2" customHeight="1" s="1127">
      <c r="A620" s="845" t="n"/>
      <c r="B620" s="845" t="n"/>
      <c r="C620" s="845" t="n"/>
      <c r="D620" s="845" t="n"/>
      <c r="E620" s="845" t="n"/>
      <c r="F620" s="845" t="n"/>
      <c r="G620" s="879" t="n"/>
      <c r="H620" s="845" t="n"/>
      <c r="I620" s="845" t="n"/>
      <c r="J620" s="845" t="n"/>
      <c r="K620" s="845" t="n"/>
      <c r="L620" s="845" t="n"/>
      <c r="M620" s="845" t="n"/>
      <c r="N620" s="845" t="n"/>
      <c r="O620" s="845" t="n"/>
      <c r="P620" s="845" t="n"/>
      <c r="Q620" s="845" t="n"/>
      <c r="R620" s="845" t="n"/>
      <c r="S620" s="845" t="n"/>
      <c r="T620" s="845" t="n"/>
      <c r="U620" s="845" t="n"/>
      <c r="V620" s="845" t="n"/>
      <c r="W620" s="845" t="n"/>
      <c r="X620" s="845" t="n"/>
      <c r="Y620" s="845" t="n"/>
      <c r="Z620" s="845" t="n"/>
    </row>
    <row r="621" ht="13.2" customHeight="1" s="1127">
      <c r="A621" s="845" t="n"/>
      <c r="B621" s="845" t="n"/>
      <c r="C621" s="845" t="n"/>
      <c r="D621" s="845" t="n"/>
      <c r="E621" s="845" t="n"/>
      <c r="F621" s="845" t="n"/>
      <c r="G621" s="879" t="n"/>
      <c r="H621" s="845" t="n"/>
      <c r="I621" s="845" t="n"/>
      <c r="J621" s="845" t="n"/>
      <c r="K621" s="845" t="n"/>
      <c r="L621" s="845" t="n"/>
      <c r="M621" s="845" t="n"/>
      <c r="N621" s="845" t="n"/>
      <c r="O621" s="845" t="n"/>
      <c r="P621" s="845" t="n"/>
      <c r="Q621" s="845" t="n"/>
      <c r="R621" s="845" t="n"/>
      <c r="S621" s="845" t="n"/>
      <c r="T621" s="845" t="n"/>
      <c r="U621" s="845" t="n"/>
      <c r="V621" s="845" t="n"/>
      <c r="W621" s="845" t="n"/>
      <c r="X621" s="845" t="n"/>
      <c r="Y621" s="845" t="n"/>
      <c r="Z621" s="845" t="n"/>
    </row>
    <row r="622" ht="13.2" customHeight="1" s="1127">
      <c r="A622" s="845" t="n"/>
      <c r="B622" s="845" t="n"/>
      <c r="C622" s="845" t="n"/>
      <c r="D622" s="845" t="n"/>
      <c r="E622" s="845" t="n"/>
      <c r="F622" s="845" t="n"/>
      <c r="G622" s="879" t="n"/>
      <c r="H622" s="845" t="n"/>
      <c r="I622" s="845" t="n"/>
      <c r="J622" s="845" t="n"/>
      <c r="K622" s="845" t="n"/>
      <c r="L622" s="845" t="n"/>
      <c r="M622" s="845" t="n"/>
      <c r="N622" s="845" t="n"/>
      <c r="O622" s="845" t="n"/>
      <c r="P622" s="845" t="n"/>
      <c r="Q622" s="845" t="n"/>
      <c r="R622" s="845" t="n"/>
      <c r="S622" s="845" t="n"/>
      <c r="T622" s="845" t="n"/>
      <c r="U622" s="845" t="n"/>
      <c r="V622" s="845" t="n"/>
      <c r="W622" s="845" t="n"/>
      <c r="X622" s="845" t="n"/>
      <c r="Y622" s="845" t="n"/>
      <c r="Z622" s="845" t="n"/>
    </row>
    <row r="623" ht="13.2" customHeight="1" s="1127">
      <c r="A623" s="845" t="n"/>
      <c r="B623" s="845" t="n"/>
      <c r="C623" s="845" t="n"/>
      <c r="D623" s="845" t="n"/>
      <c r="E623" s="845" t="n"/>
      <c r="F623" s="845" t="n"/>
      <c r="G623" s="879" t="n"/>
      <c r="H623" s="845" t="n"/>
      <c r="I623" s="845" t="n"/>
      <c r="J623" s="845" t="n"/>
      <c r="K623" s="845" t="n"/>
      <c r="L623" s="845" t="n"/>
      <c r="M623" s="845" t="n"/>
      <c r="N623" s="845" t="n"/>
      <c r="O623" s="845" t="n"/>
      <c r="P623" s="845" t="n"/>
      <c r="Q623" s="845" t="n"/>
      <c r="R623" s="845" t="n"/>
      <c r="S623" s="845" t="n"/>
      <c r="T623" s="845" t="n"/>
      <c r="U623" s="845" t="n"/>
      <c r="V623" s="845" t="n"/>
      <c r="W623" s="845" t="n"/>
      <c r="X623" s="845" t="n"/>
      <c r="Y623" s="845" t="n"/>
      <c r="Z623" s="845" t="n"/>
    </row>
    <row r="624" ht="13.2" customHeight="1" s="1127">
      <c r="A624" s="845" t="n"/>
      <c r="B624" s="845" t="n"/>
      <c r="C624" s="845" t="n"/>
      <c r="D624" s="845" t="n"/>
      <c r="E624" s="845" t="n"/>
      <c r="F624" s="845" t="n"/>
      <c r="G624" s="879" t="n"/>
      <c r="H624" s="845" t="n"/>
      <c r="I624" s="845" t="n"/>
      <c r="J624" s="845" t="n"/>
      <c r="K624" s="845" t="n"/>
      <c r="L624" s="845" t="n"/>
      <c r="M624" s="845" t="n"/>
      <c r="N624" s="845" t="n"/>
      <c r="O624" s="845" t="n"/>
      <c r="P624" s="845" t="n"/>
      <c r="Q624" s="845" t="n"/>
      <c r="R624" s="845" t="n"/>
      <c r="S624" s="845" t="n"/>
      <c r="T624" s="845" t="n"/>
      <c r="U624" s="845" t="n"/>
      <c r="V624" s="845" t="n"/>
      <c r="W624" s="845" t="n"/>
      <c r="X624" s="845" t="n"/>
      <c r="Y624" s="845" t="n"/>
      <c r="Z624" s="845" t="n"/>
    </row>
    <row r="625" ht="13.2" customHeight="1" s="1127">
      <c r="A625" s="845" t="n"/>
      <c r="B625" s="845" t="n"/>
      <c r="C625" s="845" t="n"/>
      <c r="D625" s="845" t="n"/>
      <c r="E625" s="845" t="n"/>
      <c r="F625" s="845" t="n"/>
      <c r="G625" s="879" t="n"/>
      <c r="H625" s="845" t="n"/>
      <c r="I625" s="845" t="n"/>
      <c r="J625" s="845" t="n"/>
      <c r="K625" s="845" t="n"/>
      <c r="L625" s="845" t="n"/>
      <c r="M625" s="845" t="n"/>
      <c r="N625" s="845" t="n"/>
      <c r="O625" s="845" t="n"/>
      <c r="P625" s="845" t="n"/>
      <c r="Q625" s="845" t="n"/>
      <c r="R625" s="845" t="n"/>
      <c r="S625" s="845" t="n"/>
      <c r="T625" s="845" t="n"/>
      <c r="U625" s="845" t="n"/>
      <c r="V625" s="845" t="n"/>
      <c r="W625" s="845" t="n"/>
      <c r="X625" s="845" t="n"/>
      <c r="Y625" s="845" t="n"/>
      <c r="Z625" s="845" t="n"/>
    </row>
    <row r="626" ht="13.2" customHeight="1" s="1127">
      <c r="A626" s="845" t="n"/>
      <c r="B626" s="845" t="n"/>
      <c r="C626" s="845" t="n"/>
      <c r="D626" s="845" t="n"/>
      <c r="E626" s="845" t="n"/>
      <c r="F626" s="845" t="n"/>
      <c r="G626" s="879" t="n"/>
      <c r="H626" s="845" t="n"/>
      <c r="I626" s="845" t="n"/>
      <c r="J626" s="845" t="n"/>
      <c r="K626" s="845" t="n"/>
      <c r="L626" s="845" t="n"/>
      <c r="M626" s="845" t="n"/>
      <c r="N626" s="845" t="n"/>
      <c r="O626" s="845" t="n"/>
      <c r="P626" s="845" t="n"/>
      <c r="Q626" s="845" t="n"/>
      <c r="R626" s="845" t="n"/>
      <c r="S626" s="845" t="n"/>
      <c r="T626" s="845" t="n"/>
      <c r="U626" s="845" t="n"/>
      <c r="V626" s="845" t="n"/>
      <c r="W626" s="845" t="n"/>
      <c r="X626" s="845" t="n"/>
      <c r="Y626" s="845" t="n"/>
      <c r="Z626" s="845" t="n"/>
    </row>
    <row r="627" ht="13.2" customHeight="1" s="1127">
      <c r="A627" s="845" t="n"/>
      <c r="B627" s="845" t="n"/>
      <c r="C627" s="845" t="n"/>
      <c r="D627" s="845" t="n"/>
      <c r="E627" s="845" t="n"/>
      <c r="F627" s="845" t="n"/>
      <c r="G627" s="879" t="n"/>
      <c r="H627" s="845" t="n"/>
      <c r="I627" s="845" t="n"/>
      <c r="J627" s="845" t="n"/>
      <c r="K627" s="845" t="n"/>
      <c r="L627" s="845" t="n"/>
      <c r="M627" s="845" t="n"/>
      <c r="N627" s="845" t="n"/>
      <c r="O627" s="845" t="n"/>
      <c r="P627" s="845" t="n"/>
      <c r="Q627" s="845" t="n"/>
      <c r="R627" s="845" t="n"/>
      <c r="S627" s="845" t="n"/>
      <c r="T627" s="845" t="n"/>
      <c r="U627" s="845" t="n"/>
      <c r="V627" s="845" t="n"/>
      <c r="W627" s="845" t="n"/>
      <c r="X627" s="845" t="n"/>
      <c r="Y627" s="845" t="n"/>
      <c r="Z627" s="845" t="n"/>
    </row>
    <row r="628" ht="13.2" customHeight="1" s="1127">
      <c r="A628" s="845" t="n"/>
      <c r="B628" s="845" t="n"/>
      <c r="C628" s="845" t="n"/>
      <c r="D628" s="845" t="n"/>
      <c r="E628" s="845" t="n"/>
      <c r="F628" s="845" t="n"/>
      <c r="G628" s="879" t="n"/>
      <c r="H628" s="845" t="n"/>
      <c r="I628" s="845" t="n"/>
      <c r="J628" s="845" t="n"/>
      <c r="K628" s="845" t="n"/>
      <c r="L628" s="845" t="n"/>
      <c r="M628" s="845" t="n"/>
      <c r="N628" s="845" t="n"/>
      <c r="O628" s="845" t="n"/>
      <c r="P628" s="845" t="n"/>
      <c r="Q628" s="845" t="n"/>
      <c r="R628" s="845" t="n"/>
      <c r="S628" s="845" t="n"/>
      <c r="T628" s="845" t="n"/>
      <c r="U628" s="845" t="n"/>
      <c r="V628" s="845" t="n"/>
      <c r="W628" s="845" t="n"/>
      <c r="X628" s="845" t="n"/>
      <c r="Y628" s="845" t="n"/>
      <c r="Z628" s="845" t="n"/>
    </row>
    <row r="629" ht="13.2" customHeight="1" s="1127">
      <c r="A629" s="845" t="n"/>
      <c r="B629" s="845" t="n"/>
      <c r="C629" s="845" t="n"/>
      <c r="D629" s="845" t="n"/>
      <c r="E629" s="845" t="n"/>
      <c r="F629" s="845" t="n"/>
      <c r="G629" s="879" t="n"/>
      <c r="H629" s="845" t="n"/>
      <c r="I629" s="845" t="n"/>
      <c r="J629" s="845" t="n"/>
      <c r="K629" s="845" t="n"/>
      <c r="L629" s="845" t="n"/>
      <c r="M629" s="845" t="n"/>
      <c r="N629" s="845" t="n"/>
      <c r="O629" s="845" t="n"/>
      <c r="P629" s="845" t="n"/>
      <c r="Q629" s="845" t="n"/>
      <c r="R629" s="845" t="n"/>
      <c r="S629" s="845" t="n"/>
      <c r="T629" s="845" t="n"/>
      <c r="U629" s="845" t="n"/>
      <c r="V629" s="845" t="n"/>
      <c r="W629" s="845" t="n"/>
      <c r="X629" s="845" t="n"/>
      <c r="Y629" s="845" t="n"/>
      <c r="Z629" s="845" t="n"/>
    </row>
    <row r="630" ht="13.2" customHeight="1" s="1127">
      <c r="A630" s="845" t="n"/>
      <c r="B630" s="845" t="n"/>
      <c r="C630" s="845" t="n"/>
      <c r="D630" s="845" t="n"/>
      <c r="E630" s="845" t="n"/>
      <c r="F630" s="845" t="n"/>
      <c r="G630" s="879" t="n"/>
      <c r="H630" s="845" t="n"/>
      <c r="I630" s="845" t="n"/>
      <c r="J630" s="845" t="n"/>
      <c r="K630" s="845" t="n"/>
      <c r="L630" s="845" t="n"/>
      <c r="M630" s="845" t="n"/>
      <c r="N630" s="845" t="n"/>
      <c r="O630" s="845" t="n"/>
      <c r="P630" s="845" t="n"/>
      <c r="Q630" s="845" t="n"/>
      <c r="R630" s="845" t="n"/>
      <c r="S630" s="845" t="n"/>
      <c r="T630" s="845" t="n"/>
      <c r="U630" s="845" t="n"/>
      <c r="V630" s="845" t="n"/>
      <c r="W630" s="845" t="n"/>
      <c r="X630" s="845" t="n"/>
      <c r="Y630" s="845" t="n"/>
      <c r="Z630" s="845" t="n"/>
    </row>
    <row r="631" ht="13.2" customHeight="1" s="1127">
      <c r="A631" s="845" t="n"/>
      <c r="B631" s="845" t="n"/>
      <c r="C631" s="845" t="n"/>
      <c r="D631" s="845" t="n"/>
      <c r="E631" s="845" t="n"/>
      <c r="F631" s="845" t="n"/>
      <c r="G631" s="879" t="n"/>
      <c r="H631" s="845" t="n"/>
      <c r="I631" s="845" t="n"/>
      <c r="J631" s="845" t="n"/>
      <c r="K631" s="845" t="n"/>
      <c r="L631" s="845" t="n"/>
      <c r="M631" s="845" t="n"/>
      <c r="N631" s="845" t="n"/>
      <c r="O631" s="845" t="n"/>
      <c r="P631" s="845" t="n"/>
      <c r="Q631" s="845" t="n"/>
      <c r="R631" s="845" t="n"/>
      <c r="S631" s="845" t="n"/>
      <c r="T631" s="845" t="n"/>
      <c r="U631" s="845" t="n"/>
      <c r="V631" s="845" t="n"/>
      <c r="W631" s="845" t="n"/>
      <c r="X631" s="845" t="n"/>
      <c r="Y631" s="845" t="n"/>
      <c r="Z631" s="845" t="n"/>
    </row>
    <row r="632" ht="13.2" customHeight="1" s="1127">
      <c r="A632" s="845" t="n"/>
      <c r="B632" s="845" t="n"/>
      <c r="C632" s="845" t="n"/>
      <c r="D632" s="845" t="n"/>
      <c r="E632" s="845" t="n"/>
      <c r="F632" s="845" t="n"/>
      <c r="G632" s="879" t="n"/>
      <c r="H632" s="845" t="n"/>
      <c r="I632" s="845" t="n"/>
      <c r="J632" s="845" t="n"/>
      <c r="K632" s="845" t="n"/>
      <c r="L632" s="845" t="n"/>
      <c r="M632" s="845" t="n"/>
      <c r="N632" s="845" t="n"/>
      <c r="O632" s="845" t="n"/>
      <c r="P632" s="845" t="n"/>
      <c r="Q632" s="845" t="n"/>
      <c r="R632" s="845" t="n"/>
      <c r="S632" s="845" t="n"/>
      <c r="T632" s="845" t="n"/>
      <c r="U632" s="845" t="n"/>
      <c r="V632" s="845" t="n"/>
      <c r="W632" s="845" t="n"/>
      <c r="X632" s="845" t="n"/>
      <c r="Y632" s="845" t="n"/>
      <c r="Z632" s="845" t="n"/>
    </row>
    <row r="633" ht="13.2" customHeight="1" s="1127">
      <c r="A633" s="845" t="n"/>
      <c r="B633" s="845" t="n"/>
      <c r="C633" s="845" t="n"/>
      <c r="D633" s="845" t="n"/>
      <c r="E633" s="845" t="n"/>
      <c r="F633" s="845" t="n"/>
      <c r="G633" s="879" t="n"/>
      <c r="H633" s="845" t="n"/>
      <c r="I633" s="845" t="n"/>
      <c r="J633" s="845" t="n"/>
      <c r="K633" s="845" t="n"/>
      <c r="L633" s="845" t="n"/>
      <c r="M633" s="845" t="n"/>
      <c r="N633" s="845" t="n"/>
      <c r="O633" s="845" t="n"/>
      <c r="P633" s="845" t="n"/>
      <c r="Q633" s="845" t="n"/>
      <c r="R633" s="845" t="n"/>
      <c r="S633" s="845" t="n"/>
      <c r="T633" s="845" t="n"/>
      <c r="U633" s="845" t="n"/>
      <c r="V633" s="845" t="n"/>
      <c r="W633" s="845" t="n"/>
      <c r="X633" s="845" t="n"/>
      <c r="Y633" s="845" t="n"/>
      <c r="Z633" s="845" t="n"/>
    </row>
    <row r="634" ht="13.2" customHeight="1" s="1127">
      <c r="A634" s="845" t="n"/>
      <c r="B634" s="845" t="n"/>
      <c r="C634" s="845" t="n"/>
      <c r="D634" s="845" t="n"/>
      <c r="E634" s="845" t="n"/>
      <c r="F634" s="845" t="n"/>
      <c r="G634" s="879" t="n"/>
      <c r="H634" s="845" t="n"/>
      <c r="I634" s="845" t="n"/>
      <c r="J634" s="845" t="n"/>
      <c r="K634" s="845" t="n"/>
      <c r="L634" s="845" t="n"/>
      <c r="M634" s="845" t="n"/>
      <c r="N634" s="845" t="n"/>
      <c r="O634" s="845" t="n"/>
      <c r="P634" s="845" t="n"/>
      <c r="Q634" s="845" t="n"/>
      <c r="R634" s="845" t="n"/>
      <c r="S634" s="845" t="n"/>
      <c r="T634" s="845" t="n"/>
      <c r="U634" s="845" t="n"/>
      <c r="V634" s="845" t="n"/>
      <c r="W634" s="845" t="n"/>
      <c r="X634" s="845" t="n"/>
      <c r="Y634" s="845" t="n"/>
      <c r="Z634" s="845" t="n"/>
    </row>
    <row r="635" ht="13.2" customHeight="1" s="1127">
      <c r="A635" s="845" t="n"/>
      <c r="B635" s="845" t="n"/>
      <c r="C635" s="845" t="n"/>
      <c r="D635" s="845" t="n"/>
      <c r="E635" s="845" t="n"/>
      <c r="F635" s="845" t="n"/>
      <c r="G635" s="879" t="n"/>
      <c r="H635" s="845" t="n"/>
      <c r="I635" s="845" t="n"/>
      <c r="J635" s="845" t="n"/>
      <c r="K635" s="845" t="n"/>
      <c r="L635" s="845" t="n"/>
      <c r="M635" s="845" t="n"/>
      <c r="N635" s="845" t="n"/>
      <c r="O635" s="845" t="n"/>
      <c r="P635" s="845" t="n"/>
      <c r="Q635" s="845" t="n"/>
      <c r="R635" s="845" t="n"/>
      <c r="S635" s="845" t="n"/>
      <c r="T635" s="845" t="n"/>
      <c r="U635" s="845" t="n"/>
      <c r="V635" s="845" t="n"/>
      <c r="W635" s="845" t="n"/>
      <c r="X635" s="845" t="n"/>
      <c r="Y635" s="845" t="n"/>
      <c r="Z635" s="845" t="n"/>
    </row>
    <row r="636" ht="13.2" customHeight="1" s="1127">
      <c r="A636" s="845" t="n"/>
      <c r="B636" s="845" t="n"/>
      <c r="C636" s="845" t="n"/>
      <c r="D636" s="845" t="n"/>
      <c r="E636" s="845" t="n"/>
      <c r="F636" s="845" t="n"/>
      <c r="G636" s="879" t="n"/>
      <c r="H636" s="845" t="n"/>
      <c r="I636" s="845" t="n"/>
      <c r="J636" s="845" t="n"/>
      <c r="K636" s="845" t="n"/>
      <c r="L636" s="845" t="n"/>
      <c r="M636" s="845" t="n"/>
      <c r="N636" s="845" t="n"/>
      <c r="O636" s="845" t="n"/>
      <c r="P636" s="845" t="n"/>
      <c r="Q636" s="845" t="n"/>
      <c r="R636" s="845" t="n"/>
      <c r="S636" s="845" t="n"/>
      <c r="T636" s="845" t="n"/>
      <c r="U636" s="845" t="n"/>
      <c r="V636" s="845" t="n"/>
      <c r="W636" s="845" t="n"/>
      <c r="X636" s="845" t="n"/>
      <c r="Y636" s="845" t="n"/>
      <c r="Z636" s="845" t="n"/>
    </row>
    <row r="637" ht="13.2" customHeight="1" s="1127">
      <c r="A637" s="845" t="n"/>
      <c r="B637" s="845" t="n"/>
      <c r="C637" s="845" t="n"/>
      <c r="D637" s="845" t="n"/>
      <c r="E637" s="845" t="n"/>
      <c r="F637" s="845" t="n"/>
      <c r="G637" s="879" t="n"/>
      <c r="H637" s="845" t="n"/>
      <c r="I637" s="845" t="n"/>
      <c r="J637" s="845" t="n"/>
      <c r="K637" s="845" t="n"/>
      <c r="L637" s="845" t="n"/>
      <c r="M637" s="845" t="n"/>
      <c r="N637" s="845" t="n"/>
      <c r="O637" s="845" t="n"/>
      <c r="P637" s="845" t="n"/>
      <c r="Q637" s="845" t="n"/>
      <c r="R637" s="845" t="n"/>
      <c r="S637" s="845" t="n"/>
      <c r="T637" s="845" t="n"/>
      <c r="U637" s="845" t="n"/>
      <c r="V637" s="845" t="n"/>
      <c r="W637" s="845" t="n"/>
      <c r="X637" s="845" t="n"/>
      <c r="Y637" s="845" t="n"/>
      <c r="Z637" s="845" t="n"/>
    </row>
    <row r="638" ht="13.2" customHeight="1" s="1127">
      <c r="A638" s="845" t="n"/>
      <c r="B638" s="845" t="n"/>
      <c r="C638" s="845" t="n"/>
      <c r="D638" s="845" t="n"/>
      <c r="E638" s="845" t="n"/>
      <c r="F638" s="845" t="n"/>
      <c r="G638" s="879" t="n"/>
      <c r="H638" s="845" t="n"/>
      <c r="I638" s="845" t="n"/>
      <c r="J638" s="845" t="n"/>
      <c r="K638" s="845" t="n"/>
      <c r="L638" s="845" t="n"/>
      <c r="M638" s="845" t="n"/>
      <c r="N638" s="845" t="n"/>
      <c r="O638" s="845" t="n"/>
      <c r="P638" s="845" t="n"/>
      <c r="Q638" s="845" t="n"/>
      <c r="R638" s="845" t="n"/>
      <c r="S638" s="845" t="n"/>
      <c r="T638" s="845" t="n"/>
      <c r="U638" s="845" t="n"/>
      <c r="V638" s="845" t="n"/>
      <c r="W638" s="845" t="n"/>
      <c r="X638" s="845" t="n"/>
      <c r="Y638" s="845" t="n"/>
      <c r="Z638" s="845" t="n"/>
    </row>
    <row r="639" ht="13.2" customHeight="1" s="1127">
      <c r="A639" s="845" t="n"/>
      <c r="B639" s="845" t="n"/>
      <c r="C639" s="845" t="n"/>
      <c r="D639" s="845" t="n"/>
      <c r="E639" s="845" t="n"/>
      <c r="F639" s="845" t="n"/>
      <c r="G639" s="879" t="n"/>
      <c r="H639" s="845" t="n"/>
      <c r="I639" s="845" t="n"/>
      <c r="J639" s="845" t="n"/>
      <c r="K639" s="845" t="n"/>
      <c r="L639" s="845" t="n"/>
      <c r="M639" s="845" t="n"/>
      <c r="N639" s="845" t="n"/>
      <c r="O639" s="845" t="n"/>
      <c r="P639" s="845" t="n"/>
      <c r="Q639" s="845" t="n"/>
      <c r="R639" s="845" t="n"/>
      <c r="S639" s="845" t="n"/>
      <c r="T639" s="845" t="n"/>
      <c r="U639" s="845" t="n"/>
      <c r="V639" s="845" t="n"/>
      <c r="W639" s="845" t="n"/>
      <c r="X639" s="845" t="n"/>
      <c r="Y639" s="845" t="n"/>
      <c r="Z639" s="845" t="n"/>
    </row>
    <row r="640" ht="13.2" customHeight="1" s="1127">
      <c r="A640" s="845" t="n"/>
      <c r="B640" s="845" t="n"/>
      <c r="C640" s="845" t="n"/>
      <c r="D640" s="845" t="n"/>
      <c r="E640" s="845" t="n"/>
      <c r="F640" s="845" t="n"/>
      <c r="G640" s="879" t="n"/>
      <c r="H640" s="845" t="n"/>
      <c r="I640" s="845" t="n"/>
      <c r="J640" s="845" t="n"/>
      <c r="K640" s="845" t="n"/>
      <c r="L640" s="845" t="n"/>
      <c r="M640" s="845" t="n"/>
      <c r="N640" s="845" t="n"/>
      <c r="O640" s="845" t="n"/>
      <c r="P640" s="845" t="n"/>
      <c r="Q640" s="845" t="n"/>
      <c r="R640" s="845" t="n"/>
      <c r="S640" s="845" t="n"/>
      <c r="T640" s="845" t="n"/>
      <c r="U640" s="845" t="n"/>
      <c r="V640" s="845" t="n"/>
      <c r="W640" s="845" t="n"/>
      <c r="X640" s="845" t="n"/>
      <c r="Y640" s="845" t="n"/>
      <c r="Z640" s="845" t="n"/>
    </row>
    <row r="641" ht="13.2" customHeight="1" s="1127">
      <c r="A641" s="845" t="n"/>
      <c r="B641" s="845" t="n"/>
      <c r="C641" s="845" t="n"/>
      <c r="D641" s="845" t="n"/>
      <c r="E641" s="845" t="n"/>
      <c r="F641" s="845" t="n"/>
      <c r="G641" s="879" t="n"/>
      <c r="H641" s="845" t="n"/>
      <c r="I641" s="845" t="n"/>
      <c r="J641" s="845" t="n"/>
      <c r="K641" s="845" t="n"/>
      <c r="L641" s="845" t="n"/>
      <c r="M641" s="845" t="n"/>
      <c r="N641" s="845" t="n"/>
      <c r="O641" s="845" t="n"/>
      <c r="P641" s="845" t="n"/>
      <c r="Q641" s="845" t="n"/>
      <c r="R641" s="845" t="n"/>
      <c r="S641" s="845" t="n"/>
      <c r="T641" s="845" t="n"/>
      <c r="U641" s="845" t="n"/>
      <c r="V641" s="845" t="n"/>
      <c r="W641" s="845" t="n"/>
      <c r="X641" s="845" t="n"/>
      <c r="Y641" s="845" t="n"/>
      <c r="Z641" s="845" t="n"/>
    </row>
    <row r="642" ht="13.2" customHeight="1" s="1127">
      <c r="A642" s="845" t="n"/>
      <c r="B642" s="845" t="n"/>
      <c r="C642" s="845" t="n"/>
      <c r="D642" s="845" t="n"/>
      <c r="E642" s="845" t="n"/>
      <c r="F642" s="845" t="n"/>
      <c r="G642" s="879" t="n"/>
      <c r="H642" s="845" t="n"/>
      <c r="I642" s="845" t="n"/>
      <c r="J642" s="845" t="n"/>
      <c r="K642" s="845" t="n"/>
      <c r="L642" s="845" t="n"/>
      <c r="M642" s="845" t="n"/>
      <c r="N642" s="845" t="n"/>
      <c r="O642" s="845" t="n"/>
      <c r="P642" s="845" t="n"/>
      <c r="Q642" s="845" t="n"/>
      <c r="R642" s="845" t="n"/>
      <c r="S642" s="845" t="n"/>
      <c r="T642" s="845" t="n"/>
      <c r="U642" s="845" t="n"/>
      <c r="V642" s="845" t="n"/>
      <c r="W642" s="845" t="n"/>
      <c r="X642" s="845" t="n"/>
      <c r="Y642" s="845" t="n"/>
      <c r="Z642" s="845" t="n"/>
    </row>
    <row r="643" ht="13.2" customHeight="1" s="1127">
      <c r="A643" s="845" t="n"/>
      <c r="B643" s="845" t="n"/>
      <c r="C643" s="845" t="n"/>
      <c r="D643" s="845" t="n"/>
      <c r="E643" s="845" t="n"/>
      <c r="F643" s="845" t="n"/>
      <c r="G643" s="879" t="n"/>
      <c r="H643" s="845" t="n"/>
      <c r="I643" s="845" t="n"/>
      <c r="J643" s="845" t="n"/>
      <c r="K643" s="845" t="n"/>
      <c r="L643" s="845" t="n"/>
      <c r="M643" s="845" t="n"/>
      <c r="N643" s="845" t="n"/>
      <c r="O643" s="845" t="n"/>
      <c r="P643" s="845" t="n"/>
      <c r="Q643" s="845" t="n"/>
      <c r="R643" s="845" t="n"/>
      <c r="S643" s="845" t="n"/>
      <c r="T643" s="845" t="n"/>
      <c r="U643" s="845" t="n"/>
      <c r="V643" s="845" t="n"/>
      <c r="W643" s="845" t="n"/>
      <c r="X643" s="845" t="n"/>
      <c r="Y643" s="845" t="n"/>
      <c r="Z643" s="845" t="n"/>
    </row>
    <row r="644" ht="13.2" customHeight="1" s="1127">
      <c r="A644" s="845" t="n"/>
      <c r="B644" s="845" t="n"/>
      <c r="C644" s="845" t="n"/>
      <c r="D644" s="845" t="n"/>
      <c r="E644" s="845" t="n"/>
      <c r="F644" s="845" t="n"/>
      <c r="G644" s="879" t="n"/>
      <c r="H644" s="845" t="n"/>
      <c r="I644" s="845" t="n"/>
      <c r="J644" s="845" t="n"/>
      <c r="K644" s="845" t="n"/>
      <c r="L644" s="845" t="n"/>
      <c r="M644" s="845" t="n"/>
      <c r="N644" s="845" t="n"/>
      <c r="O644" s="845" t="n"/>
      <c r="P644" s="845" t="n"/>
      <c r="Q644" s="845" t="n"/>
      <c r="R644" s="845" t="n"/>
      <c r="S644" s="845" t="n"/>
      <c r="T644" s="845" t="n"/>
      <c r="U644" s="845" t="n"/>
      <c r="V644" s="845" t="n"/>
      <c r="W644" s="845" t="n"/>
      <c r="X644" s="845" t="n"/>
      <c r="Y644" s="845" t="n"/>
      <c r="Z644" s="845" t="n"/>
    </row>
    <row r="645" ht="13.2" customHeight="1" s="1127">
      <c r="A645" s="845" t="n"/>
      <c r="B645" s="845" t="n"/>
      <c r="C645" s="845" t="n"/>
      <c r="D645" s="845" t="n"/>
      <c r="E645" s="845" t="n"/>
      <c r="F645" s="845" t="n"/>
      <c r="G645" s="879" t="n"/>
      <c r="H645" s="845" t="n"/>
      <c r="I645" s="845" t="n"/>
      <c r="J645" s="845" t="n"/>
      <c r="K645" s="845" t="n"/>
      <c r="L645" s="845" t="n"/>
      <c r="M645" s="845" t="n"/>
      <c r="N645" s="845" t="n"/>
      <c r="O645" s="845" t="n"/>
      <c r="P645" s="845" t="n"/>
      <c r="Q645" s="845" t="n"/>
      <c r="R645" s="845" t="n"/>
      <c r="S645" s="845" t="n"/>
      <c r="T645" s="845" t="n"/>
      <c r="U645" s="845" t="n"/>
      <c r="V645" s="845" t="n"/>
      <c r="W645" s="845" t="n"/>
      <c r="X645" s="845" t="n"/>
      <c r="Y645" s="845" t="n"/>
      <c r="Z645" s="845" t="n"/>
    </row>
    <row r="646" ht="13.2" customHeight="1" s="1127">
      <c r="A646" s="845" t="n"/>
      <c r="B646" s="845" t="n"/>
      <c r="C646" s="845" t="n"/>
      <c r="D646" s="845" t="n"/>
      <c r="E646" s="845" t="n"/>
      <c r="F646" s="845" t="n"/>
      <c r="G646" s="879" t="n"/>
      <c r="H646" s="845" t="n"/>
      <c r="I646" s="845" t="n"/>
      <c r="J646" s="845" t="n"/>
      <c r="K646" s="845" t="n"/>
      <c r="L646" s="845" t="n"/>
      <c r="M646" s="845" t="n"/>
      <c r="N646" s="845" t="n"/>
      <c r="O646" s="845" t="n"/>
      <c r="P646" s="845" t="n"/>
      <c r="Q646" s="845" t="n"/>
      <c r="R646" s="845" t="n"/>
      <c r="S646" s="845" t="n"/>
      <c r="T646" s="845" t="n"/>
      <c r="U646" s="845" t="n"/>
      <c r="V646" s="845" t="n"/>
      <c r="W646" s="845" t="n"/>
      <c r="X646" s="845" t="n"/>
      <c r="Y646" s="845" t="n"/>
      <c r="Z646" s="845" t="n"/>
    </row>
    <row r="647" ht="13.2" customHeight="1" s="1127">
      <c r="A647" s="845" t="n"/>
      <c r="B647" s="845" t="n"/>
      <c r="C647" s="845" t="n"/>
      <c r="D647" s="845" t="n"/>
      <c r="E647" s="845" t="n"/>
      <c r="F647" s="845" t="n"/>
      <c r="G647" s="879" t="n"/>
      <c r="H647" s="845" t="n"/>
      <c r="I647" s="845" t="n"/>
      <c r="J647" s="845" t="n"/>
      <c r="K647" s="845" t="n"/>
      <c r="L647" s="845" t="n"/>
      <c r="M647" s="845" t="n"/>
      <c r="N647" s="845" t="n"/>
      <c r="O647" s="845" t="n"/>
      <c r="P647" s="845" t="n"/>
      <c r="Q647" s="845" t="n"/>
      <c r="R647" s="845" t="n"/>
      <c r="S647" s="845" t="n"/>
      <c r="T647" s="845" t="n"/>
      <c r="U647" s="845" t="n"/>
      <c r="V647" s="845" t="n"/>
      <c r="W647" s="845" t="n"/>
      <c r="X647" s="845" t="n"/>
      <c r="Y647" s="845" t="n"/>
      <c r="Z647" s="845" t="n"/>
    </row>
    <row r="648" ht="13.2" customHeight="1" s="1127">
      <c r="A648" s="845" t="n"/>
      <c r="B648" s="845" t="n"/>
      <c r="C648" s="845" t="n"/>
      <c r="D648" s="845" t="n"/>
      <c r="E648" s="845" t="n"/>
      <c r="F648" s="845" t="n"/>
      <c r="G648" s="879" t="n"/>
      <c r="H648" s="845" t="n"/>
      <c r="I648" s="845" t="n"/>
      <c r="J648" s="845" t="n"/>
      <c r="K648" s="845" t="n"/>
      <c r="L648" s="845" t="n"/>
      <c r="M648" s="845" t="n"/>
      <c r="N648" s="845" t="n"/>
      <c r="O648" s="845" t="n"/>
      <c r="P648" s="845" t="n"/>
      <c r="Q648" s="845" t="n"/>
      <c r="R648" s="845" t="n"/>
      <c r="S648" s="845" t="n"/>
      <c r="T648" s="845" t="n"/>
      <c r="U648" s="845" t="n"/>
      <c r="V648" s="845" t="n"/>
      <c r="W648" s="845" t="n"/>
      <c r="X648" s="845" t="n"/>
      <c r="Y648" s="845" t="n"/>
      <c r="Z648" s="845" t="n"/>
    </row>
    <row r="649" ht="13.2" customHeight="1" s="1127">
      <c r="A649" s="845" t="n"/>
      <c r="B649" s="845" t="n"/>
      <c r="C649" s="845" t="n"/>
      <c r="D649" s="845" t="n"/>
      <c r="E649" s="845" t="n"/>
      <c r="F649" s="845" t="n"/>
      <c r="G649" s="879" t="n"/>
      <c r="H649" s="845" t="n"/>
      <c r="I649" s="845" t="n"/>
      <c r="J649" s="845" t="n"/>
      <c r="K649" s="845" t="n"/>
      <c r="L649" s="845" t="n"/>
      <c r="M649" s="845" t="n"/>
      <c r="N649" s="845" t="n"/>
      <c r="O649" s="845" t="n"/>
      <c r="P649" s="845" t="n"/>
      <c r="Q649" s="845" t="n"/>
      <c r="R649" s="845" t="n"/>
      <c r="S649" s="845" t="n"/>
      <c r="T649" s="845" t="n"/>
      <c r="U649" s="845" t="n"/>
      <c r="V649" s="845" t="n"/>
      <c r="W649" s="845" t="n"/>
      <c r="X649" s="845" t="n"/>
      <c r="Y649" s="845" t="n"/>
      <c r="Z649" s="845" t="n"/>
    </row>
    <row r="650" ht="13.2" customHeight="1" s="1127">
      <c r="A650" s="845" t="n"/>
      <c r="B650" s="845" t="n"/>
      <c r="C650" s="845" t="n"/>
      <c r="D650" s="845" t="n"/>
      <c r="E650" s="845" t="n"/>
      <c r="F650" s="845" t="n"/>
      <c r="G650" s="879" t="n"/>
      <c r="H650" s="845" t="n"/>
      <c r="I650" s="845" t="n"/>
      <c r="J650" s="845" t="n"/>
      <c r="K650" s="845" t="n"/>
      <c r="L650" s="845" t="n"/>
      <c r="M650" s="845" t="n"/>
      <c r="N650" s="845" t="n"/>
      <c r="O650" s="845" t="n"/>
      <c r="P650" s="845" t="n"/>
      <c r="Q650" s="845" t="n"/>
      <c r="R650" s="845" t="n"/>
      <c r="S650" s="845" t="n"/>
      <c r="T650" s="845" t="n"/>
      <c r="U650" s="845" t="n"/>
      <c r="V650" s="845" t="n"/>
      <c r="W650" s="845" t="n"/>
      <c r="X650" s="845" t="n"/>
      <c r="Y650" s="845" t="n"/>
      <c r="Z650" s="845" t="n"/>
    </row>
    <row r="651" ht="13.2" customHeight="1" s="1127">
      <c r="A651" s="845" t="n"/>
      <c r="B651" s="845" t="n"/>
      <c r="C651" s="845" t="n"/>
      <c r="D651" s="845" t="n"/>
      <c r="E651" s="845" t="n"/>
      <c r="F651" s="845" t="n"/>
      <c r="G651" s="879" t="n"/>
      <c r="H651" s="845" t="n"/>
      <c r="I651" s="845" t="n"/>
      <c r="J651" s="845" t="n"/>
      <c r="K651" s="845" t="n"/>
      <c r="L651" s="845" t="n"/>
      <c r="M651" s="845" t="n"/>
      <c r="N651" s="845" t="n"/>
      <c r="O651" s="845" t="n"/>
      <c r="P651" s="845" t="n"/>
      <c r="Q651" s="845" t="n"/>
      <c r="R651" s="845" t="n"/>
      <c r="S651" s="845" t="n"/>
      <c r="T651" s="845" t="n"/>
      <c r="U651" s="845" t="n"/>
      <c r="V651" s="845" t="n"/>
      <c r="W651" s="845" t="n"/>
      <c r="X651" s="845" t="n"/>
      <c r="Y651" s="845" t="n"/>
      <c r="Z651" s="845" t="n"/>
    </row>
    <row r="652" ht="13.2" customHeight="1" s="1127">
      <c r="A652" s="845" t="n"/>
      <c r="B652" s="845" t="n"/>
      <c r="C652" s="845" t="n"/>
      <c r="D652" s="845" t="n"/>
      <c r="E652" s="845" t="n"/>
      <c r="F652" s="845" t="n"/>
      <c r="G652" s="879" t="n"/>
      <c r="H652" s="845" t="n"/>
      <c r="I652" s="845" t="n"/>
      <c r="J652" s="845" t="n"/>
      <c r="K652" s="845" t="n"/>
      <c r="L652" s="845" t="n"/>
      <c r="M652" s="845" t="n"/>
      <c r="N652" s="845" t="n"/>
      <c r="O652" s="845" t="n"/>
      <c r="P652" s="845" t="n"/>
      <c r="Q652" s="845" t="n"/>
      <c r="R652" s="845" t="n"/>
      <c r="S652" s="845" t="n"/>
      <c r="T652" s="845" t="n"/>
      <c r="U652" s="845" t="n"/>
      <c r="V652" s="845" t="n"/>
      <c r="W652" s="845" t="n"/>
      <c r="X652" s="845" t="n"/>
      <c r="Y652" s="845" t="n"/>
      <c r="Z652" s="845" t="n"/>
    </row>
    <row r="653" ht="13.2" customHeight="1" s="1127">
      <c r="A653" s="845" t="n"/>
      <c r="B653" s="845" t="n"/>
      <c r="C653" s="845" t="n"/>
      <c r="D653" s="845" t="n"/>
      <c r="E653" s="845" t="n"/>
      <c r="F653" s="845" t="n"/>
      <c r="G653" s="879" t="n"/>
      <c r="H653" s="845" t="n"/>
      <c r="I653" s="845" t="n"/>
      <c r="J653" s="845" t="n"/>
      <c r="K653" s="845" t="n"/>
      <c r="L653" s="845" t="n"/>
      <c r="M653" s="845" t="n"/>
      <c r="N653" s="845" t="n"/>
      <c r="O653" s="845" t="n"/>
      <c r="P653" s="845" t="n"/>
      <c r="Q653" s="845" t="n"/>
      <c r="R653" s="845" t="n"/>
      <c r="S653" s="845" t="n"/>
      <c r="T653" s="845" t="n"/>
      <c r="U653" s="845" t="n"/>
      <c r="V653" s="845" t="n"/>
      <c r="W653" s="845" t="n"/>
      <c r="X653" s="845" t="n"/>
      <c r="Y653" s="845" t="n"/>
      <c r="Z653" s="845" t="n"/>
    </row>
    <row r="654" ht="13.2" customHeight="1" s="1127">
      <c r="A654" s="845" t="n"/>
      <c r="B654" s="845" t="n"/>
      <c r="C654" s="845" t="n"/>
      <c r="D654" s="845" t="n"/>
      <c r="E654" s="845" t="n"/>
      <c r="F654" s="845" t="n"/>
      <c r="G654" s="879" t="n"/>
      <c r="H654" s="845" t="n"/>
      <c r="I654" s="845" t="n"/>
      <c r="J654" s="845" t="n"/>
      <c r="K654" s="845" t="n"/>
      <c r="L654" s="845" t="n"/>
      <c r="M654" s="845" t="n"/>
      <c r="N654" s="845" t="n"/>
      <c r="O654" s="845" t="n"/>
      <c r="P654" s="845" t="n"/>
      <c r="Q654" s="845" t="n"/>
      <c r="R654" s="845" t="n"/>
      <c r="S654" s="845" t="n"/>
      <c r="T654" s="845" t="n"/>
      <c r="U654" s="845" t="n"/>
      <c r="V654" s="845" t="n"/>
      <c r="W654" s="845" t="n"/>
      <c r="X654" s="845" t="n"/>
      <c r="Y654" s="845" t="n"/>
      <c r="Z654" s="845" t="n"/>
    </row>
    <row r="655" ht="13.2" customHeight="1" s="1127">
      <c r="A655" s="845" t="n"/>
      <c r="B655" s="845" t="n"/>
      <c r="C655" s="845" t="n"/>
      <c r="D655" s="845" t="n"/>
      <c r="E655" s="845" t="n"/>
      <c r="F655" s="845" t="n"/>
      <c r="G655" s="879" t="n"/>
      <c r="H655" s="845" t="n"/>
      <c r="I655" s="845" t="n"/>
      <c r="J655" s="845" t="n"/>
      <c r="K655" s="845" t="n"/>
      <c r="L655" s="845" t="n"/>
      <c r="M655" s="845" t="n"/>
      <c r="N655" s="845" t="n"/>
      <c r="O655" s="845" t="n"/>
      <c r="P655" s="845" t="n"/>
      <c r="Q655" s="845" t="n"/>
      <c r="R655" s="845" t="n"/>
      <c r="S655" s="845" t="n"/>
      <c r="T655" s="845" t="n"/>
      <c r="U655" s="845" t="n"/>
      <c r="V655" s="845" t="n"/>
      <c r="W655" s="845" t="n"/>
      <c r="X655" s="845" t="n"/>
      <c r="Y655" s="845" t="n"/>
      <c r="Z655" s="845" t="n"/>
    </row>
    <row r="656" ht="13.2" customHeight="1" s="1127">
      <c r="A656" s="845" t="n"/>
      <c r="B656" s="845" t="n"/>
      <c r="C656" s="845" t="n"/>
      <c r="D656" s="845" t="n"/>
      <c r="E656" s="845" t="n"/>
      <c r="F656" s="845" t="n"/>
      <c r="G656" s="879" t="n"/>
      <c r="H656" s="845" t="n"/>
      <c r="I656" s="845" t="n"/>
      <c r="J656" s="845" t="n"/>
      <c r="K656" s="845" t="n"/>
      <c r="L656" s="845" t="n"/>
      <c r="M656" s="845" t="n"/>
      <c r="N656" s="845" t="n"/>
      <c r="O656" s="845" t="n"/>
      <c r="P656" s="845" t="n"/>
      <c r="Q656" s="845" t="n"/>
      <c r="R656" s="845" t="n"/>
      <c r="S656" s="845" t="n"/>
      <c r="T656" s="845" t="n"/>
      <c r="U656" s="845" t="n"/>
      <c r="V656" s="845" t="n"/>
      <c r="W656" s="845" t="n"/>
      <c r="X656" s="845" t="n"/>
      <c r="Y656" s="845" t="n"/>
      <c r="Z656" s="845" t="n"/>
    </row>
    <row r="657" ht="13.2" customHeight="1" s="1127">
      <c r="A657" s="845" t="n"/>
      <c r="B657" s="845" t="n"/>
      <c r="C657" s="845" t="n"/>
      <c r="D657" s="845" t="n"/>
      <c r="E657" s="845" t="n"/>
      <c r="F657" s="845" t="n"/>
      <c r="G657" s="879" t="n"/>
      <c r="H657" s="845" t="n"/>
      <c r="I657" s="845" t="n"/>
      <c r="J657" s="845" t="n"/>
      <c r="K657" s="845" t="n"/>
      <c r="L657" s="845" t="n"/>
      <c r="M657" s="845" t="n"/>
      <c r="N657" s="845" t="n"/>
      <c r="O657" s="845" t="n"/>
      <c r="P657" s="845" t="n"/>
      <c r="Q657" s="845" t="n"/>
      <c r="R657" s="845" t="n"/>
      <c r="S657" s="845" t="n"/>
      <c r="T657" s="845" t="n"/>
      <c r="U657" s="845" t="n"/>
      <c r="V657" s="845" t="n"/>
      <c r="W657" s="845" t="n"/>
      <c r="X657" s="845" t="n"/>
      <c r="Y657" s="845" t="n"/>
      <c r="Z657" s="845" t="n"/>
    </row>
    <row r="658" ht="13.2" customHeight="1" s="1127">
      <c r="A658" s="845" t="n"/>
      <c r="B658" s="845" t="n"/>
      <c r="C658" s="845" t="n"/>
      <c r="D658" s="845" t="n"/>
      <c r="E658" s="845" t="n"/>
      <c r="F658" s="845" t="n"/>
      <c r="G658" s="879" t="n"/>
      <c r="H658" s="845" t="n"/>
      <c r="I658" s="845" t="n"/>
      <c r="J658" s="845" t="n"/>
      <c r="K658" s="845" t="n"/>
      <c r="L658" s="845" t="n"/>
      <c r="M658" s="845" t="n"/>
      <c r="N658" s="845" t="n"/>
      <c r="O658" s="845" t="n"/>
      <c r="P658" s="845" t="n"/>
      <c r="Q658" s="845" t="n"/>
      <c r="R658" s="845" t="n"/>
      <c r="S658" s="845" t="n"/>
      <c r="T658" s="845" t="n"/>
      <c r="U658" s="845" t="n"/>
      <c r="V658" s="845" t="n"/>
      <c r="W658" s="845" t="n"/>
      <c r="X658" s="845" t="n"/>
      <c r="Y658" s="845" t="n"/>
      <c r="Z658" s="845" t="n"/>
    </row>
    <row r="659" ht="13.2" customHeight="1" s="1127">
      <c r="A659" s="845" t="n"/>
      <c r="B659" s="845" t="n"/>
      <c r="C659" s="845" t="n"/>
      <c r="D659" s="845" t="n"/>
      <c r="E659" s="845" t="n"/>
      <c r="F659" s="845" t="n"/>
      <c r="G659" s="879" t="n"/>
      <c r="H659" s="845" t="n"/>
      <c r="I659" s="845" t="n"/>
      <c r="J659" s="845" t="n"/>
      <c r="K659" s="845" t="n"/>
      <c r="L659" s="845" t="n"/>
      <c r="M659" s="845" t="n"/>
      <c r="N659" s="845" t="n"/>
      <c r="O659" s="845" t="n"/>
      <c r="P659" s="845" t="n"/>
      <c r="Q659" s="845" t="n"/>
      <c r="R659" s="845" t="n"/>
      <c r="S659" s="845" t="n"/>
      <c r="T659" s="845" t="n"/>
      <c r="U659" s="845" t="n"/>
      <c r="V659" s="845" t="n"/>
      <c r="W659" s="845" t="n"/>
      <c r="X659" s="845" t="n"/>
      <c r="Y659" s="845" t="n"/>
      <c r="Z659" s="845" t="n"/>
    </row>
    <row r="660" ht="13.2" customHeight="1" s="1127">
      <c r="A660" s="845" t="n"/>
      <c r="B660" s="845" t="n"/>
      <c r="C660" s="845" t="n"/>
      <c r="D660" s="845" t="n"/>
      <c r="E660" s="845" t="n"/>
      <c r="F660" s="845" t="n"/>
      <c r="G660" s="879" t="n"/>
      <c r="H660" s="845" t="n"/>
      <c r="I660" s="845" t="n"/>
      <c r="J660" s="845" t="n"/>
      <c r="K660" s="845" t="n"/>
      <c r="L660" s="845" t="n"/>
      <c r="M660" s="845" t="n"/>
      <c r="N660" s="845" t="n"/>
      <c r="O660" s="845" t="n"/>
      <c r="P660" s="845" t="n"/>
      <c r="Q660" s="845" t="n"/>
      <c r="R660" s="845" t="n"/>
      <c r="S660" s="845" t="n"/>
      <c r="T660" s="845" t="n"/>
      <c r="U660" s="845" t="n"/>
      <c r="V660" s="845" t="n"/>
      <c r="W660" s="845" t="n"/>
      <c r="X660" s="845" t="n"/>
      <c r="Y660" s="845" t="n"/>
      <c r="Z660" s="845" t="n"/>
    </row>
    <row r="661" ht="13.2" customHeight="1" s="1127">
      <c r="A661" s="845" t="n"/>
      <c r="B661" s="845" t="n"/>
      <c r="C661" s="845" t="n"/>
      <c r="D661" s="845" t="n"/>
      <c r="E661" s="845" t="n"/>
      <c r="F661" s="845" t="n"/>
      <c r="G661" s="879" t="n"/>
      <c r="H661" s="845" t="n"/>
      <c r="I661" s="845" t="n"/>
      <c r="J661" s="845" t="n"/>
      <c r="K661" s="845" t="n"/>
      <c r="L661" s="845" t="n"/>
      <c r="M661" s="845" t="n"/>
      <c r="N661" s="845" t="n"/>
      <c r="O661" s="845" t="n"/>
      <c r="P661" s="845" t="n"/>
      <c r="Q661" s="845" t="n"/>
      <c r="R661" s="845" t="n"/>
      <c r="S661" s="845" t="n"/>
      <c r="T661" s="845" t="n"/>
      <c r="U661" s="845" t="n"/>
      <c r="V661" s="845" t="n"/>
      <c r="W661" s="845" t="n"/>
      <c r="X661" s="845" t="n"/>
      <c r="Y661" s="845" t="n"/>
      <c r="Z661" s="845" t="n"/>
    </row>
    <row r="662" ht="13.2" customHeight="1" s="1127">
      <c r="A662" s="845" t="n"/>
      <c r="B662" s="845" t="n"/>
      <c r="C662" s="845" t="n"/>
      <c r="D662" s="845" t="n"/>
      <c r="E662" s="845" t="n"/>
      <c r="F662" s="845" t="n"/>
      <c r="G662" s="879" t="n"/>
      <c r="H662" s="845" t="n"/>
      <c r="I662" s="845" t="n"/>
      <c r="J662" s="845" t="n"/>
      <c r="K662" s="845" t="n"/>
      <c r="L662" s="845" t="n"/>
      <c r="M662" s="845" t="n"/>
      <c r="N662" s="845" t="n"/>
      <c r="O662" s="845" t="n"/>
      <c r="P662" s="845" t="n"/>
      <c r="Q662" s="845" t="n"/>
      <c r="R662" s="845" t="n"/>
      <c r="S662" s="845" t="n"/>
      <c r="T662" s="845" t="n"/>
      <c r="U662" s="845" t="n"/>
      <c r="V662" s="845" t="n"/>
      <c r="W662" s="845" t="n"/>
      <c r="X662" s="845" t="n"/>
      <c r="Y662" s="845" t="n"/>
      <c r="Z662" s="845" t="n"/>
    </row>
    <row r="663" ht="13.2" customHeight="1" s="1127">
      <c r="A663" s="845" t="n"/>
      <c r="B663" s="845" t="n"/>
      <c r="C663" s="845" t="n"/>
      <c r="D663" s="845" t="n"/>
      <c r="E663" s="845" t="n"/>
      <c r="F663" s="845" t="n"/>
      <c r="G663" s="879" t="n"/>
      <c r="H663" s="845" t="n"/>
      <c r="I663" s="845" t="n"/>
      <c r="J663" s="845" t="n"/>
      <c r="K663" s="845" t="n"/>
      <c r="L663" s="845" t="n"/>
      <c r="M663" s="845" t="n"/>
      <c r="N663" s="845" t="n"/>
      <c r="O663" s="845" t="n"/>
      <c r="P663" s="845" t="n"/>
      <c r="Q663" s="845" t="n"/>
      <c r="R663" s="845" t="n"/>
      <c r="S663" s="845" t="n"/>
      <c r="T663" s="845" t="n"/>
      <c r="U663" s="845" t="n"/>
      <c r="V663" s="845" t="n"/>
      <c r="W663" s="845" t="n"/>
      <c r="X663" s="845" t="n"/>
      <c r="Y663" s="845" t="n"/>
      <c r="Z663" s="845" t="n"/>
    </row>
    <row r="664" ht="13.2" customHeight="1" s="1127">
      <c r="A664" s="845" t="n"/>
      <c r="B664" s="845" t="n"/>
      <c r="C664" s="845" t="n"/>
      <c r="D664" s="845" t="n"/>
      <c r="E664" s="845" t="n"/>
      <c r="F664" s="845" t="n"/>
      <c r="G664" s="879" t="n"/>
      <c r="H664" s="845" t="n"/>
      <c r="I664" s="845" t="n"/>
      <c r="J664" s="845" t="n"/>
      <c r="K664" s="845" t="n"/>
      <c r="L664" s="845" t="n"/>
      <c r="M664" s="845" t="n"/>
      <c r="N664" s="845" t="n"/>
      <c r="O664" s="845" t="n"/>
      <c r="P664" s="845" t="n"/>
      <c r="Q664" s="845" t="n"/>
      <c r="R664" s="845" t="n"/>
      <c r="S664" s="845" t="n"/>
      <c r="T664" s="845" t="n"/>
      <c r="U664" s="845" t="n"/>
      <c r="V664" s="845" t="n"/>
      <c r="W664" s="845" t="n"/>
      <c r="X664" s="845" t="n"/>
      <c r="Y664" s="845" t="n"/>
      <c r="Z664" s="845" t="n"/>
    </row>
    <row r="665" ht="13.2" customHeight="1" s="1127">
      <c r="A665" s="845" t="n"/>
      <c r="B665" s="845" t="n"/>
      <c r="C665" s="845" t="n"/>
      <c r="D665" s="845" t="n"/>
      <c r="E665" s="845" t="n"/>
      <c r="F665" s="845" t="n"/>
      <c r="G665" s="879" t="n"/>
      <c r="H665" s="845" t="n"/>
      <c r="I665" s="845" t="n"/>
      <c r="J665" s="845" t="n"/>
      <c r="K665" s="845" t="n"/>
      <c r="L665" s="845" t="n"/>
      <c r="M665" s="845" t="n"/>
      <c r="N665" s="845" t="n"/>
      <c r="O665" s="845" t="n"/>
      <c r="P665" s="845" t="n"/>
      <c r="Q665" s="845" t="n"/>
      <c r="R665" s="845" t="n"/>
      <c r="S665" s="845" t="n"/>
      <c r="T665" s="845" t="n"/>
      <c r="U665" s="845" t="n"/>
      <c r="V665" s="845" t="n"/>
      <c r="W665" s="845" t="n"/>
      <c r="X665" s="845" t="n"/>
      <c r="Y665" s="845" t="n"/>
      <c r="Z665" s="845" t="n"/>
    </row>
    <row r="666" ht="13.2" customHeight="1" s="1127">
      <c r="A666" s="845" t="n"/>
      <c r="B666" s="845" t="n"/>
      <c r="C666" s="845" t="n"/>
      <c r="D666" s="845" t="n"/>
      <c r="E666" s="845" t="n"/>
      <c r="F666" s="845" t="n"/>
      <c r="G666" s="879" t="n"/>
      <c r="H666" s="845" t="n"/>
      <c r="I666" s="845" t="n"/>
      <c r="J666" s="845" t="n"/>
      <c r="K666" s="845" t="n"/>
      <c r="L666" s="845" t="n"/>
      <c r="M666" s="845" t="n"/>
      <c r="N666" s="845" t="n"/>
      <c r="O666" s="845" t="n"/>
      <c r="P666" s="845" t="n"/>
      <c r="Q666" s="845" t="n"/>
      <c r="R666" s="845" t="n"/>
      <c r="S666" s="845" t="n"/>
      <c r="T666" s="845" t="n"/>
      <c r="U666" s="845" t="n"/>
      <c r="V666" s="845" t="n"/>
      <c r="W666" s="845" t="n"/>
      <c r="X666" s="845" t="n"/>
      <c r="Y666" s="845" t="n"/>
      <c r="Z666" s="845" t="n"/>
    </row>
    <row r="667" ht="13.2" customHeight="1" s="1127">
      <c r="A667" s="845" t="n"/>
      <c r="B667" s="845" t="n"/>
      <c r="C667" s="845" t="n"/>
      <c r="D667" s="845" t="n"/>
      <c r="E667" s="845" t="n"/>
      <c r="F667" s="845" t="n"/>
      <c r="G667" s="879" t="n"/>
      <c r="H667" s="845" t="n"/>
      <c r="I667" s="845" t="n"/>
      <c r="J667" s="845" t="n"/>
      <c r="K667" s="845" t="n"/>
      <c r="L667" s="845" t="n"/>
      <c r="M667" s="845" t="n"/>
      <c r="N667" s="845" t="n"/>
      <c r="O667" s="845" t="n"/>
      <c r="P667" s="845" t="n"/>
      <c r="Q667" s="845" t="n"/>
      <c r="R667" s="845" t="n"/>
      <c r="S667" s="845" t="n"/>
      <c r="T667" s="845" t="n"/>
      <c r="U667" s="845" t="n"/>
      <c r="V667" s="845" t="n"/>
      <c r="W667" s="845" t="n"/>
      <c r="X667" s="845" t="n"/>
      <c r="Y667" s="845" t="n"/>
      <c r="Z667" s="845" t="n"/>
    </row>
    <row r="668" ht="13.2" customHeight="1" s="1127">
      <c r="A668" s="845" t="n"/>
      <c r="B668" s="845" t="n"/>
      <c r="C668" s="845" t="n"/>
      <c r="D668" s="845" t="n"/>
      <c r="E668" s="845" t="n"/>
      <c r="F668" s="845" t="n"/>
      <c r="G668" s="879" t="n"/>
      <c r="H668" s="845" t="n"/>
      <c r="I668" s="845" t="n"/>
      <c r="J668" s="845" t="n"/>
      <c r="K668" s="845" t="n"/>
      <c r="L668" s="845" t="n"/>
      <c r="M668" s="845" t="n"/>
      <c r="N668" s="845" t="n"/>
      <c r="O668" s="845" t="n"/>
      <c r="P668" s="845" t="n"/>
      <c r="Q668" s="845" t="n"/>
      <c r="R668" s="845" t="n"/>
      <c r="S668" s="845" t="n"/>
      <c r="T668" s="845" t="n"/>
      <c r="U668" s="845" t="n"/>
      <c r="V668" s="845" t="n"/>
      <c r="W668" s="845" t="n"/>
      <c r="X668" s="845" t="n"/>
      <c r="Y668" s="845" t="n"/>
      <c r="Z668" s="845" t="n"/>
    </row>
    <row r="669" ht="13.2" customHeight="1" s="1127">
      <c r="A669" s="845" t="n"/>
      <c r="B669" s="845" t="n"/>
      <c r="C669" s="845" t="n"/>
      <c r="D669" s="845" t="n"/>
      <c r="E669" s="845" t="n"/>
      <c r="F669" s="845" t="n"/>
      <c r="G669" s="879" t="n"/>
      <c r="H669" s="845" t="n"/>
      <c r="I669" s="845" t="n"/>
      <c r="J669" s="845" t="n"/>
      <c r="K669" s="845" t="n"/>
      <c r="L669" s="845" t="n"/>
      <c r="M669" s="845" t="n"/>
      <c r="N669" s="845" t="n"/>
      <c r="O669" s="845" t="n"/>
      <c r="P669" s="845" t="n"/>
      <c r="Q669" s="845" t="n"/>
      <c r="R669" s="845" t="n"/>
      <c r="S669" s="845" t="n"/>
      <c r="T669" s="845" t="n"/>
      <c r="U669" s="845" t="n"/>
      <c r="V669" s="845" t="n"/>
      <c r="W669" s="845" t="n"/>
      <c r="X669" s="845" t="n"/>
      <c r="Y669" s="845" t="n"/>
      <c r="Z669" s="845" t="n"/>
    </row>
    <row r="670" ht="13.2" customHeight="1" s="1127">
      <c r="A670" s="845" t="n"/>
      <c r="B670" s="845" t="n"/>
      <c r="C670" s="845" t="n"/>
      <c r="D670" s="845" t="n"/>
      <c r="E670" s="845" t="n"/>
      <c r="F670" s="845" t="n"/>
      <c r="G670" s="879" t="n"/>
      <c r="H670" s="845" t="n"/>
      <c r="I670" s="845" t="n"/>
      <c r="J670" s="845" t="n"/>
      <c r="K670" s="845" t="n"/>
      <c r="L670" s="845" t="n"/>
      <c r="M670" s="845" t="n"/>
      <c r="N670" s="845" t="n"/>
      <c r="O670" s="845" t="n"/>
      <c r="P670" s="845" t="n"/>
      <c r="Q670" s="845" t="n"/>
      <c r="R670" s="845" t="n"/>
      <c r="S670" s="845" t="n"/>
      <c r="T670" s="845" t="n"/>
      <c r="U670" s="845" t="n"/>
      <c r="V670" s="845" t="n"/>
      <c r="W670" s="845" t="n"/>
      <c r="X670" s="845" t="n"/>
      <c r="Y670" s="845" t="n"/>
      <c r="Z670" s="845" t="n"/>
    </row>
    <row r="671" ht="13.2" customHeight="1" s="1127">
      <c r="A671" s="845" t="n"/>
      <c r="B671" s="845" t="n"/>
      <c r="C671" s="845" t="n"/>
      <c r="D671" s="845" t="n"/>
      <c r="E671" s="845" t="n"/>
      <c r="F671" s="845" t="n"/>
      <c r="G671" s="879" t="n"/>
      <c r="H671" s="845" t="n"/>
      <c r="I671" s="845" t="n"/>
      <c r="J671" s="845" t="n"/>
      <c r="K671" s="845" t="n"/>
      <c r="L671" s="845" t="n"/>
      <c r="M671" s="845" t="n"/>
      <c r="N671" s="845" t="n"/>
      <c r="O671" s="845" t="n"/>
      <c r="P671" s="845" t="n"/>
      <c r="Q671" s="845" t="n"/>
      <c r="R671" s="845" t="n"/>
      <c r="S671" s="845" t="n"/>
      <c r="T671" s="845" t="n"/>
      <c r="U671" s="845" t="n"/>
      <c r="V671" s="845" t="n"/>
      <c r="W671" s="845" t="n"/>
      <c r="X671" s="845" t="n"/>
      <c r="Y671" s="845" t="n"/>
      <c r="Z671" s="845" t="n"/>
    </row>
    <row r="672" ht="13.2" customHeight="1" s="1127">
      <c r="A672" s="845" t="n"/>
      <c r="B672" s="845" t="n"/>
      <c r="C672" s="845" t="n"/>
      <c r="D672" s="845" t="n"/>
      <c r="E672" s="845" t="n"/>
      <c r="F672" s="845" t="n"/>
      <c r="G672" s="879" t="n"/>
      <c r="H672" s="845" t="n"/>
      <c r="I672" s="845" t="n"/>
      <c r="J672" s="845" t="n"/>
      <c r="K672" s="845" t="n"/>
      <c r="L672" s="845" t="n"/>
      <c r="M672" s="845" t="n"/>
      <c r="N672" s="845" t="n"/>
      <c r="O672" s="845" t="n"/>
      <c r="P672" s="845" t="n"/>
      <c r="Q672" s="845" t="n"/>
      <c r="R672" s="845" t="n"/>
      <c r="S672" s="845" t="n"/>
      <c r="T672" s="845" t="n"/>
      <c r="U672" s="845" t="n"/>
      <c r="V672" s="845" t="n"/>
      <c r="W672" s="845" t="n"/>
      <c r="X672" s="845" t="n"/>
      <c r="Y672" s="845" t="n"/>
      <c r="Z672" s="845" t="n"/>
    </row>
    <row r="673" ht="13.2" customHeight="1" s="1127">
      <c r="A673" s="845" t="n"/>
      <c r="B673" s="845" t="n"/>
      <c r="C673" s="845" t="n"/>
      <c r="D673" s="845" t="n"/>
      <c r="E673" s="845" t="n"/>
      <c r="F673" s="845" t="n"/>
      <c r="G673" s="879" t="n"/>
      <c r="H673" s="845" t="n"/>
      <c r="I673" s="845" t="n"/>
      <c r="J673" s="845" t="n"/>
      <c r="K673" s="845" t="n"/>
      <c r="L673" s="845" t="n"/>
      <c r="M673" s="845" t="n"/>
      <c r="N673" s="845" t="n"/>
      <c r="O673" s="845" t="n"/>
      <c r="P673" s="845" t="n"/>
      <c r="Q673" s="845" t="n"/>
      <c r="R673" s="845" t="n"/>
      <c r="S673" s="845" t="n"/>
      <c r="T673" s="845" t="n"/>
      <c r="U673" s="845" t="n"/>
      <c r="V673" s="845" t="n"/>
      <c r="W673" s="845" t="n"/>
      <c r="X673" s="845" t="n"/>
      <c r="Y673" s="845" t="n"/>
      <c r="Z673" s="845" t="n"/>
    </row>
    <row r="674" ht="13.2" customHeight="1" s="1127">
      <c r="A674" s="845" t="n"/>
      <c r="B674" s="845" t="n"/>
      <c r="C674" s="845" t="n"/>
      <c r="D674" s="845" t="n"/>
      <c r="E674" s="845" t="n"/>
      <c r="F674" s="845" t="n"/>
      <c r="G674" s="879" t="n"/>
      <c r="H674" s="845" t="n"/>
      <c r="I674" s="845" t="n"/>
      <c r="J674" s="845" t="n"/>
      <c r="K674" s="845" t="n"/>
      <c r="L674" s="845" t="n"/>
      <c r="M674" s="845" t="n"/>
      <c r="N674" s="845" t="n"/>
      <c r="O674" s="845" t="n"/>
      <c r="P674" s="845" t="n"/>
      <c r="Q674" s="845" t="n"/>
      <c r="R674" s="845" t="n"/>
      <c r="S674" s="845" t="n"/>
      <c r="T674" s="845" t="n"/>
      <c r="U674" s="845" t="n"/>
      <c r="V674" s="845" t="n"/>
      <c r="W674" s="845" t="n"/>
      <c r="X674" s="845" t="n"/>
      <c r="Y674" s="845" t="n"/>
      <c r="Z674" s="845" t="n"/>
    </row>
    <row r="675" ht="13.2" customHeight="1" s="1127">
      <c r="A675" s="845" t="n"/>
      <c r="B675" s="845" t="n"/>
      <c r="C675" s="845" t="n"/>
      <c r="D675" s="845" t="n"/>
      <c r="E675" s="845" t="n"/>
      <c r="F675" s="845" t="n"/>
      <c r="G675" s="879" t="n"/>
      <c r="H675" s="845" t="n"/>
      <c r="I675" s="845" t="n"/>
      <c r="J675" s="845" t="n"/>
      <c r="K675" s="845" t="n"/>
      <c r="L675" s="845" t="n"/>
      <c r="M675" s="845" t="n"/>
      <c r="N675" s="845" t="n"/>
      <c r="O675" s="845" t="n"/>
      <c r="P675" s="845" t="n"/>
      <c r="Q675" s="845" t="n"/>
      <c r="R675" s="845" t="n"/>
      <c r="S675" s="845" t="n"/>
      <c r="T675" s="845" t="n"/>
      <c r="U675" s="845" t="n"/>
      <c r="V675" s="845" t="n"/>
      <c r="W675" s="845" t="n"/>
      <c r="X675" s="845" t="n"/>
      <c r="Y675" s="845" t="n"/>
      <c r="Z675" s="845" t="n"/>
    </row>
    <row r="676" ht="13.2" customHeight="1" s="1127">
      <c r="A676" s="845" t="n"/>
      <c r="B676" s="845" t="n"/>
      <c r="C676" s="845" t="n"/>
      <c r="D676" s="845" t="n"/>
      <c r="E676" s="845" t="n"/>
      <c r="F676" s="845" t="n"/>
      <c r="G676" s="879" t="n"/>
      <c r="H676" s="845" t="n"/>
      <c r="I676" s="845" t="n"/>
      <c r="J676" s="845" t="n"/>
      <c r="K676" s="845" t="n"/>
      <c r="L676" s="845" t="n"/>
      <c r="M676" s="845" t="n"/>
      <c r="N676" s="845" t="n"/>
      <c r="O676" s="845" t="n"/>
      <c r="P676" s="845" t="n"/>
      <c r="Q676" s="845" t="n"/>
      <c r="R676" s="845" t="n"/>
      <c r="S676" s="845" t="n"/>
      <c r="T676" s="845" t="n"/>
      <c r="U676" s="845" t="n"/>
      <c r="V676" s="845" t="n"/>
      <c r="W676" s="845" t="n"/>
      <c r="X676" s="845" t="n"/>
      <c r="Y676" s="845" t="n"/>
      <c r="Z676" s="845" t="n"/>
    </row>
    <row r="677" ht="13.2" customHeight="1" s="1127">
      <c r="A677" s="845" t="n"/>
      <c r="B677" s="845" t="n"/>
      <c r="C677" s="845" t="n"/>
      <c r="D677" s="845" t="n"/>
      <c r="E677" s="845" t="n"/>
      <c r="F677" s="845" t="n"/>
      <c r="G677" s="879" t="n"/>
      <c r="H677" s="845" t="n"/>
      <c r="I677" s="845" t="n"/>
      <c r="J677" s="845" t="n"/>
      <c r="K677" s="845" t="n"/>
      <c r="L677" s="845" t="n"/>
      <c r="M677" s="845" t="n"/>
      <c r="N677" s="845" t="n"/>
      <c r="O677" s="845" t="n"/>
      <c r="P677" s="845" t="n"/>
      <c r="Q677" s="845" t="n"/>
      <c r="R677" s="845" t="n"/>
      <c r="S677" s="845" t="n"/>
      <c r="T677" s="845" t="n"/>
      <c r="U677" s="845" t="n"/>
      <c r="V677" s="845" t="n"/>
      <c r="W677" s="845" t="n"/>
      <c r="X677" s="845" t="n"/>
      <c r="Y677" s="845" t="n"/>
      <c r="Z677" s="845" t="n"/>
    </row>
    <row r="678" ht="13.2" customHeight="1" s="1127">
      <c r="A678" s="845" t="n"/>
      <c r="B678" s="845" t="n"/>
      <c r="C678" s="845" t="n"/>
      <c r="D678" s="845" t="n"/>
      <c r="E678" s="845" t="n"/>
      <c r="F678" s="845" t="n"/>
      <c r="G678" s="879" t="n"/>
      <c r="H678" s="845" t="n"/>
      <c r="I678" s="845" t="n"/>
      <c r="J678" s="845" t="n"/>
      <c r="K678" s="845" t="n"/>
      <c r="L678" s="845" t="n"/>
      <c r="M678" s="845" t="n"/>
      <c r="N678" s="845" t="n"/>
      <c r="O678" s="845" t="n"/>
      <c r="P678" s="845" t="n"/>
      <c r="Q678" s="845" t="n"/>
      <c r="R678" s="845" t="n"/>
      <c r="S678" s="845" t="n"/>
      <c r="T678" s="845" t="n"/>
      <c r="U678" s="845" t="n"/>
      <c r="V678" s="845" t="n"/>
      <c r="W678" s="845" t="n"/>
      <c r="X678" s="845" t="n"/>
      <c r="Y678" s="845" t="n"/>
      <c r="Z678" s="845" t="n"/>
    </row>
    <row r="679" ht="13.2" customHeight="1" s="1127">
      <c r="A679" s="845" t="n"/>
      <c r="B679" s="845" t="n"/>
      <c r="C679" s="845" t="n"/>
      <c r="D679" s="845" t="n"/>
      <c r="E679" s="845" t="n"/>
      <c r="F679" s="845" t="n"/>
      <c r="G679" s="879" t="n"/>
      <c r="H679" s="845" t="n"/>
      <c r="I679" s="845" t="n"/>
      <c r="J679" s="845" t="n"/>
      <c r="K679" s="845" t="n"/>
      <c r="L679" s="845" t="n"/>
      <c r="M679" s="845" t="n"/>
      <c r="N679" s="845" t="n"/>
      <c r="O679" s="845" t="n"/>
      <c r="P679" s="845" t="n"/>
      <c r="Q679" s="845" t="n"/>
      <c r="R679" s="845" t="n"/>
      <c r="S679" s="845" t="n"/>
      <c r="T679" s="845" t="n"/>
      <c r="U679" s="845" t="n"/>
      <c r="V679" s="845" t="n"/>
      <c r="W679" s="845" t="n"/>
      <c r="X679" s="845" t="n"/>
      <c r="Y679" s="845" t="n"/>
      <c r="Z679" s="845" t="n"/>
    </row>
    <row r="680" ht="13.2" customHeight="1" s="1127">
      <c r="A680" s="845" t="n"/>
      <c r="B680" s="845" t="n"/>
      <c r="C680" s="845" t="n"/>
      <c r="D680" s="845" t="n"/>
      <c r="E680" s="845" t="n"/>
      <c r="F680" s="845" t="n"/>
      <c r="G680" s="879" t="n"/>
      <c r="H680" s="845" t="n"/>
      <c r="I680" s="845" t="n"/>
      <c r="J680" s="845" t="n"/>
      <c r="K680" s="845" t="n"/>
      <c r="L680" s="845" t="n"/>
      <c r="M680" s="845" t="n"/>
      <c r="N680" s="845" t="n"/>
      <c r="O680" s="845" t="n"/>
      <c r="P680" s="845" t="n"/>
      <c r="Q680" s="845" t="n"/>
      <c r="R680" s="845" t="n"/>
      <c r="S680" s="845" t="n"/>
      <c r="T680" s="845" t="n"/>
      <c r="U680" s="845" t="n"/>
      <c r="V680" s="845" t="n"/>
      <c r="W680" s="845" t="n"/>
      <c r="X680" s="845" t="n"/>
      <c r="Y680" s="845" t="n"/>
      <c r="Z680" s="845" t="n"/>
    </row>
    <row r="681" ht="13.2" customHeight="1" s="1127">
      <c r="A681" s="845" t="n"/>
      <c r="B681" s="845" t="n"/>
      <c r="C681" s="845" t="n"/>
      <c r="D681" s="845" t="n"/>
      <c r="E681" s="845" t="n"/>
      <c r="F681" s="845" t="n"/>
      <c r="G681" s="879" t="n"/>
      <c r="H681" s="845" t="n"/>
      <c r="I681" s="845" t="n"/>
      <c r="J681" s="845" t="n"/>
      <c r="K681" s="845" t="n"/>
      <c r="L681" s="845" t="n"/>
      <c r="M681" s="845" t="n"/>
      <c r="N681" s="845" t="n"/>
      <c r="O681" s="845" t="n"/>
      <c r="P681" s="845" t="n"/>
      <c r="Q681" s="845" t="n"/>
      <c r="R681" s="845" t="n"/>
      <c r="S681" s="845" t="n"/>
      <c r="T681" s="845" t="n"/>
      <c r="U681" s="845" t="n"/>
      <c r="V681" s="845" t="n"/>
      <c r="W681" s="845" t="n"/>
      <c r="X681" s="845" t="n"/>
      <c r="Y681" s="845" t="n"/>
      <c r="Z681" s="845" t="n"/>
    </row>
    <row r="682" ht="13.2" customHeight="1" s="1127">
      <c r="A682" s="845" t="n"/>
      <c r="B682" s="845" t="n"/>
      <c r="C682" s="845" t="n"/>
      <c r="D682" s="845" t="n"/>
      <c r="E682" s="845" t="n"/>
      <c r="F682" s="845" t="n"/>
      <c r="G682" s="879" t="n"/>
      <c r="H682" s="845" t="n"/>
      <c r="I682" s="845" t="n"/>
      <c r="J682" s="845" t="n"/>
      <c r="K682" s="845" t="n"/>
      <c r="L682" s="845" t="n"/>
      <c r="M682" s="845" t="n"/>
      <c r="N682" s="845" t="n"/>
      <c r="O682" s="845" t="n"/>
      <c r="P682" s="845" t="n"/>
      <c r="Q682" s="845" t="n"/>
      <c r="R682" s="845" t="n"/>
      <c r="S682" s="845" t="n"/>
      <c r="T682" s="845" t="n"/>
      <c r="U682" s="845" t="n"/>
      <c r="V682" s="845" t="n"/>
      <c r="W682" s="845" t="n"/>
      <c r="X682" s="845" t="n"/>
      <c r="Y682" s="845" t="n"/>
      <c r="Z682" s="845" t="n"/>
    </row>
    <row r="683" ht="13.2" customHeight="1" s="1127">
      <c r="A683" s="845" t="n"/>
      <c r="B683" s="845" t="n"/>
      <c r="C683" s="845" t="n"/>
      <c r="D683" s="845" t="n"/>
      <c r="E683" s="845" t="n"/>
      <c r="F683" s="845" t="n"/>
      <c r="G683" s="879" t="n"/>
      <c r="H683" s="845" t="n"/>
      <c r="I683" s="845" t="n"/>
      <c r="J683" s="845" t="n"/>
      <c r="K683" s="845" t="n"/>
      <c r="L683" s="845" t="n"/>
      <c r="M683" s="845" t="n"/>
      <c r="N683" s="845" t="n"/>
      <c r="O683" s="845" t="n"/>
      <c r="P683" s="845" t="n"/>
      <c r="Q683" s="845" t="n"/>
      <c r="R683" s="845" t="n"/>
      <c r="S683" s="845" t="n"/>
      <c r="T683" s="845" t="n"/>
      <c r="U683" s="845" t="n"/>
      <c r="V683" s="845" t="n"/>
      <c r="W683" s="845" t="n"/>
      <c r="X683" s="845" t="n"/>
      <c r="Y683" s="845" t="n"/>
      <c r="Z683" s="845" t="n"/>
    </row>
    <row r="684" ht="13.2" customHeight="1" s="1127">
      <c r="A684" s="845" t="n"/>
      <c r="B684" s="845" t="n"/>
      <c r="C684" s="845" t="n"/>
      <c r="D684" s="845" t="n"/>
      <c r="E684" s="845" t="n"/>
      <c r="F684" s="845" t="n"/>
      <c r="G684" s="879" t="n"/>
      <c r="H684" s="845" t="n"/>
      <c r="I684" s="845" t="n"/>
      <c r="J684" s="845" t="n"/>
      <c r="K684" s="845" t="n"/>
      <c r="L684" s="845" t="n"/>
      <c r="M684" s="845" t="n"/>
      <c r="N684" s="845" t="n"/>
      <c r="O684" s="845" t="n"/>
      <c r="P684" s="845" t="n"/>
      <c r="Q684" s="845" t="n"/>
      <c r="R684" s="845" t="n"/>
      <c r="S684" s="845" t="n"/>
      <c r="T684" s="845" t="n"/>
      <c r="U684" s="845" t="n"/>
      <c r="V684" s="845" t="n"/>
      <c r="W684" s="845" t="n"/>
      <c r="X684" s="845" t="n"/>
      <c r="Y684" s="845" t="n"/>
      <c r="Z684" s="845" t="n"/>
    </row>
    <row r="685" ht="13.2" customHeight="1" s="1127">
      <c r="A685" s="845" t="n"/>
      <c r="B685" s="845" t="n"/>
      <c r="C685" s="845" t="n"/>
      <c r="D685" s="845" t="n"/>
      <c r="E685" s="845" t="n"/>
      <c r="F685" s="845" t="n"/>
      <c r="G685" s="879" t="n"/>
      <c r="H685" s="845" t="n"/>
      <c r="I685" s="845" t="n"/>
      <c r="J685" s="845" t="n"/>
      <c r="K685" s="845" t="n"/>
      <c r="L685" s="845" t="n"/>
      <c r="M685" s="845" t="n"/>
      <c r="N685" s="845" t="n"/>
      <c r="O685" s="845" t="n"/>
      <c r="P685" s="845" t="n"/>
      <c r="Q685" s="845" t="n"/>
      <c r="R685" s="845" t="n"/>
      <c r="S685" s="845" t="n"/>
      <c r="T685" s="845" t="n"/>
      <c r="U685" s="845" t="n"/>
      <c r="V685" s="845" t="n"/>
      <c r="W685" s="845" t="n"/>
      <c r="X685" s="845" t="n"/>
      <c r="Y685" s="845" t="n"/>
      <c r="Z685" s="845" t="n"/>
    </row>
    <row r="686" ht="13.2" customHeight="1" s="1127">
      <c r="A686" s="845" t="n"/>
      <c r="B686" s="845" t="n"/>
      <c r="C686" s="845" t="n"/>
      <c r="D686" s="845" t="n"/>
      <c r="E686" s="845" t="n"/>
      <c r="F686" s="845" t="n"/>
      <c r="G686" s="879" t="n"/>
      <c r="H686" s="845" t="n"/>
      <c r="I686" s="845" t="n"/>
      <c r="J686" s="845" t="n"/>
      <c r="K686" s="845" t="n"/>
      <c r="L686" s="845" t="n"/>
      <c r="M686" s="845" t="n"/>
      <c r="N686" s="845" t="n"/>
      <c r="O686" s="845" t="n"/>
      <c r="P686" s="845" t="n"/>
      <c r="Q686" s="845" t="n"/>
      <c r="R686" s="845" t="n"/>
      <c r="S686" s="845" t="n"/>
      <c r="T686" s="845" t="n"/>
      <c r="U686" s="845" t="n"/>
      <c r="V686" s="845" t="n"/>
      <c r="W686" s="845" t="n"/>
      <c r="X686" s="845" t="n"/>
      <c r="Y686" s="845" t="n"/>
      <c r="Z686" s="845" t="n"/>
    </row>
    <row r="687" ht="13.2" customHeight="1" s="1127">
      <c r="A687" s="845" t="n"/>
      <c r="B687" s="845" t="n"/>
      <c r="C687" s="845" t="n"/>
      <c r="D687" s="845" t="n"/>
      <c r="E687" s="845" t="n"/>
      <c r="F687" s="845" t="n"/>
      <c r="G687" s="879" t="n"/>
      <c r="H687" s="845" t="n"/>
      <c r="I687" s="845" t="n"/>
      <c r="J687" s="845" t="n"/>
      <c r="K687" s="845" t="n"/>
      <c r="L687" s="845" t="n"/>
      <c r="M687" s="845" t="n"/>
      <c r="N687" s="845" t="n"/>
      <c r="O687" s="845" t="n"/>
      <c r="P687" s="845" t="n"/>
      <c r="Q687" s="845" t="n"/>
      <c r="R687" s="845" t="n"/>
      <c r="S687" s="845" t="n"/>
      <c r="T687" s="845" t="n"/>
      <c r="U687" s="845" t="n"/>
      <c r="V687" s="845" t="n"/>
      <c r="W687" s="845" t="n"/>
      <c r="X687" s="845" t="n"/>
      <c r="Y687" s="845" t="n"/>
      <c r="Z687" s="845" t="n"/>
    </row>
    <row r="688" ht="13.2" customHeight="1" s="1127">
      <c r="A688" s="845" t="n"/>
      <c r="B688" s="845" t="n"/>
      <c r="C688" s="845" t="n"/>
      <c r="D688" s="845" t="n"/>
      <c r="E688" s="845" t="n"/>
      <c r="F688" s="845" t="n"/>
      <c r="G688" s="879" t="n"/>
      <c r="H688" s="845" t="n"/>
      <c r="I688" s="845" t="n"/>
      <c r="J688" s="845" t="n"/>
      <c r="K688" s="845" t="n"/>
      <c r="L688" s="845" t="n"/>
      <c r="M688" s="845" t="n"/>
      <c r="N688" s="845" t="n"/>
      <c r="O688" s="845" t="n"/>
      <c r="P688" s="845" t="n"/>
      <c r="Q688" s="845" t="n"/>
      <c r="R688" s="845" t="n"/>
      <c r="S688" s="845" t="n"/>
      <c r="T688" s="845" t="n"/>
      <c r="U688" s="845" t="n"/>
      <c r="V688" s="845" t="n"/>
      <c r="W688" s="845" t="n"/>
      <c r="X688" s="845" t="n"/>
      <c r="Y688" s="845" t="n"/>
      <c r="Z688" s="845" t="n"/>
    </row>
    <row r="689" ht="13.2" customHeight="1" s="1127">
      <c r="A689" s="845" t="n"/>
      <c r="B689" s="845" t="n"/>
      <c r="C689" s="845" t="n"/>
      <c r="D689" s="845" t="n"/>
      <c r="E689" s="845" t="n"/>
      <c r="F689" s="845" t="n"/>
      <c r="G689" s="879" t="n"/>
      <c r="H689" s="845" t="n"/>
      <c r="I689" s="845" t="n"/>
      <c r="J689" s="845" t="n"/>
      <c r="K689" s="845" t="n"/>
      <c r="L689" s="845" t="n"/>
      <c r="M689" s="845" t="n"/>
      <c r="N689" s="845" t="n"/>
      <c r="O689" s="845" t="n"/>
      <c r="P689" s="845" t="n"/>
      <c r="Q689" s="845" t="n"/>
      <c r="R689" s="845" t="n"/>
      <c r="S689" s="845" t="n"/>
      <c r="T689" s="845" t="n"/>
      <c r="U689" s="845" t="n"/>
      <c r="V689" s="845" t="n"/>
      <c r="W689" s="845" t="n"/>
      <c r="X689" s="845" t="n"/>
      <c r="Y689" s="845" t="n"/>
      <c r="Z689" s="845" t="n"/>
    </row>
    <row r="690" ht="13.2" customHeight="1" s="1127">
      <c r="A690" s="845" t="n"/>
      <c r="B690" s="845" t="n"/>
      <c r="C690" s="845" t="n"/>
      <c r="D690" s="845" t="n"/>
      <c r="E690" s="845" t="n"/>
      <c r="F690" s="845" t="n"/>
      <c r="G690" s="879" t="n"/>
      <c r="H690" s="845" t="n"/>
      <c r="I690" s="845" t="n"/>
      <c r="J690" s="845" t="n"/>
      <c r="K690" s="845" t="n"/>
      <c r="L690" s="845" t="n"/>
      <c r="M690" s="845" t="n"/>
      <c r="N690" s="845" t="n"/>
      <c r="O690" s="845" t="n"/>
      <c r="P690" s="845" t="n"/>
      <c r="Q690" s="845" t="n"/>
      <c r="R690" s="845" t="n"/>
      <c r="S690" s="845" t="n"/>
      <c r="T690" s="845" t="n"/>
      <c r="U690" s="845" t="n"/>
      <c r="V690" s="845" t="n"/>
      <c r="W690" s="845" t="n"/>
      <c r="X690" s="845" t="n"/>
      <c r="Y690" s="845" t="n"/>
      <c r="Z690" s="845" t="n"/>
    </row>
    <row r="691" ht="13.2" customHeight="1" s="1127">
      <c r="A691" s="845" t="n"/>
      <c r="B691" s="845" t="n"/>
      <c r="C691" s="845" t="n"/>
      <c r="D691" s="845" t="n"/>
      <c r="E691" s="845" t="n"/>
      <c r="F691" s="845" t="n"/>
      <c r="G691" s="879" t="n"/>
      <c r="H691" s="845" t="n"/>
      <c r="I691" s="845" t="n"/>
      <c r="J691" s="845" t="n"/>
      <c r="K691" s="845" t="n"/>
      <c r="L691" s="845" t="n"/>
      <c r="M691" s="845" t="n"/>
      <c r="N691" s="845" t="n"/>
      <c r="O691" s="845" t="n"/>
      <c r="P691" s="845" t="n"/>
      <c r="Q691" s="845" t="n"/>
      <c r="R691" s="845" t="n"/>
      <c r="S691" s="845" t="n"/>
      <c r="T691" s="845" t="n"/>
      <c r="U691" s="845" t="n"/>
      <c r="V691" s="845" t="n"/>
      <c r="W691" s="845" t="n"/>
      <c r="X691" s="845" t="n"/>
      <c r="Y691" s="845" t="n"/>
      <c r="Z691" s="845" t="n"/>
    </row>
    <row r="692" ht="13.2" customHeight="1" s="1127">
      <c r="A692" s="845" t="n"/>
      <c r="B692" s="845" t="n"/>
      <c r="C692" s="845" t="n"/>
      <c r="D692" s="845" t="n"/>
      <c r="E692" s="845" t="n"/>
      <c r="F692" s="845" t="n"/>
      <c r="G692" s="879" t="n"/>
      <c r="H692" s="845" t="n"/>
      <c r="I692" s="845" t="n"/>
      <c r="J692" s="845" t="n"/>
      <c r="K692" s="845" t="n"/>
      <c r="L692" s="845" t="n"/>
      <c r="M692" s="845" t="n"/>
      <c r="N692" s="845" t="n"/>
      <c r="O692" s="845" t="n"/>
      <c r="P692" s="845" t="n"/>
      <c r="Q692" s="845" t="n"/>
      <c r="R692" s="845" t="n"/>
      <c r="S692" s="845" t="n"/>
      <c r="T692" s="845" t="n"/>
      <c r="U692" s="845" t="n"/>
      <c r="V692" s="845" t="n"/>
      <c r="W692" s="845" t="n"/>
      <c r="X692" s="845" t="n"/>
      <c r="Y692" s="845" t="n"/>
      <c r="Z692" s="845" t="n"/>
    </row>
    <row r="693" ht="13.2" customHeight="1" s="1127">
      <c r="A693" s="845" t="n"/>
      <c r="B693" s="845" t="n"/>
      <c r="C693" s="845" t="n"/>
      <c r="D693" s="845" t="n"/>
      <c r="E693" s="845" t="n"/>
      <c r="F693" s="845" t="n"/>
      <c r="G693" s="879" t="n"/>
      <c r="H693" s="845" t="n"/>
      <c r="I693" s="845" t="n"/>
      <c r="J693" s="845" t="n"/>
      <c r="K693" s="845" t="n"/>
      <c r="L693" s="845" t="n"/>
      <c r="M693" s="845" t="n"/>
      <c r="N693" s="845" t="n"/>
      <c r="O693" s="845" t="n"/>
      <c r="P693" s="845" t="n"/>
      <c r="Q693" s="845" t="n"/>
      <c r="R693" s="845" t="n"/>
      <c r="S693" s="845" t="n"/>
      <c r="T693" s="845" t="n"/>
      <c r="U693" s="845" t="n"/>
      <c r="V693" s="845" t="n"/>
      <c r="W693" s="845" t="n"/>
      <c r="X693" s="845" t="n"/>
      <c r="Y693" s="845" t="n"/>
      <c r="Z693" s="845" t="n"/>
    </row>
    <row r="694" ht="13.2" customHeight="1" s="1127">
      <c r="A694" s="845" t="n"/>
      <c r="B694" s="845" t="n"/>
      <c r="C694" s="845" t="n"/>
      <c r="D694" s="845" t="n"/>
      <c r="E694" s="845" t="n"/>
      <c r="F694" s="845" t="n"/>
      <c r="G694" s="879" t="n"/>
      <c r="H694" s="845" t="n"/>
      <c r="I694" s="845" t="n"/>
      <c r="J694" s="845" t="n"/>
      <c r="K694" s="845" t="n"/>
      <c r="L694" s="845" t="n"/>
      <c r="M694" s="845" t="n"/>
      <c r="N694" s="845" t="n"/>
      <c r="O694" s="845" t="n"/>
      <c r="P694" s="845" t="n"/>
      <c r="Q694" s="845" t="n"/>
      <c r="R694" s="845" t="n"/>
      <c r="S694" s="845" t="n"/>
      <c r="T694" s="845" t="n"/>
      <c r="U694" s="845" t="n"/>
      <c r="V694" s="845" t="n"/>
      <c r="W694" s="845" t="n"/>
      <c r="X694" s="845" t="n"/>
      <c r="Y694" s="845" t="n"/>
      <c r="Z694" s="845" t="n"/>
    </row>
    <row r="695" ht="13.2" customHeight="1" s="1127">
      <c r="A695" s="845" t="n"/>
      <c r="B695" s="845" t="n"/>
      <c r="C695" s="845" t="n"/>
      <c r="D695" s="845" t="n"/>
      <c r="E695" s="845" t="n"/>
      <c r="F695" s="845" t="n"/>
      <c r="G695" s="879" t="n"/>
      <c r="H695" s="845" t="n"/>
      <c r="I695" s="845" t="n"/>
      <c r="J695" s="845" t="n"/>
      <c r="K695" s="845" t="n"/>
      <c r="L695" s="845" t="n"/>
      <c r="M695" s="845" t="n"/>
      <c r="N695" s="845" t="n"/>
      <c r="O695" s="845" t="n"/>
      <c r="P695" s="845" t="n"/>
      <c r="Q695" s="845" t="n"/>
      <c r="R695" s="845" t="n"/>
      <c r="S695" s="845" t="n"/>
      <c r="T695" s="845" t="n"/>
      <c r="U695" s="845" t="n"/>
      <c r="V695" s="845" t="n"/>
      <c r="W695" s="845" t="n"/>
      <c r="X695" s="845" t="n"/>
      <c r="Y695" s="845" t="n"/>
      <c r="Z695" s="845" t="n"/>
    </row>
    <row r="696" ht="13.2" customHeight="1" s="1127">
      <c r="A696" s="845" t="n"/>
      <c r="B696" s="845" t="n"/>
      <c r="C696" s="845" t="n"/>
      <c r="D696" s="845" t="n"/>
      <c r="E696" s="845" t="n"/>
      <c r="F696" s="845" t="n"/>
      <c r="G696" s="879" t="n"/>
      <c r="H696" s="845" t="n"/>
      <c r="I696" s="845" t="n"/>
      <c r="J696" s="845" t="n"/>
      <c r="K696" s="845" t="n"/>
      <c r="L696" s="845" t="n"/>
      <c r="M696" s="845" t="n"/>
      <c r="N696" s="845" t="n"/>
      <c r="O696" s="845" t="n"/>
      <c r="P696" s="845" t="n"/>
      <c r="Q696" s="845" t="n"/>
      <c r="R696" s="845" t="n"/>
      <c r="S696" s="845" t="n"/>
      <c r="T696" s="845" t="n"/>
      <c r="U696" s="845" t="n"/>
      <c r="V696" s="845" t="n"/>
      <c r="W696" s="845" t="n"/>
      <c r="X696" s="845" t="n"/>
      <c r="Y696" s="845" t="n"/>
      <c r="Z696" s="845" t="n"/>
    </row>
    <row r="697" ht="13.2" customHeight="1" s="1127">
      <c r="A697" s="845" t="n"/>
      <c r="B697" s="845" t="n"/>
      <c r="C697" s="845" t="n"/>
      <c r="D697" s="845" t="n"/>
      <c r="E697" s="845" t="n"/>
      <c r="F697" s="845" t="n"/>
      <c r="G697" s="879" t="n"/>
      <c r="H697" s="845" t="n"/>
      <c r="I697" s="845" t="n"/>
      <c r="J697" s="845" t="n"/>
      <c r="K697" s="845" t="n"/>
      <c r="L697" s="845" t="n"/>
      <c r="M697" s="845" t="n"/>
      <c r="N697" s="845" t="n"/>
      <c r="O697" s="845" t="n"/>
      <c r="P697" s="845" t="n"/>
      <c r="Q697" s="845" t="n"/>
      <c r="R697" s="845" t="n"/>
      <c r="S697" s="845" t="n"/>
      <c r="T697" s="845" t="n"/>
      <c r="U697" s="845" t="n"/>
      <c r="V697" s="845" t="n"/>
      <c r="W697" s="845" t="n"/>
      <c r="X697" s="845" t="n"/>
      <c r="Y697" s="845" t="n"/>
      <c r="Z697" s="845" t="n"/>
    </row>
    <row r="698" ht="13.2" customHeight="1" s="1127">
      <c r="A698" s="845" t="n"/>
      <c r="B698" s="845" t="n"/>
      <c r="C698" s="845" t="n"/>
      <c r="D698" s="845" t="n"/>
      <c r="E698" s="845" t="n"/>
      <c r="F698" s="845" t="n"/>
      <c r="G698" s="879" t="n"/>
      <c r="H698" s="845" t="n"/>
      <c r="I698" s="845" t="n"/>
      <c r="J698" s="845" t="n"/>
      <c r="K698" s="845" t="n"/>
      <c r="L698" s="845" t="n"/>
      <c r="M698" s="845" t="n"/>
      <c r="N698" s="845" t="n"/>
      <c r="O698" s="845" t="n"/>
      <c r="P698" s="845" t="n"/>
      <c r="Q698" s="845" t="n"/>
      <c r="R698" s="845" t="n"/>
      <c r="S698" s="845" t="n"/>
      <c r="T698" s="845" t="n"/>
      <c r="U698" s="845" t="n"/>
      <c r="V698" s="845" t="n"/>
      <c r="W698" s="845" t="n"/>
      <c r="X698" s="845" t="n"/>
      <c r="Y698" s="845" t="n"/>
      <c r="Z698" s="845" t="n"/>
    </row>
    <row r="699" ht="13.2" customHeight="1" s="1127">
      <c r="A699" s="845" t="n"/>
      <c r="B699" s="845" t="n"/>
      <c r="C699" s="845" t="n"/>
      <c r="D699" s="845" t="n"/>
      <c r="E699" s="845" t="n"/>
      <c r="F699" s="845" t="n"/>
      <c r="G699" s="879" t="n"/>
      <c r="H699" s="845" t="n"/>
      <c r="I699" s="845" t="n"/>
      <c r="J699" s="845" t="n"/>
      <c r="K699" s="845" t="n"/>
      <c r="L699" s="845" t="n"/>
      <c r="M699" s="845" t="n"/>
      <c r="N699" s="845" t="n"/>
      <c r="O699" s="845" t="n"/>
      <c r="P699" s="845" t="n"/>
      <c r="Q699" s="845" t="n"/>
      <c r="R699" s="845" t="n"/>
      <c r="S699" s="845" t="n"/>
      <c r="T699" s="845" t="n"/>
      <c r="U699" s="845" t="n"/>
      <c r="V699" s="845" t="n"/>
      <c r="W699" s="845" t="n"/>
      <c r="X699" s="845" t="n"/>
      <c r="Y699" s="845" t="n"/>
      <c r="Z699" s="845" t="n"/>
    </row>
    <row r="700" ht="13.2" customHeight="1" s="1127">
      <c r="A700" s="845" t="n"/>
      <c r="B700" s="845" t="n"/>
      <c r="C700" s="845" t="n"/>
      <c r="D700" s="845" t="n"/>
      <c r="E700" s="845" t="n"/>
      <c r="F700" s="845" t="n"/>
      <c r="G700" s="879" t="n"/>
      <c r="H700" s="845" t="n"/>
      <c r="I700" s="845" t="n"/>
      <c r="J700" s="845" t="n"/>
      <c r="K700" s="845" t="n"/>
      <c r="L700" s="845" t="n"/>
      <c r="M700" s="845" t="n"/>
      <c r="N700" s="845" t="n"/>
      <c r="O700" s="845" t="n"/>
      <c r="P700" s="845" t="n"/>
      <c r="Q700" s="845" t="n"/>
      <c r="R700" s="845" t="n"/>
      <c r="S700" s="845" t="n"/>
      <c r="T700" s="845" t="n"/>
      <c r="U700" s="845" t="n"/>
      <c r="V700" s="845" t="n"/>
      <c r="W700" s="845" t="n"/>
      <c r="X700" s="845" t="n"/>
      <c r="Y700" s="845" t="n"/>
      <c r="Z700" s="845" t="n"/>
    </row>
    <row r="701" ht="13.2" customHeight="1" s="1127">
      <c r="A701" s="845" t="n"/>
      <c r="B701" s="845" t="n"/>
      <c r="C701" s="845" t="n"/>
      <c r="D701" s="845" t="n"/>
      <c r="E701" s="845" t="n"/>
      <c r="F701" s="845" t="n"/>
      <c r="G701" s="879" t="n"/>
      <c r="H701" s="845" t="n"/>
      <c r="I701" s="845" t="n"/>
      <c r="J701" s="845" t="n"/>
      <c r="K701" s="845" t="n"/>
      <c r="L701" s="845" t="n"/>
      <c r="M701" s="845" t="n"/>
      <c r="N701" s="845" t="n"/>
      <c r="O701" s="845" t="n"/>
      <c r="P701" s="845" t="n"/>
      <c r="Q701" s="845" t="n"/>
      <c r="R701" s="845" t="n"/>
      <c r="S701" s="845" t="n"/>
      <c r="T701" s="845" t="n"/>
      <c r="U701" s="845" t="n"/>
      <c r="V701" s="845" t="n"/>
      <c r="W701" s="845" t="n"/>
      <c r="X701" s="845" t="n"/>
      <c r="Y701" s="845" t="n"/>
      <c r="Z701" s="845" t="n"/>
    </row>
    <row r="702" ht="13.2" customHeight="1" s="1127">
      <c r="A702" s="845" t="n"/>
      <c r="B702" s="845" t="n"/>
      <c r="C702" s="845" t="n"/>
      <c r="D702" s="845" t="n"/>
      <c r="E702" s="845" t="n"/>
      <c r="F702" s="845" t="n"/>
      <c r="G702" s="879" t="n"/>
      <c r="H702" s="845" t="n"/>
      <c r="I702" s="845" t="n"/>
      <c r="J702" s="845" t="n"/>
      <c r="K702" s="845" t="n"/>
      <c r="L702" s="845" t="n"/>
      <c r="M702" s="845" t="n"/>
      <c r="N702" s="845" t="n"/>
      <c r="O702" s="845" t="n"/>
      <c r="P702" s="845" t="n"/>
      <c r="Q702" s="845" t="n"/>
      <c r="R702" s="845" t="n"/>
      <c r="S702" s="845" t="n"/>
      <c r="T702" s="845" t="n"/>
      <c r="U702" s="845" t="n"/>
      <c r="V702" s="845" t="n"/>
      <c r="W702" s="845" t="n"/>
      <c r="X702" s="845" t="n"/>
      <c r="Y702" s="845" t="n"/>
      <c r="Z702" s="845" t="n"/>
    </row>
    <row r="703" ht="13.2" customHeight="1" s="1127">
      <c r="A703" s="845" t="n"/>
      <c r="B703" s="845" t="n"/>
      <c r="C703" s="845" t="n"/>
      <c r="D703" s="845" t="n"/>
      <c r="E703" s="845" t="n"/>
      <c r="F703" s="845" t="n"/>
      <c r="G703" s="879" t="n"/>
      <c r="H703" s="845" t="n"/>
      <c r="I703" s="845" t="n"/>
      <c r="J703" s="845" t="n"/>
      <c r="K703" s="845" t="n"/>
      <c r="L703" s="845" t="n"/>
      <c r="M703" s="845" t="n"/>
      <c r="N703" s="845" t="n"/>
      <c r="O703" s="845" t="n"/>
      <c r="P703" s="845" t="n"/>
      <c r="Q703" s="845" t="n"/>
      <c r="R703" s="845" t="n"/>
      <c r="S703" s="845" t="n"/>
      <c r="T703" s="845" t="n"/>
      <c r="U703" s="845" t="n"/>
      <c r="V703" s="845" t="n"/>
      <c r="W703" s="845" t="n"/>
      <c r="X703" s="845" t="n"/>
      <c r="Y703" s="845" t="n"/>
      <c r="Z703" s="845" t="n"/>
    </row>
    <row r="704" ht="13.2" customHeight="1" s="1127">
      <c r="A704" s="845" t="n"/>
      <c r="B704" s="845" t="n"/>
      <c r="C704" s="845" t="n"/>
      <c r="D704" s="845" t="n"/>
      <c r="E704" s="845" t="n"/>
      <c r="F704" s="845" t="n"/>
      <c r="G704" s="879" t="n"/>
      <c r="H704" s="845" t="n"/>
      <c r="I704" s="845" t="n"/>
      <c r="J704" s="845" t="n"/>
      <c r="K704" s="845" t="n"/>
      <c r="L704" s="845" t="n"/>
      <c r="M704" s="845" t="n"/>
      <c r="N704" s="845" t="n"/>
      <c r="O704" s="845" t="n"/>
      <c r="P704" s="845" t="n"/>
      <c r="Q704" s="845" t="n"/>
      <c r="R704" s="845" t="n"/>
      <c r="S704" s="845" t="n"/>
      <c r="T704" s="845" t="n"/>
      <c r="U704" s="845" t="n"/>
      <c r="V704" s="845" t="n"/>
      <c r="W704" s="845" t="n"/>
      <c r="X704" s="845" t="n"/>
      <c r="Y704" s="845" t="n"/>
      <c r="Z704" s="845" t="n"/>
    </row>
    <row r="705" ht="13.2" customHeight="1" s="1127">
      <c r="A705" s="845" t="n"/>
      <c r="B705" s="845" t="n"/>
      <c r="C705" s="845" t="n"/>
      <c r="D705" s="845" t="n"/>
      <c r="E705" s="845" t="n"/>
      <c r="F705" s="845" t="n"/>
      <c r="G705" s="879" t="n"/>
      <c r="H705" s="845" t="n"/>
      <c r="I705" s="845" t="n"/>
      <c r="J705" s="845" t="n"/>
      <c r="K705" s="845" t="n"/>
      <c r="L705" s="845" t="n"/>
      <c r="M705" s="845" t="n"/>
      <c r="N705" s="845" t="n"/>
      <c r="O705" s="845" t="n"/>
      <c r="P705" s="845" t="n"/>
      <c r="Q705" s="845" t="n"/>
      <c r="R705" s="845" t="n"/>
      <c r="S705" s="845" t="n"/>
      <c r="T705" s="845" t="n"/>
      <c r="U705" s="845" t="n"/>
      <c r="V705" s="845" t="n"/>
      <c r="W705" s="845" t="n"/>
      <c r="X705" s="845" t="n"/>
      <c r="Y705" s="845" t="n"/>
      <c r="Z705" s="845" t="n"/>
    </row>
    <row r="706" ht="13.2" customHeight="1" s="1127">
      <c r="A706" s="845" t="n"/>
      <c r="B706" s="845" t="n"/>
      <c r="C706" s="845" t="n"/>
      <c r="D706" s="845" t="n"/>
      <c r="E706" s="845" t="n"/>
      <c r="F706" s="845" t="n"/>
      <c r="G706" s="879" t="n"/>
      <c r="H706" s="845" t="n"/>
      <c r="I706" s="845" t="n"/>
      <c r="J706" s="845" t="n"/>
      <c r="K706" s="845" t="n"/>
      <c r="L706" s="845" t="n"/>
      <c r="M706" s="845" t="n"/>
      <c r="N706" s="845" t="n"/>
      <c r="O706" s="845" t="n"/>
      <c r="P706" s="845" t="n"/>
      <c r="Q706" s="845" t="n"/>
      <c r="R706" s="845" t="n"/>
      <c r="S706" s="845" t="n"/>
      <c r="T706" s="845" t="n"/>
      <c r="U706" s="845" t="n"/>
      <c r="V706" s="845" t="n"/>
      <c r="W706" s="845" t="n"/>
      <c r="X706" s="845" t="n"/>
      <c r="Y706" s="845" t="n"/>
      <c r="Z706" s="845" t="n"/>
    </row>
    <row r="707" ht="13.2" customHeight="1" s="1127">
      <c r="A707" s="845" t="n"/>
      <c r="B707" s="845" t="n"/>
      <c r="C707" s="845" t="n"/>
      <c r="D707" s="845" t="n"/>
      <c r="E707" s="845" t="n"/>
      <c r="F707" s="845" t="n"/>
      <c r="G707" s="879" t="n"/>
      <c r="H707" s="845" t="n"/>
      <c r="I707" s="845" t="n"/>
      <c r="J707" s="845" t="n"/>
      <c r="K707" s="845" t="n"/>
      <c r="L707" s="845" t="n"/>
      <c r="M707" s="845" t="n"/>
      <c r="N707" s="845" t="n"/>
      <c r="O707" s="845" t="n"/>
      <c r="P707" s="845" t="n"/>
      <c r="Q707" s="845" t="n"/>
      <c r="R707" s="845" t="n"/>
      <c r="S707" s="845" t="n"/>
      <c r="T707" s="845" t="n"/>
      <c r="U707" s="845" t="n"/>
      <c r="V707" s="845" t="n"/>
      <c r="W707" s="845" t="n"/>
      <c r="X707" s="845" t="n"/>
      <c r="Y707" s="845" t="n"/>
      <c r="Z707" s="845" t="n"/>
    </row>
    <row r="708" ht="13.2" customHeight="1" s="1127">
      <c r="A708" s="845" t="n"/>
      <c r="B708" s="845" t="n"/>
      <c r="C708" s="845" t="n"/>
      <c r="D708" s="845" t="n"/>
      <c r="E708" s="845" t="n"/>
      <c r="F708" s="845" t="n"/>
      <c r="G708" s="879" t="n"/>
      <c r="H708" s="845" t="n"/>
      <c r="I708" s="845" t="n"/>
      <c r="J708" s="845" t="n"/>
      <c r="K708" s="845" t="n"/>
      <c r="L708" s="845" t="n"/>
      <c r="M708" s="845" t="n"/>
      <c r="N708" s="845" t="n"/>
      <c r="O708" s="845" t="n"/>
      <c r="P708" s="845" t="n"/>
      <c r="Q708" s="845" t="n"/>
      <c r="R708" s="845" t="n"/>
      <c r="S708" s="845" t="n"/>
      <c r="T708" s="845" t="n"/>
      <c r="U708" s="845" t="n"/>
      <c r="V708" s="845" t="n"/>
      <c r="W708" s="845" t="n"/>
      <c r="X708" s="845" t="n"/>
      <c r="Y708" s="845" t="n"/>
      <c r="Z708" s="845" t="n"/>
    </row>
    <row r="709" ht="13.2" customHeight="1" s="1127">
      <c r="A709" s="845" t="n"/>
      <c r="B709" s="845" t="n"/>
      <c r="C709" s="845" t="n"/>
      <c r="D709" s="845" t="n"/>
      <c r="E709" s="845" t="n"/>
      <c r="F709" s="845" t="n"/>
      <c r="G709" s="879" t="n"/>
      <c r="H709" s="845" t="n"/>
      <c r="I709" s="845" t="n"/>
      <c r="J709" s="845" t="n"/>
      <c r="K709" s="845" t="n"/>
      <c r="L709" s="845" t="n"/>
      <c r="M709" s="845" t="n"/>
      <c r="N709" s="845" t="n"/>
      <c r="O709" s="845" t="n"/>
      <c r="P709" s="845" t="n"/>
      <c r="Q709" s="845" t="n"/>
      <c r="R709" s="845" t="n"/>
      <c r="S709" s="845" t="n"/>
      <c r="T709" s="845" t="n"/>
      <c r="U709" s="845" t="n"/>
      <c r="V709" s="845" t="n"/>
      <c r="W709" s="845" t="n"/>
      <c r="X709" s="845" t="n"/>
      <c r="Y709" s="845" t="n"/>
      <c r="Z709" s="845" t="n"/>
    </row>
    <row r="710" ht="13.2" customHeight="1" s="1127">
      <c r="A710" s="845" t="n"/>
      <c r="B710" s="845" t="n"/>
      <c r="C710" s="845" t="n"/>
      <c r="D710" s="845" t="n"/>
      <c r="E710" s="845" t="n"/>
      <c r="F710" s="845" t="n"/>
      <c r="G710" s="879" t="n"/>
      <c r="H710" s="845" t="n"/>
      <c r="I710" s="845" t="n"/>
      <c r="J710" s="845" t="n"/>
      <c r="K710" s="845" t="n"/>
      <c r="L710" s="845" t="n"/>
      <c r="M710" s="845" t="n"/>
      <c r="N710" s="845" t="n"/>
      <c r="O710" s="845" t="n"/>
      <c r="P710" s="845" t="n"/>
      <c r="Q710" s="845" t="n"/>
      <c r="R710" s="845" t="n"/>
      <c r="S710" s="845" t="n"/>
      <c r="T710" s="845" t="n"/>
      <c r="U710" s="845" t="n"/>
      <c r="V710" s="845" t="n"/>
      <c r="W710" s="845" t="n"/>
      <c r="X710" s="845" t="n"/>
      <c r="Y710" s="845" t="n"/>
      <c r="Z710" s="845" t="n"/>
    </row>
    <row r="711" ht="13.2" customHeight="1" s="1127">
      <c r="A711" s="845" t="n"/>
      <c r="B711" s="845" t="n"/>
      <c r="C711" s="845" t="n"/>
      <c r="D711" s="845" t="n"/>
      <c r="E711" s="845" t="n"/>
      <c r="F711" s="845" t="n"/>
      <c r="G711" s="879" t="n"/>
      <c r="H711" s="845" t="n"/>
      <c r="I711" s="845" t="n"/>
      <c r="J711" s="845" t="n"/>
      <c r="K711" s="845" t="n"/>
      <c r="L711" s="845" t="n"/>
      <c r="M711" s="845" t="n"/>
      <c r="N711" s="845" t="n"/>
      <c r="O711" s="845" t="n"/>
      <c r="P711" s="845" t="n"/>
      <c r="Q711" s="845" t="n"/>
      <c r="R711" s="845" t="n"/>
      <c r="S711" s="845" t="n"/>
      <c r="T711" s="845" t="n"/>
      <c r="U711" s="845" t="n"/>
      <c r="V711" s="845" t="n"/>
      <c r="W711" s="845" t="n"/>
      <c r="X711" s="845" t="n"/>
      <c r="Y711" s="845" t="n"/>
      <c r="Z711" s="845" t="n"/>
    </row>
    <row r="712" ht="13.2" customHeight="1" s="1127">
      <c r="A712" s="845" t="n"/>
      <c r="B712" s="845" t="n"/>
      <c r="C712" s="845" t="n"/>
      <c r="D712" s="845" t="n"/>
      <c r="E712" s="845" t="n"/>
      <c r="F712" s="845" t="n"/>
      <c r="G712" s="879" t="n"/>
      <c r="H712" s="845" t="n"/>
      <c r="I712" s="845" t="n"/>
      <c r="J712" s="845" t="n"/>
      <c r="K712" s="845" t="n"/>
      <c r="L712" s="845" t="n"/>
      <c r="M712" s="845" t="n"/>
      <c r="N712" s="845" t="n"/>
      <c r="O712" s="845" t="n"/>
      <c r="P712" s="845" t="n"/>
      <c r="Q712" s="845" t="n"/>
      <c r="R712" s="845" t="n"/>
      <c r="S712" s="845" t="n"/>
      <c r="T712" s="845" t="n"/>
      <c r="U712" s="845" t="n"/>
      <c r="V712" s="845" t="n"/>
      <c r="W712" s="845" t="n"/>
      <c r="X712" s="845" t="n"/>
      <c r="Y712" s="845" t="n"/>
      <c r="Z712" s="845" t="n"/>
    </row>
    <row r="713" ht="13.2" customHeight="1" s="1127">
      <c r="A713" s="845" t="n"/>
      <c r="B713" s="845" t="n"/>
      <c r="C713" s="845" t="n"/>
      <c r="D713" s="845" t="n"/>
      <c r="E713" s="845" t="n"/>
      <c r="F713" s="845" t="n"/>
      <c r="G713" s="879" t="n"/>
      <c r="H713" s="845" t="n"/>
      <c r="I713" s="845" t="n"/>
      <c r="J713" s="845" t="n"/>
      <c r="K713" s="845" t="n"/>
      <c r="L713" s="845" t="n"/>
      <c r="M713" s="845" t="n"/>
      <c r="N713" s="845" t="n"/>
      <c r="O713" s="845" t="n"/>
      <c r="P713" s="845" t="n"/>
      <c r="Q713" s="845" t="n"/>
      <c r="R713" s="845" t="n"/>
      <c r="S713" s="845" t="n"/>
      <c r="T713" s="845" t="n"/>
      <c r="U713" s="845" t="n"/>
      <c r="V713" s="845" t="n"/>
      <c r="W713" s="845" t="n"/>
      <c r="X713" s="845" t="n"/>
      <c r="Y713" s="845" t="n"/>
      <c r="Z713" s="845" t="n"/>
    </row>
    <row r="714" ht="13.2" customHeight="1" s="1127">
      <c r="A714" s="845" t="n"/>
      <c r="B714" s="845" t="n"/>
      <c r="C714" s="845" t="n"/>
      <c r="D714" s="845" t="n"/>
      <c r="E714" s="845" t="n"/>
      <c r="F714" s="845" t="n"/>
      <c r="G714" s="879" t="n"/>
      <c r="H714" s="845" t="n"/>
      <c r="I714" s="845" t="n"/>
      <c r="J714" s="845" t="n"/>
      <c r="K714" s="845" t="n"/>
      <c r="L714" s="845" t="n"/>
      <c r="M714" s="845" t="n"/>
      <c r="N714" s="845" t="n"/>
      <c r="O714" s="845" t="n"/>
      <c r="P714" s="845" t="n"/>
      <c r="Q714" s="845" t="n"/>
      <c r="R714" s="845" t="n"/>
      <c r="S714" s="845" t="n"/>
      <c r="T714" s="845" t="n"/>
      <c r="U714" s="845" t="n"/>
      <c r="V714" s="845" t="n"/>
      <c r="W714" s="845" t="n"/>
      <c r="X714" s="845" t="n"/>
      <c r="Y714" s="845" t="n"/>
      <c r="Z714" s="845" t="n"/>
    </row>
    <row r="715" ht="13.2" customHeight="1" s="1127">
      <c r="A715" s="845" t="n"/>
      <c r="B715" s="845" t="n"/>
      <c r="C715" s="845" t="n"/>
      <c r="D715" s="845" t="n"/>
      <c r="E715" s="845" t="n"/>
      <c r="F715" s="845" t="n"/>
      <c r="G715" s="879" t="n"/>
      <c r="H715" s="845" t="n"/>
      <c r="I715" s="845" t="n"/>
      <c r="J715" s="845" t="n"/>
      <c r="K715" s="845" t="n"/>
      <c r="L715" s="845" t="n"/>
      <c r="M715" s="845" t="n"/>
      <c r="N715" s="845" t="n"/>
      <c r="O715" s="845" t="n"/>
      <c r="P715" s="845" t="n"/>
      <c r="Q715" s="845" t="n"/>
      <c r="R715" s="845" t="n"/>
      <c r="S715" s="845" t="n"/>
      <c r="T715" s="845" t="n"/>
      <c r="U715" s="845" t="n"/>
      <c r="V715" s="845" t="n"/>
      <c r="W715" s="845" t="n"/>
      <c r="X715" s="845" t="n"/>
      <c r="Y715" s="845" t="n"/>
      <c r="Z715" s="845" t="n"/>
    </row>
    <row r="716" ht="13.2" customHeight="1" s="1127">
      <c r="A716" s="845" t="n"/>
      <c r="B716" s="845" t="n"/>
      <c r="C716" s="845" t="n"/>
      <c r="D716" s="845" t="n"/>
      <c r="E716" s="845" t="n"/>
      <c r="F716" s="845" t="n"/>
      <c r="G716" s="879" t="n"/>
      <c r="H716" s="845" t="n"/>
      <c r="I716" s="845" t="n"/>
      <c r="J716" s="845" t="n"/>
      <c r="K716" s="845" t="n"/>
      <c r="L716" s="845" t="n"/>
      <c r="M716" s="845" t="n"/>
      <c r="N716" s="845" t="n"/>
      <c r="O716" s="845" t="n"/>
      <c r="P716" s="845" t="n"/>
      <c r="Q716" s="845" t="n"/>
      <c r="R716" s="845" t="n"/>
      <c r="S716" s="845" t="n"/>
      <c r="T716" s="845" t="n"/>
      <c r="U716" s="845" t="n"/>
      <c r="V716" s="845" t="n"/>
      <c r="W716" s="845" t="n"/>
      <c r="X716" s="845" t="n"/>
      <c r="Y716" s="845" t="n"/>
      <c r="Z716" s="845" t="n"/>
    </row>
    <row r="717" ht="13.2" customHeight="1" s="1127">
      <c r="A717" s="845" t="n"/>
      <c r="B717" s="845" t="n"/>
      <c r="C717" s="845" t="n"/>
      <c r="D717" s="845" t="n"/>
      <c r="E717" s="845" t="n"/>
      <c r="F717" s="845" t="n"/>
      <c r="G717" s="879" t="n"/>
      <c r="H717" s="845" t="n"/>
      <c r="I717" s="845" t="n"/>
      <c r="J717" s="845" t="n"/>
      <c r="K717" s="845" t="n"/>
      <c r="L717" s="845" t="n"/>
      <c r="M717" s="845" t="n"/>
      <c r="N717" s="845" t="n"/>
      <c r="O717" s="845" t="n"/>
      <c r="P717" s="845" t="n"/>
      <c r="Q717" s="845" t="n"/>
      <c r="R717" s="845" t="n"/>
      <c r="S717" s="845" t="n"/>
      <c r="T717" s="845" t="n"/>
      <c r="U717" s="845" t="n"/>
      <c r="V717" s="845" t="n"/>
      <c r="W717" s="845" t="n"/>
      <c r="X717" s="845" t="n"/>
      <c r="Y717" s="845" t="n"/>
      <c r="Z717" s="845" t="n"/>
    </row>
    <row r="718" ht="13.2" customHeight="1" s="1127">
      <c r="A718" s="845" t="n"/>
      <c r="B718" s="845" t="n"/>
      <c r="C718" s="845" t="n"/>
      <c r="D718" s="845" t="n"/>
      <c r="E718" s="845" t="n"/>
      <c r="F718" s="845" t="n"/>
      <c r="G718" s="879" t="n"/>
      <c r="H718" s="845" t="n"/>
      <c r="I718" s="845" t="n"/>
      <c r="J718" s="845" t="n"/>
      <c r="K718" s="845" t="n"/>
      <c r="L718" s="845" t="n"/>
      <c r="M718" s="845" t="n"/>
      <c r="N718" s="845" t="n"/>
      <c r="O718" s="845" t="n"/>
      <c r="P718" s="845" t="n"/>
      <c r="Q718" s="845" t="n"/>
      <c r="R718" s="845" t="n"/>
      <c r="S718" s="845" t="n"/>
      <c r="T718" s="845" t="n"/>
      <c r="U718" s="845" t="n"/>
      <c r="V718" s="845" t="n"/>
      <c r="W718" s="845" t="n"/>
      <c r="X718" s="845" t="n"/>
      <c r="Y718" s="845" t="n"/>
      <c r="Z718" s="845" t="n"/>
    </row>
    <row r="719" ht="13.2" customHeight="1" s="1127">
      <c r="A719" s="845" t="n"/>
      <c r="B719" s="845" t="n"/>
      <c r="C719" s="845" t="n"/>
      <c r="D719" s="845" t="n"/>
      <c r="E719" s="845" t="n"/>
      <c r="F719" s="845" t="n"/>
      <c r="G719" s="879" t="n"/>
      <c r="H719" s="845" t="n"/>
      <c r="I719" s="845" t="n"/>
      <c r="J719" s="845" t="n"/>
      <c r="K719" s="845" t="n"/>
      <c r="L719" s="845" t="n"/>
      <c r="M719" s="845" t="n"/>
      <c r="N719" s="845" t="n"/>
      <c r="O719" s="845" t="n"/>
      <c r="P719" s="845" t="n"/>
      <c r="Q719" s="845" t="n"/>
      <c r="R719" s="845" t="n"/>
      <c r="S719" s="845" t="n"/>
      <c r="T719" s="845" t="n"/>
      <c r="U719" s="845" t="n"/>
      <c r="V719" s="845" t="n"/>
      <c r="W719" s="845" t="n"/>
      <c r="X719" s="845" t="n"/>
      <c r="Y719" s="845" t="n"/>
      <c r="Z719" s="845" t="n"/>
    </row>
    <row r="720" ht="13.2" customHeight="1" s="1127">
      <c r="A720" s="845" t="n"/>
      <c r="B720" s="845" t="n"/>
      <c r="C720" s="845" t="n"/>
      <c r="D720" s="845" t="n"/>
      <c r="E720" s="845" t="n"/>
      <c r="F720" s="845" t="n"/>
      <c r="G720" s="879" t="n"/>
      <c r="H720" s="845" t="n"/>
      <c r="I720" s="845" t="n"/>
      <c r="J720" s="845" t="n"/>
      <c r="K720" s="845" t="n"/>
      <c r="L720" s="845" t="n"/>
      <c r="M720" s="845" t="n"/>
      <c r="N720" s="845" t="n"/>
      <c r="O720" s="845" t="n"/>
      <c r="P720" s="845" t="n"/>
      <c r="Q720" s="845" t="n"/>
      <c r="R720" s="845" t="n"/>
      <c r="S720" s="845" t="n"/>
      <c r="T720" s="845" t="n"/>
      <c r="U720" s="845" t="n"/>
      <c r="V720" s="845" t="n"/>
      <c r="W720" s="845" t="n"/>
      <c r="X720" s="845" t="n"/>
      <c r="Y720" s="845" t="n"/>
      <c r="Z720" s="845" t="n"/>
    </row>
    <row r="721" ht="13.2" customHeight="1" s="1127">
      <c r="A721" s="845" t="n"/>
      <c r="B721" s="845" t="n"/>
      <c r="C721" s="845" t="n"/>
      <c r="D721" s="845" t="n"/>
      <c r="E721" s="845" t="n"/>
      <c r="F721" s="845" t="n"/>
      <c r="G721" s="879" t="n"/>
      <c r="H721" s="845" t="n"/>
      <c r="I721" s="845" t="n"/>
      <c r="J721" s="845" t="n"/>
      <c r="K721" s="845" t="n"/>
      <c r="L721" s="845" t="n"/>
      <c r="M721" s="845" t="n"/>
      <c r="N721" s="845" t="n"/>
      <c r="O721" s="845" t="n"/>
      <c r="P721" s="845" t="n"/>
      <c r="Q721" s="845" t="n"/>
      <c r="R721" s="845" t="n"/>
      <c r="S721" s="845" t="n"/>
      <c r="T721" s="845" t="n"/>
      <c r="U721" s="845" t="n"/>
      <c r="V721" s="845" t="n"/>
      <c r="W721" s="845" t="n"/>
      <c r="X721" s="845" t="n"/>
      <c r="Y721" s="845" t="n"/>
      <c r="Z721" s="845" t="n"/>
    </row>
    <row r="722" ht="13.2" customHeight="1" s="1127">
      <c r="A722" s="845" t="n"/>
      <c r="B722" s="845" t="n"/>
      <c r="C722" s="845" t="n"/>
      <c r="D722" s="845" t="n"/>
      <c r="E722" s="845" t="n"/>
      <c r="F722" s="845" t="n"/>
      <c r="G722" s="879" t="n"/>
      <c r="H722" s="845" t="n"/>
      <c r="I722" s="845" t="n"/>
      <c r="J722" s="845" t="n"/>
      <c r="K722" s="845" t="n"/>
      <c r="L722" s="845" t="n"/>
      <c r="M722" s="845" t="n"/>
      <c r="N722" s="845" t="n"/>
      <c r="O722" s="845" t="n"/>
      <c r="P722" s="845" t="n"/>
      <c r="Q722" s="845" t="n"/>
      <c r="R722" s="845" t="n"/>
      <c r="S722" s="845" t="n"/>
      <c r="T722" s="845" t="n"/>
      <c r="U722" s="845" t="n"/>
      <c r="V722" s="845" t="n"/>
      <c r="W722" s="845" t="n"/>
      <c r="X722" s="845" t="n"/>
      <c r="Y722" s="845" t="n"/>
      <c r="Z722" s="845" t="n"/>
    </row>
    <row r="723" ht="13.2" customHeight="1" s="1127">
      <c r="A723" s="845" t="n"/>
      <c r="B723" s="845" t="n"/>
      <c r="C723" s="845" t="n"/>
      <c r="D723" s="845" t="n"/>
      <c r="E723" s="845" t="n"/>
      <c r="F723" s="845" t="n"/>
      <c r="G723" s="879" t="n"/>
      <c r="H723" s="845" t="n"/>
      <c r="I723" s="845" t="n"/>
      <c r="J723" s="845" t="n"/>
      <c r="K723" s="845" t="n"/>
      <c r="L723" s="845" t="n"/>
      <c r="M723" s="845" t="n"/>
      <c r="N723" s="845" t="n"/>
      <c r="O723" s="845" t="n"/>
      <c r="P723" s="845" t="n"/>
      <c r="Q723" s="845" t="n"/>
      <c r="R723" s="845" t="n"/>
      <c r="S723" s="845" t="n"/>
      <c r="T723" s="845" t="n"/>
      <c r="U723" s="845" t="n"/>
      <c r="V723" s="845" t="n"/>
      <c r="W723" s="845" t="n"/>
      <c r="X723" s="845" t="n"/>
      <c r="Y723" s="845" t="n"/>
      <c r="Z723" s="845" t="n"/>
    </row>
    <row r="724" ht="13.2" customHeight="1" s="1127">
      <c r="A724" s="845" t="n"/>
      <c r="B724" s="845" t="n"/>
      <c r="C724" s="845" t="n"/>
      <c r="D724" s="845" t="n"/>
      <c r="E724" s="845" t="n"/>
      <c r="F724" s="845" t="n"/>
      <c r="G724" s="879" t="n"/>
      <c r="H724" s="845" t="n"/>
      <c r="I724" s="845" t="n"/>
      <c r="J724" s="845" t="n"/>
      <c r="K724" s="845" t="n"/>
      <c r="L724" s="845" t="n"/>
      <c r="M724" s="845" t="n"/>
      <c r="N724" s="845" t="n"/>
      <c r="O724" s="845" t="n"/>
      <c r="P724" s="845" t="n"/>
      <c r="Q724" s="845" t="n"/>
      <c r="R724" s="845" t="n"/>
      <c r="S724" s="845" t="n"/>
      <c r="T724" s="845" t="n"/>
      <c r="U724" s="845" t="n"/>
      <c r="V724" s="845" t="n"/>
      <c r="W724" s="845" t="n"/>
      <c r="X724" s="845" t="n"/>
      <c r="Y724" s="845" t="n"/>
      <c r="Z724" s="845" t="n"/>
    </row>
    <row r="725" ht="13.2" customHeight="1" s="1127">
      <c r="A725" s="845" t="n"/>
      <c r="B725" s="845" t="n"/>
      <c r="C725" s="845" t="n"/>
      <c r="D725" s="845" t="n"/>
      <c r="E725" s="845" t="n"/>
      <c r="F725" s="845" t="n"/>
      <c r="G725" s="879" t="n"/>
      <c r="H725" s="845" t="n"/>
      <c r="I725" s="845" t="n"/>
      <c r="J725" s="845" t="n"/>
      <c r="K725" s="845" t="n"/>
      <c r="L725" s="845" t="n"/>
      <c r="M725" s="845" t="n"/>
      <c r="N725" s="845" t="n"/>
      <c r="O725" s="845" t="n"/>
      <c r="P725" s="845" t="n"/>
      <c r="Q725" s="845" t="n"/>
      <c r="R725" s="845" t="n"/>
      <c r="S725" s="845" t="n"/>
      <c r="T725" s="845" t="n"/>
      <c r="U725" s="845" t="n"/>
      <c r="V725" s="845" t="n"/>
      <c r="W725" s="845" t="n"/>
      <c r="X725" s="845" t="n"/>
      <c r="Y725" s="845" t="n"/>
      <c r="Z725" s="845" t="n"/>
    </row>
    <row r="726" ht="13.2" customHeight="1" s="1127">
      <c r="A726" s="845" t="n"/>
      <c r="B726" s="845" t="n"/>
      <c r="C726" s="845" t="n"/>
      <c r="D726" s="845" t="n"/>
      <c r="E726" s="845" t="n"/>
      <c r="F726" s="845" t="n"/>
      <c r="G726" s="879" t="n"/>
      <c r="H726" s="845" t="n"/>
      <c r="I726" s="845" t="n"/>
      <c r="J726" s="845" t="n"/>
      <c r="K726" s="845" t="n"/>
      <c r="L726" s="845" t="n"/>
      <c r="M726" s="845" t="n"/>
      <c r="N726" s="845" t="n"/>
      <c r="O726" s="845" t="n"/>
      <c r="P726" s="845" t="n"/>
      <c r="Q726" s="845" t="n"/>
      <c r="R726" s="845" t="n"/>
      <c r="S726" s="845" t="n"/>
      <c r="T726" s="845" t="n"/>
      <c r="U726" s="845" t="n"/>
      <c r="V726" s="845" t="n"/>
      <c r="W726" s="845" t="n"/>
      <c r="X726" s="845" t="n"/>
      <c r="Y726" s="845" t="n"/>
      <c r="Z726" s="845" t="n"/>
    </row>
    <row r="727" ht="13.2" customHeight="1" s="1127">
      <c r="A727" s="845" t="n"/>
      <c r="B727" s="845" t="n"/>
      <c r="C727" s="845" t="n"/>
      <c r="D727" s="845" t="n"/>
      <c r="E727" s="845" t="n"/>
      <c r="F727" s="845" t="n"/>
      <c r="G727" s="879" t="n"/>
      <c r="H727" s="845" t="n"/>
      <c r="I727" s="845" t="n"/>
      <c r="J727" s="845" t="n"/>
      <c r="K727" s="845" t="n"/>
      <c r="L727" s="845" t="n"/>
      <c r="M727" s="845" t="n"/>
      <c r="N727" s="845" t="n"/>
      <c r="O727" s="845" t="n"/>
      <c r="P727" s="845" t="n"/>
      <c r="Q727" s="845" t="n"/>
      <c r="R727" s="845" t="n"/>
      <c r="S727" s="845" t="n"/>
      <c r="T727" s="845" t="n"/>
      <c r="U727" s="845" t="n"/>
      <c r="V727" s="845" t="n"/>
      <c r="W727" s="845" t="n"/>
      <c r="X727" s="845" t="n"/>
      <c r="Y727" s="845" t="n"/>
      <c r="Z727" s="845" t="n"/>
    </row>
    <row r="728" ht="13.2" customHeight="1" s="1127">
      <c r="A728" s="845" t="n"/>
      <c r="B728" s="845" t="n"/>
      <c r="C728" s="845" t="n"/>
      <c r="D728" s="845" t="n"/>
      <c r="E728" s="845" t="n"/>
      <c r="F728" s="845" t="n"/>
      <c r="G728" s="879" t="n"/>
      <c r="H728" s="845" t="n"/>
      <c r="I728" s="845" t="n"/>
      <c r="J728" s="845" t="n"/>
      <c r="K728" s="845" t="n"/>
      <c r="L728" s="845" t="n"/>
      <c r="M728" s="845" t="n"/>
      <c r="N728" s="845" t="n"/>
      <c r="O728" s="845" t="n"/>
      <c r="P728" s="845" t="n"/>
      <c r="Q728" s="845" t="n"/>
      <c r="R728" s="845" t="n"/>
      <c r="S728" s="845" t="n"/>
      <c r="T728" s="845" t="n"/>
      <c r="U728" s="845" t="n"/>
      <c r="V728" s="845" t="n"/>
      <c r="W728" s="845" t="n"/>
      <c r="X728" s="845" t="n"/>
      <c r="Y728" s="845" t="n"/>
      <c r="Z728" s="845" t="n"/>
    </row>
    <row r="729" ht="13.2" customHeight="1" s="1127">
      <c r="A729" s="845" t="n"/>
      <c r="B729" s="845" t="n"/>
      <c r="C729" s="845" t="n"/>
      <c r="D729" s="845" t="n"/>
      <c r="E729" s="845" t="n"/>
      <c r="F729" s="845" t="n"/>
      <c r="G729" s="879" t="n"/>
      <c r="H729" s="845" t="n"/>
      <c r="I729" s="845" t="n"/>
      <c r="J729" s="845" t="n"/>
      <c r="K729" s="845" t="n"/>
      <c r="L729" s="845" t="n"/>
      <c r="M729" s="845" t="n"/>
      <c r="N729" s="845" t="n"/>
      <c r="O729" s="845" t="n"/>
      <c r="P729" s="845" t="n"/>
      <c r="Q729" s="845" t="n"/>
      <c r="R729" s="845" t="n"/>
      <c r="S729" s="845" t="n"/>
      <c r="T729" s="845" t="n"/>
      <c r="U729" s="845" t="n"/>
      <c r="V729" s="845" t="n"/>
      <c r="W729" s="845" t="n"/>
      <c r="X729" s="845" t="n"/>
      <c r="Y729" s="845" t="n"/>
      <c r="Z729" s="845" t="n"/>
    </row>
    <row r="730" ht="13.2" customHeight="1" s="1127">
      <c r="A730" s="845" t="n"/>
      <c r="B730" s="845" t="n"/>
      <c r="C730" s="845" t="n"/>
      <c r="D730" s="845" t="n"/>
      <c r="E730" s="845" t="n"/>
      <c r="F730" s="845" t="n"/>
      <c r="G730" s="879" t="n"/>
      <c r="H730" s="845" t="n"/>
      <c r="I730" s="845" t="n"/>
      <c r="J730" s="845" t="n"/>
      <c r="K730" s="845" t="n"/>
      <c r="L730" s="845" t="n"/>
      <c r="M730" s="845" t="n"/>
      <c r="N730" s="845" t="n"/>
      <c r="O730" s="845" t="n"/>
      <c r="P730" s="845" t="n"/>
      <c r="Q730" s="845" t="n"/>
      <c r="R730" s="845" t="n"/>
      <c r="S730" s="845" t="n"/>
      <c r="T730" s="845" t="n"/>
      <c r="U730" s="845" t="n"/>
      <c r="V730" s="845" t="n"/>
      <c r="W730" s="845" t="n"/>
      <c r="X730" s="845" t="n"/>
      <c r="Y730" s="845" t="n"/>
      <c r="Z730" s="845" t="n"/>
    </row>
    <row r="731" ht="13.2" customHeight="1" s="1127">
      <c r="A731" s="845" t="n"/>
      <c r="B731" s="845" t="n"/>
      <c r="C731" s="845" t="n"/>
      <c r="D731" s="845" t="n"/>
      <c r="E731" s="845" t="n"/>
      <c r="F731" s="845" t="n"/>
      <c r="G731" s="879" t="n"/>
      <c r="H731" s="845" t="n"/>
      <c r="I731" s="845" t="n"/>
      <c r="J731" s="845" t="n"/>
      <c r="K731" s="845" t="n"/>
      <c r="L731" s="845" t="n"/>
      <c r="M731" s="845" t="n"/>
      <c r="N731" s="845" t="n"/>
      <c r="O731" s="845" t="n"/>
      <c r="P731" s="845" t="n"/>
      <c r="Q731" s="845" t="n"/>
      <c r="R731" s="845" t="n"/>
      <c r="S731" s="845" t="n"/>
      <c r="T731" s="845" t="n"/>
      <c r="U731" s="845" t="n"/>
      <c r="V731" s="845" t="n"/>
      <c r="W731" s="845" t="n"/>
      <c r="X731" s="845" t="n"/>
      <c r="Y731" s="845" t="n"/>
      <c r="Z731" s="845" t="n"/>
    </row>
    <row r="732" ht="13.2" customHeight="1" s="1127">
      <c r="A732" s="845" t="n"/>
      <c r="B732" s="845" t="n"/>
      <c r="C732" s="845" t="n"/>
      <c r="D732" s="845" t="n"/>
      <c r="E732" s="845" t="n"/>
      <c r="F732" s="845" t="n"/>
      <c r="G732" s="879" t="n"/>
      <c r="H732" s="845" t="n"/>
      <c r="I732" s="845" t="n"/>
      <c r="J732" s="845" t="n"/>
      <c r="K732" s="845" t="n"/>
      <c r="L732" s="845" t="n"/>
      <c r="M732" s="845" t="n"/>
      <c r="N732" s="845" t="n"/>
      <c r="O732" s="845" t="n"/>
      <c r="P732" s="845" t="n"/>
      <c r="Q732" s="845" t="n"/>
      <c r="R732" s="845" t="n"/>
      <c r="S732" s="845" t="n"/>
      <c r="T732" s="845" t="n"/>
      <c r="U732" s="845" t="n"/>
      <c r="V732" s="845" t="n"/>
      <c r="W732" s="845" t="n"/>
      <c r="X732" s="845" t="n"/>
      <c r="Y732" s="845" t="n"/>
      <c r="Z732" s="845" t="n"/>
    </row>
    <row r="733" ht="13.2" customHeight="1" s="1127">
      <c r="A733" s="845" t="n"/>
      <c r="B733" s="845" t="n"/>
      <c r="C733" s="845" t="n"/>
      <c r="D733" s="845" t="n"/>
      <c r="E733" s="845" t="n"/>
      <c r="F733" s="845" t="n"/>
      <c r="G733" s="879" t="n"/>
      <c r="H733" s="845" t="n"/>
      <c r="I733" s="845" t="n"/>
      <c r="J733" s="845" t="n"/>
      <c r="K733" s="845" t="n"/>
      <c r="L733" s="845" t="n"/>
      <c r="M733" s="845" t="n"/>
      <c r="N733" s="845" t="n"/>
      <c r="O733" s="845" t="n"/>
      <c r="P733" s="845" t="n"/>
      <c r="Q733" s="845" t="n"/>
      <c r="R733" s="845" t="n"/>
      <c r="S733" s="845" t="n"/>
      <c r="T733" s="845" t="n"/>
      <c r="U733" s="845" t="n"/>
      <c r="V733" s="845" t="n"/>
      <c r="W733" s="845" t="n"/>
      <c r="X733" s="845" t="n"/>
      <c r="Y733" s="845" t="n"/>
      <c r="Z733" s="845" t="n"/>
    </row>
    <row r="734" ht="13.2" customHeight="1" s="1127">
      <c r="A734" s="845" t="n"/>
      <c r="B734" s="845" t="n"/>
      <c r="C734" s="845" t="n"/>
      <c r="D734" s="845" t="n"/>
      <c r="E734" s="845" t="n"/>
      <c r="F734" s="845" t="n"/>
      <c r="G734" s="879" t="n"/>
      <c r="H734" s="845" t="n"/>
      <c r="I734" s="845" t="n"/>
      <c r="J734" s="845" t="n"/>
      <c r="K734" s="845" t="n"/>
      <c r="L734" s="845" t="n"/>
      <c r="M734" s="845" t="n"/>
      <c r="N734" s="845" t="n"/>
      <c r="O734" s="845" t="n"/>
      <c r="P734" s="845" t="n"/>
      <c r="Q734" s="845" t="n"/>
      <c r="R734" s="845" t="n"/>
      <c r="S734" s="845" t="n"/>
      <c r="T734" s="845" t="n"/>
      <c r="U734" s="845" t="n"/>
      <c r="V734" s="845" t="n"/>
      <c r="W734" s="845" t="n"/>
      <c r="X734" s="845" t="n"/>
      <c r="Y734" s="845" t="n"/>
      <c r="Z734" s="845" t="n"/>
    </row>
    <row r="735" ht="13.2" customHeight="1" s="1127">
      <c r="A735" s="845" t="n"/>
      <c r="B735" s="845" t="n"/>
      <c r="C735" s="845" t="n"/>
      <c r="D735" s="845" t="n"/>
      <c r="E735" s="845" t="n"/>
      <c r="F735" s="845" t="n"/>
      <c r="G735" s="879" t="n"/>
      <c r="H735" s="845" t="n"/>
      <c r="I735" s="845" t="n"/>
      <c r="J735" s="845" t="n"/>
      <c r="K735" s="845" t="n"/>
      <c r="L735" s="845" t="n"/>
      <c r="M735" s="845" t="n"/>
      <c r="N735" s="845" t="n"/>
      <c r="O735" s="845" t="n"/>
      <c r="P735" s="845" t="n"/>
      <c r="Q735" s="845" t="n"/>
      <c r="R735" s="845" t="n"/>
      <c r="S735" s="845" t="n"/>
      <c r="T735" s="845" t="n"/>
      <c r="U735" s="845" t="n"/>
      <c r="V735" s="845" t="n"/>
      <c r="W735" s="845" t="n"/>
      <c r="X735" s="845" t="n"/>
      <c r="Y735" s="845" t="n"/>
      <c r="Z735" s="845" t="n"/>
    </row>
    <row r="736" ht="13.2" customHeight="1" s="1127">
      <c r="A736" s="845" t="n"/>
      <c r="B736" s="845" t="n"/>
      <c r="C736" s="845" t="n"/>
      <c r="D736" s="845" t="n"/>
      <c r="E736" s="845" t="n"/>
      <c r="F736" s="845" t="n"/>
      <c r="G736" s="879" t="n"/>
      <c r="H736" s="845" t="n"/>
      <c r="I736" s="845" t="n"/>
      <c r="J736" s="845" t="n"/>
      <c r="K736" s="845" t="n"/>
      <c r="L736" s="845" t="n"/>
      <c r="M736" s="845" t="n"/>
      <c r="N736" s="845" t="n"/>
      <c r="O736" s="845" t="n"/>
      <c r="P736" s="845" t="n"/>
      <c r="Q736" s="845" t="n"/>
      <c r="R736" s="845" t="n"/>
      <c r="S736" s="845" t="n"/>
      <c r="T736" s="845" t="n"/>
      <c r="U736" s="845" t="n"/>
      <c r="V736" s="845" t="n"/>
      <c r="W736" s="845" t="n"/>
      <c r="X736" s="845" t="n"/>
      <c r="Y736" s="845" t="n"/>
      <c r="Z736" s="845" t="n"/>
    </row>
    <row r="737" ht="13.2" customHeight="1" s="1127">
      <c r="A737" s="845" t="n"/>
      <c r="B737" s="845" t="n"/>
      <c r="C737" s="845" t="n"/>
      <c r="D737" s="845" t="n"/>
      <c r="E737" s="845" t="n"/>
      <c r="F737" s="845" t="n"/>
      <c r="G737" s="879" t="n"/>
      <c r="H737" s="845" t="n"/>
      <c r="I737" s="845" t="n"/>
      <c r="J737" s="845" t="n"/>
      <c r="K737" s="845" t="n"/>
      <c r="L737" s="845" t="n"/>
      <c r="M737" s="845" t="n"/>
      <c r="N737" s="845" t="n"/>
      <c r="O737" s="845" t="n"/>
      <c r="P737" s="845" t="n"/>
      <c r="Q737" s="845" t="n"/>
      <c r="R737" s="845" t="n"/>
      <c r="S737" s="845" t="n"/>
      <c r="T737" s="845" t="n"/>
      <c r="U737" s="845" t="n"/>
      <c r="V737" s="845" t="n"/>
      <c r="W737" s="845" t="n"/>
      <c r="X737" s="845" t="n"/>
      <c r="Y737" s="845" t="n"/>
      <c r="Z737" s="845" t="n"/>
    </row>
    <row r="738" ht="13.2" customHeight="1" s="1127">
      <c r="A738" s="845" t="n"/>
      <c r="B738" s="845" t="n"/>
      <c r="C738" s="845" t="n"/>
      <c r="D738" s="845" t="n"/>
      <c r="E738" s="845" t="n"/>
      <c r="F738" s="845" t="n"/>
      <c r="G738" s="879" t="n"/>
      <c r="H738" s="845" t="n"/>
      <c r="I738" s="845" t="n"/>
      <c r="J738" s="845" t="n"/>
      <c r="K738" s="845" t="n"/>
      <c r="L738" s="845" t="n"/>
      <c r="M738" s="845" t="n"/>
      <c r="N738" s="845" t="n"/>
      <c r="O738" s="845" t="n"/>
      <c r="P738" s="845" t="n"/>
      <c r="Q738" s="845" t="n"/>
      <c r="R738" s="845" t="n"/>
      <c r="S738" s="845" t="n"/>
      <c r="T738" s="845" t="n"/>
      <c r="U738" s="845" t="n"/>
      <c r="V738" s="845" t="n"/>
      <c r="W738" s="845" t="n"/>
      <c r="X738" s="845" t="n"/>
      <c r="Y738" s="845" t="n"/>
      <c r="Z738" s="845" t="n"/>
    </row>
    <row r="739" ht="13.2" customHeight="1" s="1127">
      <c r="A739" s="845" t="n"/>
      <c r="B739" s="845" t="n"/>
      <c r="C739" s="845" t="n"/>
      <c r="D739" s="845" t="n"/>
      <c r="E739" s="845" t="n"/>
      <c r="F739" s="845" t="n"/>
      <c r="G739" s="879" t="n"/>
      <c r="H739" s="845" t="n"/>
      <c r="I739" s="845" t="n"/>
      <c r="J739" s="845" t="n"/>
      <c r="K739" s="845" t="n"/>
      <c r="L739" s="845" t="n"/>
      <c r="M739" s="845" t="n"/>
      <c r="N739" s="845" t="n"/>
      <c r="O739" s="845" t="n"/>
      <c r="P739" s="845" t="n"/>
      <c r="Q739" s="845" t="n"/>
      <c r="R739" s="845" t="n"/>
      <c r="S739" s="845" t="n"/>
      <c r="T739" s="845" t="n"/>
      <c r="U739" s="845" t="n"/>
      <c r="V739" s="845" t="n"/>
      <c r="W739" s="845" t="n"/>
      <c r="X739" s="845" t="n"/>
      <c r="Y739" s="845" t="n"/>
      <c r="Z739" s="845" t="n"/>
    </row>
    <row r="740" ht="13.2" customHeight="1" s="1127">
      <c r="A740" s="845" t="n"/>
      <c r="B740" s="845" t="n"/>
      <c r="C740" s="845" t="n"/>
      <c r="D740" s="845" t="n"/>
      <c r="E740" s="845" t="n"/>
      <c r="F740" s="845" t="n"/>
      <c r="G740" s="879" t="n"/>
      <c r="H740" s="845" t="n"/>
      <c r="I740" s="845" t="n"/>
      <c r="J740" s="845" t="n"/>
      <c r="K740" s="845" t="n"/>
      <c r="L740" s="845" t="n"/>
      <c r="M740" s="845" t="n"/>
      <c r="N740" s="845" t="n"/>
      <c r="O740" s="845" t="n"/>
      <c r="P740" s="845" t="n"/>
      <c r="Q740" s="845" t="n"/>
      <c r="R740" s="845" t="n"/>
      <c r="S740" s="845" t="n"/>
      <c r="T740" s="845" t="n"/>
      <c r="U740" s="845" t="n"/>
      <c r="V740" s="845" t="n"/>
      <c r="W740" s="845" t="n"/>
      <c r="X740" s="845" t="n"/>
      <c r="Y740" s="845" t="n"/>
      <c r="Z740" s="845" t="n"/>
    </row>
    <row r="741" ht="13.2" customHeight="1" s="1127">
      <c r="A741" s="845" t="n"/>
      <c r="B741" s="845" t="n"/>
      <c r="C741" s="845" t="n"/>
      <c r="D741" s="845" t="n"/>
      <c r="E741" s="845" t="n"/>
      <c r="F741" s="845" t="n"/>
      <c r="G741" s="879" t="n"/>
      <c r="H741" s="845" t="n"/>
      <c r="I741" s="845" t="n"/>
      <c r="J741" s="845" t="n"/>
      <c r="K741" s="845" t="n"/>
      <c r="L741" s="845" t="n"/>
      <c r="M741" s="845" t="n"/>
      <c r="N741" s="845" t="n"/>
      <c r="O741" s="845" t="n"/>
      <c r="P741" s="845" t="n"/>
      <c r="Q741" s="845" t="n"/>
      <c r="R741" s="845" t="n"/>
      <c r="S741" s="845" t="n"/>
      <c r="T741" s="845" t="n"/>
      <c r="U741" s="845" t="n"/>
      <c r="V741" s="845" t="n"/>
      <c r="W741" s="845" t="n"/>
      <c r="X741" s="845" t="n"/>
      <c r="Y741" s="845" t="n"/>
      <c r="Z741" s="845" t="n"/>
    </row>
    <row r="742" ht="13.2" customHeight="1" s="1127">
      <c r="A742" s="845" t="n"/>
      <c r="B742" s="845" t="n"/>
      <c r="C742" s="845" t="n"/>
      <c r="D742" s="845" t="n"/>
      <c r="E742" s="845" t="n"/>
      <c r="F742" s="845" t="n"/>
      <c r="G742" s="879" t="n"/>
      <c r="H742" s="845" t="n"/>
      <c r="I742" s="845" t="n"/>
      <c r="J742" s="845" t="n"/>
      <c r="K742" s="845" t="n"/>
      <c r="L742" s="845" t="n"/>
      <c r="M742" s="845" t="n"/>
      <c r="N742" s="845" t="n"/>
      <c r="O742" s="845" t="n"/>
      <c r="P742" s="845" t="n"/>
      <c r="Q742" s="845" t="n"/>
      <c r="R742" s="845" t="n"/>
      <c r="S742" s="845" t="n"/>
      <c r="T742" s="845" t="n"/>
      <c r="U742" s="845" t="n"/>
      <c r="V742" s="845" t="n"/>
      <c r="W742" s="845" t="n"/>
      <c r="X742" s="845" t="n"/>
      <c r="Y742" s="845" t="n"/>
      <c r="Z742" s="845" t="n"/>
    </row>
    <row r="743" ht="13.2" customHeight="1" s="1127">
      <c r="A743" s="845" t="n"/>
      <c r="B743" s="845" t="n"/>
      <c r="C743" s="845" t="n"/>
      <c r="D743" s="845" t="n"/>
      <c r="E743" s="845" t="n"/>
      <c r="F743" s="845" t="n"/>
      <c r="G743" s="879" t="n"/>
      <c r="H743" s="845" t="n"/>
      <c r="I743" s="845" t="n"/>
      <c r="J743" s="845" t="n"/>
      <c r="K743" s="845" t="n"/>
      <c r="L743" s="845" t="n"/>
      <c r="M743" s="845" t="n"/>
      <c r="N743" s="845" t="n"/>
      <c r="O743" s="845" t="n"/>
      <c r="P743" s="845" t="n"/>
      <c r="Q743" s="845" t="n"/>
      <c r="R743" s="845" t="n"/>
      <c r="S743" s="845" t="n"/>
      <c r="T743" s="845" t="n"/>
      <c r="U743" s="845" t="n"/>
      <c r="V743" s="845" t="n"/>
      <c r="W743" s="845" t="n"/>
      <c r="X743" s="845" t="n"/>
      <c r="Y743" s="845" t="n"/>
      <c r="Z743" s="845" t="n"/>
    </row>
    <row r="744" ht="13.2" customHeight="1" s="1127">
      <c r="A744" s="845" t="n"/>
      <c r="B744" s="845" t="n"/>
      <c r="C744" s="845" t="n"/>
      <c r="D744" s="845" t="n"/>
      <c r="E744" s="845" t="n"/>
      <c r="F744" s="845" t="n"/>
      <c r="G744" s="879" t="n"/>
      <c r="H744" s="845" t="n"/>
      <c r="I744" s="845" t="n"/>
      <c r="J744" s="845" t="n"/>
      <c r="K744" s="845" t="n"/>
      <c r="L744" s="845" t="n"/>
      <c r="M744" s="845" t="n"/>
      <c r="N744" s="845" t="n"/>
      <c r="O744" s="845" t="n"/>
      <c r="P744" s="845" t="n"/>
      <c r="Q744" s="845" t="n"/>
      <c r="R744" s="845" t="n"/>
      <c r="S744" s="845" t="n"/>
      <c r="T744" s="845" t="n"/>
      <c r="U744" s="845" t="n"/>
      <c r="V744" s="845" t="n"/>
      <c r="W744" s="845" t="n"/>
      <c r="X744" s="845" t="n"/>
      <c r="Y744" s="845" t="n"/>
      <c r="Z744" s="845" t="n"/>
    </row>
    <row r="745" ht="13.2" customHeight="1" s="1127">
      <c r="A745" s="845" t="n"/>
      <c r="B745" s="845" t="n"/>
      <c r="C745" s="845" t="n"/>
      <c r="D745" s="845" t="n"/>
      <c r="E745" s="845" t="n"/>
      <c r="F745" s="845" t="n"/>
      <c r="G745" s="879" t="n"/>
      <c r="H745" s="845" t="n"/>
      <c r="I745" s="845" t="n"/>
      <c r="J745" s="845" t="n"/>
      <c r="K745" s="845" t="n"/>
      <c r="L745" s="845" t="n"/>
      <c r="M745" s="845" t="n"/>
      <c r="N745" s="845" t="n"/>
      <c r="O745" s="845" t="n"/>
      <c r="P745" s="845" t="n"/>
      <c r="Q745" s="845" t="n"/>
      <c r="R745" s="845" t="n"/>
      <c r="S745" s="845" t="n"/>
      <c r="T745" s="845" t="n"/>
      <c r="U745" s="845" t="n"/>
      <c r="V745" s="845" t="n"/>
      <c r="W745" s="845" t="n"/>
      <c r="X745" s="845" t="n"/>
      <c r="Y745" s="845" t="n"/>
      <c r="Z745" s="845" t="n"/>
    </row>
    <row r="746" ht="13.2" customHeight="1" s="1127">
      <c r="A746" s="845" t="n"/>
      <c r="B746" s="845" t="n"/>
      <c r="C746" s="845" t="n"/>
      <c r="D746" s="845" t="n"/>
      <c r="E746" s="845" t="n"/>
      <c r="F746" s="845" t="n"/>
      <c r="G746" s="879" t="n"/>
      <c r="H746" s="845" t="n"/>
      <c r="I746" s="845" t="n"/>
      <c r="J746" s="845" t="n"/>
      <c r="K746" s="845" t="n"/>
      <c r="L746" s="845" t="n"/>
      <c r="M746" s="845" t="n"/>
      <c r="N746" s="845" t="n"/>
      <c r="O746" s="845" t="n"/>
      <c r="P746" s="845" t="n"/>
      <c r="Q746" s="845" t="n"/>
      <c r="R746" s="845" t="n"/>
      <c r="S746" s="845" t="n"/>
      <c r="T746" s="845" t="n"/>
      <c r="U746" s="845" t="n"/>
      <c r="V746" s="845" t="n"/>
      <c r="W746" s="845" t="n"/>
      <c r="X746" s="845" t="n"/>
      <c r="Y746" s="845" t="n"/>
      <c r="Z746" s="845" t="n"/>
    </row>
    <row r="747" ht="13.2" customHeight="1" s="1127">
      <c r="A747" s="845" t="n"/>
      <c r="B747" s="845" t="n"/>
      <c r="C747" s="845" t="n"/>
      <c r="D747" s="845" t="n"/>
      <c r="E747" s="845" t="n"/>
      <c r="F747" s="845" t="n"/>
      <c r="G747" s="879" t="n"/>
      <c r="H747" s="845" t="n"/>
      <c r="I747" s="845" t="n"/>
      <c r="J747" s="845" t="n"/>
      <c r="K747" s="845" t="n"/>
      <c r="L747" s="845" t="n"/>
      <c r="M747" s="845" t="n"/>
      <c r="N747" s="845" t="n"/>
      <c r="O747" s="845" t="n"/>
      <c r="P747" s="845" t="n"/>
      <c r="Q747" s="845" t="n"/>
      <c r="R747" s="845" t="n"/>
      <c r="S747" s="845" t="n"/>
      <c r="T747" s="845" t="n"/>
      <c r="U747" s="845" t="n"/>
      <c r="V747" s="845" t="n"/>
      <c r="W747" s="845" t="n"/>
      <c r="X747" s="845" t="n"/>
      <c r="Y747" s="845" t="n"/>
      <c r="Z747" s="845" t="n"/>
    </row>
    <row r="748" ht="13.2" customHeight="1" s="1127">
      <c r="A748" s="845" t="n"/>
      <c r="B748" s="845" t="n"/>
      <c r="C748" s="845" t="n"/>
      <c r="D748" s="845" t="n"/>
      <c r="E748" s="845" t="n"/>
      <c r="F748" s="845" t="n"/>
      <c r="G748" s="879" t="n"/>
      <c r="H748" s="845" t="n"/>
      <c r="I748" s="845" t="n"/>
      <c r="J748" s="845" t="n"/>
      <c r="K748" s="845" t="n"/>
      <c r="L748" s="845" t="n"/>
      <c r="M748" s="845" t="n"/>
      <c r="N748" s="845" t="n"/>
      <c r="O748" s="845" t="n"/>
      <c r="P748" s="845" t="n"/>
      <c r="Q748" s="845" t="n"/>
      <c r="R748" s="845" t="n"/>
      <c r="S748" s="845" t="n"/>
      <c r="T748" s="845" t="n"/>
      <c r="U748" s="845" t="n"/>
      <c r="V748" s="845" t="n"/>
      <c r="W748" s="845" t="n"/>
      <c r="X748" s="845" t="n"/>
      <c r="Y748" s="845" t="n"/>
      <c r="Z748" s="845" t="n"/>
    </row>
    <row r="749" ht="13.2" customHeight="1" s="1127">
      <c r="A749" s="845" t="n"/>
      <c r="B749" s="845" t="n"/>
      <c r="C749" s="845" t="n"/>
      <c r="D749" s="845" t="n"/>
      <c r="E749" s="845" t="n"/>
      <c r="F749" s="845" t="n"/>
      <c r="G749" s="879" t="n"/>
      <c r="H749" s="845" t="n"/>
      <c r="I749" s="845" t="n"/>
      <c r="J749" s="845" t="n"/>
      <c r="K749" s="845" t="n"/>
      <c r="L749" s="845" t="n"/>
      <c r="M749" s="845" t="n"/>
      <c r="N749" s="845" t="n"/>
      <c r="O749" s="845" t="n"/>
      <c r="P749" s="845" t="n"/>
      <c r="Q749" s="845" t="n"/>
      <c r="R749" s="845" t="n"/>
      <c r="S749" s="845" t="n"/>
      <c r="T749" s="845" t="n"/>
      <c r="U749" s="845" t="n"/>
      <c r="V749" s="845" t="n"/>
      <c r="W749" s="845" t="n"/>
      <c r="X749" s="845" t="n"/>
      <c r="Y749" s="845" t="n"/>
      <c r="Z749" s="845" t="n"/>
    </row>
    <row r="750" ht="13.2" customHeight="1" s="1127">
      <c r="A750" s="845" t="n"/>
      <c r="B750" s="845" t="n"/>
      <c r="C750" s="845" t="n"/>
      <c r="D750" s="845" t="n"/>
      <c r="E750" s="845" t="n"/>
      <c r="F750" s="845" t="n"/>
      <c r="G750" s="879" t="n"/>
      <c r="H750" s="845" t="n"/>
      <c r="I750" s="845" t="n"/>
      <c r="J750" s="845" t="n"/>
      <c r="K750" s="845" t="n"/>
      <c r="L750" s="845" t="n"/>
      <c r="M750" s="845" t="n"/>
      <c r="N750" s="845" t="n"/>
      <c r="O750" s="845" t="n"/>
      <c r="P750" s="845" t="n"/>
      <c r="Q750" s="845" t="n"/>
      <c r="R750" s="845" t="n"/>
      <c r="S750" s="845" t="n"/>
      <c r="T750" s="845" t="n"/>
      <c r="U750" s="845" t="n"/>
      <c r="V750" s="845" t="n"/>
      <c r="W750" s="845" t="n"/>
      <c r="X750" s="845" t="n"/>
      <c r="Y750" s="845" t="n"/>
      <c r="Z750" s="845" t="n"/>
    </row>
    <row r="751" ht="13.2" customHeight="1" s="1127">
      <c r="A751" s="845" t="n"/>
      <c r="B751" s="845" t="n"/>
      <c r="C751" s="845" t="n"/>
      <c r="D751" s="845" t="n"/>
      <c r="E751" s="845" t="n"/>
      <c r="F751" s="845" t="n"/>
      <c r="G751" s="879" t="n"/>
      <c r="H751" s="845" t="n"/>
      <c r="I751" s="845" t="n"/>
      <c r="J751" s="845" t="n"/>
      <c r="K751" s="845" t="n"/>
      <c r="L751" s="845" t="n"/>
      <c r="M751" s="845" t="n"/>
      <c r="N751" s="845" t="n"/>
      <c r="O751" s="845" t="n"/>
      <c r="P751" s="845" t="n"/>
      <c r="Q751" s="845" t="n"/>
      <c r="R751" s="845" t="n"/>
      <c r="S751" s="845" t="n"/>
      <c r="T751" s="845" t="n"/>
      <c r="U751" s="845" t="n"/>
      <c r="V751" s="845" t="n"/>
      <c r="W751" s="845" t="n"/>
      <c r="X751" s="845" t="n"/>
      <c r="Y751" s="845" t="n"/>
      <c r="Z751" s="845" t="n"/>
    </row>
    <row r="752" ht="13.2" customHeight="1" s="1127">
      <c r="A752" s="845" t="n"/>
      <c r="B752" s="845" t="n"/>
      <c r="C752" s="845" t="n"/>
      <c r="D752" s="845" t="n"/>
      <c r="E752" s="845" t="n"/>
      <c r="F752" s="845" t="n"/>
      <c r="G752" s="879" t="n"/>
      <c r="H752" s="845" t="n"/>
      <c r="I752" s="845" t="n"/>
      <c r="J752" s="845" t="n"/>
      <c r="K752" s="845" t="n"/>
      <c r="L752" s="845" t="n"/>
      <c r="M752" s="845" t="n"/>
      <c r="N752" s="845" t="n"/>
      <c r="O752" s="845" t="n"/>
      <c r="P752" s="845" t="n"/>
      <c r="Q752" s="845" t="n"/>
      <c r="R752" s="845" t="n"/>
      <c r="S752" s="845" t="n"/>
      <c r="T752" s="845" t="n"/>
      <c r="U752" s="845" t="n"/>
      <c r="V752" s="845" t="n"/>
      <c r="W752" s="845" t="n"/>
      <c r="X752" s="845" t="n"/>
      <c r="Y752" s="845" t="n"/>
      <c r="Z752" s="845" t="n"/>
    </row>
    <row r="753" ht="13.2" customHeight="1" s="1127">
      <c r="A753" s="845" t="n"/>
      <c r="B753" s="845" t="n"/>
      <c r="C753" s="845" t="n"/>
      <c r="D753" s="845" t="n"/>
      <c r="E753" s="845" t="n"/>
      <c r="F753" s="845" t="n"/>
      <c r="G753" s="879" t="n"/>
      <c r="H753" s="845" t="n"/>
      <c r="I753" s="845" t="n"/>
      <c r="J753" s="845" t="n"/>
      <c r="K753" s="845" t="n"/>
      <c r="L753" s="845" t="n"/>
      <c r="M753" s="845" t="n"/>
      <c r="N753" s="845" t="n"/>
      <c r="O753" s="845" t="n"/>
      <c r="P753" s="845" t="n"/>
      <c r="Q753" s="845" t="n"/>
      <c r="R753" s="845" t="n"/>
      <c r="S753" s="845" t="n"/>
      <c r="T753" s="845" t="n"/>
      <c r="U753" s="845" t="n"/>
      <c r="V753" s="845" t="n"/>
      <c r="W753" s="845" t="n"/>
      <c r="X753" s="845" t="n"/>
      <c r="Y753" s="845" t="n"/>
      <c r="Z753" s="845" t="n"/>
    </row>
    <row r="754" ht="13.2" customHeight="1" s="1127">
      <c r="A754" s="845" t="n"/>
      <c r="B754" s="845" t="n"/>
      <c r="C754" s="845" t="n"/>
      <c r="D754" s="845" t="n"/>
      <c r="E754" s="845" t="n"/>
      <c r="F754" s="845" t="n"/>
      <c r="G754" s="879" t="n"/>
      <c r="H754" s="845" t="n"/>
      <c r="I754" s="845" t="n"/>
      <c r="J754" s="845" t="n"/>
      <c r="K754" s="845" t="n"/>
      <c r="L754" s="845" t="n"/>
      <c r="M754" s="845" t="n"/>
      <c r="N754" s="845" t="n"/>
      <c r="O754" s="845" t="n"/>
      <c r="P754" s="845" t="n"/>
      <c r="Q754" s="845" t="n"/>
      <c r="R754" s="845" t="n"/>
      <c r="S754" s="845" t="n"/>
      <c r="T754" s="845" t="n"/>
      <c r="U754" s="845" t="n"/>
      <c r="V754" s="845" t="n"/>
      <c r="W754" s="845" t="n"/>
      <c r="X754" s="845" t="n"/>
      <c r="Y754" s="845" t="n"/>
      <c r="Z754" s="845" t="n"/>
    </row>
    <row r="755" ht="13.2" customHeight="1" s="1127">
      <c r="A755" s="845" t="n"/>
      <c r="B755" s="845" t="n"/>
      <c r="C755" s="845" t="n"/>
      <c r="D755" s="845" t="n"/>
      <c r="E755" s="845" t="n"/>
      <c r="F755" s="845" t="n"/>
      <c r="G755" s="879" t="n"/>
      <c r="H755" s="845" t="n"/>
      <c r="I755" s="845" t="n"/>
      <c r="J755" s="845" t="n"/>
      <c r="K755" s="845" t="n"/>
      <c r="L755" s="845" t="n"/>
      <c r="M755" s="845" t="n"/>
      <c r="N755" s="845" t="n"/>
      <c r="O755" s="845" t="n"/>
      <c r="P755" s="845" t="n"/>
      <c r="Q755" s="845" t="n"/>
      <c r="R755" s="845" t="n"/>
      <c r="S755" s="845" t="n"/>
      <c r="T755" s="845" t="n"/>
      <c r="U755" s="845" t="n"/>
      <c r="V755" s="845" t="n"/>
      <c r="W755" s="845" t="n"/>
      <c r="X755" s="845" t="n"/>
      <c r="Y755" s="845" t="n"/>
      <c r="Z755" s="845" t="n"/>
    </row>
    <row r="756" ht="13.2" customHeight="1" s="1127">
      <c r="A756" s="845" t="n"/>
      <c r="B756" s="845" t="n"/>
      <c r="C756" s="845" t="n"/>
      <c r="D756" s="845" t="n"/>
      <c r="E756" s="845" t="n"/>
      <c r="F756" s="845" t="n"/>
      <c r="G756" s="879" t="n"/>
      <c r="H756" s="845" t="n"/>
      <c r="I756" s="845" t="n"/>
      <c r="J756" s="845" t="n"/>
      <c r="K756" s="845" t="n"/>
      <c r="L756" s="845" t="n"/>
      <c r="M756" s="845" t="n"/>
      <c r="N756" s="845" t="n"/>
      <c r="O756" s="845" t="n"/>
      <c r="P756" s="845" t="n"/>
      <c r="Q756" s="845" t="n"/>
      <c r="R756" s="845" t="n"/>
      <c r="S756" s="845" t="n"/>
      <c r="T756" s="845" t="n"/>
      <c r="U756" s="845" t="n"/>
      <c r="V756" s="845" t="n"/>
      <c r="W756" s="845" t="n"/>
      <c r="X756" s="845" t="n"/>
      <c r="Y756" s="845" t="n"/>
      <c r="Z756" s="845" t="n"/>
    </row>
    <row r="757" ht="13.2" customHeight="1" s="1127">
      <c r="A757" s="845" t="n"/>
      <c r="B757" s="845" t="n"/>
      <c r="C757" s="845" t="n"/>
      <c r="D757" s="845" t="n"/>
      <c r="E757" s="845" t="n"/>
      <c r="F757" s="845" t="n"/>
      <c r="G757" s="879" t="n"/>
      <c r="H757" s="845" t="n"/>
      <c r="I757" s="845" t="n"/>
      <c r="J757" s="845" t="n"/>
      <c r="K757" s="845" t="n"/>
      <c r="L757" s="845" t="n"/>
      <c r="M757" s="845" t="n"/>
      <c r="N757" s="845" t="n"/>
      <c r="O757" s="845" t="n"/>
      <c r="P757" s="845" t="n"/>
      <c r="Q757" s="845" t="n"/>
      <c r="R757" s="845" t="n"/>
      <c r="S757" s="845" t="n"/>
      <c r="T757" s="845" t="n"/>
      <c r="U757" s="845" t="n"/>
      <c r="V757" s="845" t="n"/>
      <c r="W757" s="845" t="n"/>
      <c r="X757" s="845" t="n"/>
      <c r="Y757" s="845" t="n"/>
      <c r="Z757" s="845" t="n"/>
    </row>
    <row r="758" ht="13.2" customHeight="1" s="1127">
      <c r="A758" s="845" t="n"/>
      <c r="B758" s="845" t="n"/>
      <c r="C758" s="845" t="n"/>
      <c r="D758" s="845" t="n"/>
      <c r="E758" s="845" t="n"/>
      <c r="F758" s="845" t="n"/>
      <c r="G758" s="879" t="n"/>
      <c r="H758" s="845" t="n"/>
      <c r="I758" s="845" t="n"/>
      <c r="J758" s="845" t="n"/>
      <c r="K758" s="845" t="n"/>
      <c r="L758" s="845" t="n"/>
      <c r="M758" s="845" t="n"/>
      <c r="N758" s="845" t="n"/>
      <c r="O758" s="845" t="n"/>
      <c r="P758" s="845" t="n"/>
      <c r="Q758" s="845" t="n"/>
      <c r="R758" s="845" t="n"/>
      <c r="S758" s="845" t="n"/>
      <c r="T758" s="845" t="n"/>
      <c r="U758" s="845" t="n"/>
      <c r="V758" s="845" t="n"/>
      <c r="W758" s="845" t="n"/>
      <c r="X758" s="845" t="n"/>
      <c r="Y758" s="845" t="n"/>
      <c r="Z758" s="845" t="n"/>
    </row>
    <row r="759" ht="13.2" customHeight="1" s="1127">
      <c r="A759" s="845" t="n"/>
      <c r="B759" s="845" t="n"/>
      <c r="C759" s="845" t="n"/>
      <c r="D759" s="845" t="n"/>
      <c r="E759" s="845" t="n"/>
      <c r="F759" s="845" t="n"/>
      <c r="G759" s="879" t="n"/>
      <c r="H759" s="845" t="n"/>
      <c r="I759" s="845" t="n"/>
      <c r="J759" s="845" t="n"/>
      <c r="K759" s="845" t="n"/>
      <c r="L759" s="845" t="n"/>
      <c r="M759" s="845" t="n"/>
      <c r="N759" s="845" t="n"/>
      <c r="O759" s="845" t="n"/>
      <c r="P759" s="845" t="n"/>
      <c r="Q759" s="845" t="n"/>
      <c r="R759" s="845" t="n"/>
      <c r="S759" s="845" t="n"/>
      <c r="T759" s="845" t="n"/>
      <c r="U759" s="845" t="n"/>
      <c r="V759" s="845" t="n"/>
      <c r="W759" s="845" t="n"/>
      <c r="X759" s="845" t="n"/>
      <c r="Y759" s="845" t="n"/>
      <c r="Z759" s="845" t="n"/>
    </row>
    <row r="760" ht="13.2" customHeight="1" s="1127">
      <c r="A760" s="845" t="n"/>
      <c r="B760" s="845" t="n"/>
      <c r="C760" s="845" t="n"/>
      <c r="D760" s="845" t="n"/>
      <c r="E760" s="845" t="n"/>
      <c r="F760" s="845" t="n"/>
      <c r="G760" s="879" t="n"/>
      <c r="H760" s="845" t="n"/>
      <c r="I760" s="845" t="n"/>
      <c r="J760" s="845" t="n"/>
      <c r="K760" s="845" t="n"/>
      <c r="L760" s="845" t="n"/>
      <c r="M760" s="845" t="n"/>
      <c r="N760" s="845" t="n"/>
      <c r="O760" s="845" t="n"/>
      <c r="P760" s="845" t="n"/>
      <c r="Q760" s="845" t="n"/>
      <c r="R760" s="845" t="n"/>
      <c r="S760" s="845" t="n"/>
      <c r="T760" s="845" t="n"/>
      <c r="U760" s="845" t="n"/>
      <c r="V760" s="845" t="n"/>
      <c r="W760" s="845" t="n"/>
      <c r="X760" s="845" t="n"/>
      <c r="Y760" s="845" t="n"/>
      <c r="Z760" s="845" t="n"/>
    </row>
    <row r="761" ht="13.2" customHeight="1" s="1127">
      <c r="A761" s="845" t="n"/>
      <c r="B761" s="845" t="n"/>
      <c r="C761" s="845" t="n"/>
      <c r="D761" s="845" t="n"/>
      <c r="E761" s="845" t="n"/>
      <c r="F761" s="845" t="n"/>
      <c r="G761" s="879" t="n"/>
      <c r="H761" s="845" t="n"/>
      <c r="I761" s="845" t="n"/>
      <c r="J761" s="845" t="n"/>
      <c r="K761" s="845" t="n"/>
      <c r="L761" s="845" t="n"/>
      <c r="M761" s="845" t="n"/>
      <c r="N761" s="845" t="n"/>
      <c r="O761" s="845" t="n"/>
      <c r="P761" s="845" t="n"/>
      <c r="Q761" s="845" t="n"/>
      <c r="R761" s="845" t="n"/>
      <c r="S761" s="845" t="n"/>
      <c r="T761" s="845" t="n"/>
      <c r="U761" s="845" t="n"/>
      <c r="V761" s="845" t="n"/>
      <c r="W761" s="845" t="n"/>
      <c r="X761" s="845" t="n"/>
      <c r="Y761" s="845" t="n"/>
      <c r="Z761" s="845" t="n"/>
    </row>
    <row r="762" ht="13.2" customHeight="1" s="1127">
      <c r="A762" s="845" t="n"/>
      <c r="B762" s="845" t="n"/>
      <c r="C762" s="845" t="n"/>
      <c r="D762" s="845" t="n"/>
      <c r="E762" s="845" t="n"/>
      <c r="F762" s="845" t="n"/>
      <c r="G762" s="879" t="n"/>
      <c r="H762" s="845" t="n"/>
      <c r="I762" s="845" t="n"/>
      <c r="J762" s="845" t="n"/>
      <c r="K762" s="845" t="n"/>
      <c r="L762" s="845" t="n"/>
      <c r="M762" s="845" t="n"/>
      <c r="N762" s="845" t="n"/>
      <c r="O762" s="845" t="n"/>
      <c r="P762" s="845" t="n"/>
      <c r="Q762" s="845" t="n"/>
      <c r="R762" s="845" t="n"/>
      <c r="S762" s="845" t="n"/>
      <c r="T762" s="845" t="n"/>
      <c r="U762" s="845" t="n"/>
      <c r="V762" s="845" t="n"/>
      <c r="W762" s="845" t="n"/>
      <c r="X762" s="845" t="n"/>
      <c r="Y762" s="845" t="n"/>
      <c r="Z762" s="845" t="n"/>
    </row>
    <row r="763" ht="13.2" customHeight="1" s="1127">
      <c r="A763" s="845" t="n"/>
      <c r="B763" s="845" t="n"/>
      <c r="C763" s="845" t="n"/>
      <c r="D763" s="845" t="n"/>
      <c r="E763" s="845" t="n"/>
      <c r="F763" s="845" t="n"/>
      <c r="G763" s="879" t="n"/>
      <c r="H763" s="845" t="n"/>
      <c r="I763" s="845" t="n"/>
      <c r="J763" s="845" t="n"/>
      <c r="K763" s="845" t="n"/>
      <c r="L763" s="845" t="n"/>
      <c r="M763" s="845" t="n"/>
      <c r="N763" s="845" t="n"/>
      <c r="O763" s="845" t="n"/>
      <c r="P763" s="845" t="n"/>
      <c r="Q763" s="845" t="n"/>
      <c r="R763" s="845" t="n"/>
      <c r="S763" s="845" t="n"/>
      <c r="T763" s="845" t="n"/>
      <c r="U763" s="845" t="n"/>
      <c r="V763" s="845" t="n"/>
      <c r="W763" s="845" t="n"/>
      <c r="X763" s="845" t="n"/>
      <c r="Y763" s="845" t="n"/>
      <c r="Z763" s="845" t="n"/>
    </row>
    <row r="764" ht="13.2" customHeight="1" s="1127">
      <c r="A764" s="845" t="n"/>
      <c r="B764" s="845" t="n"/>
      <c r="C764" s="845" t="n"/>
      <c r="D764" s="845" t="n"/>
      <c r="E764" s="845" t="n"/>
      <c r="F764" s="845" t="n"/>
      <c r="G764" s="879" t="n"/>
      <c r="H764" s="845" t="n"/>
      <c r="I764" s="845" t="n"/>
      <c r="J764" s="845" t="n"/>
      <c r="K764" s="845" t="n"/>
      <c r="L764" s="845" t="n"/>
      <c r="M764" s="845" t="n"/>
      <c r="N764" s="845" t="n"/>
      <c r="O764" s="845" t="n"/>
      <c r="P764" s="845" t="n"/>
      <c r="Q764" s="845" t="n"/>
      <c r="R764" s="845" t="n"/>
      <c r="S764" s="845" t="n"/>
      <c r="T764" s="845" t="n"/>
      <c r="U764" s="845" t="n"/>
      <c r="V764" s="845" t="n"/>
      <c r="W764" s="845" t="n"/>
      <c r="X764" s="845" t="n"/>
      <c r="Y764" s="845" t="n"/>
      <c r="Z764" s="845" t="n"/>
    </row>
    <row r="765" ht="13.2" customHeight="1" s="1127">
      <c r="A765" s="845" t="n"/>
      <c r="B765" s="845" t="n"/>
      <c r="C765" s="845" t="n"/>
      <c r="D765" s="845" t="n"/>
      <c r="E765" s="845" t="n"/>
      <c r="F765" s="845" t="n"/>
      <c r="G765" s="879" t="n"/>
      <c r="H765" s="845" t="n"/>
      <c r="I765" s="845" t="n"/>
      <c r="J765" s="845" t="n"/>
      <c r="K765" s="845" t="n"/>
      <c r="L765" s="845" t="n"/>
      <c r="M765" s="845" t="n"/>
      <c r="N765" s="845" t="n"/>
      <c r="O765" s="845" t="n"/>
      <c r="P765" s="845" t="n"/>
      <c r="Q765" s="845" t="n"/>
      <c r="R765" s="845" t="n"/>
      <c r="S765" s="845" t="n"/>
      <c r="T765" s="845" t="n"/>
      <c r="U765" s="845" t="n"/>
      <c r="V765" s="845" t="n"/>
      <c r="W765" s="845" t="n"/>
      <c r="X765" s="845" t="n"/>
      <c r="Y765" s="845" t="n"/>
      <c r="Z765" s="845" t="n"/>
    </row>
    <row r="766" ht="13.2" customHeight="1" s="1127">
      <c r="A766" s="845" t="n"/>
      <c r="B766" s="845" t="n"/>
      <c r="C766" s="845" t="n"/>
      <c r="D766" s="845" t="n"/>
      <c r="E766" s="845" t="n"/>
      <c r="F766" s="845" t="n"/>
      <c r="G766" s="879" t="n"/>
      <c r="H766" s="845" t="n"/>
      <c r="I766" s="845" t="n"/>
      <c r="J766" s="845" t="n"/>
      <c r="K766" s="845" t="n"/>
      <c r="L766" s="845" t="n"/>
      <c r="M766" s="845" t="n"/>
      <c r="N766" s="845" t="n"/>
      <c r="O766" s="845" t="n"/>
      <c r="P766" s="845" t="n"/>
      <c r="Q766" s="845" t="n"/>
      <c r="R766" s="845" t="n"/>
      <c r="S766" s="845" t="n"/>
      <c r="T766" s="845" t="n"/>
      <c r="U766" s="845" t="n"/>
      <c r="V766" s="845" t="n"/>
      <c r="W766" s="845" t="n"/>
      <c r="X766" s="845" t="n"/>
      <c r="Y766" s="845" t="n"/>
      <c r="Z766" s="845" t="n"/>
    </row>
    <row r="767" ht="13.2" customHeight="1" s="1127">
      <c r="A767" s="845" t="n"/>
      <c r="B767" s="845" t="n"/>
      <c r="C767" s="845" t="n"/>
      <c r="D767" s="845" t="n"/>
      <c r="E767" s="845" t="n"/>
      <c r="F767" s="845" t="n"/>
      <c r="G767" s="879" t="n"/>
      <c r="H767" s="845" t="n"/>
      <c r="I767" s="845" t="n"/>
      <c r="J767" s="845" t="n"/>
      <c r="K767" s="845" t="n"/>
      <c r="L767" s="845" t="n"/>
      <c r="M767" s="845" t="n"/>
      <c r="N767" s="845" t="n"/>
      <c r="O767" s="845" t="n"/>
      <c r="P767" s="845" t="n"/>
      <c r="Q767" s="845" t="n"/>
      <c r="R767" s="845" t="n"/>
      <c r="S767" s="845" t="n"/>
      <c r="T767" s="845" t="n"/>
      <c r="U767" s="845" t="n"/>
      <c r="V767" s="845" t="n"/>
      <c r="W767" s="845" t="n"/>
      <c r="X767" s="845" t="n"/>
      <c r="Y767" s="845" t="n"/>
      <c r="Z767" s="845" t="n"/>
    </row>
    <row r="768" ht="13.2" customHeight="1" s="1127">
      <c r="A768" s="845" t="n"/>
      <c r="B768" s="845" t="n"/>
      <c r="C768" s="845" t="n"/>
      <c r="D768" s="845" t="n"/>
      <c r="E768" s="845" t="n"/>
      <c r="F768" s="845" t="n"/>
      <c r="G768" s="879" t="n"/>
      <c r="H768" s="845" t="n"/>
      <c r="I768" s="845" t="n"/>
      <c r="J768" s="845" t="n"/>
      <c r="K768" s="845" t="n"/>
      <c r="L768" s="845" t="n"/>
      <c r="M768" s="845" t="n"/>
      <c r="N768" s="845" t="n"/>
      <c r="O768" s="845" t="n"/>
      <c r="P768" s="845" t="n"/>
      <c r="Q768" s="845" t="n"/>
      <c r="R768" s="845" t="n"/>
      <c r="S768" s="845" t="n"/>
      <c r="T768" s="845" t="n"/>
      <c r="U768" s="845" t="n"/>
      <c r="V768" s="845" t="n"/>
      <c r="W768" s="845" t="n"/>
      <c r="X768" s="845" t="n"/>
      <c r="Y768" s="845" t="n"/>
      <c r="Z768" s="845" t="n"/>
    </row>
    <row r="769" ht="13.2" customHeight="1" s="1127">
      <c r="A769" s="845" t="n"/>
      <c r="B769" s="845" t="n"/>
      <c r="C769" s="845" t="n"/>
      <c r="D769" s="845" t="n"/>
      <c r="E769" s="845" t="n"/>
      <c r="F769" s="845" t="n"/>
      <c r="G769" s="879" t="n"/>
      <c r="H769" s="845" t="n"/>
      <c r="I769" s="845" t="n"/>
      <c r="J769" s="845" t="n"/>
      <c r="K769" s="845" t="n"/>
      <c r="L769" s="845" t="n"/>
      <c r="M769" s="845" t="n"/>
      <c r="N769" s="845" t="n"/>
      <c r="O769" s="845" t="n"/>
      <c r="P769" s="845" t="n"/>
      <c r="Q769" s="845" t="n"/>
      <c r="R769" s="845" t="n"/>
      <c r="S769" s="845" t="n"/>
      <c r="T769" s="845" t="n"/>
      <c r="U769" s="845" t="n"/>
      <c r="V769" s="845" t="n"/>
      <c r="W769" s="845" t="n"/>
      <c r="X769" s="845" t="n"/>
      <c r="Y769" s="845" t="n"/>
      <c r="Z769" s="845" t="n"/>
    </row>
    <row r="770" ht="13.2" customHeight="1" s="1127">
      <c r="A770" s="845" t="n"/>
      <c r="B770" s="845" t="n"/>
      <c r="C770" s="845" t="n"/>
      <c r="D770" s="845" t="n"/>
      <c r="E770" s="845" t="n"/>
      <c r="F770" s="845" t="n"/>
      <c r="G770" s="879" t="n"/>
      <c r="H770" s="845" t="n"/>
      <c r="I770" s="845" t="n"/>
      <c r="J770" s="845" t="n"/>
      <c r="K770" s="845" t="n"/>
      <c r="L770" s="845" t="n"/>
      <c r="M770" s="845" t="n"/>
      <c r="N770" s="845" t="n"/>
      <c r="O770" s="845" t="n"/>
      <c r="P770" s="845" t="n"/>
      <c r="Q770" s="845" t="n"/>
      <c r="R770" s="845" t="n"/>
      <c r="S770" s="845" t="n"/>
      <c r="T770" s="845" t="n"/>
      <c r="U770" s="845" t="n"/>
      <c r="V770" s="845" t="n"/>
      <c r="W770" s="845" t="n"/>
      <c r="X770" s="845" t="n"/>
      <c r="Y770" s="845" t="n"/>
      <c r="Z770" s="845" t="n"/>
    </row>
    <row r="771" ht="13.2" customHeight="1" s="1127">
      <c r="A771" s="845" t="n"/>
      <c r="B771" s="845" t="n"/>
      <c r="C771" s="845" t="n"/>
      <c r="D771" s="845" t="n"/>
      <c r="E771" s="845" t="n"/>
      <c r="F771" s="845" t="n"/>
      <c r="G771" s="879" t="n"/>
      <c r="H771" s="845" t="n"/>
      <c r="I771" s="845" t="n"/>
      <c r="J771" s="845" t="n"/>
      <c r="K771" s="845" t="n"/>
      <c r="L771" s="845" t="n"/>
      <c r="M771" s="845" t="n"/>
      <c r="N771" s="845" t="n"/>
      <c r="O771" s="845" t="n"/>
      <c r="P771" s="845" t="n"/>
      <c r="Q771" s="845" t="n"/>
      <c r="R771" s="845" t="n"/>
      <c r="S771" s="845" t="n"/>
      <c r="T771" s="845" t="n"/>
      <c r="U771" s="845" t="n"/>
      <c r="V771" s="845" t="n"/>
      <c r="W771" s="845" t="n"/>
      <c r="X771" s="845" t="n"/>
      <c r="Y771" s="845" t="n"/>
      <c r="Z771" s="845" t="n"/>
    </row>
    <row r="772" ht="13.2" customHeight="1" s="1127">
      <c r="A772" s="845" t="n"/>
      <c r="B772" s="845" t="n"/>
      <c r="C772" s="845" t="n"/>
      <c r="D772" s="845" t="n"/>
      <c r="E772" s="845" t="n"/>
      <c r="F772" s="845" t="n"/>
      <c r="G772" s="879" t="n"/>
      <c r="H772" s="845" t="n"/>
      <c r="I772" s="845" t="n"/>
      <c r="J772" s="845" t="n"/>
      <c r="K772" s="845" t="n"/>
      <c r="L772" s="845" t="n"/>
      <c r="M772" s="845" t="n"/>
      <c r="N772" s="845" t="n"/>
      <c r="O772" s="845" t="n"/>
      <c r="P772" s="845" t="n"/>
      <c r="Q772" s="845" t="n"/>
      <c r="R772" s="845" t="n"/>
      <c r="S772" s="845" t="n"/>
      <c r="T772" s="845" t="n"/>
      <c r="U772" s="845" t="n"/>
      <c r="V772" s="845" t="n"/>
      <c r="W772" s="845" t="n"/>
      <c r="X772" s="845" t="n"/>
      <c r="Y772" s="845" t="n"/>
      <c r="Z772" s="845" t="n"/>
    </row>
    <row r="773" ht="13.2" customHeight="1" s="1127">
      <c r="A773" s="845" t="n"/>
      <c r="B773" s="845" t="n"/>
      <c r="C773" s="845" t="n"/>
      <c r="D773" s="845" t="n"/>
      <c r="E773" s="845" t="n"/>
      <c r="F773" s="845" t="n"/>
      <c r="G773" s="879" t="n"/>
      <c r="H773" s="845" t="n"/>
      <c r="I773" s="845" t="n"/>
      <c r="J773" s="845" t="n"/>
      <c r="K773" s="845" t="n"/>
      <c r="L773" s="845" t="n"/>
      <c r="M773" s="845" t="n"/>
      <c r="N773" s="845" t="n"/>
      <c r="O773" s="845" t="n"/>
      <c r="P773" s="845" t="n"/>
      <c r="Q773" s="845" t="n"/>
      <c r="R773" s="845" t="n"/>
      <c r="S773" s="845" t="n"/>
      <c r="T773" s="845" t="n"/>
      <c r="U773" s="845" t="n"/>
      <c r="V773" s="845" t="n"/>
      <c r="W773" s="845" t="n"/>
      <c r="X773" s="845" t="n"/>
      <c r="Y773" s="845" t="n"/>
      <c r="Z773" s="845" t="n"/>
    </row>
    <row r="774" ht="13.2" customHeight="1" s="1127">
      <c r="A774" s="845" t="n"/>
      <c r="B774" s="845" t="n"/>
      <c r="C774" s="845" t="n"/>
      <c r="D774" s="845" t="n"/>
      <c r="E774" s="845" t="n"/>
      <c r="F774" s="845" t="n"/>
      <c r="G774" s="879" t="n"/>
      <c r="H774" s="845" t="n"/>
      <c r="I774" s="845" t="n"/>
      <c r="J774" s="845" t="n"/>
      <c r="K774" s="845" t="n"/>
      <c r="L774" s="845" t="n"/>
      <c r="M774" s="845" t="n"/>
      <c r="N774" s="845" t="n"/>
      <c r="O774" s="845" t="n"/>
      <c r="P774" s="845" t="n"/>
      <c r="Q774" s="845" t="n"/>
      <c r="R774" s="845" t="n"/>
      <c r="S774" s="845" t="n"/>
      <c r="T774" s="845" t="n"/>
      <c r="U774" s="845" t="n"/>
      <c r="V774" s="845" t="n"/>
      <c r="W774" s="845" t="n"/>
      <c r="X774" s="845" t="n"/>
      <c r="Y774" s="845" t="n"/>
      <c r="Z774" s="845" t="n"/>
    </row>
    <row r="775" ht="13.2" customHeight="1" s="1127">
      <c r="A775" s="845" t="n"/>
      <c r="B775" s="845" t="n"/>
      <c r="C775" s="845" t="n"/>
      <c r="D775" s="845" t="n"/>
      <c r="E775" s="845" t="n"/>
      <c r="F775" s="845" t="n"/>
      <c r="G775" s="879" t="n"/>
      <c r="H775" s="845" t="n"/>
      <c r="I775" s="845" t="n"/>
      <c r="J775" s="845" t="n"/>
      <c r="K775" s="845" t="n"/>
      <c r="L775" s="845" t="n"/>
      <c r="M775" s="845" t="n"/>
      <c r="N775" s="845" t="n"/>
      <c r="O775" s="845" t="n"/>
      <c r="P775" s="845" t="n"/>
      <c r="Q775" s="845" t="n"/>
      <c r="R775" s="845" t="n"/>
      <c r="S775" s="845" t="n"/>
      <c r="T775" s="845" t="n"/>
      <c r="U775" s="845" t="n"/>
      <c r="V775" s="845" t="n"/>
      <c r="W775" s="845" t="n"/>
      <c r="X775" s="845" t="n"/>
      <c r="Y775" s="845" t="n"/>
      <c r="Z775" s="845" t="n"/>
    </row>
    <row r="776" ht="13.2" customHeight="1" s="1127">
      <c r="A776" s="845" t="n"/>
      <c r="B776" s="845" t="n"/>
      <c r="C776" s="845" t="n"/>
      <c r="D776" s="845" t="n"/>
      <c r="E776" s="845" t="n"/>
      <c r="F776" s="845" t="n"/>
      <c r="G776" s="879" t="n"/>
      <c r="H776" s="845" t="n"/>
      <c r="I776" s="845" t="n"/>
      <c r="J776" s="845" t="n"/>
      <c r="K776" s="845" t="n"/>
      <c r="L776" s="845" t="n"/>
      <c r="M776" s="845" t="n"/>
      <c r="N776" s="845" t="n"/>
      <c r="O776" s="845" t="n"/>
      <c r="P776" s="845" t="n"/>
      <c r="Q776" s="845" t="n"/>
      <c r="R776" s="845" t="n"/>
      <c r="S776" s="845" t="n"/>
      <c r="T776" s="845" t="n"/>
      <c r="U776" s="845" t="n"/>
      <c r="V776" s="845" t="n"/>
      <c r="W776" s="845" t="n"/>
      <c r="X776" s="845" t="n"/>
      <c r="Y776" s="845" t="n"/>
      <c r="Z776" s="845" t="n"/>
    </row>
    <row r="777" ht="13.2" customHeight="1" s="1127">
      <c r="A777" s="845" t="n"/>
      <c r="B777" s="845" t="n"/>
      <c r="C777" s="845" t="n"/>
      <c r="D777" s="845" t="n"/>
      <c r="E777" s="845" t="n"/>
      <c r="F777" s="845" t="n"/>
      <c r="G777" s="879" t="n"/>
      <c r="H777" s="845" t="n"/>
      <c r="I777" s="845" t="n"/>
      <c r="J777" s="845" t="n"/>
      <c r="K777" s="845" t="n"/>
      <c r="L777" s="845" t="n"/>
      <c r="M777" s="845" t="n"/>
      <c r="N777" s="845" t="n"/>
      <c r="O777" s="845" t="n"/>
      <c r="P777" s="845" t="n"/>
      <c r="Q777" s="845" t="n"/>
      <c r="R777" s="845" t="n"/>
      <c r="S777" s="845" t="n"/>
      <c r="T777" s="845" t="n"/>
      <c r="U777" s="845" t="n"/>
      <c r="V777" s="845" t="n"/>
      <c r="W777" s="845" t="n"/>
      <c r="X777" s="845" t="n"/>
      <c r="Y777" s="845" t="n"/>
      <c r="Z777" s="845" t="n"/>
    </row>
    <row r="778" ht="13.2" customHeight="1" s="1127">
      <c r="A778" s="845" t="n"/>
      <c r="B778" s="845" t="n"/>
      <c r="C778" s="845" t="n"/>
      <c r="D778" s="845" t="n"/>
      <c r="E778" s="845" t="n"/>
      <c r="F778" s="845" t="n"/>
      <c r="G778" s="879" t="n"/>
      <c r="H778" s="845" t="n"/>
      <c r="I778" s="845" t="n"/>
      <c r="J778" s="845" t="n"/>
      <c r="K778" s="845" t="n"/>
      <c r="L778" s="845" t="n"/>
      <c r="M778" s="845" t="n"/>
      <c r="N778" s="845" t="n"/>
      <c r="O778" s="845" t="n"/>
      <c r="P778" s="845" t="n"/>
      <c r="Q778" s="845" t="n"/>
      <c r="R778" s="845" t="n"/>
      <c r="S778" s="845" t="n"/>
      <c r="T778" s="845" t="n"/>
      <c r="U778" s="845" t="n"/>
      <c r="V778" s="845" t="n"/>
      <c r="W778" s="845" t="n"/>
      <c r="X778" s="845" t="n"/>
      <c r="Y778" s="845" t="n"/>
      <c r="Z778" s="845" t="n"/>
    </row>
    <row r="779" ht="13.2" customHeight="1" s="1127">
      <c r="A779" s="845" t="n"/>
      <c r="B779" s="845" t="n"/>
      <c r="C779" s="845" t="n"/>
      <c r="D779" s="845" t="n"/>
      <c r="E779" s="845" t="n"/>
      <c r="F779" s="845" t="n"/>
      <c r="G779" s="879" t="n"/>
      <c r="H779" s="845" t="n"/>
      <c r="I779" s="845" t="n"/>
      <c r="J779" s="845" t="n"/>
      <c r="K779" s="845" t="n"/>
      <c r="L779" s="845" t="n"/>
      <c r="M779" s="845" t="n"/>
      <c r="N779" s="845" t="n"/>
      <c r="O779" s="845" t="n"/>
      <c r="P779" s="845" t="n"/>
      <c r="Q779" s="845" t="n"/>
      <c r="R779" s="845" t="n"/>
      <c r="S779" s="845" t="n"/>
      <c r="T779" s="845" t="n"/>
      <c r="U779" s="845" t="n"/>
      <c r="V779" s="845" t="n"/>
      <c r="W779" s="845" t="n"/>
      <c r="X779" s="845" t="n"/>
      <c r="Y779" s="845" t="n"/>
      <c r="Z779" s="845" t="n"/>
    </row>
    <row r="780" ht="13.2" customHeight="1" s="1127">
      <c r="A780" s="845" t="n"/>
      <c r="B780" s="845" t="n"/>
      <c r="C780" s="845" t="n"/>
      <c r="D780" s="845" t="n"/>
      <c r="E780" s="845" t="n"/>
      <c r="F780" s="845" t="n"/>
      <c r="G780" s="879" t="n"/>
      <c r="H780" s="845" t="n"/>
      <c r="I780" s="845" t="n"/>
      <c r="J780" s="845" t="n"/>
      <c r="K780" s="845" t="n"/>
      <c r="L780" s="845" t="n"/>
      <c r="M780" s="845" t="n"/>
      <c r="N780" s="845" t="n"/>
      <c r="O780" s="845" t="n"/>
      <c r="P780" s="845" t="n"/>
      <c r="Q780" s="845" t="n"/>
      <c r="R780" s="845" t="n"/>
      <c r="S780" s="845" t="n"/>
      <c r="T780" s="845" t="n"/>
      <c r="U780" s="845" t="n"/>
      <c r="V780" s="845" t="n"/>
      <c r="W780" s="845" t="n"/>
      <c r="X780" s="845" t="n"/>
      <c r="Y780" s="845" t="n"/>
      <c r="Z780" s="845" t="n"/>
    </row>
    <row r="781" ht="13.2" customHeight="1" s="1127">
      <c r="A781" s="845" t="n"/>
      <c r="B781" s="845" t="n"/>
      <c r="C781" s="845" t="n"/>
      <c r="D781" s="845" t="n"/>
      <c r="E781" s="845" t="n"/>
      <c r="F781" s="845" t="n"/>
      <c r="G781" s="879" t="n"/>
      <c r="H781" s="845" t="n"/>
      <c r="I781" s="845" t="n"/>
      <c r="J781" s="845" t="n"/>
      <c r="K781" s="845" t="n"/>
      <c r="L781" s="845" t="n"/>
      <c r="M781" s="845" t="n"/>
      <c r="N781" s="845" t="n"/>
      <c r="O781" s="845" t="n"/>
      <c r="P781" s="845" t="n"/>
      <c r="Q781" s="845" t="n"/>
      <c r="R781" s="845" t="n"/>
      <c r="S781" s="845" t="n"/>
      <c r="T781" s="845" t="n"/>
      <c r="U781" s="845" t="n"/>
      <c r="V781" s="845" t="n"/>
      <c r="W781" s="845" t="n"/>
      <c r="X781" s="845" t="n"/>
      <c r="Y781" s="845" t="n"/>
      <c r="Z781" s="845" t="n"/>
    </row>
    <row r="782" ht="13.2" customHeight="1" s="1127">
      <c r="A782" s="845" t="n"/>
      <c r="B782" s="845" t="n"/>
      <c r="C782" s="845" t="n"/>
      <c r="D782" s="845" t="n"/>
      <c r="E782" s="845" t="n"/>
      <c r="F782" s="845" t="n"/>
      <c r="G782" s="879" t="n"/>
      <c r="H782" s="845" t="n"/>
      <c r="I782" s="845" t="n"/>
      <c r="J782" s="845" t="n"/>
      <c r="K782" s="845" t="n"/>
      <c r="L782" s="845" t="n"/>
      <c r="M782" s="845" t="n"/>
      <c r="N782" s="845" t="n"/>
      <c r="O782" s="845" t="n"/>
      <c r="P782" s="845" t="n"/>
      <c r="Q782" s="845" t="n"/>
      <c r="R782" s="845" t="n"/>
      <c r="S782" s="845" t="n"/>
      <c r="T782" s="845" t="n"/>
      <c r="U782" s="845" t="n"/>
      <c r="V782" s="845" t="n"/>
      <c r="W782" s="845" t="n"/>
      <c r="X782" s="845" t="n"/>
      <c r="Y782" s="845" t="n"/>
      <c r="Z782" s="845" t="n"/>
    </row>
    <row r="783" ht="13.2" customHeight="1" s="1127">
      <c r="A783" s="845" t="n"/>
      <c r="B783" s="845" t="n"/>
      <c r="C783" s="845" t="n"/>
      <c r="D783" s="845" t="n"/>
      <c r="E783" s="845" t="n"/>
      <c r="F783" s="845" t="n"/>
      <c r="G783" s="879" t="n"/>
      <c r="H783" s="845" t="n"/>
      <c r="I783" s="845" t="n"/>
      <c r="J783" s="845" t="n"/>
      <c r="K783" s="845" t="n"/>
      <c r="L783" s="845" t="n"/>
      <c r="M783" s="845" t="n"/>
      <c r="N783" s="845" t="n"/>
      <c r="O783" s="845" t="n"/>
      <c r="P783" s="845" t="n"/>
      <c r="Q783" s="845" t="n"/>
      <c r="R783" s="845" t="n"/>
      <c r="S783" s="845" t="n"/>
      <c r="T783" s="845" t="n"/>
      <c r="U783" s="845" t="n"/>
      <c r="V783" s="845" t="n"/>
      <c r="W783" s="845" t="n"/>
      <c r="X783" s="845" t="n"/>
      <c r="Y783" s="845" t="n"/>
      <c r="Z783" s="845" t="n"/>
    </row>
    <row r="784" ht="13.2" customHeight="1" s="1127">
      <c r="A784" s="845" t="n"/>
      <c r="B784" s="845" t="n"/>
      <c r="C784" s="845" t="n"/>
      <c r="D784" s="845" t="n"/>
      <c r="E784" s="845" t="n"/>
      <c r="F784" s="845" t="n"/>
      <c r="G784" s="879" t="n"/>
      <c r="H784" s="845" t="n"/>
      <c r="I784" s="845" t="n"/>
      <c r="J784" s="845" t="n"/>
      <c r="K784" s="845" t="n"/>
      <c r="L784" s="845" t="n"/>
      <c r="M784" s="845" t="n"/>
      <c r="N784" s="845" t="n"/>
      <c r="O784" s="845" t="n"/>
      <c r="P784" s="845" t="n"/>
      <c r="Q784" s="845" t="n"/>
      <c r="R784" s="845" t="n"/>
      <c r="S784" s="845" t="n"/>
      <c r="T784" s="845" t="n"/>
      <c r="U784" s="845" t="n"/>
      <c r="V784" s="845" t="n"/>
      <c r="W784" s="845" t="n"/>
      <c r="X784" s="845" t="n"/>
      <c r="Y784" s="845" t="n"/>
      <c r="Z784" s="845" t="n"/>
    </row>
    <row r="785" ht="13.2" customHeight="1" s="1127">
      <c r="A785" s="845" t="n"/>
      <c r="B785" s="845" t="n"/>
      <c r="C785" s="845" t="n"/>
      <c r="D785" s="845" t="n"/>
      <c r="E785" s="845" t="n"/>
      <c r="F785" s="845" t="n"/>
      <c r="G785" s="879" t="n"/>
      <c r="H785" s="845" t="n"/>
      <c r="I785" s="845" t="n"/>
      <c r="J785" s="845" t="n"/>
      <c r="K785" s="845" t="n"/>
      <c r="L785" s="845" t="n"/>
      <c r="M785" s="845" t="n"/>
      <c r="N785" s="845" t="n"/>
      <c r="O785" s="845" t="n"/>
      <c r="P785" s="845" t="n"/>
      <c r="Q785" s="845" t="n"/>
      <c r="R785" s="845" t="n"/>
      <c r="S785" s="845" t="n"/>
      <c r="T785" s="845" t="n"/>
      <c r="U785" s="845" t="n"/>
      <c r="V785" s="845" t="n"/>
      <c r="W785" s="845" t="n"/>
      <c r="X785" s="845" t="n"/>
      <c r="Y785" s="845" t="n"/>
      <c r="Z785" s="845" t="n"/>
    </row>
    <row r="786" ht="13.2" customHeight="1" s="1127">
      <c r="A786" s="845" t="n"/>
      <c r="B786" s="845" t="n"/>
      <c r="C786" s="845" t="n"/>
      <c r="D786" s="845" t="n"/>
      <c r="E786" s="845" t="n"/>
      <c r="F786" s="845" t="n"/>
      <c r="G786" s="879" t="n"/>
      <c r="H786" s="845" t="n"/>
      <c r="I786" s="845" t="n"/>
      <c r="J786" s="845" t="n"/>
      <c r="K786" s="845" t="n"/>
      <c r="L786" s="845" t="n"/>
      <c r="M786" s="845" t="n"/>
      <c r="N786" s="845" t="n"/>
      <c r="O786" s="845" t="n"/>
      <c r="P786" s="845" t="n"/>
      <c r="Q786" s="845" t="n"/>
      <c r="R786" s="845" t="n"/>
      <c r="S786" s="845" t="n"/>
      <c r="T786" s="845" t="n"/>
      <c r="U786" s="845" t="n"/>
      <c r="V786" s="845" t="n"/>
      <c r="W786" s="845" t="n"/>
      <c r="X786" s="845" t="n"/>
      <c r="Y786" s="845" t="n"/>
      <c r="Z786" s="845" t="n"/>
    </row>
    <row r="787" ht="13.2" customHeight="1" s="1127">
      <c r="A787" s="845" t="n"/>
      <c r="B787" s="845" t="n"/>
      <c r="C787" s="845" t="n"/>
      <c r="D787" s="845" t="n"/>
      <c r="E787" s="845" t="n"/>
      <c r="F787" s="845" t="n"/>
      <c r="G787" s="879" t="n"/>
      <c r="H787" s="845" t="n"/>
      <c r="I787" s="845" t="n"/>
      <c r="J787" s="845" t="n"/>
      <c r="K787" s="845" t="n"/>
      <c r="L787" s="845" t="n"/>
      <c r="M787" s="845" t="n"/>
      <c r="N787" s="845" t="n"/>
      <c r="O787" s="845" t="n"/>
      <c r="P787" s="845" t="n"/>
      <c r="Q787" s="845" t="n"/>
      <c r="R787" s="845" t="n"/>
      <c r="S787" s="845" t="n"/>
      <c r="T787" s="845" t="n"/>
      <c r="U787" s="845" t="n"/>
      <c r="V787" s="845" t="n"/>
      <c r="W787" s="845" t="n"/>
      <c r="X787" s="845" t="n"/>
      <c r="Y787" s="845" t="n"/>
      <c r="Z787" s="845" t="n"/>
    </row>
    <row r="788" ht="13.2" customHeight="1" s="1127">
      <c r="A788" s="845" t="n"/>
      <c r="B788" s="845" t="n"/>
      <c r="C788" s="845" t="n"/>
      <c r="D788" s="845" t="n"/>
      <c r="E788" s="845" t="n"/>
      <c r="F788" s="845" t="n"/>
      <c r="G788" s="879" t="n"/>
      <c r="H788" s="845" t="n"/>
      <c r="I788" s="845" t="n"/>
      <c r="J788" s="845" t="n"/>
      <c r="K788" s="845" t="n"/>
      <c r="L788" s="845" t="n"/>
      <c r="M788" s="845" t="n"/>
      <c r="N788" s="845" t="n"/>
      <c r="O788" s="845" t="n"/>
      <c r="P788" s="845" t="n"/>
      <c r="Q788" s="845" t="n"/>
      <c r="R788" s="845" t="n"/>
      <c r="S788" s="845" t="n"/>
      <c r="T788" s="845" t="n"/>
      <c r="U788" s="845" t="n"/>
      <c r="V788" s="845" t="n"/>
      <c r="W788" s="845" t="n"/>
      <c r="X788" s="845" t="n"/>
      <c r="Y788" s="845" t="n"/>
      <c r="Z788" s="845" t="n"/>
    </row>
    <row r="789" ht="13.2" customHeight="1" s="1127">
      <c r="A789" s="845" t="n"/>
      <c r="B789" s="845" t="n"/>
      <c r="C789" s="845" t="n"/>
      <c r="D789" s="845" t="n"/>
      <c r="E789" s="845" t="n"/>
      <c r="F789" s="845" t="n"/>
      <c r="G789" s="879" t="n"/>
      <c r="H789" s="845" t="n"/>
      <c r="I789" s="845" t="n"/>
      <c r="J789" s="845" t="n"/>
      <c r="K789" s="845" t="n"/>
      <c r="L789" s="845" t="n"/>
      <c r="M789" s="845" t="n"/>
      <c r="N789" s="845" t="n"/>
      <c r="O789" s="845" t="n"/>
      <c r="P789" s="845" t="n"/>
      <c r="Q789" s="845" t="n"/>
      <c r="R789" s="845" t="n"/>
      <c r="S789" s="845" t="n"/>
      <c r="T789" s="845" t="n"/>
      <c r="U789" s="845" t="n"/>
      <c r="V789" s="845" t="n"/>
      <c r="W789" s="845" t="n"/>
      <c r="X789" s="845" t="n"/>
      <c r="Y789" s="845" t="n"/>
      <c r="Z789" s="845" t="n"/>
    </row>
    <row r="790" ht="13.2" customHeight="1" s="1127">
      <c r="A790" s="845" t="n"/>
      <c r="B790" s="845" t="n"/>
      <c r="C790" s="845" t="n"/>
      <c r="D790" s="845" t="n"/>
      <c r="E790" s="845" t="n"/>
      <c r="F790" s="845" t="n"/>
      <c r="G790" s="879" t="n"/>
      <c r="H790" s="845" t="n"/>
      <c r="I790" s="845" t="n"/>
      <c r="J790" s="845" t="n"/>
      <c r="K790" s="845" t="n"/>
      <c r="L790" s="845" t="n"/>
      <c r="M790" s="845" t="n"/>
      <c r="N790" s="845" t="n"/>
      <c r="O790" s="845" t="n"/>
      <c r="P790" s="845" t="n"/>
      <c r="Q790" s="845" t="n"/>
      <c r="R790" s="845" t="n"/>
      <c r="S790" s="845" t="n"/>
      <c r="T790" s="845" t="n"/>
      <c r="U790" s="845" t="n"/>
      <c r="V790" s="845" t="n"/>
      <c r="W790" s="845" t="n"/>
      <c r="X790" s="845" t="n"/>
      <c r="Y790" s="845" t="n"/>
      <c r="Z790" s="845" t="n"/>
    </row>
    <row r="791" ht="13.2" customHeight="1" s="1127">
      <c r="A791" s="845" t="n"/>
      <c r="B791" s="845" t="n"/>
      <c r="C791" s="845" t="n"/>
      <c r="D791" s="845" t="n"/>
      <c r="E791" s="845" t="n"/>
      <c r="F791" s="845" t="n"/>
      <c r="G791" s="879" t="n"/>
      <c r="H791" s="845" t="n"/>
      <c r="I791" s="845" t="n"/>
      <c r="J791" s="845" t="n"/>
      <c r="K791" s="845" t="n"/>
      <c r="L791" s="845" t="n"/>
      <c r="M791" s="845" t="n"/>
      <c r="N791" s="845" t="n"/>
      <c r="O791" s="845" t="n"/>
      <c r="P791" s="845" t="n"/>
      <c r="Q791" s="845" t="n"/>
      <c r="R791" s="845" t="n"/>
      <c r="S791" s="845" t="n"/>
      <c r="T791" s="845" t="n"/>
      <c r="U791" s="845" t="n"/>
      <c r="V791" s="845" t="n"/>
      <c r="W791" s="845" t="n"/>
      <c r="X791" s="845" t="n"/>
      <c r="Y791" s="845" t="n"/>
      <c r="Z791" s="845" t="n"/>
    </row>
    <row r="792" ht="13.2" customHeight="1" s="1127">
      <c r="A792" s="845" t="n"/>
      <c r="B792" s="845" t="n"/>
      <c r="C792" s="845" t="n"/>
      <c r="D792" s="845" t="n"/>
      <c r="E792" s="845" t="n"/>
      <c r="F792" s="845" t="n"/>
      <c r="G792" s="879" t="n"/>
      <c r="H792" s="845" t="n"/>
      <c r="I792" s="845" t="n"/>
      <c r="J792" s="845" t="n"/>
      <c r="K792" s="845" t="n"/>
      <c r="L792" s="845" t="n"/>
      <c r="M792" s="845" t="n"/>
      <c r="N792" s="845" t="n"/>
      <c r="O792" s="845" t="n"/>
      <c r="P792" s="845" t="n"/>
      <c r="Q792" s="845" t="n"/>
      <c r="R792" s="845" t="n"/>
      <c r="S792" s="845" t="n"/>
      <c r="T792" s="845" t="n"/>
      <c r="U792" s="845" t="n"/>
      <c r="V792" s="845" t="n"/>
      <c r="W792" s="845" t="n"/>
      <c r="X792" s="845" t="n"/>
      <c r="Y792" s="845" t="n"/>
      <c r="Z792" s="845" t="n"/>
    </row>
    <row r="793" ht="13.2" customHeight="1" s="1127">
      <c r="A793" s="845" t="n"/>
      <c r="B793" s="845" t="n"/>
      <c r="C793" s="845" t="n"/>
      <c r="D793" s="845" t="n"/>
      <c r="E793" s="845" t="n"/>
      <c r="F793" s="845" t="n"/>
      <c r="G793" s="879" t="n"/>
      <c r="H793" s="845" t="n"/>
      <c r="I793" s="845" t="n"/>
      <c r="J793" s="845" t="n"/>
      <c r="K793" s="845" t="n"/>
      <c r="L793" s="845" t="n"/>
      <c r="M793" s="845" t="n"/>
      <c r="N793" s="845" t="n"/>
      <c r="O793" s="845" t="n"/>
      <c r="P793" s="845" t="n"/>
      <c r="Q793" s="845" t="n"/>
      <c r="R793" s="845" t="n"/>
      <c r="S793" s="845" t="n"/>
      <c r="T793" s="845" t="n"/>
      <c r="U793" s="845" t="n"/>
      <c r="V793" s="845" t="n"/>
      <c r="W793" s="845" t="n"/>
      <c r="X793" s="845" t="n"/>
      <c r="Y793" s="845" t="n"/>
      <c r="Z793" s="845" t="n"/>
    </row>
    <row r="794" ht="13.2" customHeight="1" s="1127">
      <c r="A794" s="845" t="n"/>
      <c r="B794" s="845" t="n"/>
      <c r="C794" s="845" t="n"/>
      <c r="D794" s="845" t="n"/>
      <c r="E794" s="845" t="n"/>
      <c r="F794" s="845" t="n"/>
      <c r="G794" s="879" t="n"/>
      <c r="H794" s="845" t="n"/>
      <c r="I794" s="845" t="n"/>
      <c r="J794" s="845" t="n"/>
      <c r="K794" s="845" t="n"/>
      <c r="L794" s="845" t="n"/>
      <c r="M794" s="845" t="n"/>
      <c r="N794" s="845" t="n"/>
      <c r="O794" s="845" t="n"/>
      <c r="P794" s="845" t="n"/>
      <c r="Q794" s="845" t="n"/>
      <c r="R794" s="845" t="n"/>
      <c r="S794" s="845" t="n"/>
      <c r="T794" s="845" t="n"/>
      <c r="U794" s="845" t="n"/>
      <c r="V794" s="845" t="n"/>
      <c r="W794" s="845" t="n"/>
      <c r="X794" s="845" t="n"/>
      <c r="Y794" s="845" t="n"/>
      <c r="Z794" s="845" t="n"/>
    </row>
    <row r="795" ht="13.2" customHeight="1" s="1127">
      <c r="A795" s="845" t="n"/>
      <c r="B795" s="845" t="n"/>
      <c r="C795" s="845" t="n"/>
      <c r="D795" s="845" t="n"/>
      <c r="E795" s="845" t="n"/>
      <c r="F795" s="845" t="n"/>
      <c r="G795" s="879" t="n"/>
      <c r="H795" s="845" t="n"/>
      <c r="I795" s="845" t="n"/>
      <c r="J795" s="845" t="n"/>
      <c r="K795" s="845" t="n"/>
      <c r="L795" s="845" t="n"/>
      <c r="M795" s="845" t="n"/>
      <c r="N795" s="845" t="n"/>
      <c r="O795" s="845" t="n"/>
      <c r="P795" s="845" t="n"/>
      <c r="Q795" s="845" t="n"/>
      <c r="R795" s="845" t="n"/>
      <c r="S795" s="845" t="n"/>
      <c r="T795" s="845" t="n"/>
      <c r="U795" s="845" t="n"/>
      <c r="V795" s="845" t="n"/>
      <c r="W795" s="845" t="n"/>
      <c r="X795" s="845" t="n"/>
      <c r="Y795" s="845" t="n"/>
      <c r="Z795" s="845" t="n"/>
    </row>
    <row r="796" ht="13.2" customHeight="1" s="1127">
      <c r="A796" s="845" t="n"/>
      <c r="B796" s="845" t="n"/>
      <c r="C796" s="845" t="n"/>
      <c r="D796" s="845" t="n"/>
      <c r="E796" s="845" t="n"/>
      <c r="F796" s="845" t="n"/>
      <c r="G796" s="879" t="n"/>
      <c r="H796" s="845" t="n"/>
      <c r="I796" s="845" t="n"/>
      <c r="J796" s="845" t="n"/>
      <c r="K796" s="845" t="n"/>
      <c r="L796" s="845" t="n"/>
      <c r="M796" s="845" t="n"/>
      <c r="N796" s="845" t="n"/>
      <c r="O796" s="845" t="n"/>
      <c r="P796" s="845" t="n"/>
      <c r="Q796" s="845" t="n"/>
      <c r="R796" s="845" t="n"/>
      <c r="S796" s="845" t="n"/>
      <c r="T796" s="845" t="n"/>
      <c r="U796" s="845" t="n"/>
      <c r="V796" s="845" t="n"/>
      <c r="W796" s="845" t="n"/>
      <c r="X796" s="845" t="n"/>
      <c r="Y796" s="845" t="n"/>
      <c r="Z796" s="845" t="n"/>
    </row>
    <row r="797" ht="13.2" customHeight="1" s="1127">
      <c r="A797" s="845" t="n"/>
      <c r="B797" s="845" t="n"/>
      <c r="C797" s="845" t="n"/>
      <c r="D797" s="845" t="n"/>
      <c r="E797" s="845" t="n"/>
      <c r="F797" s="845" t="n"/>
      <c r="G797" s="879" t="n"/>
      <c r="H797" s="845" t="n"/>
      <c r="I797" s="845" t="n"/>
      <c r="J797" s="845" t="n"/>
      <c r="K797" s="845" t="n"/>
      <c r="L797" s="845" t="n"/>
      <c r="M797" s="845" t="n"/>
      <c r="N797" s="845" t="n"/>
      <c r="O797" s="845" t="n"/>
      <c r="P797" s="845" t="n"/>
      <c r="Q797" s="845" t="n"/>
      <c r="R797" s="845" t="n"/>
      <c r="S797" s="845" t="n"/>
      <c r="T797" s="845" t="n"/>
      <c r="U797" s="845" t="n"/>
      <c r="V797" s="845" t="n"/>
      <c r="W797" s="845" t="n"/>
      <c r="X797" s="845" t="n"/>
      <c r="Y797" s="845" t="n"/>
      <c r="Z797" s="845" t="n"/>
    </row>
    <row r="798" ht="13.2" customHeight="1" s="1127">
      <c r="A798" s="845" t="n"/>
      <c r="B798" s="845" t="n"/>
      <c r="C798" s="845" t="n"/>
      <c r="D798" s="845" t="n"/>
      <c r="E798" s="845" t="n"/>
      <c r="F798" s="845" t="n"/>
      <c r="G798" s="879" t="n"/>
      <c r="H798" s="845" t="n"/>
      <c r="I798" s="845" t="n"/>
      <c r="J798" s="845" t="n"/>
      <c r="K798" s="845" t="n"/>
      <c r="L798" s="845" t="n"/>
      <c r="M798" s="845" t="n"/>
      <c r="N798" s="845" t="n"/>
      <c r="O798" s="845" t="n"/>
      <c r="P798" s="845" t="n"/>
      <c r="Q798" s="845" t="n"/>
      <c r="R798" s="845" t="n"/>
      <c r="S798" s="845" t="n"/>
      <c r="T798" s="845" t="n"/>
      <c r="U798" s="845" t="n"/>
      <c r="V798" s="845" t="n"/>
      <c r="W798" s="845" t="n"/>
      <c r="X798" s="845" t="n"/>
      <c r="Y798" s="845" t="n"/>
      <c r="Z798" s="845" t="n"/>
    </row>
    <row r="799" ht="13.2" customHeight="1" s="1127">
      <c r="A799" s="845" t="n"/>
      <c r="B799" s="845" t="n"/>
      <c r="C799" s="845" t="n"/>
      <c r="D799" s="845" t="n"/>
      <c r="E799" s="845" t="n"/>
      <c r="F799" s="845" t="n"/>
      <c r="G799" s="879" t="n"/>
      <c r="H799" s="845" t="n"/>
      <c r="I799" s="845" t="n"/>
      <c r="J799" s="845" t="n"/>
      <c r="K799" s="845" t="n"/>
      <c r="L799" s="845" t="n"/>
      <c r="M799" s="845" t="n"/>
      <c r="N799" s="845" t="n"/>
      <c r="O799" s="845" t="n"/>
      <c r="P799" s="845" t="n"/>
      <c r="Q799" s="845" t="n"/>
      <c r="R799" s="845" t="n"/>
      <c r="S799" s="845" t="n"/>
      <c r="T799" s="845" t="n"/>
      <c r="U799" s="845" t="n"/>
      <c r="V799" s="845" t="n"/>
      <c r="W799" s="845" t="n"/>
      <c r="X799" s="845" t="n"/>
      <c r="Y799" s="845" t="n"/>
      <c r="Z799" s="845" t="n"/>
    </row>
    <row r="800" ht="13.2" customHeight="1" s="1127">
      <c r="A800" s="845" t="n"/>
      <c r="B800" s="845" t="n"/>
      <c r="C800" s="845" t="n"/>
      <c r="D800" s="845" t="n"/>
      <c r="E800" s="845" t="n"/>
      <c r="F800" s="845" t="n"/>
      <c r="G800" s="879" t="n"/>
      <c r="H800" s="845" t="n"/>
      <c r="I800" s="845" t="n"/>
      <c r="J800" s="845" t="n"/>
      <c r="K800" s="845" t="n"/>
      <c r="L800" s="845" t="n"/>
      <c r="M800" s="845" t="n"/>
      <c r="N800" s="845" t="n"/>
      <c r="O800" s="845" t="n"/>
      <c r="P800" s="845" t="n"/>
      <c r="Q800" s="845" t="n"/>
      <c r="R800" s="845" t="n"/>
      <c r="S800" s="845" t="n"/>
      <c r="T800" s="845" t="n"/>
      <c r="U800" s="845" t="n"/>
      <c r="V800" s="845" t="n"/>
      <c r="W800" s="845" t="n"/>
      <c r="X800" s="845" t="n"/>
      <c r="Y800" s="845" t="n"/>
      <c r="Z800" s="845" t="n"/>
    </row>
    <row r="801" ht="13.2" customHeight="1" s="1127">
      <c r="A801" s="845" t="n"/>
      <c r="B801" s="845" t="n"/>
      <c r="C801" s="845" t="n"/>
      <c r="D801" s="845" t="n"/>
      <c r="E801" s="845" t="n"/>
      <c r="F801" s="845" t="n"/>
      <c r="G801" s="879" t="n"/>
      <c r="H801" s="845" t="n"/>
      <c r="I801" s="845" t="n"/>
      <c r="J801" s="845" t="n"/>
      <c r="K801" s="845" t="n"/>
      <c r="L801" s="845" t="n"/>
      <c r="M801" s="845" t="n"/>
      <c r="N801" s="845" t="n"/>
      <c r="O801" s="845" t="n"/>
      <c r="P801" s="845" t="n"/>
      <c r="Q801" s="845" t="n"/>
      <c r="R801" s="845" t="n"/>
      <c r="S801" s="845" t="n"/>
      <c r="T801" s="845" t="n"/>
      <c r="U801" s="845" t="n"/>
      <c r="V801" s="845" t="n"/>
      <c r="W801" s="845" t="n"/>
      <c r="X801" s="845" t="n"/>
      <c r="Y801" s="845" t="n"/>
      <c r="Z801" s="845" t="n"/>
    </row>
    <row r="802" ht="13.2" customHeight="1" s="1127">
      <c r="A802" s="845" t="n"/>
      <c r="B802" s="845" t="n"/>
      <c r="C802" s="845" t="n"/>
      <c r="D802" s="845" t="n"/>
      <c r="E802" s="845" t="n"/>
      <c r="F802" s="845" t="n"/>
      <c r="G802" s="879" t="n"/>
      <c r="H802" s="845" t="n"/>
      <c r="I802" s="845" t="n"/>
      <c r="J802" s="845" t="n"/>
      <c r="K802" s="845" t="n"/>
      <c r="L802" s="845" t="n"/>
      <c r="M802" s="845" t="n"/>
      <c r="N802" s="845" t="n"/>
      <c r="O802" s="845" t="n"/>
      <c r="P802" s="845" t="n"/>
      <c r="Q802" s="845" t="n"/>
      <c r="R802" s="845" t="n"/>
      <c r="S802" s="845" t="n"/>
      <c r="T802" s="845" t="n"/>
      <c r="U802" s="845" t="n"/>
      <c r="V802" s="845" t="n"/>
      <c r="W802" s="845" t="n"/>
      <c r="X802" s="845" t="n"/>
      <c r="Y802" s="845" t="n"/>
      <c r="Z802" s="845" t="n"/>
    </row>
    <row r="803" ht="13.2" customHeight="1" s="1127">
      <c r="A803" s="845" t="n"/>
      <c r="B803" s="845" t="n"/>
      <c r="C803" s="845" t="n"/>
      <c r="D803" s="845" t="n"/>
      <c r="E803" s="845" t="n"/>
      <c r="F803" s="845" t="n"/>
      <c r="G803" s="879" t="n"/>
      <c r="H803" s="845" t="n"/>
      <c r="I803" s="845" t="n"/>
      <c r="J803" s="845" t="n"/>
      <c r="K803" s="845" t="n"/>
      <c r="L803" s="845" t="n"/>
      <c r="M803" s="845" t="n"/>
      <c r="N803" s="845" t="n"/>
      <c r="O803" s="845" t="n"/>
      <c r="P803" s="845" t="n"/>
      <c r="Q803" s="845" t="n"/>
      <c r="R803" s="845" t="n"/>
      <c r="S803" s="845" t="n"/>
      <c r="T803" s="845" t="n"/>
      <c r="U803" s="845" t="n"/>
      <c r="V803" s="845" t="n"/>
      <c r="W803" s="845" t="n"/>
      <c r="X803" s="845" t="n"/>
      <c r="Y803" s="845" t="n"/>
      <c r="Z803" s="845" t="n"/>
    </row>
    <row r="804" ht="13.2" customHeight="1" s="1127">
      <c r="A804" s="845" t="n"/>
      <c r="B804" s="845" t="n"/>
      <c r="C804" s="845" t="n"/>
      <c r="D804" s="845" t="n"/>
      <c r="E804" s="845" t="n"/>
      <c r="F804" s="845" t="n"/>
      <c r="G804" s="879" t="n"/>
      <c r="H804" s="845" t="n"/>
      <c r="I804" s="845" t="n"/>
      <c r="J804" s="845" t="n"/>
      <c r="K804" s="845" t="n"/>
      <c r="L804" s="845" t="n"/>
      <c r="M804" s="845" t="n"/>
      <c r="N804" s="845" t="n"/>
      <c r="O804" s="845" t="n"/>
      <c r="P804" s="845" t="n"/>
      <c r="Q804" s="845" t="n"/>
      <c r="R804" s="845" t="n"/>
      <c r="S804" s="845" t="n"/>
      <c r="T804" s="845" t="n"/>
      <c r="U804" s="845" t="n"/>
      <c r="V804" s="845" t="n"/>
      <c r="W804" s="845" t="n"/>
      <c r="X804" s="845" t="n"/>
      <c r="Y804" s="845" t="n"/>
      <c r="Z804" s="845" t="n"/>
    </row>
    <row r="805" ht="13.2" customHeight="1" s="1127">
      <c r="A805" s="845" t="n"/>
      <c r="B805" s="845" t="n"/>
      <c r="C805" s="845" t="n"/>
      <c r="D805" s="845" t="n"/>
      <c r="E805" s="845" t="n"/>
      <c r="F805" s="845" t="n"/>
      <c r="G805" s="879" t="n"/>
      <c r="H805" s="845" t="n"/>
      <c r="I805" s="845" t="n"/>
      <c r="J805" s="845" t="n"/>
      <c r="K805" s="845" t="n"/>
      <c r="L805" s="845" t="n"/>
      <c r="M805" s="845" t="n"/>
      <c r="N805" s="845" t="n"/>
      <c r="O805" s="845" t="n"/>
      <c r="P805" s="845" t="n"/>
      <c r="Q805" s="845" t="n"/>
      <c r="R805" s="845" t="n"/>
      <c r="S805" s="845" t="n"/>
      <c r="T805" s="845" t="n"/>
      <c r="U805" s="845" t="n"/>
      <c r="V805" s="845" t="n"/>
      <c r="W805" s="845" t="n"/>
      <c r="X805" s="845" t="n"/>
      <c r="Y805" s="845" t="n"/>
      <c r="Z805" s="845" t="n"/>
    </row>
    <row r="806" ht="13.2" customHeight="1" s="1127">
      <c r="A806" s="845" t="n"/>
      <c r="B806" s="845" t="n"/>
      <c r="C806" s="845" t="n"/>
      <c r="D806" s="845" t="n"/>
      <c r="E806" s="845" t="n"/>
      <c r="F806" s="845" t="n"/>
      <c r="G806" s="879" t="n"/>
      <c r="H806" s="845" t="n"/>
      <c r="I806" s="845" t="n"/>
      <c r="J806" s="845" t="n"/>
      <c r="K806" s="845" t="n"/>
      <c r="L806" s="845" t="n"/>
      <c r="M806" s="845" t="n"/>
      <c r="N806" s="845" t="n"/>
      <c r="O806" s="845" t="n"/>
      <c r="P806" s="845" t="n"/>
      <c r="Q806" s="845" t="n"/>
      <c r="R806" s="845" t="n"/>
      <c r="S806" s="845" t="n"/>
      <c r="T806" s="845" t="n"/>
      <c r="U806" s="845" t="n"/>
      <c r="V806" s="845" t="n"/>
      <c r="W806" s="845" t="n"/>
      <c r="X806" s="845" t="n"/>
      <c r="Y806" s="845" t="n"/>
      <c r="Z806" s="845" t="n"/>
    </row>
    <row r="807" ht="13.2" customHeight="1" s="1127">
      <c r="A807" s="845" t="n"/>
      <c r="B807" s="845" t="n"/>
      <c r="C807" s="845" t="n"/>
      <c r="D807" s="845" t="n"/>
      <c r="E807" s="845" t="n"/>
      <c r="F807" s="845" t="n"/>
      <c r="G807" s="879" t="n"/>
      <c r="H807" s="845" t="n"/>
      <c r="I807" s="845" t="n"/>
      <c r="J807" s="845" t="n"/>
      <c r="K807" s="845" t="n"/>
      <c r="L807" s="845" t="n"/>
      <c r="M807" s="845" t="n"/>
      <c r="N807" s="845" t="n"/>
      <c r="O807" s="845" t="n"/>
      <c r="P807" s="845" t="n"/>
      <c r="Q807" s="845" t="n"/>
      <c r="R807" s="845" t="n"/>
      <c r="S807" s="845" t="n"/>
      <c r="T807" s="845" t="n"/>
      <c r="U807" s="845" t="n"/>
      <c r="V807" s="845" t="n"/>
      <c r="W807" s="845" t="n"/>
      <c r="X807" s="845" t="n"/>
      <c r="Y807" s="845" t="n"/>
      <c r="Z807" s="845" t="n"/>
    </row>
    <row r="808" ht="13.2" customHeight="1" s="1127">
      <c r="A808" s="845" t="n"/>
      <c r="B808" s="845" t="n"/>
      <c r="C808" s="845" t="n"/>
      <c r="D808" s="845" t="n"/>
      <c r="E808" s="845" t="n"/>
      <c r="F808" s="845" t="n"/>
      <c r="G808" s="879" t="n"/>
      <c r="H808" s="845" t="n"/>
      <c r="I808" s="845" t="n"/>
      <c r="J808" s="845" t="n"/>
      <c r="K808" s="845" t="n"/>
      <c r="L808" s="845" t="n"/>
      <c r="M808" s="845" t="n"/>
      <c r="N808" s="845" t="n"/>
      <c r="O808" s="845" t="n"/>
      <c r="P808" s="845" t="n"/>
      <c r="Q808" s="845" t="n"/>
      <c r="R808" s="845" t="n"/>
      <c r="S808" s="845" t="n"/>
      <c r="T808" s="845" t="n"/>
      <c r="U808" s="845" t="n"/>
      <c r="V808" s="845" t="n"/>
      <c r="W808" s="845" t="n"/>
      <c r="X808" s="845" t="n"/>
      <c r="Y808" s="845" t="n"/>
      <c r="Z808" s="845" t="n"/>
    </row>
    <row r="809" ht="13.2" customHeight="1" s="1127">
      <c r="A809" s="845" t="n"/>
      <c r="B809" s="845" t="n"/>
      <c r="C809" s="845" t="n"/>
      <c r="D809" s="845" t="n"/>
      <c r="E809" s="845" t="n"/>
      <c r="F809" s="845" t="n"/>
      <c r="G809" s="879" t="n"/>
      <c r="H809" s="845" t="n"/>
      <c r="I809" s="845" t="n"/>
      <c r="J809" s="845" t="n"/>
      <c r="K809" s="845" t="n"/>
      <c r="L809" s="845" t="n"/>
      <c r="M809" s="845" t="n"/>
      <c r="N809" s="845" t="n"/>
      <c r="O809" s="845" t="n"/>
      <c r="P809" s="845" t="n"/>
      <c r="Q809" s="845" t="n"/>
      <c r="R809" s="845" t="n"/>
      <c r="S809" s="845" t="n"/>
      <c r="T809" s="845" t="n"/>
      <c r="U809" s="845" t="n"/>
      <c r="V809" s="845" t="n"/>
      <c r="W809" s="845" t="n"/>
      <c r="X809" s="845" t="n"/>
      <c r="Y809" s="845" t="n"/>
      <c r="Z809" s="845" t="n"/>
    </row>
    <row r="810" ht="13.2" customHeight="1" s="1127">
      <c r="A810" s="845" t="n"/>
      <c r="B810" s="845" t="n"/>
      <c r="C810" s="845" t="n"/>
      <c r="D810" s="845" t="n"/>
      <c r="E810" s="845" t="n"/>
      <c r="F810" s="845" t="n"/>
      <c r="G810" s="879" t="n"/>
      <c r="H810" s="845" t="n"/>
      <c r="I810" s="845" t="n"/>
      <c r="J810" s="845" t="n"/>
      <c r="K810" s="845" t="n"/>
      <c r="L810" s="845" t="n"/>
      <c r="M810" s="845" t="n"/>
      <c r="N810" s="845" t="n"/>
      <c r="O810" s="845" t="n"/>
      <c r="P810" s="845" t="n"/>
      <c r="Q810" s="845" t="n"/>
      <c r="R810" s="845" t="n"/>
      <c r="S810" s="845" t="n"/>
      <c r="T810" s="845" t="n"/>
      <c r="U810" s="845" t="n"/>
      <c r="V810" s="845" t="n"/>
      <c r="W810" s="845" t="n"/>
      <c r="X810" s="845" t="n"/>
      <c r="Y810" s="845" t="n"/>
      <c r="Z810" s="845" t="n"/>
    </row>
    <row r="811" ht="13.2" customHeight="1" s="1127">
      <c r="A811" s="845" t="n"/>
      <c r="B811" s="845" t="n"/>
      <c r="C811" s="845" t="n"/>
      <c r="D811" s="845" t="n"/>
      <c r="E811" s="845" t="n"/>
      <c r="F811" s="845" t="n"/>
      <c r="G811" s="879" t="n"/>
      <c r="H811" s="845" t="n"/>
      <c r="I811" s="845" t="n"/>
      <c r="J811" s="845" t="n"/>
      <c r="K811" s="845" t="n"/>
      <c r="L811" s="845" t="n"/>
      <c r="M811" s="845" t="n"/>
      <c r="N811" s="845" t="n"/>
      <c r="O811" s="845" t="n"/>
      <c r="P811" s="845" t="n"/>
      <c r="Q811" s="845" t="n"/>
      <c r="R811" s="845" t="n"/>
      <c r="S811" s="845" t="n"/>
      <c r="T811" s="845" t="n"/>
      <c r="U811" s="845" t="n"/>
      <c r="V811" s="845" t="n"/>
      <c r="W811" s="845" t="n"/>
      <c r="X811" s="845" t="n"/>
      <c r="Y811" s="845" t="n"/>
      <c r="Z811" s="845" t="n"/>
    </row>
    <row r="812" ht="13.2" customHeight="1" s="1127">
      <c r="A812" s="845" t="n"/>
      <c r="B812" s="845" t="n"/>
      <c r="C812" s="845" t="n"/>
      <c r="D812" s="845" t="n"/>
      <c r="E812" s="845" t="n"/>
      <c r="F812" s="845" t="n"/>
      <c r="G812" s="879" t="n"/>
      <c r="H812" s="845" t="n"/>
      <c r="I812" s="845" t="n"/>
      <c r="J812" s="845" t="n"/>
      <c r="K812" s="845" t="n"/>
      <c r="L812" s="845" t="n"/>
      <c r="M812" s="845" t="n"/>
      <c r="N812" s="845" t="n"/>
      <c r="O812" s="845" t="n"/>
      <c r="P812" s="845" t="n"/>
      <c r="Q812" s="845" t="n"/>
      <c r="R812" s="845" t="n"/>
      <c r="S812" s="845" t="n"/>
      <c r="T812" s="845" t="n"/>
      <c r="U812" s="845" t="n"/>
      <c r="V812" s="845" t="n"/>
      <c r="W812" s="845" t="n"/>
      <c r="X812" s="845" t="n"/>
      <c r="Y812" s="845" t="n"/>
      <c r="Z812" s="845" t="n"/>
    </row>
    <row r="813" ht="13.2" customHeight="1" s="1127">
      <c r="A813" s="845" t="n"/>
      <c r="B813" s="845" t="n"/>
      <c r="C813" s="845" t="n"/>
      <c r="D813" s="845" t="n"/>
      <c r="E813" s="845" t="n"/>
      <c r="F813" s="845" t="n"/>
      <c r="G813" s="879" t="n"/>
      <c r="H813" s="845" t="n"/>
      <c r="I813" s="845" t="n"/>
      <c r="J813" s="845" t="n"/>
      <c r="K813" s="845" t="n"/>
      <c r="L813" s="845" t="n"/>
      <c r="M813" s="845" t="n"/>
      <c r="N813" s="845" t="n"/>
      <c r="O813" s="845" t="n"/>
      <c r="P813" s="845" t="n"/>
      <c r="Q813" s="845" t="n"/>
      <c r="R813" s="845" t="n"/>
      <c r="S813" s="845" t="n"/>
      <c r="T813" s="845" t="n"/>
      <c r="U813" s="845" t="n"/>
      <c r="V813" s="845" t="n"/>
      <c r="W813" s="845" t="n"/>
      <c r="X813" s="845" t="n"/>
      <c r="Y813" s="845" t="n"/>
      <c r="Z813" s="845" t="n"/>
    </row>
    <row r="814" ht="13.2" customHeight="1" s="1127">
      <c r="A814" s="845" t="n"/>
      <c r="B814" s="845" t="n"/>
      <c r="C814" s="845" t="n"/>
      <c r="D814" s="845" t="n"/>
      <c r="E814" s="845" t="n"/>
      <c r="F814" s="845" t="n"/>
      <c r="G814" s="879" t="n"/>
      <c r="H814" s="845" t="n"/>
      <c r="I814" s="845" t="n"/>
      <c r="J814" s="845" t="n"/>
      <c r="K814" s="845" t="n"/>
      <c r="L814" s="845" t="n"/>
      <c r="M814" s="845" t="n"/>
      <c r="N814" s="845" t="n"/>
      <c r="O814" s="845" t="n"/>
      <c r="P814" s="845" t="n"/>
      <c r="Q814" s="845" t="n"/>
      <c r="R814" s="845" t="n"/>
      <c r="S814" s="845" t="n"/>
      <c r="T814" s="845" t="n"/>
      <c r="U814" s="845" t="n"/>
      <c r="V814" s="845" t="n"/>
      <c r="W814" s="845" t="n"/>
      <c r="X814" s="845" t="n"/>
      <c r="Y814" s="845" t="n"/>
      <c r="Z814" s="845" t="n"/>
    </row>
    <row r="815" ht="13.2" customHeight="1" s="1127">
      <c r="A815" s="845" t="n"/>
      <c r="B815" s="845" t="n"/>
      <c r="C815" s="845" t="n"/>
      <c r="D815" s="845" t="n"/>
      <c r="E815" s="845" t="n"/>
      <c r="F815" s="845" t="n"/>
      <c r="G815" s="879" t="n"/>
      <c r="H815" s="845" t="n"/>
      <c r="I815" s="845" t="n"/>
      <c r="J815" s="845" t="n"/>
      <c r="K815" s="845" t="n"/>
      <c r="L815" s="845" t="n"/>
      <c r="M815" s="845" t="n"/>
      <c r="N815" s="845" t="n"/>
      <c r="O815" s="845" t="n"/>
      <c r="P815" s="845" t="n"/>
      <c r="Q815" s="845" t="n"/>
      <c r="R815" s="845" t="n"/>
      <c r="S815" s="845" t="n"/>
      <c r="T815" s="845" t="n"/>
      <c r="U815" s="845" t="n"/>
      <c r="V815" s="845" t="n"/>
      <c r="W815" s="845" t="n"/>
      <c r="X815" s="845" t="n"/>
      <c r="Y815" s="845" t="n"/>
      <c r="Z815" s="845" t="n"/>
    </row>
    <row r="816" ht="13.2" customHeight="1" s="1127">
      <c r="A816" s="845" t="n"/>
      <c r="B816" s="845" t="n"/>
      <c r="C816" s="845" t="n"/>
      <c r="D816" s="845" t="n"/>
      <c r="E816" s="845" t="n"/>
      <c r="F816" s="845" t="n"/>
      <c r="G816" s="879" t="n"/>
      <c r="H816" s="845" t="n"/>
      <c r="I816" s="845" t="n"/>
      <c r="J816" s="845" t="n"/>
      <c r="K816" s="845" t="n"/>
      <c r="L816" s="845" t="n"/>
      <c r="M816" s="845" t="n"/>
      <c r="N816" s="845" t="n"/>
      <c r="O816" s="845" t="n"/>
      <c r="P816" s="845" t="n"/>
      <c r="Q816" s="845" t="n"/>
      <c r="R816" s="845" t="n"/>
      <c r="S816" s="845" t="n"/>
      <c r="T816" s="845" t="n"/>
      <c r="U816" s="845" t="n"/>
      <c r="V816" s="845" t="n"/>
      <c r="W816" s="845" t="n"/>
      <c r="X816" s="845" t="n"/>
      <c r="Y816" s="845" t="n"/>
      <c r="Z816" s="845" t="n"/>
    </row>
    <row r="817" ht="13.2" customHeight="1" s="1127">
      <c r="A817" s="845" t="n"/>
      <c r="B817" s="845" t="n"/>
      <c r="C817" s="845" t="n"/>
      <c r="D817" s="845" t="n"/>
      <c r="E817" s="845" t="n"/>
      <c r="F817" s="845" t="n"/>
      <c r="G817" s="879" t="n"/>
      <c r="H817" s="845" t="n"/>
      <c r="I817" s="845" t="n"/>
      <c r="J817" s="845" t="n"/>
      <c r="K817" s="845" t="n"/>
      <c r="L817" s="845" t="n"/>
      <c r="M817" s="845" t="n"/>
      <c r="N817" s="845" t="n"/>
      <c r="O817" s="845" t="n"/>
      <c r="P817" s="845" t="n"/>
      <c r="Q817" s="845" t="n"/>
      <c r="R817" s="845" t="n"/>
      <c r="S817" s="845" t="n"/>
      <c r="T817" s="845" t="n"/>
      <c r="U817" s="845" t="n"/>
      <c r="V817" s="845" t="n"/>
      <c r="W817" s="845" t="n"/>
      <c r="X817" s="845" t="n"/>
      <c r="Y817" s="845" t="n"/>
      <c r="Z817" s="845" t="n"/>
    </row>
    <row r="818" ht="13.2" customHeight="1" s="1127">
      <c r="A818" s="845" t="n"/>
      <c r="B818" s="845" t="n"/>
      <c r="C818" s="845" t="n"/>
      <c r="D818" s="845" t="n"/>
      <c r="E818" s="845" t="n"/>
      <c r="F818" s="845" t="n"/>
      <c r="G818" s="879" t="n"/>
      <c r="H818" s="845" t="n"/>
      <c r="I818" s="845" t="n"/>
      <c r="J818" s="845" t="n"/>
      <c r="K818" s="845" t="n"/>
      <c r="L818" s="845" t="n"/>
      <c r="M818" s="845" t="n"/>
      <c r="N818" s="845" t="n"/>
      <c r="O818" s="845" t="n"/>
      <c r="P818" s="845" t="n"/>
      <c r="Q818" s="845" t="n"/>
      <c r="R818" s="845" t="n"/>
      <c r="S818" s="845" t="n"/>
      <c r="T818" s="845" t="n"/>
      <c r="U818" s="845" t="n"/>
      <c r="V818" s="845" t="n"/>
      <c r="W818" s="845" t="n"/>
      <c r="X818" s="845" t="n"/>
      <c r="Y818" s="845" t="n"/>
      <c r="Z818" s="845" t="n"/>
    </row>
    <row r="819" ht="13.2" customHeight="1" s="1127">
      <c r="A819" s="845" t="n"/>
      <c r="B819" s="845" t="n"/>
      <c r="C819" s="845" t="n"/>
      <c r="D819" s="845" t="n"/>
      <c r="E819" s="845" t="n"/>
      <c r="F819" s="845" t="n"/>
      <c r="G819" s="879" t="n"/>
      <c r="H819" s="845" t="n"/>
      <c r="I819" s="845" t="n"/>
      <c r="J819" s="845" t="n"/>
      <c r="K819" s="845" t="n"/>
      <c r="L819" s="845" t="n"/>
      <c r="M819" s="845" t="n"/>
      <c r="N819" s="845" t="n"/>
      <c r="O819" s="845" t="n"/>
      <c r="P819" s="845" t="n"/>
      <c r="Q819" s="845" t="n"/>
      <c r="R819" s="845" t="n"/>
      <c r="S819" s="845" t="n"/>
      <c r="T819" s="845" t="n"/>
      <c r="U819" s="845" t="n"/>
      <c r="V819" s="845" t="n"/>
      <c r="W819" s="845" t="n"/>
      <c r="X819" s="845" t="n"/>
      <c r="Y819" s="845" t="n"/>
      <c r="Z819" s="845" t="n"/>
    </row>
    <row r="820" ht="13.2" customHeight="1" s="1127">
      <c r="A820" s="845" t="n"/>
      <c r="B820" s="845" t="n"/>
      <c r="C820" s="845" t="n"/>
      <c r="D820" s="845" t="n"/>
      <c r="E820" s="845" t="n"/>
      <c r="F820" s="845" t="n"/>
      <c r="G820" s="879" t="n"/>
      <c r="H820" s="845" t="n"/>
      <c r="I820" s="845" t="n"/>
      <c r="J820" s="845" t="n"/>
      <c r="K820" s="845" t="n"/>
      <c r="L820" s="845" t="n"/>
      <c r="M820" s="845" t="n"/>
      <c r="N820" s="845" t="n"/>
      <c r="O820" s="845" t="n"/>
      <c r="P820" s="845" t="n"/>
      <c r="Q820" s="845" t="n"/>
      <c r="R820" s="845" t="n"/>
      <c r="S820" s="845" t="n"/>
      <c r="T820" s="845" t="n"/>
      <c r="U820" s="845" t="n"/>
      <c r="V820" s="845" t="n"/>
      <c r="W820" s="845" t="n"/>
      <c r="X820" s="845" t="n"/>
      <c r="Y820" s="845" t="n"/>
      <c r="Z820" s="845" t="n"/>
    </row>
    <row r="821" ht="13.2" customHeight="1" s="1127">
      <c r="A821" s="845" t="n"/>
      <c r="B821" s="845" t="n"/>
      <c r="C821" s="845" t="n"/>
      <c r="D821" s="845" t="n"/>
      <c r="E821" s="845" t="n"/>
      <c r="F821" s="845" t="n"/>
      <c r="G821" s="879" t="n"/>
      <c r="H821" s="845" t="n"/>
      <c r="I821" s="845" t="n"/>
      <c r="J821" s="845" t="n"/>
      <c r="K821" s="845" t="n"/>
      <c r="L821" s="845" t="n"/>
      <c r="M821" s="845" t="n"/>
      <c r="N821" s="845" t="n"/>
      <c r="O821" s="845" t="n"/>
      <c r="P821" s="845" t="n"/>
      <c r="Q821" s="845" t="n"/>
      <c r="R821" s="845" t="n"/>
      <c r="S821" s="845" t="n"/>
      <c r="T821" s="845" t="n"/>
      <c r="U821" s="845" t="n"/>
      <c r="V821" s="845" t="n"/>
      <c r="W821" s="845" t="n"/>
      <c r="X821" s="845" t="n"/>
      <c r="Y821" s="845" t="n"/>
      <c r="Z821" s="845" t="n"/>
    </row>
    <row r="822" ht="13.2" customHeight="1" s="1127">
      <c r="A822" s="845" t="n"/>
      <c r="B822" s="845" t="n"/>
      <c r="C822" s="845" t="n"/>
      <c r="D822" s="845" t="n"/>
      <c r="E822" s="845" t="n"/>
      <c r="F822" s="845" t="n"/>
      <c r="G822" s="879" t="n"/>
      <c r="H822" s="845" t="n"/>
      <c r="I822" s="845" t="n"/>
      <c r="J822" s="845" t="n"/>
      <c r="K822" s="845" t="n"/>
      <c r="L822" s="845" t="n"/>
      <c r="M822" s="845" t="n"/>
      <c r="N822" s="845" t="n"/>
      <c r="O822" s="845" t="n"/>
      <c r="P822" s="845" t="n"/>
      <c r="Q822" s="845" t="n"/>
      <c r="R822" s="845" t="n"/>
      <c r="S822" s="845" t="n"/>
      <c r="T822" s="845" t="n"/>
      <c r="U822" s="845" t="n"/>
      <c r="V822" s="845" t="n"/>
      <c r="W822" s="845" t="n"/>
      <c r="X822" s="845" t="n"/>
      <c r="Y822" s="845" t="n"/>
      <c r="Z822" s="845" t="n"/>
    </row>
    <row r="823" ht="13.2" customHeight="1" s="1127">
      <c r="A823" s="845" t="n"/>
      <c r="B823" s="845" t="n"/>
      <c r="C823" s="845" t="n"/>
      <c r="D823" s="845" t="n"/>
      <c r="E823" s="845" t="n"/>
      <c r="F823" s="845" t="n"/>
      <c r="G823" s="879" t="n"/>
      <c r="H823" s="845" t="n"/>
      <c r="I823" s="845" t="n"/>
      <c r="J823" s="845" t="n"/>
      <c r="K823" s="845" t="n"/>
      <c r="L823" s="845" t="n"/>
      <c r="M823" s="845" t="n"/>
      <c r="N823" s="845" t="n"/>
      <c r="O823" s="845" t="n"/>
      <c r="P823" s="845" t="n"/>
      <c r="Q823" s="845" t="n"/>
      <c r="R823" s="845" t="n"/>
      <c r="S823" s="845" t="n"/>
      <c r="T823" s="845" t="n"/>
      <c r="U823" s="845" t="n"/>
      <c r="V823" s="845" t="n"/>
      <c r="W823" s="845" t="n"/>
      <c r="X823" s="845" t="n"/>
      <c r="Y823" s="845" t="n"/>
      <c r="Z823" s="845" t="n"/>
    </row>
    <row r="824" ht="13.2" customHeight="1" s="1127">
      <c r="A824" s="845" t="n"/>
      <c r="B824" s="845" t="n"/>
      <c r="C824" s="845" t="n"/>
      <c r="D824" s="845" t="n"/>
      <c r="E824" s="845" t="n"/>
      <c r="F824" s="845" t="n"/>
      <c r="G824" s="879" t="n"/>
      <c r="H824" s="845" t="n"/>
      <c r="I824" s="845" t="n"/>
      <c r="J824" s="845" t="n"/>
      <c r="K824" s="845" t="n"/>
      <c r="L824" s="845" t="n"/>
      <c r="M824" s="845" t="n"/>
      <c r="N824" s="845" t="n"/>
      <c r="O824" s="845" t="n"/>
      <c r="P824" s="845" t="n"/>
      <c r="Q824" s="845" t="n"/>
      <c r="R824" s="845" t="n"/>
      <c r="S824" s="845" t="n"/>
      <c r="T824" s="845" t="n"/>
      <c r="U824" s="845" t="n"/>
      <c r="V824" s="845" t="n"/>
      <c r="W824" s="845" t="n"/>
      <c r="X824" s="845" t="n"/>
      <c r="Y824" s="845" t="n"/>
      <c r="Z824" s="845" t="n"/>
    </row>
    <row r="825" ht="13.2" customHeight="1" s="1127">
      <c r="A825" s="845" t="n"/>
      <c r="B825" s="845" t="n"/>
      <c r="C825" s="845" t="n"/>
      <c r="D825" s="845" t="n"/>
      <c r="E825" s="845" t="n"/>
      <c r="F825" s="845" t="n"/>
      <c r="G825" s="879" t="n"/>
      <c r="H825" s="845" t="n"/>
      <c r="I825" s="845" t="n"/>
      <c r="J825" s="845" t="n"/>
      <c r="K825" s="845" t="n"/>
      <c r="L825" s="845" t="n"/>
      <c r="M825" s="845" t="n"/>
      <c r="N825" s="845" t="n"/>
      <c r="O825" s="845" t="n"/>
      <c r="P825" s="845" t="n"/>
      <c r="Q825" s="845" t="n"/>
      <c r="R825" s="845" t="n"/>
      <c r="S825" s="845" t="n"/>
      <c r="T825" s="845" t="n"/>
      <c r="U825" s="845" t="n"/>
      <c r="V825" s="845" t="n"/>
      <c r="W825" s="845" t="n"/>
      <c r="X825" s="845" t="n"/>
      <c r="Y825" s="845" t="n"/>
      <c r="Z825" s="845" t="n"/>
    </row>
    <row r="826" ht="13.2" customHeight="1" s="1127">
      <c r="A826" s="845" t="n"/>
      <c r="B826" s="845" t="n"/>
      <c r="C826" s="845" t="n"/>
      <c r="D826" s="845" t="n"/>
      <c r="E826" s="845" t="n"/>
      <c r="F826" s="845" t="n"/>
      <c r="G826" s="879" t="n"/>
      <c r="H826" s="845" t="n"/>
      <c r="I826" s="845" t="n"/>
      <c r="J826" s="845" t="n"/>
      <c r="K826" s="845" t="n"/>
      <c r="L826" s="845" t="n"/>
      <c r="M826" s="845" t="n"/>
      <c r="N826" s="845" t="n"/>
      <c r="O826" s="845" t="n"/>
      <c r="P826" s="845" t="n"/>
      <c r="Q826" s="845" t="n"/>
      <c r="R826" s="845" t="n"/>
      <c r="S826" s="845" t="n"/>
      <c r="T826" s="845" t="n"/>
      <c r="U826" s="845" t="n"/>
      <c r="V826" s="845" t="n"/>
      <c r="W826" s="845" t="n"/>
      <c r="X826" s="845" t="n"/>
      <c r="Y826" s="845" t="n"/>
      <c r="Z826" s="845" t="n"/>
    </row>
    <row r="827" ht="13.2" customHeight="1" s="1127">
      <c r="A827" s="845" t="n"/>
      <c r="B827" s="845" t="n"/>
      <c r="C827" s="845" t="n"/>
      <c r="D827" s="845" t="n"/>
      <c r="E827" s="845" t="n"/>
      <c r="F827" s="845" t="n"/>
      <c r="G827" s="879" t="n"/>
      <c r="H827" s="845" t="n"/>
      <c r="I827" s="845" t="n"/>
      <c r="J827" s="845" t="n"/>
      <c r="K827" s="845" t="n"/>
      <c r="L827" s="845" t="n"/>
      <c r="M827" s="845" t="n"/>
      <c r="N827" s="845" t="n"/>
      <c r="O827" s="845" t="n"/>
      <c r="P827" s="845" t="n"/>
      <c r="Q827" s="845" t="n"/>
      <c r="R827" s="845" t="n"/>
      <c r="S827" s="845" t="n"/>
      <c r="T827" s="845" t="n"/>
      <c r="U827" s="845" t="n"/>
      <c r="V827" s="845" t="n"/>
      <c r="W827" s="845" t="n"/>
      <c r="X827" s="845" t="n"/>
      <c r="Y827" s="845" t="n"/>
      <c r="Z827" s="845" t="n"/>
    </row>
    <row r="828" ht="13.2" customHeight="1" s="1127">
      <c r="A828" s="845" t="n"/>
      <c r="B828" s="845" t="n"/>
      <c r="C828" s="845" t="n"/>
      <c r="D828" s="845" t="n"/>
      <c r="E828" s="845" t="n"/>
      <c r="F828" s="845" t="n"/>
      <c r="G828" s="879" t="n"/>
      <c r="H828" s="845" t="n"/>
      <c r="I828" s="845" t="n"/>
      <c r="J828" s="845" t="n"/>
      <c r="K828" s="845" t="n"/>
      <c r="L828" s="845" t="n"/>
      <c r="M828" s="845" t="n"/>
      <c r="N828" s="845" t="n"/>
      <c r="O828" s="845" t="n"/>
      <c r="P828" s="845" t="n"/>
      <c r="Q828" s="845" t="n"/>
      <c r="R828" s="845" t="n"/>
      <c r="S828" s="845" t="n"/>
      <c r="T828" s="845" t="n"/>
      <c r="U828" s="845" t="n"/>
      <c r="V828" s="845" t="n"/>
      <c r="W828" s="845" t="n"/>
      <c r="X828" s="845" t="n"/>
      <c r="Y828" s="845" t="n"/>
      <c r="Z828" s="845" t="n"/>
    </row>
    <row r="829" ht="13.2" customHeight="1" s="1127">
      <c r="A829" s="845" t="n"/>
      <c r="B829" s="845" t="n"/>
      <c r="C829" s="845" t="n"/>
      <c r="D829" s="845" t="n"/>
      <c r="E829" s="845" t="n"/>
      <c r="F829" s="845" t="n"/>
      <c r="G829" s="879" t="n"/>
      <c r="H829" s="845" t="n"/>
      <c r="I829" s="845" t="n"/>
      <c r="J829" s="845" t="n"/>
      <c r="K829" s="845" t="n"/>
      <c r="L829" s="845" t="n"/>
      <c r="M829" s="845" t="n"/>
      <c r="N829" s="845" t="n"/>
      <c r="O829" s="845" t="n"/>
      <c r="P829" s="845" t="n"/>
      <c r="Q829" s="845" t="n"/>
      <c r="R829" s="845" t="n"/>
      <c r="S829" s="845" t="n"/>
      <c r="T829" s="845" t="n"/>
      <c r="U829" s="845" t="n"/>
      <c r="V829" s="845" t="n"/>
      <c r="W829" s="845" t="n"/>
      <c r="X829" s="845" t="n"/>
      <c r="Y829" s="845" t="n"/>
      <c r="Z829" s="845" t="n"/>
    </row>
    <row r="830" ht="13.2" customHeight="1" s="1127">
      <c r="A830" s="845" t="n"/>
      <c r="B830" s="845" t="n"/>
      <c r="C830" s="845" t="n"/>
      <c r="D830" s="845" t="n"/>
      <c r="E830" s="845" t="n"/>
      <c r="F830" s="845" t="n"/>
      <c r="G830" s="879" t="n"/>
      <c r="H830" s="845" t="n"/>
      <c r="I830" s="845" t="n"/>
      <c r="J830" s="845" t="n"/>
      <c r="K830" s="845" t="n"/>
      <c r="L830" s="845" t="n"/>
      <c r="M830" s="845" t="n"/>
      <c r="N830" s="845" t="n"/>
      <c r="O830" s="845" t="n"/>
      <c r="P830" s="845" t="n"/>
      <c r="Q830" s="845" t="n"/>
      <c r="R830" s="845" t="n"/>
      <c r="S830" s="845" t="n"/>
      <c r="T830" s="845" t="n"/>
      <c r="U830" s="845" t="n"/>
      <c r="V830" s="845" t="n"/>
      <c r="W830" s="845" t="n"/>
      <c r="X830" s="845" t="n"/>
      <c r="Y830" s="845" t="n"/>
      <c r="Z830" s="845" t="n"/>
    </row>
    <row r="831" ht="13.2" customHeight="1" s="1127">
      <c r="A831" s="845" t="n"/>
      <c r="B831" s="845" t="n"/>
      <c r="C831" s="845" t="n"/>
      <c r="D831" s="845" t="n"/>
      <c r="E831" s="845" t="n"/>
      <c r="F831" s="845" t="n"/>
      <c r="G831" s="879" t="n"/>
      <c r="H831" s="845" t="n"/>
      <c r="I831" s="845" t="n"/>
      <c r="J831" s="845" t="n"/>
      <c r="K831" s="845" t="n"/>
      <c r="L831" s="845" t="n"/>
      <c r="M831" s="845" t="n"/>
      <c r="N831" s="845" t="n"/>
      <c r="O831" s="845" t="n"/>
      <c r="P831" s="845" t="n"/>
      <c r="Q831" s="845" t="n"/>
      <c r="R831" s="845" t="n"/>
      <c r="S831" s="845" t="n"/>
      <c r="T831" s="845" t="n"/>
      <c r="U831" s="845" t="n"/>
      <c r="V831" s="845" t="n"/>
      <c r="W831" s="845" t="n"/>
      <c r="X831" s="845" t="n"/>
      <c r="Y831" s="845" t="n"/>
      <c r="Z831" s="845" t="n"/>
    </row>
    <row r="832" ht="13.2" customHeight="1" s="1127">
      <c r="A832" s="845" t="n"/>
      <c r="B832" s="845" t="n"/>
      <c r="C832" s="845" t="n"/>
      <c r="D832" s="845" t="n"/>
      <c r="E832" s="845" t="n"/>
      <c r="F832" s="845" t="n"/>
      <c r="G832" s="879" t="n"/>
      <c r="H832" s="845" t="n"/>
      <c r="I832" s="845" t="n"/>
      <c r="J832" s="845" t="n"/>
      <c r="K832" s="845" t="n"/>
      <c r="L832" s="845" t="n"/>
      <c r="M832" s="845" t="n"/>
      <c r="N832" s="845" t="n"/>
      <c r="O832" s="845" t="n"/>
      <c r="P832" s="845" t="n"/>
      <c r="Q832" s="845" t="n"/>
      <c r="R832" s="845" t="n"/>
      <c r="S832" s="845" t="n"/>
      <c r="T832" s="845" t="n"/>
      <c r="U832" s="845" t="n"/>
      <c r="V832" s="845" t="n"/>
      <c r="W832" s="845" t="n"/>
      <c r="X832" s="845" t="n"/>
      <c r="Y832" s="845" t="n"/>
      <c r="Z832" s="845" t="n"/>
    </row>
    <row r="833" ht="13.2" customHeight="1" s="1127">
      <c r="A833" s="845" t="n"/>
      <c r="B833" s="845" t="n"/>
      <c r="C833" s="845" t="n"/>
      <c r="D833" s="845" t="n"/>
      <c r="E833" s="845" t="n"/>
      <c r="F833" s="845" t="n"/>
      <c r="G833" s="879" t="n"/>
      <c r="H833" s="845" t="n"/>
      <c r="I833" s="845" t="n"/>
      <c r="J833" s="845" t="n"/>
      <c r="K833" s="845" t="n"/>
      <c r="L833" s="845" t="n"/>
      <c r="M833" s="845" t="n"/>
      <c r="N833" s="845" t="n"/>
      <c r="O833" s="845" t="n"/>
      <c r="P833" s="845" t="n"/>
      <c r="Q833" s="845" t="n"/>
      <c r="R833" s="845" t="n"/>
      <c r="S833" s="845" t="n"/>
      <c r="T833" s="845" t="n"/>
      <c r="U833" s="845" t="n"/>
      <c r="V833" s="845" t="n"/>
      <c r="W833" s="845" t="n"/>
      <c r="X833" s="845" t="n"/>
      <c r="Y833" s="845" t="n"/>
      <c r="Z833" s="845" t="n"/>
    </row>
    <row r="834" ht="13.2" customHeight="1" s="1127">
      <c r="A834" s="845" t="n"/>
      <c r="B834" s="845" t="n"/>
      <c r="C834" s="845" t="n"/>
      <c r="D834" s="845" t="n"/>
      <c r="E834" s="845" t="n"/>
      <c r="F834" s="845" t="n"/>
      <c r="G834" s="879" t="n"/>
      <c r="H834" s="845" t="n"/>
      <c r="I834" s="845" t="n"/>
      <c r="J834" s="845" t="n"/>
      <c r="K834" s="845" t="n"/>
      <c r="L834" s="845" t="n"/>
      <c r="M834" s="845" t="n"/>
      <c r="N834" s="845" t="n"/>
      <c r="O834" s="845" t="n"/>
      <c r="P834" s="845" t="n"/>
      <c r="Q834" s="845" t="n"/>
      <c r="R834" s="845" t="n"/>
      <c r="S834" s="845" t="n"/>
      <c r="T834" s="845" t="n"/>
      <c r="U834" s="845" t="n"/>
      <c r="V834" s="845" t="n"/>
      <c r="W834" s="845" t="n"/>
      <c r="X834" s="845" t="n"/>
      <c r="Y834" s="845" t="n"/>
      <c r="Z834" s="845" t="n"/>
    </row>
    <row r="835" ht="13.2" customHeight="1" s="1127">
      <c r="A835" s="845" t="n"/>
      <c r="B835" s="845" t="n"/>
      <c r="C835" s="845" t="n"/>
      <c r="D835" s="845" t="n"/>
      <c r="E835" s="845" t="n"/>
      <c r="F835" s="845" t="n"/>
      <c r="G835" s="879" t="n"/>
      <c r="H835" s="845" t="n"/>
      <c r="I835" s="845" t="n"/>
      <c r="J835" s="845" t="n"/>
      <c r="K835" s="845" t="n"/>
      <c r="L835" s="845" t="n"/>
      <c r="M835" s="845" t="n"/>
      <c r="N835" s="845" t="n"/>
      <c r="O835" s="845" t="n"/>
      <c r="P835" s="845" t="n"/>
      <c r="Q835" s="845" t="n"/>
      <c r="R835" s="845" t="n"/>
      <c r="S835" s="845" t="n"/>
      <c r="T835" s="845" t="n"/>
      <c r="U835" s="845" t="n"/>
      <c r="V835" s="845" t="n"/>
      <c r="W835" s="845" t="n"/>
      <c r="X835" s="845" t="n"/>
      <c r="Y835" s="845" t="n"/>
      <c r="Z835" s="845" t="n"/>
    </row>
    <row r="836" ht="13.2" customHeight="1" s="1127">
      <c r="A836" s="845" t="n"/>
      <c r="B836" s="845" t="n"/>
      <c r="C836" s="845" t="n"/>
      <c r="D836" s="845" t="n"/>
      <c r="E836" s="845" t="n"/>
      <c r="F836" s="845" t="n"/>
      <c r="G836" s="879" t="n"/>
      <c r="H836" s="845" t="n"/>
      <c r="I836" s="845" t="n"/>
      <c r="J836" s="845" t="n"/>
      <c r="K836" s="845" t="n"/>
      <c r="L836" s="845" t="n"/>
      <c r="M836" s="845" t="n"/>
      <c r="N836" s="845" t="n"/>
      <c r="O836" s="845" t="n"/>
      <c r="P836" s="845" t="n"/>
      <c r="Q836" s="845" t="n"/>
      <c r="R836" s="845" t="n"/>
      <c r="S836" s="845" t="n"/>
      <c r="T836" s="845" t="n"/>
      <c r="U836" s="845" t="n"/>
      <c r="V836" s="845" t="n"/>
      <c r="W836" s="845" t="n"/>
      <c r="X836" s="845" t="n"/>
      <c r="Y836" s="845" t="n"/>
      <c r="Z836" s="845" t="n"/>
    </row>
    <row r="837" ht="13.2" customHeight="1" s="1127">
      <c r="A837" s="845" t="n"/>
      <c r="B837" s="845" t="n"/>
      <c r="C837" s="845" t="n"/>
      <c r="D837" s="845" t="n"/>
      <c r="E837" s="845" t="n"/>
      <c r="F837" s="845" t="n"/>
      <c r="G837" s="879" t="n"/>
      <c r="H837" s="845" t="n"/>
      <c r="I837" s="845" t="n"/>
      <c r="J837" s="845" t="n"/>
      <c r="K837" s="845" t="n"/>
      <c r="L837" s="845" t="n"/>
      <c r="M837" s="845" t="n"/>
      <c r="N837" s="845" t="n"/>
      <c r="O837" s="845" t="n"/>
      <c r="P837" s="845" t="n"/>
      <c r="Q837" s="845" t="n"/>
      <c r="R837" s="845" t="n"/>
      <c r="S837" s="845" t="n"/>
      <c r="T837" s="845" t="n"/>
      <c r="U837" s="845" t="n"/>
      <c r="V837" s="845" t="n"/>
      <c r="W837" s="845" t="n"/>
      <c r="X837" s="845" t="n"/>
      <c r="Y837" s="845" t="n"/>
      <c r="Z837" s="845" t="n"/>
    </row>
    <row r="838" ht="13.2" customHeight="1" s="1127">
      <c r="A838" s="845" t="n"/>
      <c r="B838" s="845" t="n"/>
      <c r="C838" s="845" t="n"/>
      <c r="D838" s="845" t="n"/>
      <c r="E838" s="845" t="n"/>
      <c r="F838" s="845" t="n"/>
      <c r="G838" s="879" t="n"/>
      <c r="H838" s="845" t="n"/>
      <c r="I838" s="845" t="n"/>
      <c r="J838" s="845" t="n"/>
      <c r="K838" s="845" t="n"/>
      <c r="L838" s="845" t="n"/>
      <c r="M838" s="845" t="n"/>
      <c r="N838" s="845" t="n"/>
      <c r="O838" s="845" t="n"/>
      <c r="P838" s="845" t="n"/>
      <c r="Q838" s="845" t="n"/>
      <c r="R838" s="845" t="n"/>
      <c r="S838" s="845" t="n"/>
      <c r="T838" s="845" t="n"/>
      <c r="U838" s="845" t="n"/>
      <c r="V838" s="845" t="n"/>
      <c r="W838" s="845" t="n"/>
      <c r="X838" s="845" t="n"/>
      <c r="Y838" s="845" t="n"/>
      <c r="Z838" s="845" t="n"/>
    </row>
    <row r="839" ht="13.2" customHeight="1" s="1127">
      <c r="A839" s="845" t="n"/>
      <c r="B839" s="845" t="n"/>
      <c r="C839" s="845" t="n"/>
      <c r="D839" s="845" t="n"/>
      <c r="E839" s="845" t="n"/>
      <c r="F839" s="845" t="n"/>
      <c r="G839" s="879" t="n"/>
      <c r="H839" s="845" t="n"/>
      <c r="I839" s="845" t="n"/>
      <c r="J839" s="845" t="n"/>
      <c r="K839" s="845" t="n"/>
      <c r="L839" s="845" t="n"/>
      <c r="M839" s="845" t="n"/>
      <c r="N839" s="845" t="n"/>
      <c r="O839" s="845" t="n"/>
      <c r="P839" s="845" t="n"/>
      <c r="Q839" s="845" t="n"/>
      <c r="R839" s="845" t="n"/>
      <c r="S839" s="845" t="n"/>
      <c r="T839" s="845" t="n"/>
      <c r="U839" s="845" t="n"/>
      <c r="V839" s="845" t="n"/>
      <c r="W839" s="845" t="n"/>
      <c r="X839" s="845" t="n"/>
      <c r="Y839" s="845" t="n"/>
      <c r="Z839" s="845" t="n"/>
    </row>
    <row r="840" ht="13.2" customHeight="1" s="1127">
      <c r="A840" s="845" t="n"/>
      <c r="B840" s="845" t="n"/>
      <c r="C840" s="845" t="n"/>
      <c r="D840" s="845" t="n"/>
      <c r="E840" s="845" t="n"/>
      <c r="F840" s="845" t="n"/>
      <c r="G840" s="879" t="n"/>
      <c r="H840" s="845" t="n"/>
      <c r="I840" s="845" t="n"/>
      <c r="J840" s="845" t="n"/>
      <c r="K840" s="845" t="n"/>
      <c r="L840" s="845" t="n"/>
      <c r="M840" s="845" t="n"/>
      <c r="N840" s="845" t="n"/>
      <c r="O840" s="845" t="n"/>
      <c r="P840" s="845" t="n"/>
      <c r="Q840" s="845" t="n"/>
      <c r="R840" s="845" t="n"/>
      <c r="S840" s="845" t="n"/>
      <c r="T840" s="845" t="n"/>
      <c r="U840" s="845" t="n"/>
      <c r="V840" s="845" t="n"/>
      <c r="W840" s="845" t="n"/>
      <c r="X840" s="845" t="n"/>
      <c r="Y840" s="845" t="n"/>
      <c r="Z840" s="845" t="n"/>
    </row>
    <row r="841" ht="13.2" customHeight="1" s="1127">
      <c r="A841" s="845" t="n"/>
      <c r="B841" s="845" t="n"/>
      <c r="C841" s="845" t="n"/>
      <c r="D841" s="845" t="n"/>
      <c r="E841" s="845" t="n"/>
      <c r="F841" s="845" t="n"/>
      <c r="G841" s="879" t="n"/>
      <c r="H841" s="845" t="n"/>
      <c r="I841" s="845" t="n"/>
      <c r="J841" s="845" t="n"/>
      <c r="K841" s="845" t="n"/>
      <c r="L841" s="845" t="n"/>
      <c r="M841" s="845" t="n"/>
      <c r="N841" s="845" t="n"/>
      <c r="O841" s="845" t="n"/>
      <c r="P841" s="845" t="n"/>
      <c r="Q841" s="845" t="n"/>
      <c r="R841" s="845" t="n"/>
      <c r="S841" s="845" t="n"/>
      <c r="T841" s="845" t="n"/>
      <c r="U841" s="845" t="n"/>
      <c r="V841" s="845" t="n"/>
      <c r="W841" s="845" t="n"/>
      <c r="X841" s="845" t="n"/>
      <c r="Y841" s="845" t="n"/>
      <c r="Z841" s="845" t="n"/>
    </row>
    <row r="842" ht="13.2" customHeight="1" s="1127">
      <c r="A842" s="845" t="n"/>
      <c r="B842" s="845" t="n"/>
      <c r="C842" s="845" t="n"/>
      <c r="D842" s="845" t="n"/>
      <c r="E842" s="845" t="n"/>
      <c r="F842" s="845" t="n"/>
      <c r="G842" s="879" t="n"/>
      <c r="H842" s="845" t="n"/>
      <c r="I842" s="845" t="n"/>
      <c r="J842" s="845" t="n"/>
      <c r="K842" s="845" t="n"/>
      <c r="L842" s="845" t="n"/>
      <c r="M842" s="845" t="n"/>
      <c r="N842" s="845" t="n"/>
      <c r="O842" s="845" t="n"/>
      <c r="P842" s="845" t="n"/>
      <c r="Q842" s="845" t="n"/>
      <c r="R842" s="845" t="n"/>
      <c r="S842" s="845" t="n"/>
      <c r="T842" s="845" t="n"/>
      <c r="U842" s="845" t="n"/>
      <c r="V842" s="845" t="n"/>
      <c r="W842" s="845" t="n"/>
      <c r="X842" s="845" t="n"/>
      <c r="Y842" s="845" t="n"/>
      <c r="Z842" s="845" t="n"/>
    </row>
    <row r="843" ht="13.2" customHeight="1" s="1127">
      <c r="A843" s="845" t="n"/>
      <c r="B843" s="845" t="n"/>
      <c r="C843" s="845" t="n"/>
      <c r="D843" s="845" t="n"/>
      <c r="E843" s="845" t="n"/>
      <c r="F843" s="845" t="n"/>
      <c r="G843" s="879" t="n"/>
      <c r="H843" s="845" t="n"/>
      <c r="I843" s="845" t="n"/>
      <c r="J843" s="845" t="n"/>
      <c r="K843" s="845" t="n"/>
      <c r="L843" s="845" t="n"/>
      <c r="M843" s="845" t="n"/>
      <c r="N843" s="845" t="n"/>
      <c r="O843" s="845" t="n"/>
      <c r="P843" s="845" t="n"/>
      <c r="Q843" s="845" t="n"/>
      <c r="R843" s="845" t="n"/>
      <c r="S843" s="845" t="n"/>
      <c r="T843" s="845" t="n"/>
      <c r="U843" s="845" t="n"/>
      <c r="V843" s="845" t="n"/>
      <c r="W843" s="845" t="n"/>
      <c r="X843" s="845" t="n"/>
      <c r="Y843" s="845" t="n"/>
      <c r="Z843" s="845" t="n"/>
    </row>
    <row r="844" ht="13.2" customHeight="1" s="1127">
      <c r="A844" s="845" t="n"/>
      <c r="B844" s="845" t="n"/>
      <c r="C844" s="845" t="n"/>
      <c r="D844" s="845" t="n"/>
      <c r="E844" s="845" t="n"/>
      <c r="F844" s="845" t="n"/>
      <c r="G844" s="879" t="n"/>
      <c r="H844" s="845" t="n"/>
      <c r="I844" s="845" t="n"/>
      <c r="J844" s="845" t="n"/>
      <c r="K844" s="845" t="n"/>
      <c r="L844" s="845" t="n"/>
      <c r="M844" s="845" t="n"/>
      <c r="N844" s="845" t="n"/>
      <c r="O844" s="845" t="n"/>
      <c r="P844" s="845" t="n"/>
      <c r="Q844" s="845" t="n"/>
      <c r="R844" s="845" t="n"/>
      <c r="S844" s="845" t="n"/>
      <c r="T844" s="845" t="n"/>
      <c r="U844" s="845" t="n"/>
      <c r="V844" s="845" t="n"/>
      <c r="W844" s="845" t="n"/>
      <c r="X844" s="845" t="n"/>
      <c r="Y844" s="845" t="n"/>
      <c r="Z844" s="845" t="n"/>
    </row>
    <row r="845" ht="13.2" customHeight="1" s="1127">
      <c r="A845" s="845" t="n"/>
      <c r="B845" s="845" t="n"/>
      <c r="C845" s="845" t="n"/>
      <c r="D845" s="845" t="n"/>
      <c r="E845" s="845" t="n"/>
      <c r="F845" s="845" t="n"/>
      <c r="G845" s="879" t="n"/>
      <c r="H845" s="845" t="n"/>
      <c r="I845" s="845" t="n"/>
      <c r="J845" s="845" t="n"/>
      <c r="K845" s="845" t="n"/>
      <c r="L845" s="845" t="n"/>
      <c r="M845" s="845" t="n"/>
      <c r="N845" s="845" t="n"/>
      <c r="O845" s="845" t="n"/>
      <c r="P845" s="845" t="n"/>
      <c r="Q845" s="845" t="n"/>
      <c r="R845" s="845" t="n"/>
      <c r="S845" s="845" t="n"/>
      <c r="T845" s="845" t="n"/>
      <c r="U845" s="845" t="n"/>
      <c r="V845" s="845" t="n"/>
      <c r="W845" s="845" t="n"/>
      <c r="X845" s="845" t="n"/>
      <c r="Y845" s="845" t="n"/>
      <c r="Z845" s="845" t="n"/>
    </row>
    <row r="846" ht="13.2" customHeight="1" s="1127">
      <c r="A846" s="845" t="n"/>
      <c r="B846" s="845" t="n"/>
      <c r="C846" s="845" t="n"/>
      <c r="D846" s="845" t="n"/>
      <c r="E846" s="845" t="n"/>
      <c r="F846" s="845" t="n"/>
      <c r="G846" s="879" t="n"/>
      <c r="H846" s="845" t="n"/>
      <c r="I846" s="845" t="n"/>
      <c r="J846" s="845" t="n"/>
      <c r="K846" s="845" t="n"/>
      <c r="L846" s="845" t="n"/>
      <c r="M846" s="845" t="n"/>
      <c r="N846" s="845" t="n"/>
      <c r="O846" s="845" t="n"/>
      <c r="P846" s="845" t="n"/>
      <c r="Q846" s="845" t="n"/>
      <c r="R846" s="845" t="n"/>
      <c r="S846" s="845" t="n"/>
      <c r="T846" s="845" t="n"/>
      <c r="U846" s="845" t="n"/>
      <c r="V846" s="845" t="n"/>
      <c r="W846" s="845" t="n"/>
      <c r="X846" s="845" t="n"/>
      <c r="Y846" s="845" t="n"/>
      <c r="Z846" s="845" t="n"/>
    </row>
    <row r="847" ht="13.2" customHeight="1" s="1127">
      <c r="A847" s="845" t="n"/>
      <c r="B847" s="845" t="n"/>
      <c r="C847" s="845" t="n"/>
      <c r="D847" s="845" t="n"/>
      <c r="E847" s="845" t="n"/>
      <c r="F847" s="845" t="n"/>
      <c r="G847" s="879" t="n"/>
      <c r="H847" s="845" t="n"/>
      <c r="I847" s="845" t="n"/>
      <c r="J847" s="845" t="n"/>
      <c r="K847" s="845" t="n"/>
      <c r="L847" s="845" t="n"/>
      <c r="M847" s="845" t="n"/>
      <c r="N847" s="845" t="n"/>
      <c r="O847" s="845" t="n"/>
      <c r="P847" s="845" t="n"/>
      <c r="Q847" s="845" t="n"/>
      <c r="R847" s="845" t="n"/>
      <c r="S847" s="845" t="n"/>
      <c r="T847" s="845" t="n"/>
      <c r="U847" s="845" t="n"/>
      <c r="V847" s="845" t="n"/>
      <c r="W847" s="845" t="n"/>
      <c r="X847" s="845" t="n"/>
      <c r="Y847" s="845" t="n"/>
      <c r="Z847" s="845" t="n"/>
    </row>
    <row r="848" ht="13.2" customHeight="1" s="1127">
      <c r="A848" s="845" t="n"/>
      <c r="B848" s="845" t="n"/>
      <c r="C848" s="845" t="n"/>
      <c r="D848" s="845" t="n"/>
      <c r="E848" s="845" t="n"/>
      <c r="F848" s="845" t="n"/>
      <c r="G848" s="879" t="n"/>
      <c r="H848" s="845" t="n"/>
      <c r="I848" s="845" t="n"/>
      <c r="J848" s="845" t="n"/>
      <c r="K848" s="845" t="n"/>
      <c r="L848" s="845" t="n"/>
      <c r="M848" s="845" t="n"/>
      <c r="N848" s="845" t="n"/>
      <c r="O848" s="845" t="n"/>
      <c r="P848" s="845" t="n"/>
      <c r="Q848" s="845" t="n"/>
      <c r="R848" s="845" t="n"/>
      <c r="S848" s="845" t="n"/>
      <c r="T848" s="845" t="n"/>
      <c r="U848" s="845" t="n"/>
      <c r="V848" s="845" t="n"/>
      <c r="W848" s="845" t="n"/>
      <c r="X848" s="845" t="n"/>
      <c r="Y848" s="845" t="n"/>
      <c r="Z848" s="845" t="n"/>
    </row>
    <row r="849" ht="13.2" customHeight="1" s="1127">
      <c r="A849" s="845" t="n"/>
      <c r="B849" s="845" t="n"/>
      <c r="C849" s="845" t="n"/>
      <c r="D849" s="845" t="n"/>
      <c r="E849" s="845" t="n"/>
      <c r="F849" s="845" t="n"/>
      <c r="G849" s="879" t="n"/>
      <c r="H849" s="845" t="n"/>
      <c r="I849" s="845" t="n"/>
      <c r="J849" s="845" t="n"/>
      <c r="K849" s="845" t="n"/>
      <c r="L849" s="845" t="n"/>
      <c r="M849" s="845" t="n"/>
      <c r="N849" s="845" t="n"/>
      <c r="O849" s="845" t="n"/>
      <c r="P849" s="845" t="n"/>
      <c r="Q849" s="845" t="n"/>
      <c r="R849" s="845" t="n"/>
      <c r="S849" s="845" t="n"/>
      <c r="T849" s="845" t="n"/>
      <c r="U849" s="845" t="n"/>
      <c r="V849" s="845" t="n"/>
      <c r="W849" s="845" t="n"/>
      <c r="X849" s="845" t="n"/>
      <c r="Y849" s="845" t="n"/>
      <c r="Z849" s="845" t="n"/>
    </row>
    <row r="850" ht="13.2" customHeight="1" s="1127">
      <c r="A850" s="845" t="n"/>
      <c r="B850" s="845" t="n"/>
      <c r="C850" s="845" t="n"/>
      <c r="D850" s="845" t="n"/>
      <c r="E850" s="845" t="n"/>
      <c r="F850" s="845" t="n"/>
      <c r="G850" s="879" t="n"/>
      <c r="H850" s="845" t="n"/>
      <c r="I850" s="845" t="n"/>
      <c r="J850" s="845" t="n"/>
      <c r="K850" s="845" t="n"/>
      <c r="L850" s="845" t="n"/>
      <c r="M850" s="845" t="n"/>
      <c r="N850" s="845" t="n"/>
      <c r="O850" s="845" t="n"/>
      <c r="P850" s="845" t="n"/>
      <c r="Q850" s="845" t="n"/>
      <c r="R850" s="845" t="n"/>
      <c r="S850" s="845" t="n"/>
      <c r="T850" s="845" t="n"/>
      <c r="U850" s="845" t="n"/>
      <c r="V850" s="845" t="n"/>
      <c r="W850" s="845" t="n"/>
      <c r="X850" s="845" t="n"/>
      <c r="Y850" s="845" t="n"/>
      <c r="Z850" s="845" t="n"/>
    </row>
    <row r="851" ht="13.2" customHeight="1" s="1127">
      <c r="A851" s="845" t="n"/>
      <c r="B851" s="845" t="n"/>
      <c r="C851" s="845" t="n"/>
      <c r="D851" s="845" t="n"/>
      <c r="E851" s="845" t="n"/>
      <c r="F851" s="845" t="n"/>
      <c r="G851" s="879" t="n"/>
      <c r="H851" s="845" t="n"/>
      <c r="I851" s="845" t="n"/>
      <c r="J851" s="845" t="n"/>
      <c r="K851" s="845" t="n"/>
      <c r="L851" s="845" t="n"/>
      <c r="M851" s="845" t="n"/>
      <c r="N851" s="845" t="n"/>
      <c r="O851" s="845" t="n"/>
      <c r="P851" s="845" t="n"/>
      <c r="Q851" s="845" t="n"/>
      <c r="R851" s="845" t="n"/>
      <c r="S851" s="845" t="n"/>
      <c r="T851" s="845" t="n"/>
      <c r="U851" s="845" t="n"/>
      <c r="V851" s="845" t="n"/>
      <c r="W851" s="845" t="n"/>
      <c r="X851" s="845" t="n"/>
      <c r="Y851" s="845" t="n"/>
      <c r="Z851" s="845" t="n"/>
    </row>
    <row r="852" ht="13.2" customHeight="1" s="1127">
      <c r="A852" s="845" t="n"/>
      <c r="B852" s="845" t="n"/>
      <c r="C852" s="845" t="n"/>
      <c r="D852" s="845" t="n"/>
      <c r="E852" s="845" t="n"/>
      <c r="F852" s="845" t="n"/>
      <c r="G852" s="879" t="n"/>
      <c r="H852" s="845" t="n"/>
      <c r="I852" s="845" t="n"/>
      <c r="J852" s="845" t="n"/>
      <c r="K852" s="845" t="n"/>
      <c r="L852" s="845" t="n"/>
      <c r="M852" s="845" t="n"/>
      <c r="N852" s="845" t="n"/>
      <c r="O852" s="845" t="n"/>
      <c r="P852" s="845" t="n"/>
      <c r="Q852" s="845" t="n"/>
      <c r="R852" s="845" t="n"/>
      <c r="S852" s="845" t="n"/>
      <c r="T852" s="845" t="n"/>
      <c r="U852" s="845" t="n"/>
      <c r="V852" s="845" t="n"/>
      <c r="W852" s="845" t="n"/>
      <c r="X852" s="845" t="n"/>
      <c r="Y852" s="845" t="n"/>
      <c r="Z852" s="845" t="n"/>
    </row>
    <row r="853" ht="13.2" customHeight="1" s="1127">
      <c r="A853" s="845" t="n"/>
      <c r="B853" s="845" t="n"/>
      <c r="C853" s="845" t="n"/>
      <c r="D853" s="845" t="n"/>
      <c r="E853" s="845" t="n"/>
      <c r="F853" s="845" t="n"/>
      <c r="G853" s="879" t="n"/>
      <c r="H853" s="845" t="n"/>
      <c r="I853" s="845" t="n"/>
      <c r="J853" s="845" t="n"/>
      <c r="K853" s="845" t="n"/>
      <c r="L853" s="845" t="n"/>
      <c r="M853" s="845" t="n"/>
      <c r="N853" s="845" t="n"/>
      <c r="O853" s="845" t="n"/>
      <c r="P853" s="845" t="n"/>
      <c r="Q853" s="845" t="n"/>
      <c r="R853" s="845" t="n"/>
      <c r="S853" s="845" t="n"/>
      <c r="T853" s="845" t="n"/>
      <c r="U853" s="845" t="n"/>
      <c r="V853" s="845" t="n"/>
      <c r="W853" s="845" t="n"/>
      <c r="X853" s="845" t="n"/>
      <c r="Y853" s="845" t="n"/>
      <c r="Z853" s="845" t="n"/>
    </row>
    <row r="854" ht="13.2" customHeight="1" s="1127">
      <c r="A854" s="845" t="n"/>
      <c r="B854" s="845" t="n"/>
      <c r="C854" s="845" t="n"/>
      <c r="D854" s="845" t="n"/>
      <c r="E854" s="845" t="n"/>
      <c r="F854" s="845" t="n"/>
      <c r="G854" s="879" t="n"/>
      <c r="H854" s="845" t="n"/>
      <c r="I854" s="845" t="n"/>
      <c r="J854" s="845" t="n"/>
      <c r="K854" s="845" t="n"/>
      <c r="L854" s="845" t="n"/>
      <c r="M854" s="845" t="n"/>
      <c r="N854" s="845" t="n"/>
      <c r="O854" s="845" t="n"/>
      <c r="P854" s="845" t="n"/>
      <c r="Q854" s="845" t="n"/>
      <c r="R854" s="845" t="n"/>
      <c r="S854" s="845" t="n"/>
      <c r="T854" s="845" t="n"/>
      <c r="U854" s="845" t="n"/>
      <c r="V854" s="845" t="n"/>
      <c r="W854" s="845" t="n"/>
      <c r="X854" s="845" t="n"/>
      <c r="Y854" s="845" t="n"/>
      <c r="Z854" s="845" t="n"/>
    </row>
    <row r="855" ht="13.2" customHeight="1" s="1127">
      <c r="A855" s="845" t="n"/>
      <c r="B855" s="845" t="n"/>
      <c r="C855" s="845" t="n"/>
      <c r="D855" s="845" t="n"/>
      <c r="E855" s="845" t="n"/>
      <c r="F855" s="845" t="n"/>
      <c r="G855" s="879" t="n"/>
      <c r="H855" s="845" t="n"/>
      <c r="I855" s="845" t="n"/>
      <c r="J855" s="845" t="n"/>
      <c r="K855" s="845" t="n"/>
      <c r="L855" s="845" t="n"/>
      <c r="M855" s="845" t="n"/>
      <c r="N855" s="845" t="n"/>
      <c r="O855" s="845" t="n"/>
      <c r="P855" s="845" t="n"/>
      <c r="Q855" s="845" t="n"/>
      <c r="R855" s="845" t="n"/>
      <c r="S855" s="845" t="n"/>
      <c r="T855" s="845" t="n"/>
      <c r="U855" s="845" t="n"/>
      <c r="V855" s="845" t="n"/>
      <c r="W855" s="845" t="n"/>
      <c r="X855" s="845" t="n"/>
      <c r="Y855" s="845" t="n"/>
      <c r="Z855" s="845" t="n"/>
    </row>
    <row r="856" ht="13.2" customHeight="1" s="1127">
      <c r="A856" s="845" t="n"/>
      <c r="B856" s="845" t="n"/>
      <c r="C856" s="845" t="n"/>
      <c r="D856" s="845" t="n"/>
      <c r="E856" s="845" t="n"/>
      <c r="F856" s="845" t="n"/>
      <c r="G856" s="879" t="n"/>
      <c r="H856" s="845" t="n"/>
      <c r="I856" s="845" t="n"/>
      <c r="J856" s="845" t="n"/>
      <c r="K856" s="845" t="n"/>
      <c r="L856" s="845" t="n"/>
      <c r="M856" s="845" t="n"/>
      <c r="N856" s="845" t="n"/>
      <c r="O856" s="845" t="n"/>
      <c r="P856" s="845" t="n"/>
      <c r="Q856" s="845" t="n"/>
      <c r="R856" s="845" t="n"/>
      <c r="S856" s="845" t="n"/>
      <c r="T856" s="845" t="n"/>
      <c r="U856" s="845" t="n"/>
      <c r="V856" s="845" t="n"/>
      <c r="W856" s="845" t="n"/>
      <c r="X856" s="845" t="n"/>
      <c r="Y856" s="845" t="n"/>
      <c r="Z856" s="845" t="n"/>
    </row>
    <row r="857" ht="13.2" customHeight="1" s="1127">
      <c r="A857" s="845" t="n"/>
      <c r="B857" s="845" t="n"/>
      <c r="C857" s="845" t="n"/>
      <c r="D857" s="845" t="n"/>
      <c r="E857" s="845" t="n"/>
      <c r="F857" s="845" t="n"/>
      <c r="G857" s="879" t="n"/>
      <c r="H857" s="845" t="n"/>
      <c r="I857" s="845" t="n"/>
      <c r="J857" s="845" t="n"/>
      <c r="K857" s="845" t="n"/>
      <c r="L857" s="845" t="n"/>
      <c r="M857" s="845" t="n"/>
      <c r="N857" s="845" t="n"/>
      <c r="O857" s="845" t="n"/>
      <c r="P857" s="845" t="n"/>
      <c r="Q857" s="845" t="n"/>
      <c r="R857" s="845" t="n"/>
      <c r="S857" s="845" t="n"/>
      <c r="T857" s="845" t="n"/>
      <c r="U857" s="845" t="n"/>
      <c r="V857" s="845" t="n"/>
      <c r="W857" s="845" t="n"/>
      <c r="X857" s="845" t="n"/>
      <c r="Y857" s="845" t="n"/>
      <c r="Z857" s="845" t="n"/>
    </row>
    <row r="858" ht="13.2" customHeight="1" s="1127">
      <c r="A858" s="845" t="n"/>
      <c r="B858" s="845" t="n"/>
      <c r="C858" s="845" t="n"/>
      <c r="D858" s="845" t="n"/>
      <c r="E858" s="845" t="n"/>
      <c r="F858" s="845" t="n"/>
      <c r="G858" s="879" t="n"/>
      <c r="H858" s="845" t="n"/>
      <c r="I858" s="845" t="n"/>
      <c r="J858" s="845" t="n"/>
      <c r="K858" s="845" t="n"/>
      <c r="L858" s="845" t="n"/>
      <c r="M858" s="845" t="n"/>
      <c r="N858" s="845" t="n"/>
      <c r="O858" s="845" t="n"/>
      <c r="P858" s="845" t="n"/>
      <c r="Q858" s="845" t="n"/>
      <c r="R858" s="845" t="n"/>
      <c r="S858" s="845" t="n"/>
      <c r="T858" s="845" t="n"/>
      <c r="U858" s="845" t="n"/>
      <c r="V858" s="845" t="n"/>
      <c r="W858" s="845" t="n"/>
      <c r="X858" s="845" t="n"/>
      <c r="Y858" s="845" t="n"/>
      <c r="Z858" s="845" t="n"/>
    </row>
    <row r="859" ht="13.2" customHeight="1" s="1127">
      <c r="A859" s="845" t="n"/>
      <c r="B859" s="845" t="n"/>
      <c r="C859" s="845" t="n"/>
      <c r="D859" s="845" t="n"/>
      <c r="E859" s="845" t="n"/>
      <c r="F859" s="845" t="n"/>
      <c r="G859" s="879" t="n"/>
      <c r="H859" s="845" t="n"/>
      <c r="I859" s="845" t="n"/>
      <c r="J859" s="845" t="n"/>
      <c r="K859" s="845" t="n"/>
      <c r="L859" s="845" t="n"/>
      <c r="M859" s="845" t="n"/>
      <c r="N859" s="845" t="n"/>
      <c r="O859" s="845" t="n"/>
      <c r="P859" s="845" t="n"/>
      <c r="Q859" s="845" t="n"/>
      <c r="R859" s="845" t="n"/>
      <c r="S859" s="845" t="n"/>
      <c r="T859" s="845" t="n"/>
      <c r="U859" s="845" t="n"/>
      <c r="V859" s="845" t="n"/>
      <c r="W859" s="845" t="n"/>
      <c r="X859" s="845" t="n"/>
      <c r="Y859" s="845" t="n"/>
      <c r="Z859" s="845" t="n"/>
    </row>
    <row r="860" ht="13.2" customHeight="1" s="1127">
      <c r="A860" s="845" t="n"/>
      <c r="B860" s="845" t="n"/>
      <c r="C860" s="845" t="n"/>
      <c r="D860" s="845" t="n"/>
      <c r="E860" s="845" t="n"/>
      <c r="F860" s="845" t="n"/>
      <c r="G860" s="879" t="n"/>
      <c r="H860" s="845" t="n"/>
      <c r="I860" s="845" t="n"/>
      <c r="J860" s="845" t="n"/>
      <c r="K860" s="845" t="n"/>
      <c r="L860" s="845" t="n"/>
      <c r="M860" s="845" t="n"/>
      <c r="N860" s="845" t="n"/>
      <c r="O860" s="845" t="n"/>
      <c r="P860" s="845" t="n"/>
      <c r="Q860" s="845" t="n"/>
      <c r="R860" s="845" t="n"/>
      <c r="S860" s="845" t="n"/>
      <c r="T860" s="845" t="n"/>
      <c r="U860" s="845" t="n"/>
      <c r="V860" s="845" t="n"/>
      <c r="W860" s="845" t="n"/>
      <c r="X860" s="845" t="n"/>
      <c r="Y860" s="845" t="n"/>
      <c r="Z860" s="845" t="n"/>
    </row>
    <row r="861" ht="13.2" customHeight="1" s="1127">
      <c r="A861" s="845" t="n"/>
      <c r="B861" s="845" t="n"/>
      <c r="C861" s="845" t="n"/>
      <c r="D861" s="845" t="n"/>
      <c r="E861" s="845" t="n"/>
      <c r="F861" s="845" t="n"/>
      <c r="G861" s="879" t="n"/>
      <c r="H861" s="845" t="n"/>
      <c r="I861" s="845" t="n"/>
      <c r="J861" s="845" t="n"/>
      <c r="K861" s="845" t="n"/>
      <c r="L861" s="845" t="n"/>
      <c r="M861" s="845" t="n"/>
      <c r="N861" s="845" t="n"/>
      <c r="O861" s="845" t="n"/>
      <c r="P861" s="845" t="n"/>
      <c r="Q861" s="845" t="n"/>
      <c r="R861" s="845" t="n"/>
      <c r="S861" s="845" t="n"/>
      <c r="T861" s="845" t="n"/>
      <c r="U861" s="845" t="n"/>
      <c r="V861" s="845" t="n"/>
      <c r="W861" s="845" t="n"/>
      <c r="X861" s="845" t="n"/>
      <c r="Y861" s="845" t="n"/>
      <c r="Z861" s="845" t="n"/>
    </row>
    <row r="862" ht="13.2" customHeight="1" s="1127">
      <c r="A862" s="845" t="n"/>
      <c r="B862" s="845" t="n"/>
      <c r="C862" s="845" t="n"/>
      <c r="D862" s="845" t="n"/>
      <c r="E862" s="845" t="n"/>
      <c r="F862" s="845" t="n"/>
      <c r="G862" s="879" t="n"/>
      <c r="H862" s="845" t="n"/>
      <c r="I862" s="845" t="n"/>
      <c r="J862" s="845" t="n"/>
      <c r="K862" s="845" t="n"/>
      <c r="L862" s="845" t="n"/>
      <c r="M862" s="845" t="n"/>
      <c r="N862" s="845" t="n"/>
      <c r="O862" s="845" t="n"/>
      <c r="P862" s="845" t="n"/>
      <c r="Q862" s="845" t="n"/>
      <c r="R862" s="845" t="n"/>
      <c r="S862" s="845" t="n"/>
      <c r="T862" s="845" t="n"/>
      <c r="U862" s="845" t="n"/>
      <c r="V862" s="845" t="n"/>
      <c r="W862" s="845" t="n"/>
      <c r="X862" s="845" t="n"/>
      <c r="Y862" s="845" t="n"/>
      <c r="Z862" s="845" t="n"/>
    </row>
    <row r="863" ht="13.2" customHeight="1" s="1127">
      <c r="A863" s="845" t="n"/>
      <c r="B863" s="845" t="n"/>
      <c r="C863" s="845" t="n"/>
      <c r="D863" s="845" t="n"/>
      <c r="E863" s="845" t="n"/>
      <c r="F863" s="845" t="n"/>
      <c r="G863" s="879" t="n"/>
      <c r="H863" s="845" t="n"/>
      <c r="I863" s="845" t="n"/>
      <c r="J863" s="845" t="n"/>
      <c r="K863" s="845" t="n"/>
      <c r="L863" s="845" t="n"/>
      <c r="M863" s="845" t="n"/>
      <c r="N863" s="845" t="n"/>
      <c r="O863" s="845" t="n"/>
      <c r="P863" s="845" t="n"/>
      <c r="Q863" s="845" t="n"/>
      <c r="R863" s="845" t="n"/>
      <c r="S863" s="845" t="n"/>
      <c r="T863" s="845" t="n"/>
      <c r="U863" s="845" t="n"/>
      <c r="V863" s="845" t="n"/>
      <c r="W863" s="845" t="n"/>
      <c r="X863" s="845" t="n"/>
      <c r="Y863" s="845" t="n"/>
      <c r="Z863" s="845" t="n"/>
    </row>
    <row r="864" ht="13.2" customHeight="1" s="1127">
      <c r="A864" s="845" t="n"/>
      <c r="B864" s="845" t="n"/>
      <c r="C864" s="845" t="n"/>
      <c r="D864" s="845" t="n"/>
      <c r="E864" s="845" t="n"/>
      <c r="F864" s="845" t="n"/>
      <c r="G864" s="879" t="n"/>
      <c r="H864" s="845" t="n"/>
      <c r="I864" s="845" t="n"/>
      <c r="J864" s="845" t="n"/>
      <c r="K864" s="845" t="n"/>
      <c r="L864" s="845" t="n"/>
      <c r="M864" s="845" t="n"/>
      <c r="N864" s="845" t="n"/>
      <c r="O864" s="845" t="n"/>
      <c r="P864" s="845" t="n"/>
      <c r="Q864" s="845" t="n"/>
      <c r="R864" s="845" t="n"/>
      <c r="S864" s="845" t="n"/>
      <c r="T864" s="845" t="n"/>
      <c r="U864" s="845" t="n"/>
      <c r="V864" s="845" t="n"/>
      <c r="W864" s="845" t="n"/>
      <c r="X864" s="845" t="n"/>
      <c r="Y864" s="845" t="n"/>
      <c r="Z864" s="845" t="n"/>
    </row>
    <row r="865" ht="13.2" customHeight="1" s="1127">
      <c r="A865" s="845" t="n"/>
      <c r="B865" s="845" t="n"/>
      <c r="C865" s="845" t="n"/>
      <c r="D865" s="845" t="n"/>
      <c r="E865" s="845" t="n"/>
      <c r="F865" s="845" t="n"/>
      <c r="G865" s="879" t="n"/>
      <c r="H865" s="845" t="n"/>
      <c r="I865" s="845" t="n"/>
      <c r="J865" s="845" t="n"/>
      <c r="K865" s="845" t="n"/>
      <c r="L865" s="845" t="n"/>
      <c r="M865" s="845" t="n"/>
      <c r="N865" s="845" t="n"/>
      <c r="O865" s="845" t="n"/>
      <c r="P865" s="845" t="n"/>
      <c r="Q865" s="845" t="n"/>
      <c r="R865" s="845" t="n"/>
      <c r="S865" s="845" t="n"/>
      <c r="T865" s="845" t="n"/>
      <c r="U865" s="845" t="n"/>
      <c r="V865" s="845" t="n"/>
      <c r="W865" s="845" t="n"/>
      <c r="X865" s="845" t="n"/>
      <c r="Y865" s="845" t="n"/>
      <c r="Z865" s="845" t="n"/>
    </row>
    <row r="866" ht="13.2" customHeight="1" s="1127">
      <c r="A866" s="845" t="n"/>
      <c r="B866" s="845" t="n"/>
      <c r="C866" s="845" t="n"/>
      <c r="D866" s="845" t="n"/>
      <c r="E866" s="845" t="n"/>
      <c r="F866" s="845" t="n"/>
      <c r="G866" s="879" t="n"/>
      <c r="H866" s="845" t="n"/>
      <c r="I866" s="845" t="n"/>
      <c r="J866" s="845" t="n"/>
      <c r="K866" s="845" t="n"/>
      <c r="L866" s="845" t="n"/>
      <c r="M866" s="845" t="n"/>
      <c r="N866" s="845" t="n"/>
      <c r="O866" s="845" t="n"/>
      <c r="P866" s="845" t="n"/>
      <c r="Q866" s="845" t="n"/>
      <c r="R866" s="845" t="n"/>
      <c r="S866" s="845" t="n"/>
      <c r="T866" s="845" t="n"/>
      <c r="U866" s="845" t="n"/>
      <c r="V866" s="845" t="n"/>
      <c r="W866" s="845" t="n"/>
      <c r="X866" s="845" t="n"/>
      <c r="Y866" s="845" t="n"/>
      <c r="Z866" s="845" t="n"/>
    </row>
    <row r="867" ht="13.2" customHeight="1" s="1127">
      <c r="A867" s="845" t="n"/>
      <c r="B867" s="845" t="n"/>
      <c r="C867" s="845" t="n"/>
      <c r="D867" s="845" t="n"/>
      <c r="E867" s="845" t="n"/>
      <c r="F867" s="845" t="n"/>
      <c r="G867" s="879" t="n"/>
      <c r="H867" s="845" t="n"/>
      <c r="I867" s="845" t="n"/>
      <c r="J867" s="845" t="n"/>
      <c r="K867" s="845" t="n"/>
      <c r="L867" s="845" t="n"/>
      <c r="M867" s="845" t="n"/>
      <c r="N867" s="845" t="n"/>
      <c r="O867" s="845" t="n"/>
      <c r="P867" s="845" t="n"/>
      <c r="Q867" s="845" t="n"/>
      <c r="R867" s="845" t="n"/>
      <c r="S867" s="845" t="n"/>
      <c r="T867" s="845" t="n"/>
      <c r="U867" s="845" t="n"/>
      <c r="V867" s="845" t="n"/>
      <c r="W867" s="845" t="n"/>
      <c r="X867" s="845" t="n"/>
      <c r="Y867" s="845" t="n"/>
      <c r="Z867" s="845" t="n"/>
    </row>
    <row r="868" ht="13.2" customHeight="1" s="1127">
      <c r="A868" s="845" t="n"/>
      <c r="B868" s="845" t="n"/>
      <c r="C868" s="845" t="n"/>
      <c r="D868" s="845" t="n"/>
      <c r="E868" s="845" t="n"/>
      <c r="F868" s="845" t="n"/>
      <c r="G868" s="879" t="n"/>
      <c r="H868" s="845" t="n"/>
      <c r="I868" s="845" t="n"/>
      <c r="J868" s="845" t="n"/>
      <c r="K868" s="845" t="n"/>
      <c r="L868" s="845" t="n"/>
      <c r="M868" s="845" t="n"/>
      <c r="N868" s="845" t="n"/>
      <c r="O868" s="845" t="n"/>
      <c r="P868" s="845" t="n"/>
      <c r="Q868" s="845" t="n"/>
      <c r="R868" s="845" t="n"/>
      <c r="S868" s="845" t="n"/>
      <c r="T868" s="845" t="n"/>
      <c r="U868" s="845" t="n"/>
      <c r="V868" s="845" t="n"/>
      <c r="W868" s="845" t="n"/>
      <c r="X868" s="845" t="n"/>
      <c r="Y868" s="845" t="n"/>
      <c r="Z868" s="845" t="n"/>
    </row>
    <row r="869" ht="13.2" customHeight="1" s="1127">
      <c r="A869" s="845" t="n"/>
      <c r="B869" s="845" t="n"/>
      <c r="C869" s="845" t="n"/>
      <c r="D869" s="845" t="n"/>
      <c r="E869" s="845" t="n"/>
      <c r="F869" s="845" t="n"/>
      <c r="G869" s="879" t="n"/>
      <c r="H869" s="845" t="n"/>
      <c r="I869" s="845" t="n"/>
      <c r="J869" s="845" t="n"/>
      <c r="K869" s="845" t="n"/>
      <c r="L869" s="845" t="n"/>
      <c r="M869" s="845" t="n"/>
      <c r="N869" s="845" t="n"/>
      <c r="O869" s="845" t="n"/>
      <c r="P869" s="845" t="n"/>
      <c r="Q869" s="845" t="n"/>
      <c r="R869" s="845" t="n"/>
      <c r="S869" s="845" t="n"/>
      <c r="T869" s="845" t="n"/>
      <c r="U869" s="845" t="n"/>
      <c r="V869" s="845" t="n"/>
      <c r="W869" s="845" t="n"/>
      <c r="X869" s="845" t="n"/>
      <c r="Y869" s="845" t="n"/>
      <c r="Z869" s="845" t="n"/>
    </row>
    <row r="870" ht="13.2" customHeight="1" s="1127">
      <c r="A870" s="845" t="n"/>
      <c r="B870" s="845" t="n"/>
      <c r="C870" s="845" t="n"/>
      <c r="D870" s="845" t="n"/>
      <c r="E870" s="845" t="n"/>
      <c r="F870" s="845" t="n"/>
      <c r="G870" s="879" t="n"/>
      <c r="H870" s="845" t="n"/>
      <c r="I870" s="845" t="n"/>
      <c r="J870" s="845" t="n"/>
      <c r="K870" s="845" t="n"/>
      <c r="L870" s="845" t="n"/>
      <c r="M870" s="845" t="n"/>
      <c r="N870" s="845" t="n"/>
      <c r="O870" s="845" t="n"/>
      <c r="P870" s="845" t="n"/>
      <c r="Q870" s="845" t="n"/>
      <c r="R870" s="845" t="n"/>
      <c r="S870" s="845" t="n"/>
      <c r="T870" s="845" t="n"/>
      <c r="U870" s="845" t="n"/>
      <c r="V870" s="845" t="n"/>
      <c r="W870" s="845" t="n"/>
      <c r="X870" s="845" t="n"/>
      <c r="Y870" s="845" t="n"/>
      <c r="Z870" s="845" t="n"/>
    </row>
    <row r="871" ht="13.2" customHeight="1" s="1127">
      <c r="A871" s="845" t="n"/>
      <c r="B871" s="845" t="n"/>
      <c r="C871" s="845" t="n"/>
      <c r="D871" s="845" t="n"/>
      <c r="E871" s="845" t="n"/>
      <c r="F871" s="845" t="n"/>
      <c r="G871" s="879" t="n"/>
      <c r="H871" s="845" t="n"/>
      <c r="I871" s="845" t="n"/>
      <c r="J871" s="845" t="n"/>
      <c r="K871" s="845" t="n"/>
      <c r="L871" s="845" t="n"/>
      <c r="M871" s="845" t="n"/>
      <c r="N871" s="845" t="n"/>
      <c r="O871" s="845" t="n"/>
      <c r="P871" s="845" t="n"/>
      <c r="Q871" s="845" t="n"/>
      <c r="R871" s="845" t="n"/>
      <c r="S871" s="845" t="n"/>
      <c r="T871" s="845" t="n"/>
      <c r="U871" s="845" t="n"/>
      <c r="V871" s="845" t="n"/>
      <c r="W871" s="845" t="n"/>
      <c r="X871" s="845" t="n"/>
      <c r="Y871" s="845" t="n"/>
      <c r="Z871" s="845" t="n"/>
    </row>
    <row r="872" ht="13.2" customHeight="1" s="1127">
      <c r="A872" s="845" t="n"/>
      <c r="B872" s="845" t="n"/>
      <c r="C872" s="845" t="n"/>
      <c r="D872" s="845" t="n"/>
      <c r="E872" s="845" t="n"/>
      <c r="F872" s="845" t="n"/>
      <c r="G872" s="879" t="n"/>
      <c r="H872" s="845" t="n"/>
      <c r="I872" s="845" t="n"/>
      <c r="J872" s="845" t="n"/>
      <c r="K872" s="845" t="n"/>
      <c r="L872" s="845" t="n"/>
      <c r="M872" s="845" t="n"/>
      <c r="N872" s="845" t="n"/>
      <c r="O872" s="845" t="n"/>
      <c r="P872" s="845" t="n"/>
      <c r="Q872" s="845" t="n"/>
      <c r="R872" s="845" t="n"/>
      <c r="S872" s="845" t="n"/>
      <c r="T872" s="845" t="n"/>
      <c r="U872" s="845" t="n"/>
      <c r="V872" s="845" t="n"/>
      <c r="W872" s="845" t="n"/>
      <c r="X872" s="845" t="n"/>
      <c r="Y872" s="845" t="n"/>
      <c r="Z872" s="845" t="n"/>
    </row>
    <row r="873" ht="13.2" customHeight="1" s="1127">
      <c r="A873" s="845" t="n"/>
      <c r="B873" s="845" t="n"/>
      <c r="C873" s="845" t="n"/>
      <c r="D873" s="845" t="n"/>
      <c r="E873" s="845" t="n"/>
      <c r="F873" s="845" t="n"/>
      <c r="G873" s="879" t="n"/>
      <c r="H873" s="845" t="n"/>
      <c r="I873" s="845" t="n"/>
      <c r="J873" s="845" t="n"/>
      <c r="K873" s="845" t="n"/>
      <c r="L873" s="845" t="n"/>
      <c r="M873" s="845" t="n"/>
      <c r="N873" s="845" t="n"/>
      <c r="O873" s="845" t="n"/>
      <c r="P873" s="845" t="n"/>
      <c r="Q873" s="845" t="n"/>
      <c r="R873" s="845" t="n"/>
      <c r="S873" s="845" t="n"/>
      <c r="T873" s="845" t="n"/>
      <c r="U873" s="845" t="n"/>
      <c r="V873" s="845" t="n"/>
      <c r="W873" s="845" t="n"/>
      <c r="X873" s="845" t="n"/>
      <c r="Y873" s="845" t="n"/>
      <c r="Z873" s="845" t="n"/>
    </row>
    <row r="874" ht="13.2" customHeight="1" s="1127">
      <c r="A874" s="845" t="n"/>
      <c r="B874" s="845" t="n"/>
      <c r="C874" s="845" t="n"/>
      <c r="D874" s="845" t="n"/>
      <c r="E874" s="845" t="n"/>
      <c r="F874" s="845" t="n"/>
      <c r="G874" s="879" t="n"/>
      <c r="H874" s="845" t="n"/>
      <c r="I874" s="845" t="n"/>
      <c r="J874" s="845" t="n"/>
      <c r="K874" s="845" t="n"/>
      <c r="L874" s="845" t="n"/>
      <c r="M874" s="845" t="n"/>
      <c r="N874" s="845" t="n"/>
      <c r="O874" s="845" t="n"/>
      <c r="P874" s="845" t="n"/>
      <c r="Q874" s="845" t="n"/>
      <c r="R874" s="845" t="n"/>
      <c r="S874" s="845" t="n"/>
      <c r="T874" s="845" t="n"/>
      <c r="U874" s="845" t="n"/>
      <c r="V874" s="845" t="n"/>
      <c r="W874" s="845" t="n"/>
      <c r="X874" s="845" t="n"/>
      <c r="Y874" s="845" t="n"/>
      <c r="Z874" s="845" t="n"/>
    </row>
    <row r="875" ht="13.2" customHeight="1" s="1127">
      <c r="A875" s="845" t="n"/>
      <c r="B875" s="845" t="n"/>
      <c r="C875" s="845" t="n"/>
      <c r="D875" s="845" t="n"/>
      <c r="E875" s="845" t="n"/>
      <c r="F875" s="845" t="n"/>
      <c r="G875" s="879" t="n"/>
      <c r="H875" s="845" t="n"/>
      <c r="I875" s="845" t="n"/>
      <c r="J875" s="845" t="n"/>
      <c r="K875" s="845" t="n"/>
      <c r="L875" s="845" t="n"/>
      <c r="M875" s="845" t="n"/>
      <c r="N875" s="845" t="n"/>
      <c r="O875" s="845" t="n"/>
      <c r="P875" s="845" t="n"/>
      <c r="Q875" s="845" t="n"/>
      <c r="R875" s="845" t="n"/>
      <c r="S875" s="845" t="n"/>
      <c r="T875" s="845" t="n"/>
      <c r="U875" s="845" t="n"/>
      <c r="V875" s="845" t="n"/>
      <c r="W875" s="845" t="n"/>
      <c r="X875" s="845" t="n"/>
      <c r="Y875" s="845" t="n"/>
      <c r="Z875" s="845" t="n"/>
    </row>
    <row r="876" ht="13.2" customHeight="1" s="1127">
      <c r="A876" s="845" t="n"/>
      <c r="B876" s="845" t="n"/>
      <c r="C876" s="845" t="n"/>
      <c r="D876" s="845" t="n"/>
      <c r="E876" s="845" t="n"/>
      <c r="F876" s="845" t="n"/>
      <c r="G876" s="879" t="n"/>
      <c r="H876" s="845" t="n"/>
      <c r="I876" s="845" t="n"/>
      <c r="J876" s="845" t="n"/>
      <c r="K876" s="845" t="n"/>
      <c r="L876" s="845" t="n"/>
      <c r="M876" s="845" t="n"/>
      <c r="N876" s="845" t="n"/>
      <c r="O876" s="845" t="n"/>
      <c r="P876" s="845" t="n"/>
      <c r="Q876" s="845" t="n"/>
      <c r="R876" s="845" t="n"/>
      <c r="S876" s="845" t="n"/>
      <c r="T876" s="845" t="n"/>
      <c r="U876" s="845" t="n"/>
      <c r="V876" s="845" t="n"/>
      <c r="W876" s="845" t="n"/>
      <c r="X876" s="845" t="n"/>
      <c r="Y876" s="845" t="n"/>
      <c r="Z876" s="845" t="n"/>
    </row>
    <row r="877" ht="13.2" customHeight="1" s="1127">
      <c r="A877" s="845" t="n"/>
      <c r="B877" s="845" t="n"/>
      <c r="C877" s="845" t="n"/>
      <c r="D877" s="845" t="n"/>
      <c r="E877" s="845" t="n"/>
      <c r="F877" s="845" t="n"/>
      <c r="G877" s="879" t="n"/>
      <c r="H877" s="845" t="n"/>
      <c r="I877" s="845" t="n"/>
      <c r="J877" s="845" t="n"/>
      <c r="K877" s="845" t="n"/>
      <c r="L877" s="845" t="n"/>
      <c r="M877" s="845" t="n"/>
      <c r="N877" s="845" t="n"/>
      <c r="O877" s="845" t="n"/>
      <c r="P877" s="845" t="n"/>
      <c r="Q877" s="845" t="n"/>
      <c r="R877" s="845" t="n"/>
      <c r="S877" s="845" t="n"/>
      <c r="T877" s="845" t="n"/>
      <c r="U877" s="845" t="n"/>
      <c r="V877" s="845" t="n"/>
      <c r="W877" s="845" t="n"/>
      <c r="X877" s="845" t="n"/>
      <c r="Y877" s="845" t="n"/>
      <c r="Z877" s="845" t="n"/>
    </row>
    <row r="878" ht="13.2" customHeight="1" s="1127">
      <c r="A878" s="845" t="n"/>
      <c r="B878" s="845" t="n"/>
      <c r="C878" s="845" t="n"/>
      <c r="D878" s="845" t="n"/>
      <c r="E878" s="845" t="n"/>
      <c r="F878" s="845" t="n"/>
      <c r="G878" s="879" t="n"/>
      <c r="H878" s="845" t="n"/>
      <c r="I878" s="845" t="n"/>
      <c r="J878" s="845" t="n"/>
      <c r="K878" s="845" t="n"/>
      <c r="L878" s="845" t="n"/>
      <c r="M878" s="845" t="n"/>
      <c r="N878" s="845" t="n"/>
      <c r="O878" s="845" t="n"/>
      <c r="P878" s="845" t="n"/>
      <c r="Q878" s="845" t="n"/>
      <c r="R878" s="845" t="n"/>
      <c r="S878" s="845" t="n"/>
      <c r="T878" s="845" t="n"/>
      <c r="U878" s="845" t="n"/>
      <c r="V878" s="845" t="n"/>
      <c r="W878" s="845" t="n"/>
      <c r="X878" s="845" t="n"/>
      <c r="Y878" s="845" t="n"/>
      <c r="Z878" s="845" t="n"/>
    </row>
    <row r="879" ht="13.2" customHeight="1" s="1127">
      <c r="A879" s="845" t="n"/>
      <c r="B879" s="845" t="n"/>
      <c r="C879" s="845" t="n"/>
      <c r="D879" s="845" t="n"/>
      <c r="E879" s="845" t="n"/>
      <c r="F879" s="845" t="n"/>
      <c r="G879" s="879" t="n"/>
      <c r="H879" s="845" t="n"/>
      <c r="I879" s="845" t="n"/>
      <c r="J879" s="845" t="n"/>
      <c r="K879" s="845" t="n"/>
      <c r="L879" s="845" t="n"/>
      <c r="M879" s="845" t="n"/>
      <c r="N879" s="845" t="n"/>
      <c r="O879" s="845" t="n"/>
      <c r="P879" s="845" t="n"/>
      <c r="Q879" s="845" t="n"/>
      <c r="R879" s="845" t="n"/>
      <c r="S879" s="845" t="n"/>
      <c r="T879" s="845" t="n"/>
      <c r="U879" s="845" t="n"/>
      <c r="V879" s="845" t="n"/>
      <c r="W879" s="845" t="n"/>
      <c r="X879" s="845" t="n"/>
      <c r="Y879" s="845" t="n"/>
      <c r="Z879" s="845" t="n"/>
    </row>
    <row r="880" ht="13.2" customHeight="1" s="1127">
      <c r="A880" s="845" t="n"/>
      <c r="B880" s="845" t="n"/>
      <c r="C880" s="845" t="n"/>
      <c r="D880" s="845" t="n"/>
      <c r="E880" s="845" t="n"/>
      <c r="F880" s="845" t="n"/>
      <c r="G880" s="879" t="n"/>
      <c r="H880" s="845" t="n"/>
      <c r="I880" s="845" t="n"/>
      <c r="J880" s="845" t="n"/>
      <c r="K880" s="845" t="n"/>
      <c r="L880" s="845" t="n"/>
      <c r="M880" s="845" t="n"/>
      <c r="N880" s="845" t="n"/>
      <c r="O880" s="845" t="n"/>
      <c r="P880" s="845" t="n"/>
      <c r="Q880" s="845" t="n"/>
      <c r="R880" s="845" t="n"/>
      <c r="S880" s="845" t="n"/>
      <c r="T880" s="845" t="n"/>
      <c r="U880" s="845" t="n"/>
      <c r="V880" s="845" t="n"/>
      <c r="W880" s="845" t="n"/>
      <c r="X880" s="845" t="n"/>
      <c r="Y880" s="845" t="n"/>
      <c r="Z880" s="845" t="n"/>
    </row>
    <row r="881" ht="13.2" customHeight="1" s="1127">
      <c r="A881" s="845" t="n"/>
      <c r="B881" s="845" t="n"/>
      <c r="C881" s="845" t="n"/>
      <c r="D881" s="845" t="n"/>
      <c r="E881" s="845" t="n"/>
      <c r="F881" s="845" t="n"/>
      <c r="G881" s="879" t="n"/>
      <c r="H881" s="845" t="n"/>
      <c r="I881" s="845" t="n"/>
      <c r="J881" s="845" t="n"/>
      <c r="K881" s="845" t="n"/>
      <c r="L881" s="845" t="n"/>
      <c r="M881" s="845" t="n"/>
      <c r="N881" s="845" t="n"/>
      <c r="O881" s="845" t="n"/>
      <c r="P881" s="845" t="n"/>
      <c r="Q881" s="845" t="n"/>
      <c r="R881" s="845" t="n"/>
      <c r="S881" s="845" t="n"/>
      <c r="T881" s="845" t="n"/>
      <c r="U881" s="845" t="n"/>
      <c r="V881" s="845" t="n"/>
      <c r="W881" s="845" t="n"/>
      <c r="X881" s="845" t="n"/>
      <c r="Y881" s="845" t="n"/>
      <c r="Z881" s="845" t="n"/>
    </row>
    <row r="882" ht="13.2" customHeight="1" s="1127">
      <c r="A882" s="845" t="n"/>
      <c r="B882" s="845" t="n"/>
      <c r="C882" s="845" t="n"/>
      <c r="D882" s="845" t="n"/>
      <c r="E882" s="845" t="n"/>
      <c r="F882" s="845" t="n"/>
      <c r="G882" s="879" t="n"/>
      <c r="H882" s="845" t="n"/>
      <c r="I882" s="845" t="n"/>
      <c r="J882" s="845" t="n"/>
      <c r="K882" s="845" t="n"/>
      <c r="L882" s="845" t="n"/>
      <c r="M882" s="845" t="n"/>
      <c r="N882" s="845" t="n"/>
      <c r="O882" s="845" t="n"/>
      <c r="P882" s="845" t="n"/>
      <c r="Q882" s="845" t="n"/>
      <c r="R882" s="845" t="n"/>
      <c r="S882" s="845" t="n"/>
      <c r="T882" s="845" t="n"/>
      <c r="U882" s="845" t="n"/>
      <c r="V882" s="845" t="n"/>
      <c r="W882" s="845" t="n"/>
      <c r="X882" s="845" t="n"/>
      <c r="Y882" s="845" t="n"/>
      <c r="Z882" s="845" t="n"/>
    </row>
    <row r="883" ht="13.2" customHeight="1" s="1127">
      <c r="A883" s="845" t="n"/>
      <c r="B883" s="845" t="n"/>
      <c r="C883" s="845" t="n"/>
      <c r="D883" s="845" t="n"/>
      <c r="E883" s="845" t="n"/>
      <c r="F883" s="845" t="n"/>
      <c r="G883" s="879" t="n"/>
      <c r="H883" s="845" t="n"/>
      <c r="I883" s="845" t="n"/>
      <c r="J883" s="845" t="n"/>
      <c r="K883" s="845" t="n"/>
      <c r="L883" s="845" t="n"/>
      <c r="M883" s="845" t="n"/>
      <c r="N883" s="845" t="n"/>
      <c r="O883" s="845" t="n"/>
      <c r="P883" s="845" t="n"/>
      <c r="Q883" s="845" t="n"/>
      <c r="R883" s="845" t="n"/>
      <c r="S883" s="845" t="n"/>
      <c r="T883" s="845" t="n"/>
      <c r="U883" s="845" t="n"/>
      <c r="V883" s="845" t="n"/>
      <c r="W883" s="845" t="n"/>
      <c r="X883" s="845" t="n"/>
      <c r="Y883" s="845" t="n"/>
      <c r="Z883" s="845" t="n"/>
    </row>
    <row r="884" ht="13.2" customHeight="1" s="1127">
      <c r="A884" s="845" t="n"/>
      <c r="B884" s="845" t="n"/>
      <c r="C884" s="845" t="n"/>
      <c r="D884" s="845" t="n"/>
      <c r="E884" s="845" t="n"/>
      <c r="F884" s="845" t="n"/>
      <c r="G884" s="879" t="n"/>
      <c r="H884" s="845" t="n"/>
      <c r="I884" s="845" t="n"/>
      <c r="J884" s="845" t="n"/>
      <c r="K884" s="845" t="n"/>
      <c r="L884" s="845" t="n"/>
      <c r="M884" s="845" t="n"/>
      <c r="N884" s="845" t="n"/>
      <c r="O884" s="845" t="n"/>
      <c r="P884" s="845" t="n"/>
      <c r="Q884" s="845" t="n"/>
      <c r="R884" s="845" t="n"/>
      <c r="S884" s="845" t="n"/>
      <c r="T884" s="845" t="n"/>
      <c r="U884" s="845" t="n"/>
      <c r="V884" s="845" t="n"/>
      <c r="W884" s="845" t="n"/>
      <c r="X884" s="845" t="n"/>
      <c r="Y884" s="845" t="n"/>
      <c r="Z884" s="845" t="n"/>
    </row>
    <row r="885" ht="13.2" customHeight="1" s="1127">
      <c r="A885" s="845" t="n"/>
      <c r="B885" s="845" t="n"/>
      <c r="C885" s="845" t="n"/>
      <c r="D885" s="845" t="n"/>
      <c r="E885" s="845" t="n"/>
      <c r="F885" s="845" t="n"/>
      <c r="G885" s="879" t="n"/>
      <c r="H885" s="845" t="n"/>
      <c r="I885" s="845" t="n"/>
      <c r="J885" s="845" t="n"/>
      <c r="K885" s="845" t="n"/>
      <c r="L885" s="845" t="n"/>
      <c r="M885" s="845" t="n"/>
      <c r="N885" s="845" t="n"/>
      <c r="O885" s="845" t="n"/>
      <c r="P885" s="845" t="n"/>
      <c r="Q885" s="845" t="n"/>
      <c r="R885" s="845" t="n"/>
      <c r="S885" s="845" t="n"/>
      <c r="T885" s="845" t="n"/>
      <c r="U885" s="845" t="n"/>
      <c r="V885" s="845" t="n"/>
      <c r="W885" s="845" t="n"/>
      <c r="X885" s="845" t="n"/>
      <c r="Y885" s="845" t="n"/>
      <c r="Z885" s="845" t="n"/>
    </row>
    <row r="886" ht="13.2" customHeight="1" s="1127">
      <c r="A886" s="845" t="n"/>
      <c r="B886" s="845" t="n"/>
      <c r="C886" s="845" t="n"/>
      <c r="D886" s="845" t="n"/>
      <c r="E886" s="845" t="n"/>
      <c r="F886" s="845" t="n"/>
      <c r="G886" s="879" t="n"/>
      <c r="H886" s="845" t="n"/>
      <c r="I886" s="845" t="n"/>
      <c r="J886" s="845" t="n"/>
      <c r="K886" s="845" t="n"/>
      <c r="L886" s="845" t="n"/>
      <c r="M886" s="845" t="n"/>
      <c r="N886" s="845" t="n"/>
      <c r="O886" s="845" t="n"/>
      <c r="P886" s="845" t="n"/>
      <c r="Q886" s="845" t="n"/>
      <c r="R886" s="845" t="n"/>
      <c r="S886" s="845" t="n"/>
      <c r="T886" s="845" t="n"/>
      <c r="U886" s="845" t="n"/>
      <c r="V886" s="845" t="n"/>
      <c r="W886" s="845" t="n"/>
      <c r="X886" s="845" t="n"/>
      <c r="Y886" s="845" t="n"/>
      <c r="Z886" s="845" t="n"/>
    </row>
    <row r="887" ht="13.2" customHeight="1" s="1127">
      <c r="A887" s="845" t="n"/>
      <c r="B887" s="845" t="n"/>
      <c r="C887" s="845" t="n"/>
      <c r="D887" s="845" t="n"/>
      <c r="E887" s="845" t="n"/>
      <c r="F887" s="845" t="n"/>
      <c r="G887" s="879" t="n"/>
      <c r="H887" s="845" t="n"/>
      <c r="I887" s="845" t="n"/>
      <c r="J887" s="845" t="n"/>
      <c r="K887" s="845" t="n"/>
      <c r="L887" s="845" t="n"/>
      <c r="M887" s="845" t="n"/>
      <c r="N887" s="845" t="n"/>
      <c r="O887" s="845" t="n"/>
      <c r="P887" s="845" t="n"/>
      <c r="Q887" s="845" t="n"/>
      <c r="R887" s="845" t="n"/>
      <c r="S887" s="845" t="n"/>
      <c r="T887" s="845" t="n"/>
      <c r="U887" s="845" t="n"/>
      <c r="V887" s="845" t="n"/>
      <c r="W887" s="845" t="n"/>
      <c r="X887" s="845" t="n"/>
      <c r="Y887" s="845" t="n"/>
      <c r="Z887" s="845" t="n"/>
    </row>
    <row r="888" ht="13.2" customHeight="1" s="1127">
      <c r="A888" s="845" t="n"/>
      <c r="B888" s="845" t="n"/>
      <c r="C888" s="845" t="n"/>
      <c r="D888" s="845" t="n"/>
      <c r="E888" s="845" t="n"/>
      <c r="F888" s="845" t="n"/>
      <c r="G888" s="879" t="n"/>
      <c r="H888" s="845" t="n"/>
      <c r="I888" s="845" t="n"/>
      <c r="J888" s="845" t="n"/>
      <c r="K888" s="845" t="n"/>
      <c r="L888" s="845" t="n"/>
      <c r="M888" s="845" t="n"/>
      <c r="N888" s="845" t="n"/>
      <c r="O888" s="845" t="n"/>
      <c r="P888" s="845" t="n"/>
      <c r="Q888" s="845" t="n"/>
      <c r="R888" s="845" t="n"/>
      <c r="S888" s="845" t="n"/>
      <c r="T888" s="845" t="n"/>
      <c r="U888" s="845" t="n"/>
      <c r="V888" s="845" t="n"/>
      <c r="W888" s="845" t="n"/>
      <c r="X888" s="845" t="n"/>
      <c r="Y888" s="845" t="n"/>
      <c r="Z888" s="845" t="n"/>
    </row>
    <row r="889" ht="13.2" customHeight="1" s="1127">
      <c r="A889" s="845" t="n"/>
      <c r="B889" s="845" t="n"/>
      <c r="C889" s="845" t="n"/>
      <c r="D889" s="845" t="n"/>
      <c r="E889" s="845" t="n"/>
      <c r="F889" s="845" t="n"/>
      <c r="G889" s="879" t="n"/>
      <c r="H889" s="845" t="n"/>
      <c r="I889" s="845" t="n"/>
      <c r="J889" s="845" t="n"/>
      <c r="K889" s="845" t="n"/>
      <c r="L889" s="845" t="n"/>
      <c r="M889" s="845" t="n"/>
      <c r="N889" s="845" t="n"/>
      <c r="O889" s="845" t="n"/>
      <c r="P889" s="845" t="n"/>
      <c r="Q889" s="845" t="n"/>
      <c r="R889" s="845" t="n"/>
      <c r="S889" s="845" t="n"/>
      <c r="T889" s="845" t="n"/>
      <c r="U889" s="845" t="n"/>
      <c r="V889" s="845" t="n"/>
      <c r="W889" s="845" t="n"/>
      <c r="X889" s="845" t="n"/>
      <c r="Y889" s="845" t="n"/>
      <c r="Z889" s="845" t="n"/>
    </row>
    <row r="890" ht="13.2" customHeight="1" s="1127">
      <c r="A890" s="845" t="n"/>
      <c r="B890" s="845" t="n"/>
      <c r="C890" s="845" t="n"/>
      <c r="D890" s="845" t="n"/>
      <c r="E890" s="845" t="n"/>
      <c r="F890" s="845" t="n"/>
      <c r="G890" s="879" t="n"/>
      <c r="H890" s="845" t="n"/>
      <c r="I890" s="845" t="n"/>
      <c r="J890" s="845" t="n"/>
      <c r="K890" s="845" t="n"/>
      <c r="L890" s="845" t="n"/>
      <c r="M890" s="845" t="n"/>
      <c r="N890" s="845" t="n"/>
      <c r="O890" s="845" t="n"/>
      <c r="P890" s="845" t="n"/>
      <c r="Q890" s="845" t="n"/>
      <c r="R890" s="845" t="n"/>
      <c r="S890" s="845" t="n"/>
      <c r="T890" s="845" t="n"/>
      <c r="U890" s="845" t="n"/>
      <c r="V890" s="845" t="n"/>
      <c r="W890" s="845" t="n"/>
      <c r="X890" s="845" t="n"/>
      <c r="Y890" s="845" t="n"/>
      <c r="Z890" s="845" t="n"/>
    </row>
    <row r="891" ht="13.2" customHeight="1" s="1127">
      <c r="A891" s="845" t="n"/>
      <c r="B891" s="845" t="n"/>
      <c r="C891" s="845" t="n"/>
      <c r="D891" s="845" t="n"/>
      <c r="E891" s="845" t="n"/>
      <c r="F891" s="845" t="n"/>
      <c r="G891" s="879" t="n"/>
      <c r="H891" s="845" t="n"/>
      <c r="I891" s="845" t="n"/>
      <c r="J891" s="845" t="n"/>
      <c r="K891" s="845" t="n"/>
      <c r="L891" s="845" t="n"/>
      <c r="M891" s="845" t="n"/>
      <c r="N891" s="845" t="n"/>
      <c r="O891" s="845" t="n"/>
      <c r="P891" s="845" t="n"/>
      <c r="Q891" s="845" t="n"/>
      <c r="R891" s="845" t="n"/>
      <c r="S891" s="845" t="n"/>
      <c r="T891" s="845" t="n"/>
      <c r="U891" s="845" t="n"/>
      <c r="V891" s="845" t="n"/>
      <c r="W891" s="845" t="n"/>
      <c r="X891" s="845" t="n"/>
      <c r="Y891" s="845" t="n"/>
      <c r="Z891" s="845" t="n"/>
    </row>
    <row r="892" ht="13.2" customHeight="1" s="1127">
      <c r="A892" s="845" t="n"/>
      <c r="B892" s="845" t="n"/>
      <c r="C892" s="845" t="n"/>
      <c r="D892" s="845" t="n"/>
      <c r="E892" s="845" t="n"/>
      <c r="F892" s="845" t="n"/>
      <c r="G892" s="879" t="n"/>
      <c r="H892" s="845" t="n"/>
      <c r="I892" s="845" t="n"/>
      <c r="J892" s="845" t="n"/>
      <c r="K892" s="845" t="n"/>
      <c r="L892" s="845" t="n"/>
      <c r="M892" s="845" t="n"/>
      <c r="N892" s="845" t="n"/>
      <c r="O892" s="845" t="n"/>
      <c r="P892" s="845" t="n"/>
      <c r="Q892" s="845" t="n"/>
      <c r="R892" s="845" t="n"/>
      <c r="S892" s="845" t="n"/>
      <c r="T892" s="845" t="n"/>
      <c r="U892" s="845" t="n"/>
      <c r="V892" s="845" t="n"/>
      <c r="W892" s="845" t="n"/>
      <c r="X892" s="845" t="n"/>
      <c r="Y892" s="845" t="n"/>
      <c r="Z892" s="845" t="n"/>
    </row>
    <row r="893" ht="13.2" customHeight="1" s="1127">
      <c r="A893" s="845" t="n"/>
      <c r="B893" s="845" t="n"/>
      <c r="C893" s="845" t="n"/>
      <c r="D893" s="845" t="n"/>
      <c r="E893" s="845" t="n"/>
      <c r="F893" s="845" t="n"/>
      <c r="G893" s="879" t="n"/>
      <c r="H893" s="845" t="n"/>
      <c r="I893" s="845" t="n"/>
      <c r="J893" s="845" t="n"/>
      <c r="K893" s="845" t="n"/>
      <c r="L893" s="845" t="n"/>
      <c r="M893" s="845" t="n"/>
      <c r="N893" s="845" t="n"/>
      <c r="O893" s="845" t="n"/>
      <c r="P893" s="845" t="n"/>
      <c r="Q893" s="845" t="n"/>
      <c r="R893" s="845" t="n"/>
      <c r="S893" s="845" t="n"/>
      <c r="T893" s="845" t="n"/>
      <c r="U893" s="845" t="n"/>
      <c r="V893" s="845" t="n"/>
      <c r="W893" s="845" t="n"/>
      <c r="X893" s="845" t="n"/>
      <c r="Y893" s="845" t="n"/>
      <c r="Z893" s="845" t="n"/>
    </row>
    <row r="894" ht="13.2" customHeight="1" s="1127">
      <c r="A894" s="845" t="n"/>
      <c r="B894" s="845" t="n"/>
      <c r="C894" s="845" t="n"/>
      <c r="D894" s="845" t="n"/>
      <c r="E894" s="845" t="n"/>
      <c r="F894" s="845" t="n"/>
      <c r="G894" s="879" t="n"/>
      <c r="H894" s="845" t="n"/>
      <c r="I894" s="845" t="n"/>
      <c r="J894" s="845" t="n"/>
      <c r="K894" s="845" t="n"/>
      <c r="L894" s="845" t="n"/>
      <c r="M894" s="845" t="n"/>
      <c r="N894" s="845" t="n"/>
      <c r="O894" s="845" t="n"/>
      <c r="P894" s="845" t="n"/>
      <c r="Q894" s="845" t="n"/>
      <c r="R894" s="845" t="n"/>
      <c r="S894" s="845" t="n"/>
      <c r="T894" s="845" t="n"/>
      <c r="U894" s="845" t="n"/>
      <c r="V894" s="845" t="n"/>
      <c r="W894" s="845" t="n"/>
      <c r="X894" s="845" t="n"/>
      <c r="Y894" s="845" t="n"/>
      <c r="Z894" s="845" t="n"/>
    </row>
    <row r="895" ht="13.2" customHeight="1" s="1127">
      <c r="A895" s="845" t="n"/>
      <c r="B895" s="845" t="n"/>
      <c r="C895" s="845" t="n"/>
      <c r="D895" s="845" t="n"/>
      <c r="E895" s="845" t="n"/>
      <c r="F895" s="845" t="n"/>
      <c r="G895" s="879" t="n"/>
      <c r="H895" s="845" t="n"/>
      <c r="I895" s="845" t="n"/>
      <c r="J895" s="845" t="n"/>
      <c r="K895" s="845" t="n"/>
      <c r="L895" s="845" t="n"/>
      <c r="M895" s="845" t="n"/>
      <c r="N895" s="845" t="n"/>
      <c r="O895" s="845" t="n"/>
      <c r="P895" s="845" t="n"/>
      <c r="Q895" s="845" t="n"/>
      <c r="R895" s="845" t="n"/>
      <c r="S895" s="845" t="n"/>
      <c r="T895" s="845" t="n"/>
      <c r="U895" s="845" t="n"/>
      <c r="V895" s="845" t="n"/>
      <c r="W895" s="845" t="n"/>
      <c r="X895" s="845" t="n"/>
      <c r="Y895" s="845" t="n"/>
      <c r="Z895" s="845" t="n"/>
    </row>
    <row r="896" ht="13.2" customHeight="1" s="1127">
      <c r="A896" s="845" t="n"/>
      <c r="B896" s="845" t="n"/>
      <c r="C896" s="845" t="n"/>
      <c r="D896" s="845" t="n"/>
      <c r="E896" s="845" t="n"/>
      <c r="F896" s="845" t="n"/>
      <c r="G896" s="879" t="n"/>
      <c r="H896" s="845" t="n"/>
      <c r="I896" s="845" t="n"/>
      <c r="J896" s="845" t="n"/>
      <c r="K896" s="845" t="n"/>
      <c r="L896" s="845" t="n"/>
      <c r="M896" s="845" t="n"/>
      <c r="N896" s="845" t="n"/>
      <c r="O896" s="845" t="n"/>
      <c r="P896" s="845" t="n"/>
      <c r="Q896" s="845" t="n"/>
      <c r="R896" s="845" t="n"/>
      <c r="S896" s="845" t="n"/>
      <c r="T896" s="845" t="n"/>
      <c r="U896" s="845" t="n"/>
      <c r="V896" s="845" t="n"/>
      <c r="W896" s="845" t="n"/>
      <c r="X896" s="845" t="n"/>
      <c r="Y896" s="845" t="n"/>
      <c r="Z896" s="845" t="n"/>
    </row>
    <row r="897" ht="13.2" customHeight="1" s="1127">
      <c r="A897" s="845" t="n"/>
      <c r="B897" s="845" t="n"/>
      <c r="C897" s="845" t="n"/>
      <c r="D897" s="845" t="n"/>
      <c r="E897" s="845" t="n"/>
      <c r="F897" s="845" t="n"/>
      <c r="G897" s="879" t="n"/>
      <c r="H897" s="845" t="n"/>
      <c r="I897" s="845" t="n"/>
      <c r="J897" s="845" t="n"/>
      <c r="K897" s="845" t="n"/>
      <c r="L897" s="845" t="n"/>
      <c r="M897" s="845" t="n"/>
      <c r="N897" s="845" t="n"/>
      <c r="O897" s="845" t="n"/>
      <c r="P897" s="845" t="n"/>
      <c r="Q897" s="845" t="n"/>
      <c r="R897" s="845" t="n"/>
      <c r="S897" s="845" t="n"/>
      <c r="T897" s="845" t="n"/>
      <c r="U897" s="845" t="n"/>
      <c r="V897" s="845" t="n"/>
      <c r="W897" s="845" t="n"/>
      <c r="X897" s="845" t="n"/>
      <c r="Y897" s="845" t="n"/>
      <c r="Z897" s="845" t="n"/>
    </row>
    <row r="898" ht="13.2" customHeight="1" s="1127">
      <c r="A898" s="845" t="n"/>
      <c r="B898" s="845" t="n"/>
      <c r="C898" s="845" t="n"/>
      <c r="D898" s="845" t="n"/>
      <c r="E898" s="845" t="n"/>
      <c r="F898" s="845" t="n"/>
      <c r="G898" s="879" t="n"/>
      <c r="H898" s="845" t="n"/>
      <c r="I898" s="845" t="n"/>
      <c r="J898" s="845" t="n"/>
      <c r="K898" s="845" t="n"/>
      <c r="L898" s="845" t="n"/>
      <c r="M898" s="845" t="n"/>
      <c r="N898" s="845" t="n"/>
      <c r="O898" s="845" t="n"/>
      <c r="P898" s="845" t="n"/>
      <c r="Q898" s="845" t="n"/>
      <c r="R898" s="845" t="n"/>
      <c r="S898" s="845" t="n"/>
      <c r="T898" s="845" t="n"/>
      <c r="U898" s="845" t="n"/>
      <c r="V898" s="845" t="n"/>
      <c r="W898" s="845" t="n"/>
      <c r="X898" s="845" t="n"/>
      <c r="Y898" s="845" t="n"/>
      <c r="Z898" s="845" t="n"/>
    </row>
    <row r="899" ht="13.2" customHeight="1" s="1127">
      <c r="A899" s="845" t="n"/>
      <c r="B899" s="845" t="n"/>
      <c r="C899" s="845" t="n"/>
      <c r="D899" s="845" t="n"/>
      <c r="E899" s="845" t="n"/>
      <c r="F899" s="845" t="n"/>
      <c r="G899" s="879" t="n"/>
      <c r="H899" s="845" t="n"/>
      <c r="I899" s="845" t="n"/>
      <c r="J899" s="845" t="n"/>
      <c r="K899" s="845" t="n"/>
      <c r="L899" s="845" t="n"/>
      <c r="M899" s="845" t="n"/>
      <c r="N899" s="845" t="n"/>
      <c r="O899" s="845" t="n"/>
      <c r="P899" s="845" t="n"/>
      <c r="Q899" s="845" t="n"/>
      <c r="R899" s="845" t="n"/>
      <c r="S899" s="845" t="n"/>
      <c r="T899" s="845" t="n"/>
      <c r="U899" s="845" t="n"/>
      <c r="V899" s="845" t="n"/>
      <c r="W899" s="845" t="n"/>
      <c r="X899" s="845" t="n"/>
      <c r="Y899" s="845" t="n"/>
      <c r="Z899" s="845" t="n"/>
    </row>
    <row r="900" ht="13.2" customHeight="1" s="1127">
      <c r="A900" s="845" t="n"/>
      <c r="B900" s="845" t="n"/>
      <c r="C900" s="845" t="n"/>
      <c r="D900" s="845" t="n"/>
      <c r="E900" s="845" t="n"/>
      <c r="F900" s="845" t="n"/>
      <c r="G900" s="879" t="n"/>
      <c r="H900" s="845" t="n"/>
      <c r="I900" s="845" t="n"/>
      <c r="J900" s="845" t="n"/>
      <c r="K900" s="845" t="n"/>
      <c r="L900" s="845" t="n"/>
      <c r="M900" s="845" t="n"/>
      <c r="N900" s="845" t="n"/>
      <c r="O900" s="845" t="n"/>
      <c r="P900" s="845" t="n"/>
      <c r="Q900" s="845" t="n"/>
      <c r="R900" s="845" t="n"/>
      <c r="S900" s="845" t="n"/>
      <c r="T900" s="845" t="n"/>
      <c r="U900" s="845" t="n"/>
      <c r="V900" s="845" t="n"/>
      <c r="W900" s="845" t="n"/>
      <c r="X900" s="845" t="n"/>
      <c r="Y900" s="845" t="n"/>
      <c r="Z900" s="845" t="n"/>
    </row>
    <row r="901" ht="13.2" customHeight="1" s="1127">
      <c r="A901" s="845" t="n"/>
      <c r="B901" s="845" t="n"/>
      <c r="C901" s="845" t="n"/>
      <c r="D901" s="845" t="n"/>
      <c r="E901" s="845" t="n"/>
      <c r="F901" s="845" t="n"/>
      <c r="G901" s="879" t="n"/>
      <c r="H901" s="845" t="n"/>
      <c r="I901" s="845" t="n"/>
      <c r="J901" s="845" t="n"/>
      <c r="K901" s="845" t="n"/>
      <c r="L901" s="845" t="n"/>
      <c r="M901" s="845" t="n"/>
      <c r="N901" s="845" t="n"/>
      <c r="O901" s="845" t="n"/>
      <c r="P901" s="845" t="n"/>
      <c r="Q901" s="845" t="n"/>
      <c r="R901" s="845" t="n"/>
      <c r="S901" s="845" t="n"/>
      <c r="T901" s="845" t="n"/>
      <c r="U901" s="845" t="n"/>
      <c r="V901" s="845" t="n"/>
      <c r="W901" s="845" t="n"/>
      <c r="X901" s="845" t="n"/>
      <c r="Y901" s="845" t="n"/>
      <c r="Z901" s="845" t="n"/>
    </row>
    <row r="902" ht="13.2" customHeight="1" s="1127">
      <c r="A902" s="845" t="n"/>
      <c r="B902" s="845" t="n"/>
      <c r="C902" s="845" t="n"/>
      <c r="D902" s="845" t="n"/>
      <c r="E902" s="845" t="n"/>
      <c r="F902" s="845" t="n"/>
      <c r="G902" s="879" t="n"/>
      <c r="H902" s="845" t="n"/>
      <c r="I902" s="845" t="n"/>
      <c r="J902" s="845" t="n"/>
      <c r="K902" s="845" t="n"/>
      <c r="L902" s="845" t="n"/>
      <c r="M902" s="845" t="n"/>
      <c r="N902" s="845" t="n"/>
      <c r="O902" s="845" t="n"/>
      <c r="P902" s="845" t="n"/>
      <c r="Q902" s="845" t="n"/>
      <c r="R902" s="845" t="n"/>
      <c r="S902" s="845" t="n"/>
      <c r="T902" s="845" t="n"/>
      <c r="U902" s="845" t="n"/>
      <c r="V902" s="845" t="n"/>
      <c r="W902" s="845" t="n"/>
      <c r="X902" s="845" t="n"/>
      <c r="Y902" s="845" t="n"/>
      <c r="Z902" s="845" t="n"/>
    </row>
    <row r="903" ht="13.2" customHeight="1" s="1127">
      <c r="A903" s="845" t="n"/>
      <c r="B903" s="845" t="n"/>
      <c r="C903" s="845" t="n"/>
      <c r="D903" s="845" t="n"/>
      <c r="E903" s="845" t="n"/>
      <c r="F903" s="845" t="n"/>
      <c r="G903" s="879" t="n"/>
      <c r="H903" s="845" t="n"/>
      <c r="I903" s="845" t="n"/>
      <c r="J903" s="845" t="n"/>
      <c r="K903" s="845" t="n"/>
      <c r="L903" s="845" t="n"/>
      <c r="M903" s="845" t="n"/>
      <c r="N903" s="845" t="n"/>
      <c r="O903" s="845" t="n"/>
      <c r="P903" s="845" t="n"/>
      <c r="Q903" s="845" t="n"/>
      <c r="R903" s="845" t="n"/>
      <c r="S903" s="845" t="n"/>
      <c r="T903" s="845" t="n"/>
      <c r="U903" s="845" t="n"/>
      <c r="V903" s="845" t="n"/>
      <c r="W903" s="845" t="n"/>
      <c r="X903" s="845" t="n"/>
      <c r="Y903" s="845" t="n"/>
      <c r="Z903" s="845" t="n"/>
    </row>
    <row r="904" ht="13.2" customHeight="1" s="1127">
      <c r="A904" s="845" t="n"/>
      <c r="B904" s="845" t="n"/>
      <c r="C904" s="845" t="n"/>
      <c r="D904" s="845" t="n"/>
      <c r="E904" s="845" t="n"/>
      <c r="F904" s="845" t="n"/>
      <c r="G904" s="879" t="n"/>
      <c r="H904" s="845" t="n"/>
      <c r="I904" s="845" t="n"/>
      <c r="J904" s="845" t="n"/>
      <c r="K904" s="845" t="n"/>
      <c r="L904" s="845" t="n"/>
      <c r="M904" s="845" t="n"/>
      <c r="N904" s="845" t="n"/>
      <c r="O904" s="845" t="n"/>
      <c r="P904" s="845" t="n"/>
      <c r="Q904" s="845" t="n"/>
      <c r="R904" s="845" t="n"/>
      <c r="S904" s="845" t="n"/>
      <c r="T904" s="845" t="n"/>
      <c r="U904" s="845" t="n"/>
      <c r="V904" s="845" t="n"/>
      <c r="W904" s="845" t="n"/>
      <c r="X904" s="845" t="n"/>
      <c r="Y904" s="845" t="n"/>
      <c r="Z904" s="845" t="n"/>
    </row>
    <row r="905" ht="13.2" customHeight="1" s="1127">
      <c r="A905" s="845" t="n"/>
      <c r="B905" s="845" t="n"/>
      <c r="C905" s="845" t="n"/>
      <c r="D905" s="845" t="n"/>
      <c r="E905" s="845" t="n"/>
      <c r="F905" s="845" t="n"/>
      <c r="G905" s="879" t="n"/>
      <c r="H905" s="845" t="n"/>
      <c r="I905" s="845" t="n"/>
      <c r="J905" s="845" t="n"/>
      <c r="K905" s="845" t="n"/>
      <c r="L905" s="845" t="n"/>
      <c r="M905" s="845" t="n"/>
      <c r="N905" s="845" t="n"/>
      <c r="O905" s="845" t="n"/>
      <c r="P905" s="845" t="n"/>
      <c r="Q905" s="845" t="n"/>
      <c r="R905" s="845" t="n"/>
      <c r="S905" s="845" t="n"/>
      <c r="T905" s="845" t="n"/>
      <c r="U905" s="845" t="n"/>
      <c r="V905" s="845" t="n"/>
      <c r="W905" s="845" t="n"/>
      <c r="X905" s="845" t="n"/>
      <c r="Y905" s="845" t="n"/>
      <c r="Z905" s="845" t="n"/>
    </row>
    <row r="906" ht="13.2" customHeight="1" s="1127">
      <c r="A906" s="845" t="n"/>
      <c r="B906" s="845" t="n"/>
      <c r="C906" s="845" t="n"/>
      <c r="D906" s="845" t="n"/>
      <c r="E906" s="845" t="n"/>
      <c r="F906" s="845" t="n"/>
      <c r="G906" s="879" t="n"/>
      <c r="H906" s="845" t="n"/>
      <c r="I906" s="845" t="n"/>
      <c r="J906" s="845" t="n"/>
      <c r="K906" s="845" t="n"/>
      <c r="L906" s="845" t="n"/>
      <c r="M906" s="845" t="n"/>
      <c r="N906" s="845" t="n"/>
      <c r="O906" s="845" t="n"/>
      <c r="P906" s="845" t="n"/>
      <c r="Q906" s="845" t="n"/>
      <c r="R906" s="845" t="n"/>
      <c r="S906" s="845" t="n"/>
      <c r="T906" s="845" t="n"/>
      <c r="U906" s="845" t="n"/>
      <c r="V906" s="845" t="n"/>
      <c r="W906" s="845" t="n"/>
      <c r="X906" s="845" t="n"/>
      <c r="Y906" s="845" t="n"/>
      <c r="Z906" s="845" t="n"/>
    </row>
    <row r="907" ht="13.2" customHeight="1" s="1127">
      <c r="A907" s="845" t="n"/>
      <c r="B907" s="845" t="n"/>
      <c r="C907" s="845" t="n"/>
      <c r="D907" s="845" t="n"/>
      <c r="E907" s="845" t="n"/>
      <c r="F907" s="845" t="n"/>
      <c r="G907" s="879" t="n"/>
      <c r="H907" s="845" t="n"/>
      <c r="I907" s="845" t="n"/>
      <c r="J907" s="845" t="n"/>
      <c r="K907" s="845" t="n"/>
      <c r="L907" s="845" t="n"/>
      <c r="M907" s="845" t="n"/>
      <c r="N907" s="845" t="n"/>
      <c r="O907" s="845" t="n"/>
      <c r="P907" s="845" t="n"/>
      <c r="Q907" s="845" t="n"/>
      <c r="R907" s="845" t="n"/>
      <c r="S907" s="845" t="n"/>
      <c r="T907" s="845" t="n"/>
      <c r="U907" s="845" t="n"/>
      <c r="V907" s="845" t="n"/>
      <c r="W907" s="845" t="n"/>
      <c r="X907" s="845" t="n"/>
      <c r="Y907" s="845" t="n"/>
      <c r="Z907" s="845" t="n"/>
    </row>
    <row r="908" ht="13.2" customHeight="1" s="1127">
      <c r="A908" s="845" t="n"/>
      <c r="B908" s="845" t="n"/>
      <c r="C908" s="845" t="n"/>
      <c r="D908" s="845" t="n"/>
      <c r="E908" s="845" t="n"/>
      <c r="F908" s="845" t="n"/>
      <c r="G908" s="879" t="n"/>
      <c r="H908" s="845" t="n"/>
      <c r="I908" s="845" t="n"/>
      <c r="J908" s="845" t="n"/>
      <c r="K908" s="845" t="n"/>
      <c r="L908" s="845" t="n"/>
      <c r="M908" s="845" t="n"/>
      <c r="N908" s="845" t="n"/>
      <c r="O908" s="845" t="n"/>
      <c r="P908" s="845" t="n"/>
      <c r="Q908" s="845" t="n"/>
      <c r="R908" s="845" t="n"/>
      <c r="S908" s="845" t="n"/>
      <c r="T908" s="845" t="n"/>
      <c r="U908" s="845" t="n"/>
      <c r="V908" s="845" t="n"/>
      <c r="W908" s="845" t="n"/>
      <c r="X908" s="845" t="n"/>
      <c r="Y908" s="845" t="n"/>
      <c r="Z908" s="845" t="n"/>
    </row>
    <row r="909" ht="13.2" customHeight="1" s="1127">
      <c r="A909" s="845" t="n"/>
      <c r="B909" s="845" t="n"/>
      <c r="C909" s="845" t="n"/>
      <c r="D909" s="845" t="n"/>
      <c r="E909" s="845" t="n"/>
      <c r="F909" s="845" t="n"/>
      <c r="G909" s="879" t="n"/>
      <c r="H909" s="845" t="n"/>
      <c r="I909" s="845" t="n"/>
      <c r="J909" s="845" t="n"/>
      <c r="K909" s="845" t="n"/>
      <c r="L909" s="845" t="n"/>
      <c r="M909" s="845" t="n"/>
      <c r="N909" s="845" t="n"/>
      <c r="O909" s="845" t="n"/>
      <c r="P909" s="845" t="n"/>
      <c r="Q909" s="845" t="n"/>
      <c r="R909" s="845" t="n"/>
      <c r="S909" s="845" t="n"/>
      <c r="T909" s="845" t="n"/>
      <c r="U909" s="845" t="n"/>
      <c r="V909" s="845" t="n"/>
      <c r="W909" s="845" t="n"/>
      <c r="X909" s="845" t="n"/>
      <c r="Y909" s="845" t="n"/>
      <c r="Z909" s="845" t="n"/>
    </row>
    <row r="910" ht="13.2" customHeight="1" s="1127">
      <c r="A910" s="845" t="n"/>
      <c r="B910" s="845" t="n"/>
      <c r="C910" s="845" t="n"/>
      <c r="D910" s="845" t="n"/>
      <c r="E910" s="845" t="n"/>
      <c r="F910" s="845" t="n"/>
      <c r="G910" s="879" t="n"/>
      <c r="H910" s="845" t="n"/>
      <c r="I910" s="845" t="n"/>
      <c r="J910" s="845" t="n"/>
      <c r="K910" s="845" t="n"/>
      <c r="L910" s="845" t="n"/>
      <c r="M910" s="845" t="n"/>
      <c r="N910" s="845" t="n"/>
      <c r="O910" s="845" t="n"/>
      <c r="P910" s="845" t="n"/>
      <c r="Q910" s="845" t="n"/>
      <c r="R910" s="845" t="n"/>
      <c r="S910" s="845" t="n"/>
      <c r="T910" s="845" t="n"/>
      <c r="U910" s="845" t="n"/>
      <c r="V910" s="845" t="n"/>
      <c r="W910" s="845" t="n"/>
      <c r="X910" s="845" t="n"/>
      <c r="Y910" s="845" t="n"/>
      <c r="Z910" s="845" t="n"/>
    </row>
    <row r="911" ht="13.2" customHeight="1" s="1127">
      <c r="A911" s="845" t="n"/>
      <c r="B911" s="845" t="n"/>
      <c r="C911" s="845" t="n"/>
      <c r="D911" s="845" t="n"/>
      <c r="E911" s="845" t="n"/>
      <c r="F911" s="845" t="n"/>
      <c r="G911" s="879" t="n"/>
      <c r="H911" s="845" t="n"/>
      <c r="I911" s="845" t="n"/>
      <c r="J911" s="845" t="n"/>
      <c r="K911" s="845" t="n"/>
      <c r="L911" s="845" t="n"/>
      <c r="M911" s="845" t="n"/>
      <c r="N911" s="845" t="n"/>
      <c r="O911" s="845" t="n"/>
      <c r="P911" s="845" t="n"/>
      <c r="Q911" s="845" t="n"/>
      <c r="R911" s="845" t="n"/>
      <c r="S911" s="845" t="n"/>
      <c r="T911" s="845" t="n"/>
      <c r="U911" s="845" t="n"/>
      <c r="V911" s="845" t="n"/>
      <c r="W911" s="845" t="n"/>
      <c r="X911" s="845" t="n"/>
      <c r="Y911" s="845" t="n"/>
      <c r="Z911" s="845" t="n"/>
    </row>
    <row r="912" ht="13.2" customHeight="1" s="1127">
      <c r="A912" s="845" t="n"/>
      <c r="B912" s="845" t="n"/>
      <c r="C912" s="845" t="n"/>
      <c r="D912" s="845" t="n"/>
      <c r="E912" s="845" t="n"/>
      <c r="F912" s="845" t="n"/>
      <c r="G912" s="879" t="n"/>
      <c r="H912" s="845" t="n"/>
      <c r="I912" s="845" t="n"/>
      <c r="J912" s="845" t="n"/>
      <c r="K912" s="845" t="n"/>
      <c r="L912" s="845" t="n"/>
      <c r="M912" s="845" t="n"/>
      <c r="N912" s="845" t="n"/>
      <c r="O912" s="845" t="n"/>
      <c r="P912" s="845" t="n"/>
      <c r="Q912" s="845" t="n"/>
      <c r="R912" s="845" t="n"/>
      <c r="S912" s="845" t="n"/>
      <c r="T912" s="845" t="n"/>
      <c r="U912" s="845" t="n"/>
      <c r="V912" s="845" t="n"/>
      <c r="W912" s="845" t="n"/>
      <c r="X912" s="845" t="n"/>
      <c r="Y912" s="845" t="n"/>
      <c r="Z912" s="845" t="n"/>
    </row>
    <row r="913" ht="13.2" customHeight="1" s="1127">
      <c r="A913" s="845" t="n"/>
      <c r="B913" s="845" t="n"/>
      <c r="C913" s="845" t="n"/>
      <c r="D913" s="845" t="n"/>
      <c r="E913" s="845" t="n"/>
      <c r="F913" s="845" t="n"/>
      <c r="G913" s="879" t="n"/>
      <c r="H913" s="845" t="n"/>
      <c r="I913" s="845" t="n"/>
      <c r="J913" s="845" t="n"/>
      <c r="K913" s="845" t="n"/>
      <c r="L913" s="845" t="n"/>
      <c r="M913" s="845" t="n"/>
      <c r="N913" s="845" t="n"/>
      <c r="O913" s="845" t="n"/>
      <c r="P913" s="845" t="n"/>
      <c r="Q913" s="845" t="n"/>
      <c r="R913" s="845" t="n"/>
      <c r="S913" s="845" t="n"/>
      <c r="T913" s="845" t="n"/>
      <c r="U913" s="845" t="n"/>
      <c r="V913" s="845" t="n"/>
      <c r="W913" s="845" t="n"/>
      <c r="X913" s="845" t="n"/>
      <c r="Y913" s="845" t="n"/>
      <c r="Z913" s="845" t="n"/>
    </row>
    <row r="914" ht="13.2" customHeight="1" s="1127">
      <c r="A914" s="845" t="n"/>
      <c r="B914" s="845" t="n"/>
      <c r="C914" s="845" t="n"/>
      <c r="D914" s="845" t="n"/>
      <c r="E914" s="845" t="n"/>
      <c r="F914" s="845" t="n"/>
      <c r="G914" s="879" t="n"/>
      <c r="H914" s="845" t="n"/>
      <c r="I914" s="845" t="n"/>
      <c r="J914" s="845" t="n"/>
      <c r="K914" s="845" t="n"/>
      <c r="L914" s="845" t="n"/>
      <c r="M914" s="845" t="n"/>
      <c r="N914" s="845" t="n"/>
      <c r="O914" s="845" t="n"/>
      <c r="P914" s="845" t="n"/>
      <c r="Q914" s="845" t="n"/>
      <c r="R914" s="845" t="n"/>
      <c r="S914" s="845" t="n"/>
      <c r="T914" s="845" t="n"/>
      <c r="U914" s="845" t="n"/>
      <c r="V914" s="845" t="n"/>
      <c r="W914" s="845" t="n"/>
      <c r="X914" s="845" t="n"/>
      <c r="Y914" s="845" t="n"/>
      <c r="Z914" s="845" t="n"/>
    </row>
    <row r="915" ht="13.2" customHeight="1" s="1127">
      <c r="A915" s="845" t="n"/>
      <c r="B915" s="845" t="n"/>
      <c r="C915" s="845" t="n"/>
      <c r="D915" s="845" t="n"/>
      <c r="E915" s="845" t="n"/>
      <c r="F915" s="845" t="n"/>
      <c r="G915" s="879" t="n"/>
      <c r="H915" s="845" t="n"/>
      <c r="I915" s="845" t="n"/>
      <c r="J915" s="845" t="n"/>
      <c r="K915" s="845" t="n"/>
      <c r="L915" s="845" t="n"/>
      <c r="M915" s="845" t="n"/>
      <c r="N915" s="845" t="n"/>
      <c r="O915" s="845" t="n"/>
      <c r="P915" s="845" t="n"/>
      <c r="Q915" s="845" t="n"/>
      <c r="R915" s="845" t="n"/>
      <c r="S915" s="845" t="n"/>
      <c r="T915" s="845" t="n"/>
      <c r="U915" s="845" t="n"/>
      <c r="V915" s="845" t="n"/>
      <c r="W915" s="845" t="n"/>
      <c r="X915" s="845" t="n"/>
      <c r="Y915" s="845" t="n"/>
      <c r="Z915" s="845" t="n"/>
    </row>
    <row r="916" ht="13.2" customHeight="1" s="1127">
      <c r="A916" s="845" t="n"/>
      <c r="B916" s="845" t="n"/>
      <c r="C916" s="845" t="n"/>
      <c r="D916" s="845" t="n"/>
      <c r="E916" s="845" t="n"/>
      <c r="F916" s="845" t="n"/>
      <c r="G916" s="879" t="n"/>
      <c r="H916" s="845" t="n"/>
      <c r="I916" s="845" t="n"/>
      <c r="J916" s="845" t="n"/>
      <c r="K916" s="845" t="n"/>
      <c r="L916" s="845" t="n"/>
      <c r="M916" s="845" t="n"/>
      <c r="N916" s="845" t="n"/>
      <c r="O916" s="845" t="n"/>
      <c r="P916" s="845" t="n"/>
      <c r="Q916" s="845" t="n"/>
      <c r="R916" s="845" t="n"/>
      <c r="S916" s="845" t="n"/>
      <c r="T916" s="845" t="n"/>
      <c r="U916" s="845" t="n"/>
      <c r="V916" s="845" t="n"/>
      <c r="W916" s="845" t="n"/>
      <c r="X916" s="845" t="n"/>
      <c r="Y916" s="845" t="n"/>
      <c r="Z916" s="845" t="n"/>
    </row>
    <row r="917" ht="13.2" customHeight="1" s="1127">
      <c r="A917" s="845" t="n"/>
      <c r="B917" s="845" t="n"/>
      <c r="C917" s="845" t="n"/>
      <c r="D917" s="845" t="n"/>
      <c r="E917" s="845" t="n"/>
      <c r="F917" s="845" t="n"/>
      <c r="G917" s="879" t="n"/>
      <c r="H917" s="845" t="n"/>
      <c r="I917" s="845" t="n"/>
      <c r="J917" s="845" t="n"/>
      <c r="K917" s="845" t="n"/>
      <c r="L917" s="845" t="n"/>
      <c r="M917" s="845" t="n"/>
      <c r="N917" s="845" t="n"/>
      <c r="O917" s="845" t="n"/>
      <c r="P917" s="845" t="n"/>
      <c r="Q917" s="845" t="n"/>
      <c r="R917" s="845" t="n"/>
      <c r="S917" s="845" t="n"/>
      <c r="T917" s="845" t="n"/>
      <c r="U917" s="845" t="n"/>
      <c r="V917" s="845" t="n"/>
      <c r="W917" s="845" t="n"/>
      <c r="X917" s="845" t="n"/>
      <c r="Y917" s="845" t="n"/>
      <c r="Z917" s="845" t="n"/>
    </row>
    <row r="918" ht="13.2" customHeight="1" s="1127">
      <c r="A918" s="845" t="n"/>
      <c r="B918" s="845" t="n"/>
      <c r="C918" s="845" t="n"/>
      <c r="D918" s="845" t="n"/>
      <c r="E918" s="845" t="n"/>
      <c r="F918" s="845" t="n"/>
      <c r="G918" s="879" t="n"/>
      <c r="H918" s="845" t="n"/>
      <c r="I918" s="845" t="n"/>
      <c r="J918" s="845" t="n"/>
      <c r="K918" s="845" t="n"/>
      <c r="L918" s="845" t="n"/>
      <c r="M918" s="845" t="n"/>
      <c r="N918" s="845" t="n"/>
      <c r="O918" s="845" t="n"/>
      <c r="P918" s="845" t="n"/>
      <c r="Q918" s="845" t="n"/>
      <c r="R918" s="845" t="n"/>
      <c r="S918" s="845" t="n"/>
      <c r="T918" s="845" t="n"/>
      <c r="U918" s="845" t="n"/>
      <c r="V918" s="845" t="n"/>
      <c r="W918" s="845" t="n"/>
      <c r="X918" s="845" t="n"/>
      <c r="Y918" s="845" t="n"/>
      <c r="Z918" s="845" t="n"/>
    </row>
    <row r="919" ht="13.2" customHeight="1" s="1127">
      <c r="A919" s="845" t="n"/>
      <c r="B919" s="845" t="n"/>
      <c r="C919" s="845" t="n"/>
      <c r="D919" s="845" t="n"/>
      <c r="E919" s="845" t="n"/>
      <c r="F919" s="845" t="n"/>
      <c r="G919" s="879" t="n"/>
      <c r="H919" s="845" t="n"/>
      <c r="I919" s="845" t="n"/>
      <c r="J919" s="845" t="n"/>
      <c r="K919" s="845" t="n"/>
      <c r="L919" s="845" t="n"/>
      <c r="M919" s="845" t="n"/>
      <c r="N919" s="845" t="n"/>
      <c r="O919" s="845" t="n"/>
      <c r="P919" s="845" t="n"/>
      <c r="Q919" s="845" t="n"/>
      <c r="R919" s="845" t="n"/>
      <c r="S919" s="845" t="n"/>
      <c r="T919" s="845" t="n"/>
      <c r="U919" s="845" t="n"/>
      <c r="V919" s="845" t="n"/>
      <c r="W919" s="845" t="n"/>
      <c r="X919" s="845" t="n"/>
      <c r="Y919" s="845" t="n"/>
      <c r="Z919" s="845" t="n"/>
    </row>
    <row r="920" ht="13.2" customHeight="1" s="1127">
      <c r="A920" s="845" t="n"/>
      <c r="B920" s="845" t="n"/>
      <c r="C920" s="845" t="n"/>
      <c r="D920" s="845" t="n"/>
      <c r="E920" s="845" t="n"/>
      <c r="F920" s="845" t="n"/>
      <c r="G920" s="879" t="n"/>
      <c r="H920" s="845" t="n"/>
      <c r="I920" s="845" t="n"/>
      <c r="J920" s="845" t="n"/>
      <c r="K920" s="845" t="n"/>
      <c r="L920" s="845" t="n"/>
      <c r="M920" s="845" t="n"/>
      <c r="N920" s="845" t="n"/>
      <c r="O920" s="845" t="n"/>
      <c r="P920" s="845" t="n"/>
      <c r="Q920" s="845" t="n"/>
      <c r="R920" s="845" t="n"/>
      <c r="S920" s="845" t="n"/>
      <c r="T920" s="845" t="n"/>
      <c r="U920" s="845" t="n"/>
      <c r="V920" s="845" t="n"/>
      <c r="W920" s="845" t="n"/>
      <c r="X920" s="845" t="n"/>
      <c r="Y920" s="845" t="n"/>
      <c r="Z920" s="845" t="n"/>
    </row>
    <row r="921" ht="13.2" customHeight="1" s="1127">
      <c r="A921" s="845" t="n"/>
      <c r="B921" s="845" t="n"/>
      <c r="C921" s="845" t="n"/>
      <c r="D921" s="845" t="n"/>
      <c r="E921" s="845" t="n"/>
      <c r="F921" s="845" t="n"/>
      <c r="G921" s="879" t="n"/>
      <c r="H921" s="845" t="n"/>
      <c r="I921" s="845" t="n"/>
      <c r="J921" s="845" t="n"/>
      <c r="K921" s="845" t="n"/>
      <c r="L921" s="845" t="n"/>
      <c r="M921" s="845" t="n"/>
      <c r="N921" s="845" t="n"/>
      <c r="O921" s="845" t="n"/>
      <c r="P921" s="845" t="n"/>
      <c r="Q921" s="845" t="n"/>
      <c r="R921" s="845" t="n"/>
      <c r="S921" s="845" t="n"/>
      <c r="T921" s="845" t="n"/>
      <c r="U921" s="845" t="n"/>
      <c r="V921" s="845" t="n"/>
      <c r="W921" s="845" t="n"/>
      <c r="X921" s="845" t="n"/>
      <c r="Y921" s="845" t="n"/>
      <c r="Z921" s="845" t="n"/>
    </row>
    <row r="922" ht="13.2" customHeight="1" s="1127">
      <c r="A922" s="845" t="n"/>
      <c r="B922" s="845" t="n"/>
      <c r="C922" s="845" t="n"/>
      <c r="D922" s="845" t="n"/>
      <c r="E922" s="845" t="n"/>
      <c r="F922" s="845" t="n"/>
      <c r="G922" s="879" t="n"/>
      <c r="H922" s="845" t="n"/>
      <c r="I922" s="845" t="n"/>
      <c r="J922" s="845" t="n"/>
      <c r="K922" s="845" t="n"/>
      <c r="L922" s="845" t="n"/>
      <c r="M922" s="845" t="n"/>
      <c r="N922" s="845" t="n"/>
      <c r="O922" s="845" t="n"/>
      <c r="P922" s="845" t="n"/>
      <c r="Q922" s="845" t="n"/>
      <c r="R922" s="845" t="n"/>
      <c r="S922" s="845" t="n"/>
      <c r="T922" s="845" t="n"/>
      <c r="U922" s="845" t="n"/>
      <c r="V922" s="845" t="n"/>
      <c r="W922" s="845" t="n"/>
      <c r="X922" s="845" t="n"/>
      <c r="Y922" s="845" t="n"/>
      <c r="Z922" s="845" t="n"/>
    </row>
    <row r="923" ht="13.2" customHeight="1" s="1127">
      <c r="A923" s="845" t="n"/>
      <c r="B923" s="845" t="n"/>
      <c r="C923" s="845" t="n"/>
      <c r="D923" s="845" t="n"/>
      <c r="E923" s="845" t="n"/>
      <c r="F923" s="845" t="n"/>
      <c r="G923" s="879" t="n"/>
      <c r="H923" s="845" t="n"/>
      <c r="I923" s="845" t="n"/>
      <c r="J923" s="845" t="n"/>
      <c r="K923" s="845" t="n"/>
      <c r="L923" s="845" t="n"/>
      <c r="M923" s="845" t="n"/>
      <c r="N923" s="845" t="n"/>
      <c r="O923" s="845" t="n"/>
      <c r="P923" s="845" t="n"/>
      <c r="Q923" s="845" t="n"/>
      <c r="R923" s="845" t="n"/>
      <c r="S923" s="845" t="n"/>
      <c r="T923" s="845" t="n"/>
      <c r="U923" s="845" t="n"/>
      <c r="V923" s="845" t="n"/>
      <c r="W923" s="845" t="n"/>
      <c r="X923" s="845" t="n"/>
      <c r="Y923" s="845" t="n"/>
      <c r="Z923" s="845" t="n"/>
    </row>
    <row r="924" ht="13.2" customHeight="1" s="1127">
      <c r="A924" s="845" t="n"/>
      <c r="B924" s="845" t="n"/>
      <c r="C924" s="845" t="n"/>
      <c r="D924" s="845" t="n"/>
      <c r="E924" s="845" t="n"/>
      <c r="F924" s="845" t="n"/>
      <c r="G924" s="879" t="n"/>
      <c r="H924" s="845" t="n"/>
      <c r="I924" s="845" t="n"/>
      <c r="J924" s="845" t="n"/>
      <c r="K924" s="845" t="n"/>
      <c r="L924" s="845" t="n"/>
      <c r="M924" s="845" t="n"/>
      <c r="N924" s="845" t="n"/>
      <c r="O924" s="845" t="n"/>
      <c r="P924" s="845" t="n"/>
      <c r="Q924" s="845" t="n"/>
      <c r="R924" s="845" t="n"/>
      <c r="S924" s="845" t="n"/>
      <c r="T924" s="845" t="n"/>
      <c r="U924" s="845" t="n"/>
      <c r="V924" s="845" t="n"/>
      <c r="W924" s="845" t="n"/>
      <c r="X924" s="845" t="n"/>
      <c r="Y924" s="845" t="n"/>
      <c r="Z924" s="845" t="n"/>
    </row>
    <row r="925" ht="13.2" customHeight="1" s="1127">
      <c r="A925" s="845" t="n"/>
      <c r="B925" s="845" t="n"/>
      <c r="C925" s="845" t="n"/>
      <c r="D925" s="845" t="n"/>
      <c r="E925" s="845" t="n"/>
      <c r="F925" s="845" t="n"/>
      <c r="G925" s="879" t="n"/>
      <c r="H925" s="845" t="n"/>
      <c r="I925" s="845" t="n"/>
      <c r="J925" s="845" t="n"/>
      <c r="K925" s="845" t="n"/>
      <c r="L925" s="845" t="n"/>
      <c r="M925" s="845" t="n"/>
      <c r="N925" s="845" t="n"/>
      <c r="O925" s="845" t="n"/>
      <c r="P925" s="845" t="n"/>
      <c r="Q925" s="845" t="n"/>
      <c r="R925" s="845" t="n"/>
      <c r="S925" s="845" t="n"/>
      <c r="T925" s="845" t="n"/>
      <c r="U925" s="845" t="n"/>
      <c r="V925" s="845" t="n"/>
      <c r="W925" s="845" t="n"/>
      <c r="X925" s="845" t="n"/>
      <c r="Y925" s="845" t="n"/>
      <c r="Z925" s="845" t="n"/>
    </row>
    <row r="926" ht="13.2" customHeight="1" s="1127">
      <c r="A926" s="845" t="n"/>
      <c r="B926" s="845" t="n"/>
      <c r="C926" s="845" t="n"/>
      <c r="D926" s="845" t="n"/>
      <c r="E926" s="845" t="n"/>
      <c r="F926" s="845" t="n"/>
      <c r="G926" s="879" t="n"/>
      <c r="H926" s="845" t="n"/>
      <c r="I926" s="845" t="n"/>
      <c r="J926" s="845" t="n"/>
      <c r="K926" s="845" t="n"/>
      <c r="L926" s="845" t="n"/>
      <c r="M926" s="845" t="n"/>
      <c r="N926" s="845" t="n"/>
      <c r="O926" s="845" t="n"/>
      <c r="P926" s="845" t="n"/>
      <c r="Q926" s="845" t="n"/>
      <c r="R926" s="845" t="n"/>
      <c r="S926" s="845" t="n"/>
      <c r="T926" s="845" t="n"/>
      <c r="U926" s="845" t="n"/>
      <c r="V926" s="845" t="n"/>
      <c r="W926" s="845" t="n"/>
      <c r="X926" s="845" t="n"/>
      <c r="Y926" s="845" t="n"/>
      <c r="Z926" s="845" t="n"/>
    </row>
    <row r="927" ht="13.2" customHeight="1" s="1127">
      <c r="A927" s="845" t="n"/>
      <c r="B927" s="845" t="n"/>
      <c r="C927" s="845" t="n"/>
      <c r="D927" s="845" t="n"/>
      <c r="E927" s="845" t="n"/>
      <c r="F927" s="845" t="n"/>
      <c r="G927" s="879" t="n"/>
      <c r="H927" s="845" t="n"/>
      <c r="I927" s="845" t="n"/>
      <c r="J927" s="845" t="n"/>
      <c r="K927" s="845" t="n"/>
      <c r="L927" s="845" t="n"/>
      <c r="M927" s="845" t="n"/>
      <c r="N927" s="845" t="n"/>
      <c r="O927" s="845" t="n"/>
      <c r="P927" s="845" t="n"/>
      <c r="Q927" s="845" t="n"/>
      <c r="R927" s="845" t="n"/>
      <c r="S927" s="845" t="n"/>
      <c r="T927" s="845" t="n"/>
      <c r="U927" s="845" t="n"/>
      <c r="V927" s="845" t="n"/>
      <c r="W927" s="845" t="n"/>
      <c r="X927" s="845" t="n"/>
      <c r="Y927" s="845" t="n"/>
      <c r="Z927" s="845" t="n"/>
    </row>
    <row r="928" ht="13.2" customHeight="1" s="1127">
      <c r="A928" s="845" t="n"/>
      <c r="B928" s="845" t="n"/>
      <c r="C928" s="845" t="n"/>
      <c r="D928" s="845" t="n"/>
      <c r="E928" s="845" t="n"/>
      <c r="F928" s="845" t="n"/>
      <c r="G928" s="879" t="n"/>
      <c r="H928" s="845" t="n"/>
      <c r="I928" s="845" t="n"/>
      <c r="J928" s="845" t="n"/>
      <c r="K928" s="845" t="n"/>
      <c r="L928" s="845" t="n"/>
      <c r="M928" s="845" t="n"/>
      <c r="N928" s="845" t="n"/>
      <c r="O928" s="845" t="n"/>
      <c r="P928" s="845" t="n"/>
      <c r="Q928" s="845" t="n"/>
      <c r="R928" s="845" t="n"/>
      <c r="S928" s="845" t="n"/>
      <c r="T928" s="845" t="n"/>
      <c r="U928" s="845" t="n"/>
      <c r="V928" s="845" t="n"/>
      <c r="W928" s="845" t="n"/>
      <c r="X928" s="845" t="n"/>
      <c r="Y928" s="845" t="n"/>
      <c r="Z928" s="845" t="n"/>
    </row>
    <row r="929" ht="13.2" customHeight="1" s="1127">
      <c r="A929" s="845" t="n"/>
      <c r="B929" s="845" t="n"/>
      <c r="C929" s="845" t="n"/>
      <c r="D929" s="845" t="n"/>
      <c r="E929" s="845" t="n"/>
      <c r="F929" s="845" t="n"/>
      <c r="G929" s="879" t="n"/>
      <c r="H929" s="845" t="n"/>
      <c r="I929" s="845" t="n"/>
      <c r="J929" s="845" t="n"/>
      <c r="K929" s="845" t="n"/>
      <c r="L929" s="845" t="n"/>
      <c r="M929" s="845" t="n"/>
      <c r="N929" s="845" t="n"/>
      <c r="O929" s="845" t="n"/>
      <c r="P929" s="845" t="n"/>
      <c r="Q929" s="845" t="n"/>
      <c r="R929" s="845" t="n"/>
      <c r="S929" s="845" t="n"/>
      <c r="T929" s="845" t="n"/>
      <c r="U929" s="845" t="n"/>
      <c r="V929" s="845" t="n"/>
      <c r="W929" s="845" t="n"/>
      <c r="X929" s="845" t="n"/>
      <c r="Y929" s="845" t="n"/>
      <c r="Z929" s="845" t="n"/>
    </row>
    <row r="930" ht="13.2" customHeight="1" s="1127">
      <c r="A930" s="845" t="n"/>
      <c r="B930" s="845" t="n"/>
      <c r="C930" s="845" t="n"/>
      <c r="D930" s="845" t="n"/>
      <c r="E930" s="845" t="n"/>
      <c r="F930" s="845" t="n"/>
      <c r="G930" s="879" t="n"/>
      <c r="H930" s="845" t="n"/>
      <c r="I930" s="845" t="n"/>
      <c r="J930" s="845" t="n"/>
      <c r="K930" s="845" t="n"/>
      <c r="L930" s="845" t="n"/>
      <c r="M930" s="845" t="n"/>
      <c r="N930" s="845" t="n"/>
      <c r="O930" s="845" t="n"/>
      <c r="P930" s="845" t="n"/>
      <c r="Q930" s="845" t="n"/>
      <c r="R930" s="845" t="n"/>
      <c r="S930" s="845" t="n"/>
      <c r="T930" s="845" t="n"/>
      <c r="U930" s="845" t="n"/>
      <c r="V930" s="845" t="n"/>
      <c r="W930" s="845" t="n"/>
      <c r="X930" s="845" t="n"/>
      <c r="Y930" s="845" t="n"/>
      <c r="Z930" s="845" t="n"/>
    </row>
    <row r="931" ht="13.2" customHeight="1" s="1127">
      <c r="A931" s="845" t="n"/>
      <c r="B931" s="845" t="n"/>
      <c r="C931" s="845" t="n"/>
      <c r="D931" s="845" t="n"/>
      <c r="E931" s="845" t="n"/>
      <c r="F931" s="845" t="n"/>
      <c r="G931" s="879" t="n"/>
      <c r="H931" s="845" t="n"/>
      <c r="I931" s="845" t="n"/>
      <c r="J931" s="845" t="n"/>
      <c r="K931" s="845" t="n"/>
      <c r="L931" s="845" t="n"/>
      <c r="M931" s="845" t="n"/>
      <c r="N931" s="845" t="n"/>
      <c r="O931" s="845" t="n"/>
      <c r="P931" s="845" t="n"/>
      <c r="Q931" s="845" t="n"/>
      <c r="R931" s="845" t="n"/>
      <c r="S931" s="845" t="n"/>
      <c r="T931" s="845" t="n"/>
      <c r="U931" s="845" t="n"/>
      <c r="V931" s="845" t="n"/>
      <c r="W931" s="845" t="n"/>
      <c r="X931" s="845" t="n"/>
      <c r="Y931" s="845" t="n"/>
      <c r="Z931" s="845" t="n"/>
    </row>
    <row r="932" ht="13.2" customHeight="1" s="1127">
      <c r="A932" s="845" t="n"/>
      <c r="B932" s="845" t="n"/>
      <c r="C932" s="845" t="n"/>
      <c r="D932" s="845" t="n"/>
      <c r="E932" s="845" t="n"/>
      <c r="F932" s="845" t="n"/>
      <c r="G932" s="879" t="n"/>
      <c r="H932" s="845" t="n"/>
      <c r="I932" s="845" t="n"/>
      <c r="J932" s="845" t="n"/>
      <c r="K932" s="845" t="n"/>
      <c r="L932" s="845" t="n"/>
      <c r="M932" s="845" t="n"/>
      <c r="N932" s="845" t="n"/>
      <c r="O932" s="845" t="n"/>
      <c r="P932" s="845" t="n"/>
      <c r="Q932" s="845" t="n"/>
      <c r="R932" s="845" t="n"/>
      <c r="S932" s="845" t="n"/>
      <c r="T932" s="845" t="n"/>
      <c r="U932" s="845" t="n"/>
      <c r="V932" s="845" t="n"/>
      <c r="W932" s="845" t="n"/>
      <c r="X932" s="845" t="n"/>
      <c r="Y932" s="845" t="n"/>
      <c r="Z932" s="845" t="n"/>
    </row>
    <row r="933" ht="13.2" customHeight="1" s="1127">
      <c r="A933" s="845" t="n"/>
      <c r="B933" s="845" t="n"/>
      <c r="C933" s="845" t="n"/>
      <c r="D933" s="845" t="n"/>
      <c r="E933" s="845" t="n"/>
      <c r="F933" s="845" t="n"/>
      <c r="G933" s="879" t="n"/>
      <c r="H933" s="845" t="n"/>
      <c r="I933" s="845" t="n"/>
      <c r="J933" s="845" t="n"/>
      <c r="K933" s="845" t="n"/>
      <c r="L933" s="845" t="n"/>
      <c r="M933" s="845" t="n"/>
      <c r="N933" s="845" t="n"/>
      <c r="O933" s="845" t="n"/>
      <c r="P933" s="845" t="n"/>
      <c r="Q933" s="845" t="n"/>
      <c r="R933" s="845" t="n"/>
      <c r="S933" s="845" t="n"/>
      <c r="T933" s="845" t="n"/>
      <c r="U933" s="845" t="n"/>
      <c r="V933" s="845" t="n"/>
      <c r="W933" s="845" t="n"/>
      <c r="X933" s="845" t="n"/>
      <c r="Y933" s="845" t="n"/>
      <c r="Z933" s="845" t="n"/>
    </row>
    <row r="934" ht="13.2" customHeight="1" s="1127">
      <c r="A934" s="845" t="n"/>
      <c r="B934" s="845" t="n"/>
      <c r="C934" s="845" t="n"/>
      <c r="D934" s="845" t="n"/>
      <c r="E934" s="845" t="n"/>
      <c r="F934" s="845" t="n"/>
      <c r="G934" s="879" t="n"/>
      <c r="H934" s="845" t="n"/>
      <c r="I934" s="845" t="n"/>
      <c r="J934" s="845" t="n"/>
      <c r="K934" s="845" t="n"/>
      <c r="L934" s="845" t="n"/>
      <c r="M934" s="845" t="n"/>
      <c r="N934" s="845" t="n"/>
      <c r="O934" s="845" t="n"/>
      <c r="P934" s="845" t="n"/>
      <c r="Q934" s="845" t="n"/>
      <c r="R934" s="845" t="n"/>
      <c r="S934" s="845" t="n"/>
      <c r="T934" s="845" t="n"/>
      <c r="U934" s="845" t="n"/>
      <c r="V934" s="845" t="n"/>
      <c r="W934" s="845" t="n"/>
      <c r="X934" s="845" t="n"/>
      <c r="Y934" s="845" t="n"/>
      <c r="Z934" s="845" t="n"/>
    </row>
    <row r="935" ht="13.2" customHeight="1" s="1127">
      <c r="A935" s="845" t="n"/>
      <c r="B935" s="845" t="n"/>
      <c r="C935" s="845" t="n"/>
      <c r="D935" s="845" t="n"/>
      <c r="E935" s="845" t="n"/>
      <c r="F935" s="845" t="n"/>
      <c r="G935" s="879" t="n"/>
      <c r="H935" s="845" t="n"/>
      <c r="I935" s="845" t="n"/>
      <c r="J935" s="845" t="n"/>
      <c r="K935" s="845" t="n"/>
      <c r="L935" s="845" t="n"/>
      <c r="M935" s="845" t="n"/>
      <c r="N935" s="845" t="n"/>
      <c r="O935" s="845" t="n"/>
      <c r="P935" s="845" t="n"/>
      <c r="Q935" s="845" t="n"/>
      <c r="R935" s="845" t="n"/>
      <c r="S935" s="845" t="n"/>
      <c r="T935" s="845" t="n"/>
      <c r="U935" s="845" t="n"/>
      <c r="V935" s="845" t="n"/>
      <c r="W935" s="845" t="n"/>
      <c r="X935" s="845" t="n"/>
      <c r="Y935" s="845" t="n"/>
      <c r="Z935" s="845" t="n"/>
    </row>
    <row r="936" ht="13.2" customHeight="1" s="1127">
      <c r="A936" s="845" t="n"/>
      <c r="B936" s="845" t="n"/>
      <c r="C936" s="845" t="n"/>
      <c r="D936" s="845" t="n"/>
      <c r="E936" s="845" t="n"/>
      <c r="F936" s="845" t="n"/>
      <c r="G936" s="879" t="n"/>
      <c r="H936" s="845" t="n"/>
      <c r="I936" s="845" t="n"/>
      <c r="J936" s="845" t="n"/>
      <c r="K936" s="845" t="n"/>
      <c r="L936" s="845" t="n"/>
      <c r="M936" s="845" t="n"/>
      <c r="N936" s="845" t="n"/>
      <c r="O936" s="845" t="n"/>
      <c r="P936" s="845" t="n"/>
      <c r="Q936" s="845" t="n"/>
      <c r="R936" s="845" t="n"/>
      <c r="S936" s="845" t="n"/>
      <c r="T936" s="845" t="n"/>
      <c r="U936" s="845" t="n"/>
      <c r="V936" s="845" t="n"/>
      <c r="W936" s="845" t="n"/>
      <c r="X936" s="845" t="n"/>
      <c r="Y936" s="845" t="n"/>
      <c r="Z936" s="845" t="n"/>
    </row>
    <row r="937" ht="13.2" customHeight="1" s="1127">
      <c r="A937" s="845" t="n"/>
      <c r="B937" s="845" t="n"/>
      <c r="C937" s="845" t="n"/>
      <c r="D937" s="845" t="n"/>
      <c r="E937" s="845" t="n"/>
      <c r="F937" s="845" t="n"/>
      <c r="G937" s="879" t="n"/>
      <c r="H937" s="845" t="n"/>
      <c r="I937" s="845" t="n"/>
      <c r="J937" s="845" t="n"/>
      <c r="K937" s="845" t="n"/>
      <c r="L937" s="845" t="n"/>
      <c r="M937" s="845" t="n"/>
      <c r="N937" s="845" t="n"/>
      <c r="O937" s="845" t="n"/>
      <c r="P937" s="845" t="n"/>
      <c r="Q937" s="845" t="n"/>
      <c r="R937" s="845" t="n"/>
      <c r="S937" s="845" t="n"/>
      <c r="T937" s="845" t="n"/>
      <c r="U937" s="845" t="n"/>
      <c r="V937" s="845" t="n"/>
      <c r="W937" s="845" t="n"/>
      <c r="X937" s="845" t="n"/>
      <c r="Y937" s="845" t="n"/>
      <c r="Z937" s="845" t="n"/>
    </row>
    <row r="938" ht="13.2" customHeight="1" s="1127">
      <c r="A938" s="845" t="n"/>
      <c r="B938" s="845" t="n"/>
      <c r="C938" s="845" t="n"/>
      <c r="D938" s="845" t="n"/>
      <c r="E938" s="845" t="n"/>
      <c r="F938" s="845" t="n"/>
      <c r="G938" s="879" t="n"/>
      <c r="H938" s="845" t="n"/>
      <c r="I938" s="845" t="n"/>
      <c r="J938" s="845" t="n"/>
      <c r="K938" s="845" t="n"/>
      <c r="L938" s="845" t="n"/>
      <c r="M938" s="845" t="n"/>
      <c r="N938" s="845" t="n"/>
      <c r="O938" s="845" t="n"/>
      <c r="P938" s="845" t="n"/>
      <c r="Q938" s="845" t="n"/>
      <c r="R938" s="845" t="n"/>
      <c r="S938" s="845" t="n"/>
      <c r="T938" s="845" t="n"/>
      <c r="U938" s="845" t="n"/>
      <c r="V938" s="845" t="n"/>
      <c r="W938" s="845" t="n"/>
      <c r="X938" s="845" t="n"/>
      <c r="Y938" s="845" t="n"/>
      <c r="Z938" s="845" t="n"/>
    </row>
    <row r="939" ht="13.2" customHeight="1" s="1127">
      <c r="A939" s="845" t="n"/>
      <c r="B939" s="845" t="n"/>
      <c r="C939" s="845" t="n"/>
      <c r="D939" s="845" t="n"/>
      <c r="E939" s="845" t="n"/>
      <c r="F939" s="845" t="n"/>
      <c r="G939" s="879" t="n"/>
      <c r="H939" s="845" t="n"/>
      <c r="I939" s="845" t="n"/>
      <c r="J939" s="845" t="n"/>
      <c r="K939" s="845" t="n"/>
      <c r="L939" s="845" t="n"/>
      <c r="M939" s="845" t="n"/>
      <c r="N939" s="845" t="n"/>
      <c r="O939" s="845" t="n"/>
      <c r="P939" s="845" t="n"/>
      <c r="Q939" s="845" t="n"/>
      <c r="R939" s="845" t="n"/>
      <c r="S939" s="845" t="n"/>
      <c r="T939" s="845" t="n"/>
      <c r="U939" s="845" t="n"/>
      <c r="V939" s="845" t="n"/>
      <c r="W939" s="845" t="n"/>
      <c r="X939" s="845" t="n"/>
      <c r="Y939" s="845" t="n"/>
      <c r="Z939" s="845" t="n"/>
    </row>
    <row r="940" ht="13.2" customHeight="1" s="1127">
      <c r="A940" s="845" t="n"/>
      <c r="B940" s="845" t="n"/>
      <c r="C940" s="845" t="n"/>
      <c r="D940" s="845" t="n"/>
      <c r="E940" s="845" t="n"/>
      <c r="F940" s="845" t="n"/>
      <c r="G940" s="879" t="n"/>
      <c r="H940" s="845" t="n"/>
      <c r="I940" s="845" t="n"/>
      <c r="J940" s="845" t="n"/>
      <c r="K940" s="845" t="n"/>
      <c r="L940" s="845" t="n"/>
      <c r="M940" s="845" t="n"/>
      <c r="N940" s="845" t="n"/>
      <c r="O940" s="845" t="n"/>
      <c r="P940" s="845" t="n"/>
      <c r="Q940" s="845" t="n"/>
      <c r="R940" s="845" t="n"/>
      <c r="S940" s="845" t="n"/>
      <c r="T940" s="845" t="n"/>
      <c r="U940" s="845" t="n"/>
      <c r="V940" s="845" t="n"/>
      <c r="W940" s="845" t="n"/>
      <c r="X940" s="845" t="n"/>
      <c r="Y940" s="845" t="n"/>
      <c r="Z940" s="845" t="n"/>
    </row>
    <row r="941" ht="13.2" customHeight="1" s="1127">
      <c r="A941" s="845" t="n"/>
      <c r="B941" s="845" t="n"/>
      <c r="C941" s="845" t="n"/>
      <c r="D941" s="845" t="n"/>
      <c r="E941" s="845" t="n"/>
      <c r="F941" s="845" t="n"/>
      <c r="G941" s="879" t="n"/>
      <c r="H941" s="845" t="n"/>
      <c r="I941" s="845" t="n"/>
      <c r="J941" s="845" t="n"/>
      <c r="K941" s="845" t="n"/>
      <c r="L941" s="845" t="n"/>
      <c r="M941" s="845" t="n"/>
      <c r="N941" s="845" t="n"/>
      <c r="O941" s="845" t="n"/>
      <c r="P941" s="845" t="n"/>
      <c r="Q941" s="845" t="n"/>
      <c r="R941" s="845" t="n"/>
      <c r="S941" s="845" t="n"/>
      <c r="T941" s="845" t="n"/>
      <c r="U941" s="845" t="n"/>
      <c r="V941" s="845" t="n"/>
      <c r="W941" s="845" t="n"/>
      <c r="X941" s="845" t="n"/>
      <c r="Y941" s="845" t="n"/>
      <c r="Z941" s="845" t="n"/>
    </row>
    <row r="942" ht="13.2" customHeight="1" s="1127">
      <c r="A942" s="845" t="n"/>
      <c r="B942" s="845" t="n"/>
      <c r="C942" s="845" t="n"/>
      <c r="D942" s="845" t="n"/>
      <c r="E942" s="845" t="n"/>
      <c r="F942" s="845" t="n"/>
      <c r="G942" s="879" t="n"/>
      <c r="H942" s="845" t="n"/>
      <c r="I942" s="845" t="n"/>
      <c r="J942" s="845" t="n"/>
      <c r="K942" s="845" t="n"/>
      <c r="L942" s="845" t="n"/>
      <c r="M942" s="845" t="n"/>
      <c r="N942" s="845" t="n"/>
      <c r="O942" s="845" t="n"/>
      <c r="P942" s="845" t="n"/>
      <c r="Q942" s="845" t="n"/>
      <c r="R942" s="845" t="n"/>
      <c r="S942" s="845" t="n"/>
      <c r="T942" s="845" t="n"/>
      <c r="U942" s="845" t="n"/>
      <c r="V942" s="845" t="n"/>
      <c r="W942" s="845" t="n"/>
      <c r="X942" s="845" t="n"/>
      <c r="Y942" s="845" t="n"/>
      <c r="Z942" s="845" t="n"/>
    </row>
    <row r="943" ht="13.2" customHeight="1" s="1127">
      <c r="A943" s="845" t="n"/>
      <c r="B943" s="845" t="n"/>
      <c r="C943" s="845" t="n"/>
      <c r="D943" s="845" t="n"/>
      <c r="E943" s="845" t="n"/>
      <c r="F943" s="845" t="n"/>
      <c r="G943" s="879" t="n"/>
      <c r="H943" s="845" t="n"/>
      <c r="I943" s="845" t="n"/>
      <c r="J943" s="845" t="n"/>
      <c r="K943" s="845" t="n"/>
      <c r="L943" s="845" t="n"/>
      <c r="M943" s="845" t="n"/>
      <c r="N943" s="845" t="n"/>
      <c r="O943" s="845" t="n"/>
      <c r="P943" s="845" t="n"/>
      <c r="Q943" s="845" t="n"/>
      <c r="R943" s="845" t="n"/>
      <c r="S943" s="845" t="n"/>
      <c r="T943" s="845" t="n"/>
      <c r="U943" s="845" t="n"/>
      <c r="V943" s="845" t="n"/>
      <c r="W943" s="845" t="n"/>
      <c r="X943" s="845" t="n"/>
      <c r="Y943" s="845" t="n"/>
      <c r="Z943" s="845" t="n"/>
    </row>
    <row r="944" ht="13.2" customHeight="1" s="1127">
      <c r="A944" s="845" t="n"/>
      <c r="B944" s="845" t="n"/>
      <c r="C944" s="845" t="n"/>
      <c r="D944" s="845" t="n"/>
      <c r="E944" s="845" t="n"/>
      <c r="F944" s="845" t="n"/>
      <c r="G944" s="879" t="n"/>
      <c r="H944" s="845" t="n"/>
      <c r="I944" s="845" t="n"/>
      <c r="J944" s="845" t="n"/>
      <c r="K944" s="845" t="n"/>
      <c r="L944" s="845" t="n"/>
      <c r="M944" s="845" t="n"/>
      <c r="N944" s="845" t="n"/>
      <c r="O944" s="845" t="n"/>
      <c r="P944" s="845" t="n"/>
      <c r="Q944" s="845" t="n"/>
      <c r="R944" s="845" t="n"/>
      <c r="S944" s="845" t="n"/>
      <c r="T944" s="845" t="n"/>
      <c r="U944" s="845" t="n"/>
      <c r="V944" s="845" t="n"/>
      <c r="W944" s="845" t="n"/>
      <c r="X944" s="845" t="n"/>
      <c r="Y944" s="845" t="n"/>
      <c r="Z944" s="845" t="n"/>
    </row>
    <row r="945" ht="13.2" customHeight="1" s="1127">
      <c r="A945" s="845" t="n"/>
      <c r="B945" s="845" t="n"/>
      <c r="C945" s="845" t="n"/>
      <c r="D945" s="845" t="n"/>
      <c r="E945" s="845" t="n"/>
      <c r="F945" s="845" t="n"/>
      <c r="G945" s="879" t="n"/>
      <c r="H945" s="845" t="n"/>
      <c r="I945" s="845" t="n"/>
      <c r="J945" s="845" t="n"/>
      <c r="K945" s="845" t="n"/>
      <c r="L945" s="845" t="n"/>
      <c r="M945" s="845" t="n"/>
      <c r="N945" s="845" t="n"/>
      <c r="O945" s="845" t="n"/>
      <c r="P945" s="845" t="n"/>
      <c r="Q945" s="845" t="n"/>
      <c r="R945" s="845" t="n"/>
      <c r="S945" s="845" t="n"/>
      <c r="T945" s="845" t="n"/>
      <c r="U945" s="845" t="n"/>
      <c r="V945" s="845" t="n"/>
      <c r="W945" s="845" t="n"/>
      <c r="X945" s="845" t="n"/>
      <c r="Y945" s="845" t="n"/>
      <c r="Z945" s="845" t="n"/>
    </row>
    <row r="946" ht="13.2" customHeight="1" s="1127">
      <c r="A946" s="845" t="n"/>
      <c r="B946" s="845" t="n"/>
      <c r="C946" s="845" t="n"/>
      <c r="D946" s="845" t="n"/>
      <c r="E946" s="845" t="n"/>
      <c r="F946" s="845" t="n"/>
      <c r="G946" s="879" t="n"/>
      <c r="H946" s="845" t="n"/>
      <c r="I946" s="845" t="n"/>
      <c r="J946" s="845" t="n"/>
      <c r="K946" s="845" t="n"/>
      <c r="L946" s="845" t="n"/>
      <c r="M946" s="845" t="n"/>
      <c r="N946" s="845" t="n"/>
      <c r="O946" s="845" t="n"/>
      <c r="P946" s="845" t="n"/>
      <c r="Q946" s="845" t="n"/>
      <c r="R946" s="845" t="n"/>
      <c r="S946" s="845" t="n"/>
      <c r="T946" s="845" t="n"/>
      <c r="U946" s="845" t="n"/>
      <c r="V946" s="845" t="n"/>
      <c r="W946" s="845" t="n"/>
      <c r="X946" s="845" t="n"/>
      <c r="Y946" s="845" t="n"/>
      <c r="Z946" s="845" t="n"/>
    </row>
    <row r="947" ht="13.2" customHeight="1" s="1127">
      <c r="A947" s="845" t="n"/>
      <c r="B947" s="845" t="n"/>
      <c r="C947" s="845" t="n"/>
      <c r="D947" s="845" t="n"/>
      <c r="E947" s="845" t="n"/>
      <c r="F947" s="845" t="n"/>
      <c r="G947" s="879" t="n"/>
      <c r="H947" s="845" t="n"/>
      <c r="I947" s="845" t="n"/>
      <c r="J947" s="845" t="n"/>
      <c r="K947" s="845" t="n"/>
      <c r="L947" s="845" t="n"/>
      <c r="M947" s="845" t="n"/>
      <c r="N947" s="845" t="n"/>
      <c r="O947" s="845" t="n"/>
      <c r="P947" s="845" t="n"/>
      <c r="Q947" s="845" t="n"/>
      <c r="R947" s="845" t="n"/>
      <c r="S947" s="845" t="n"/>
      <c r="T947" s="845" t="n"/>
      <c r="U947" s="845" t="n"/>
      <c r="V947" s="845" t="n"/>
      <c r="W947" s="845" t="n"/>
      <c r="X947" s="845" t="n"/>
      <c r="Y947" s="845" t="n"/>
      <c r="Z947" s="845" t="n"/>
    </row>
    <row r="948" ht="13.2" customHeight="1" s="1127">
      <c r="A948" s="845" t="n"/>
      <c r="B948" s="845" t="n"/>
      <c r="C948" s="845" t="n"/>
      <c r="D948" s="845" t="n"/>
      <c r="E948" s="845" t="n"/>
      <c r="F948" s="845" t="n"/>
      <c r="G948" s="879" t="n"/>
      <c r="H948" s="845" t="n"/>
      <c r="I948" s="845" t="n"/>
      <c r="J948" s="845" t="n"/>
      <c r="K948" s="845" t="n"/>
      <c r="L948" s="845" t="n"/>
      <c r="M948" s="845" t="n"/>
      <c r="N948" s="845" t="n"/>
      <c r="O948" s="845" t="n"/>
      <c r="P948" s="845" t="n"/>
      <c r="Q948" s="845" t="n"/>
      <c r="R948" s="845" t="n"/>
      <c r="S948" s="845" t="n"/>
      <c r="T948" s="845" t="n"/>
      <c r="U948" s="845" t="n"/>
      <c r="V948" s="845" t="n"/>
      <c r="W948" s="845" t="n"/>
      <c r="X948" s="845" t="n"/>
      <c r="Y948" s="845" t="n"/>
      <c r="Z948" s="845" t="n"/>
    </row>
    <row r="949" ht="13.2" customHeight="1" s="1127">
      <c r="A949" s="845" t="n"/>
      <c r="B949" s="845" t="n"/>
      <c r="C949" s="845" t="n"/>
      <c r="D949" s="845" t="n"/>
      <c r="E949" s="845" t="n"/>
      <c r="F949" s="845" t="n"/>
      <c r="G949" s="879" t="n"/>
      <c r="H949" s="845" t="n"/>
      <c r="I949" s="845" t="n"/>
      <c r="J949" s="845" t="n"/>
      <c r="K949" s="845" t="n"/>
      <c r="L949" s="845" t="n"/>
      <c r="M949" s="845" t="n"/>
      <c r="N949" s="845" t="n"/>
      <c r="O949" s="845" t="n"/>
      <c r="P949" s="845" t="n"/>
      <c r="Q949" s="845" t="n"/>
      <c r="R949" s="845" t="n"/>
      <c r="S949" s="845" t="n"/>
      <c r="T949" s="845" t="n"/>
      <c r="U949" s="845" t="n"/>
      <c r="V949" s="845" t="n"/>
      <c r="W949" s="845" t="n"/>
      <c r="X949" s="845" t="n"/>
      <c r="Y949" s="845" t="n"/>
      <c r="Z949" s="845" t="n"/>
    </row>
    <row r="950" ht="13.2" customHeight="1" s="1127">
      <c r="A950" s="845" t="n"/>
      <c r="B950" s="845" t="n"/>
      <c r="C950" s="845" t="n"/>
      <c r="D950" s="845" t="n"/>
      <c r="E950" s="845" t="n"/>
      <c r="F950" s="845" t="n"/>
      <c r="G950" s="879" t="n"/>
      <c r="H950" s="845" t="n"/>
      <c r="I950" s="845" t="n"/>
      <c r="J950" s="845" t="n"/>
      <c r="K950" s="845" t="n"/>
      <c r="L950" s="845" t="n"/>
      <c r="M950" s="845" t="n"/>
      <c r="N950" s="845" t="n"/>
      <c r="O950" s="845" t="n"/>
      <c r="P950" s="845" t="n"/>
      <c r="Q950" s="845" t="n"/>
      <c r="R950" s="845" t="n"/>
      <c r="S950" s="845" t="n"/>
      <c r="T950" s="845" t="n"/>
      <c r="U950" s="845" t="n"/>
      <c r="V950" s="845" t="n"/>
      <c r="W950" s="845" t="n"/>
      <c r="X950" s="845" t="n"/>
      <c r="Y950" s="845" t="n"/>
      <c r="Z950" s="845" t="n"/>
    </row>
    <row r="951" ht="13.2" customHeight="1" s="1127">
      <c r="A951" s="845" t="n"/>
      <c r="B951" s="845" t="n"/>
      <c r="C951" s="845" t="n"/>
      <c r="D951" s="845" t="n"/>
      <c r="E951" s="845" t="n"/>
      <c r="F951" s="845" t="n"/>
      <c r="G951" s="879" t="n"/>
      <c r="H951" s="845" t="n"/>
      <c r="I951" s="845" t="n"/>
      <c r="J951" s="845" t="n"/>
      <c r="K951" s="845" t="n"/>
      <c r="L951" s="845" t="n"/>
      <c r="M951" s="845" t="n"/>
      <c r="N951" s="845" t="n"/>
      <c r="O951" s="845" t="n"/>
      <c r="P951" s="845" t="n"/>
      <c r="Q951" s="845" t="n"/>
      <c r="R951" s="845" t="n"/>
      <c r="S951" s="845" t="n"/>
      <c r="T951" s="845" t="n"/>
      <c r="U951" s="845" t="n"/>
      <c r="V951" s="845" t="n"/>
      <c r="W951" s="845" t="n"/>
      <c r="X951" s="845" t="n"/>
      <c r="Y951" s="845" t="n"/>
      <c r="Z951" s="845" t="n"/>
    </row>
    <row r="952" ht="13.2" customHeight="1" s="1127">
      <c r="A952" s="845" t="n"/>
      <c r="B952" s="845" t="n"/>
      <c r="C952" s="845" t="n"/>
      <c r="D952" s="845" t="n"/>
      <c r="E952" s="845" t="n"/>
      <c r="F952" s="845" t="n"/>
      <c r="G952" s="879" t="n"/>
      <c r="H952" s="845" t="n"/>
      <c r="I952" s="845" t="n"/>
      <c r="J952" s="845" t="n"/>
      <c r="K952" s="845" t="n"/>
      <c r="L952" s="845" t="n"/>
      <c r="M952" s="845" t="n"/>
      <c r="N952" s="845" t="n"/>
      <c r="O952" s="845" t="n"/>
      <c r="P952" s="845" t="n"/>
      <c r="Q952" s="845" t="n"/>
      <c r="R952" s="845" t="n"/>
      <c r="S952" s="845" t="n"/>
      <c r="T952" s="845" t="n"/>
      <c r="U952" s="845" t="n"/>
      <c r="V952" s="845" t="n"/>
      <c r="W952" s="845" t="n"/>
      <c r="X952" s="845" t="n"/>
      <c r="Y952" s="845" t="n"/>
      <c r="Z952" s="845" t="n"/>
    </row>
    <row r="953" ht="13.2" customHeight="1" s="1127">
      <c r="A953" s="845" t="n"/>
      <c r="B953" s="845" t="n"/>
      <c r="C953" s="845" t="n"/>
      <c r="D953" s="845" t="n"/>
      <c r="E953" s="845" t="n"/>
      <c r="F953" s="845" t="n"/>
      <c r="G953" s="879" t="n"/>
      <c r="H953" s="845" t="n"/>
      <c r="I953" s="845" t="n"/>
      <c r="J953" s="845" t="n"/>
      <c r="K953" s="845" t="n"/>
      <c r="L953" s="845" t="n"/>
      <c r="M953" s="845" t="n"/>
      <c r="N953" s="845" t="n"/>
      <c r="O953" s="845" t="n"/>
      <c r="P953" s="845" t="n"/>
      <c r="Q953" s="845" t="n"/>
      <c r="R953" s="845" t="n"/>
      <c r="S953" s="845" t="n"/>
      <c r="T953" s="845" t="n"/>
      <c r="U953" s="845" t="n"/>
      <c r="V953" s="845" t="n"/>
      <c r="W953" s="845" t="n"/>
      <c r="X953" s="845" t="n"/>
      <c r="Y953" s="845" t="n"/>
      <c r="Z953" s="845" t="n"/>
    </row>
    <row r="954" ht="13.2" customHeight="1" s="1127">
      <c r="A954" s="845" t="n"/>
      <c r="B954" s="845" t="n"/>
      <c r="C954" s="845" t="n"/>
      <c r="D954" s="845" t="n"/>
      <c r="E954" s="845" t="n"/>
      <c r="F954" s="845" t="n"/>
      <c r="G954" s="879" t="n"/>
      <c r="H954" s="845" t="n"/>
      <c r="I954" s="845" t="n"/>
      <c r="J954" s="845" t="n"/>
      <c r="K954" s="845" t="n"/>
      <c r="L954" s="845" t="n"/>
      <c r="M954" s="845" t="n"/>
      <c r="N954" s="845" t="n"/>
      <c r="O954" s="845" t="n"/>
      <c r="P954" s="845" t="n"/>
      <c r="Q954" s="845" t="n"/>
      <c r="R954" s="845" t="n"/>
      <c r="S954" s="845" t="n"/>
      <c r="T954" s="845" t="n"/>
      <c r="U954" s="845" t="n"/>
      <c r="V954" s="845" t="n"/>
      <c r="W954" s="845" t="n"/>
      <c r="X954" s="845" t="n"/>
      <c r="Y954" s="845" t="n"/>
      <c r="Z954" s="845" t="n"/>
    </row>
    <row r="955" ht="13.2" customHeight="1" s="1127">
      <c r="A955" s="845" t="n"/>
      <c r="B955" s="845" t="n"/>
      <c r="C955" s="845" t="n"/>
      <c r="D955" s="845" t="n"/>
      <c r="E955" s="845" t="n"/>
      <c r="F955" s="845" t="n"/>
      <c r="G955" s="879" t="n"/>
      <c r="H955" s="845" t="n"/>
      <c r="I955" s="845" t="n"/>
      <c r="J955" s="845" t="n"/>
      <c r="K955" s="845" t="n"/>
      <c r="L955" s="845" t="n"/>
      <c r="M955" s="845" t="n"/>
      <c r="N955" s="845" t="n"/>
      <c r="O955" s="845" t="n"/>
      <c r="P955" s="845" t="n"/>
      <c r="Q955" s="845" t="n"/>
      <c r="R955" s="845" t="n"/>
      <c r="S955" s="845" t="n"/>
      <c r="T955" s="845" t="n"/>
      <c r="U955" s="845" t="n"/>
      <c r="V955" s="845" t="n"/>
      <c r="W955" s="845" t="n"/>
      <c r="X955" s="845" t="n"/>
      <c r="Y955" s="845" t="n"/>
      <c r="Z955" s="845" t="n"/>
    </row>
    <row r="956" ht="13.2" customHeight="1" s="1127">
      <c r="A956" s="845" t="n"/>
      <c r="B956" s="845" t="n"/>
      <c r="C956" s="845" t="n"/>
      <c r="D956" s="845" t="n"/>
      <c r="E956" s="845" t="n"/>
      <c r="F956" s="845" t="n"/>
      <c r="G956" s="879" t="n"/>
      <c r="H956" s="845" t="n"/>
      <c r="I956" s="845" t="n"/>
      <c r="J956" s="845" t="n"/>
      <c r="K956" s="845" t="n"/>
      <c r="L956" s="845" t="n"/>
      <c r="M956" s="845" t="n"/>
      <c r="N956" s="845" t="n"/>
      <c r="O956" s="845" t="n"/>
      <c r="P956" s="845" t="n"/>
      <c r="Q956" s="845" t="n"/>
      <c r="R956" s="845" t="n"/>
      <c r="S956" s="845" t="n"/>
      <c r="T956" s="845" t="n"/>
      <c r="U956" s="845" t="n"/>
      <c r="V956" s="845" t="n"/>
      <c r="W956" s="845" t="n"/>
      <c r="X956" s="845" t="n"/>
      <c r="Y956" s="845" t="n"/>
      <c r="Z956" s="845" t="n"/>
    </row>
    <row r="957" ht="13.2" customHeight="1" s="1127">
      <c r="A957" s="845" t="n"/>
      <c r="B957" s="845" t="n"/>
      <c r="C957" s="845" t="n"/>
      <c r="D957" s="845" t="n"/>
      <c r="E957" s="845" t="n"/>
      <c r="F957" s="845" t="n"/>
      <c r="G957" s="879" t="n"/>
      <c r="H957" s="845" t="n"/>
      <c r="I957" s="845" t="n"/>
      <c r="J957" s="845" t="n"/>
      <c r="K957" s="845" t="n"/>
      <c r="L957" s="845" t="n"/>
      <c r="M957" s="845" t="n"/>
      <c r="N957" s="845" t="n"/>
      <c r="O957" s="845" t="n"/>
      <c r="P957" s="845" t="n"/>
      <c r="Q957" s="845" t="n"/>
      <c r="R957" s="845" t="n"/>
      <c r="S957" s="845" t="n"/>
      <c r="T957" s="845" t="n"/>
      <c r="U957" s="845" t="n"/>
      <c r="V957" s="845" t="n"/>
      <c r="W957" s="845" t="n"/>
      <c r="X957" s="845" t="n"/>
      <c r="Y957" s="845" t="n"/>
      <c r="Z957" s="845" t="n"/>
    </row>
    <row r="958" ht="13.2" customHeight="1" s="1127">
      <c r="A958" s="845" t="n"/>
      <c r="B958" s="845" t="n"/>
      <c r="C958" s="845" t="n"/>
      <c r="D958" s="845" t="n"/>
      <c r="E958" s="845" t="n"/>
      <c r="F958" s="845" t="n"/>
      <c r="G958" s="879" t="n"/>
      <c r="H958" s="845" t="n"/>
      <c r="I958" s="845" t="n"/>
      <c r="J958" s="845" t="n"/>
      <c r="K958" s="845" t="n"/>
      <c r="L958" s="845" t="n"/>
      <c r="M958" s="845" t="n"/>
      <c r="N958" s="845" t="n"/>
      <c r="O958" s="845" t="n"/>
      <c r="P958" s="845" t="n"/>
      <c r="Q958" s="845" t="n"/>
      <c r="R958" s="845" t="n"/>
      <c r="S958" s="845" t="n"/>
      <c r="T958" s="845" t="n"/>
      <c r="U958" s="845" t="n"/>
      <c r="V958" s="845" t="n"/>
      <c r="W958" s="845" t="n"/>
      <c r="X958" s="845" t="n"/>
      <c r="Y958" s="845" t="n"/>
      <c r="Z958" s="845" t="n"/>
    </row>
    <row r="959" ht="13.2" customHeight="1" s="1127">
      <c r="A959" s="845" t="n"/>
      <c r="B959" s="845" t="n"/>
      <c r="C959" s="845" t="n"/>
      <c r="D959" s="845" t="n"/>
      <c r="E959" s="845" t="n"/>
      <c r="F959" s="845" t="n"/>
      <c r="G959" s="879" t="n"/>
      <c r="H959" s="845" t="n"/>
      <c r="I959" s="845" t="n"/>
      <c r="J959" s="845" t="n"/>
      <c r="K959" s="845" t="n"/>
      <c r="L959" s="845" t="n"/>
      <c r="M959" s="845" t="n"/>
      <c r="N959" s="845" t="n"/>
      <c r="O959" s="845" t="n"/>
      <c r="P959" s="845" t="n"/>
      <c r="Q959" s="845" t="n"/>
      <c r="R959" s="845" t="n"/>
      <c r="S959" s="845" t="n"/>
      <c r="T959" s="845" t="n"/>
      <c r="U959" s="845" t="n"/>
      <c r="V959" s="845" t="n"/>
      <c r="W959" s="845" t="n"/>
      <c r="X959" s="845" t="n"/>
      <c r="Y959" s="845" t="n"/>
      <c r="Z959" s="845" t="n"/>
    </row>
    <row r="960" ht="13.2" customHeight="1" s="1127">
      <c r="A960" s="845" t="n"/>
      <c r="B960" s="845" t="n"/>
      <c r="C960" s="845" t="n"/>
      <c r="D960" s="845" t="n"/>
      <c r="E960" s="845" t="n"/>
      <c r="F960" s="845" t="n"/>
      <c r="G960" s="879" t="n"/>
      <c r="H960" s="845" t="n"/>
      <c r="I960" s="845" t="n"/>
      <c r="J960" s="845" t="n"/>
      <c r="K960" s="845" t="n"/>
      <c r="L960" s="845" t="n"/>
      <c r="M960" s="845" t="n"/>
      <c r="N960" s="845" t="n"/>
      <c r="O960" s="845" t="n"/>
      <c r="P960" s="845" t="n"/>
      <c r="Q960" s="845" t="n"/>
      <c r="R960" s="845" t="n"/>
      <c r="S960" s="845" t="n"/>
      <c r="T960" s="845" t="n"/>
      <c r="U960" s="845" t="n"/>
      <c r="V960" s="845" t="n"/>
      <c r="W960" s="845" t="n"/>
      <c r="X960" s="845" t="n"/>
      <c r="Y960" s="845" t="n"/>
      <c r="Z960" s="845" t="n"/>
    </row>
    <row r="961" ht="13.2" customHeight="1" s="1127">
      <c r="A961" s="845" t="n"/>
      <c r="B961" s="845" t="n"/>
      <c r="C961" s="845" t="n"/>
      <c r="D961" s="845" t="n"/>
      <c r="E961" s="845" t="n"/>
      <c r="F961" s="845" t="n"/>
      <c r="G961" s="879" t="n"/>
      <c r="H961" s="845" t="n"/>
      <c r="I961" s="845" t="n"/>
      <c r="J961" s="845" t="n"/>
      <c r="K961" s="845" t="n"/>
      <c r="L961" s="845" t="n"/>
      <c r="M961" s="845" t="n"/>
      <c r="N961" s="845" t="n"/>
      <c r="O961" s="845" t="n"/>
      <c r="P961" s="845" t="n"/>
      <c r="Q961" s="845" t="n"/>
      <c r="R961" s="845" t="n"/>
      <c r="S961" s="845" t="n"/>
      <c r="T961" s="845" t="n"/>
      <c r="U961" s="845" t="n"/>
      <c r="V961" s="845" t="n"/>
      <c r="W961" s="845" t="n"/>
      <c r="X961" s="845" t="n"/>
      <c r="Y961" s="845" t="n"/>
      <c r="Z961" s="845" t="n"/>
    </row>
    <row r="962" ht="13.2" customHeight="1" s="1127">
      <c r="A962" s="845" t="n"/>
      <c r="B962" s="845" t="n"/>
      <c r="C962" s="845" t="n"/>
      <c r="D962" s="845" t="n"/>
      <c r="E962" s="845" t="n"/>
      <c r="F962" s="845" t="n"/>
      <c r="G962" s="879" t="n"/>
      <c r="H962" s="845" t="n"/>
      <c r="I962" s="845" t="n"/>
      <c r="J962" s="845" t="n"/>
      <c r="K962" s="845" t="n"/>
      <c r="L962" s="845" t="n"/>
      <c r="M962" s="845" t="n"/>
      <c r="N962" s="845" t="n"/>
      <c r="O962" s="845" t="n"/>
      <c r="P962" s="845" t="n"/>
      <c r="Q962" s="845" t="n"/>
      <c r="R962" s="845" t="n"/>
      <c r="S962" s="845" t="n"/>
      <c r="T962" s="845" t="n"/>
      <c r="U962" s="845" t="n"/>
      <c r="V962" s="845" t="n"/>
      <c r="W962" s="845" t="n"/>
      <c r="X962" s="845" t="n"/>
      <c r="Y962" s="845" t="n"/>
      <c r="Z962" s="845" t="n"/>
    </row>
    <row r="963" ht="13.2" customHeight="1" s="1127">
      <c r="A963" s="845" t="n"/>
      <c r="B963" s="845" t="n"/>
      <c r="C963" s="845" t="n"/>
      <c r="D963" s="845" t="n"/>
      <c r="E963" s="845" t="n"/>
      <c r="F963" s="845" t="n"/>
      <c r="G963" s="879" t="n"/>
      <c r="H963" s="845" t="n"/>
      <c r="I963" s="845" t="n"/>
      <c r="J963" s="845" t="n"/>
      <c r="K963" s="845" t="n"/>
      <c r="L963" s="845" t="n"/>
      <c r="M963" s="845" t="n"/>
      <c r="N963" s="845" t="n"/>
      <c r="O963" s="845" t="n"/>
      <c r="P963" s="845" t="n"/>
      <c r="Q963" s="845" t="n"/>
      <c r="R963" s="845" t="n"/>
      <c r="S963" s="845" t="n"/>
      <c r="T963" s="845" t="n"/>
      <c r="U963" s="845" t="n"/>
      <c r="V963" s="845" t="n"/>
      <c r="W963" s="845" t="n"/>
      <c r="X963" s="845" t="n"/>
      <c r="Y963" s="845" t="n"/>
      <c r="Z963" s="845" t="n"/>
    </row>
    <row r="964" ht="13.2" customHeight="1" s="1127">
      <c r="A964" s="845" t="n"/>
      <c r="B964" s="845" t="n"/>
      <c r="C964" s="845" t="n"/>
      <c r="D964" s="845" t="n"/>
      <c r="E964" s="845" t="n"/>
      <c r="F964" s="845" t="n"/>
      <c r="G964" s="879" t="n"/>
      <c r="H964" s="845" t="n"/>
      <c r="I964" s="845" t="n"/>
      <c r="J964" s="845" t="n"/>
      <c r="K964" s="845" t="n"/>
      <c r="L964" s="845" t="n"/>
      <c r="M964" s="845" t="n"/>
      <c r="N964" s="845" t="n"/>
      <c r="O964" s="845" t="n"/>
      <c r="P964" s="845" t="n"/>
      <c r="Q964" s="845" t="n"/>
      <c r="R964" s="845" t="n"/>
      <c r="S964" s="845" t="n"/>
      <c r="T964" s="845" t="n"/>
      <c r="U964" s="845" t="n"/>
      <c r="V964" s="845" t="n"/>
      <c r="W964" s="845" t="n"/>
      <c r="X964" s="845" t="n"/>
      <c r="Y964" s="845" t="n"/>
      <c r="Z964" s="845" t="n"/>
    </row>
    <row r="965" ht="13.2" customHeight="1" s="1127">
      <c r="A965" s="845" t="n"/>
      <c r="B965" s="845" t="n"/>
      <c r="C965" s="845" t="n"/>
      <c r="D965" s="845" t="n"/>
      <c r="E965" s="845" t="n"/>
      <c r="F965" s="845" t="n"/>
      <c r="G965" s="879" t="n"/>
      <c r="H965" s="845" t="n"/>
      <c r="I965" s="845" t="n"/>
      <c r="J965" s="845" t="n"/>
      <c r="K965" s="845" t="n"/>
      <c r="L965" s="845" t="n"/>
      <c r="M965" s="845" t="n"/>
      <c r="N965" s="845" t="n"/>
      <c r="O965" s="845" t="n"/>
      <c r="P965" s="845" t="n"/>
      <c r="Q965" s="845" t="n"/>
      <c r="R965" s="845" t="n"/>
      <c r="S965" s="845" t="n"/>
      <c r="T965" s="845" t="n"/>
      <c r="U965" s="845" t="n"/>
      <c r="V965" s="845" t="n"/>
      <c r="W965" s="845" t="n"/>
      <c r="X965" s="845" t="n"/>
      <c r="Y965" s="845" t="n"/>
      <c r="Z965" s="845" t="n"/>
    </row>
    <row r="966" ht="13.2" customHeight="1" s="1127">
      <c r="A966" s="845" t="n"/>
      <c r="B966" s="845" t="n"/>
      <c r="C966" s="845" t="n"/>
      <c r="D966" s="845" t="n"/>
      <c r="E966" s="845" t="n"/>
      <c r="F966" s="845" t="n"/>
      <c r="G966" s="879" t="n"/>
      <c r="H966" s="845" t="n"/>
      <c r="I966" s="845" t="n"/>
      <c r="J966" s="845" t="n"/>
      <c r="K966" s="845" t="n"/>
      <c r="L966" s="845" t="n"/>
      <c r="M966" s="845" t="n"/>
      <c r="N966" s="845" t="n"/>
      <c r="O966" s="845" t="n"/>
      <c r="P966" s="845" t="n"/>
      <c r="Q966" s="845" t="n"/>
      <c r="R966" s="845" t="n"/>
      <c r="S966" s="845" t="n"/>
      <c r="T966" s="845" t="n"/>
      <c r="U966" s="845" t="n"/>
      <c r="V966" s="845" t="n"/>
      <c r="W966" s="845" t="n"/>
      <c r="X966" s="845" t="n"/>
      <c r="Y966" s="845" t="n"/>
      <c r="Z966" s="845" t="n"/>
    </row>
    <row r="967" ht="13.2" customHeight="1" s="1127">
      <c r="A967" s="845" t="n"/>
      <c r="B967" s="845" t="n"/>
      <c r="C967" s="845" t="n"/>
      <c r="D967" s="845" t="n"/>
      <c r="E967" s="845" t="n"/>
      <c r="F967" s="845" t="n"/>
      <c r="G967" s="879" t="n"/>
      <c r="H967" s="845" t="n"/>
      <c r="I967" s="845" t="n"/>
      <c r="J967" s="845" t="n"/>
      <c r="K967" s="845" t="n"/>
      <c r="L967" s="845" t="n"/>
      <c r="M967" s="845" t="n"/>
      <c r="N967" s="845" t="n"/>
      <c r="O967" s="845" t="n"/>
      <c r="P967" s="845" t="n"/>
      <c r="Q967" s="845" t="n"/>
      <c r="R967" s="845" t="n"/>
      <c r="S967" s="845" t="n"/>
      <c r="T967" s="845" t="n"/>
      <c r="U967" s="845" t="n"/>
      <c r="V967" s="845" t="n"/>
      <c r="W967" s="845" t="n"/>
      <c r="X967" s="845" t="n"/>
      <c r="Y967" s="845" t="n"/>
      <c r="Z967" s="845" t="n"/>
    </row>
    <row r="968" ht="13.2" customHeight="1" s="1127">
      <c r="A968" s="845" t="n"/>
      <c r="B968" s="845" t="n"/>
      <c r="C968" s="845" t="n"/>
      <c r="D968" s="845" t="n"/>
      <c r="E968" s="845" t="n"/>
      <c r="F968" s="845" t="n"/>
      <c r="G968" s="879" t="n"/>
      <c r="H968" s="845" t="n"/>
      <c r="I968" s="845" t="n"/>
      <c r="J968" s="845" t="n"/>
      <c r="K968" s="845" t="n"/>
      <c r="L968" s="845" t="n"/>
      <c r="M968" s="845" t="n"/>
      <c r="N968" s="845" t="n"/>
      <c r="O968" s="845" t="n"/>
      <c r="P968" s="845" t="n"/>
      <c r="Q968" s="845" t="n"/>
      <c r="R968" s="845" t="n"/>
      <c r="S968" s="845" t="n"/>
      <c r="T968" s="845" t="n"/>
      <c r="U968" s="845" t="n"/>
      <c r="V968" s="845" t="n"/>
      <c r="W968" s="845" t="n"/>
      <c r="X968" s="845" t="n"/>
      <c r="Y968" s="845" t="n"/>
      <c r="Z968" s="845" t="n"/>
    </row>
    <row r="969" ht="13.2" customHeight="1" s="1127">
      <c r="A969" s="845" t="n"/>
      <c r="B969" s="845" t="n"/>
      <c r="C969" s="845" t="n"/>
      <c r="D969" s="845" t="n"/>
      <c r="E969" s="845" t="n"/>
      <c r="F969" s="845" t="n"/>
      <c r="G969" s="879" t="n"/>
      <c r="H969" s="845" t="n"/>
      <c r="I969" s="845" t="n"/>
      <c r="J969" s="845" t="n"/>
      <c r="K969" s="845" t="n"/>
      <c r="L969" s="845" t="n"/>
      <c r="M969" s="845" t="n"/>
      <c r="N969" s="845" t="n"/>
      <c r="O969" s="845" t="n"/>
      <c r="P969" s="845" t="n"/>
      <c r="Q969" s="845" t="n"/>
      <c r="R969" s="845" t="n"/>
      <c r="S969" s="845" t="n"/>
      <c r="T969" s="845" t="n"/>
      <c r="U969" s="845" t="n"/>
      <c r="V969" s="845" t="n"/>
      <c r="W969" s="845" t="n"/>
      <c r="X969" s="845" t="n"/>
      <c r="Y969" s="845" t="n"/>
      <c r="Z969" s="845" t="n"/>
    </row>
    <row r="970" ht="13.2" customHeight="1" s="1127">
      <c r="A970" s="845" t="n"/>
      <c r="B970" s="845" t="n"/>
      <c r="C970" s="845" t="n"/>
      <c r="D970" s="845" t="n"/>
      <c r="E970" s="845" t="n"/>
      <c r="F970" s="845" t="n"/>
      <c r="G970" s="879" t="n"/>
      <c r="H970" s="845" t="n"/>
      <c r="I970" s="845" t="n"/>
      <c r="J970" s="845" t="n"/>
      <c r="K970" s="845" t="n"/>
      <c r="L970" s="845" t="n"/>
      <c r="M970" s="845" t="n"/>
      <c r="N970" s="845" t="n"/>
      <c r="O970" s="845" t="n"/>
      <c r="P970" s="845" t="n"/>
      <c r="Q970" s="845" t="n"/>
      <c r="R970" s="845" t="n"/>
      <c r="S970" s="845" t="n"/>
      <c r="T970" s="845" t="n"/>
      <c r="U970" s="845" t="n"/>
      <c r="V970" s="845" t="n"/>
      <c r="W970" s="845" t="n"/>
      <c r="X970" s="845" t="n"/>
      <c r="Y970" s="845" t="n"/>
      <c r="Z970" s="845" t="n"/>
    </row>
    <row r="971" ht="13.2" customHeight="1" s="1127">
      <c r="A971" s="845" t="n"/>
      <c r="B971" s="845" t="n"/>
      <c r="C971" s="845" t="n"/>
      <c r="D971" s="845" t="n"/>
      <c r="E971" s="845" t="n"/>
      <c r="F971" s="845" t="n"/>
      <c r="G971" s="879" t="n"/>
      <c r="H971" s="845" t="n"/>
      <c r="I971" s="845" t="n"/>
      <c r="J971" s="845" t="n"/>
      <c r="K971" s="845" t="n"/>
      <c r="L971" s="845" t="n"/>
      <c r="M971" s="845" t="n"/>
      <c r="N971" s="845" t="n"/>
      <c r="O971" s="845" t="n"/>
      <c r="P971" s="845" t="n"/>
      <c r="Q971" s="845" t="n"/>
      <c r="R971" s="845" t="n"/>
      <c r="S971" s="845" t="n"/>
      <c r="T971" s="845" t="n"/>
      <c r="U971" s="845" t="n"/>
      <c r="V971" s="845" t="n"/>
      <c r="W971" s="845" t="n"/>
      <c r="X971" s="845" t="n"/>
      <c r="Y971" s="845" t="n"/>
      <c r="Z971" s="845" t="n"/>
    </row>
    <row r="972" ht="13.2" customHeight="1" s="1127">
      <c r="A972" s="845" t="n"/>
      <c r="B972" s="845" t="n"/>
      <c r="C972" s="845" t="n"/>
      <c r="D972" s="845" t="n"/>
      <c r="E972" s="845" t="n"/>
      <c r="F972" s="845" t="n"/>
      <c r="G972" s="879" t="n"/>
      <c r="H972" s="845" t="n"/>
      <c r="I972" s="845" t="n"/>
      <c r="J972" s="845" t="n"/>
      <c r="K972" s="845" t="n"/>
      <c r="L972" s="845" t="n"/>
      <c r="M972" s="845" t="n"/>
      <c r="N972" s="845" t="n"/>
      <c r="O972" s="845" t="n"/>
      <c r="P972" s="845" t="n"/>
      <c r="Q972" s="845" t="n"/>
      <c r="R972" s="845" t="n"/>
      <c r="S972" s="845" t="n"/>
      <c r="T972" s="845" t="n"/>
      <c r="U972" s="845" t="n"/>
      <c r="V972" s="845" t="n"/>
      <c r="W972" s="845" t="n"/>
      <c r="X972" s="845" t="n"/>
      <c r="Y972" s="845" t="n"/>
      <c r="Z972" s="845" t="n"/>
    </row>
    <row r="973" ht="13.2" customHeight="1" s="1127">
      <c r="A973" s="845" t="n"/>
      <c r="B973" s="845" t="n"/>
      <c r="C973" s="845" t="n"/>
      <c r="D973" s="845" t="n"/>
      <c r="E973" s="845" t="n"/>
      <c r="F973" s="845" t="n"/>
      <c r="G973" s="879" t="n"/>
      <c r="H973" s="845" t="n"/>
      <c r="I973" s="845" t="n"/>
      <c r="J973" s="845" t="n"/>
      <c r="K973" s="845" t="n"/>
      <c r="L973" s="845" t="n"/>
      <c r="M973" s="845" t="n"/>
      <c r="N973" s="845" t="n"/>
      <c r="O973" s="845" t="n"/>
      <c r="P973" s="845" t="n"/>
      <c r="Q973" s="845" t="n"/>
      <c r="R973" s="845" t="n"/>
      <c r="S973" s="845" t="n"/>
      <c r="T973" s="845" t="n"/>
      <c r="U973" s="845" t="n"/>
      <c r="V973" s="845" t="n"/>
      <c r="W973" s="845" t="n"/>
      <c r="X973" s="845" t="n"/>
      <c r="Y973" s="845" t="n"/>
      <c r="Z973" s="845" t="n"/>
    </row>
    <row r="974" ht="13.2" customHeight="1" s="1127">
      <c r="A974" s="845" t="n"/>
      <c r="B974" s="845" t="n"/>
      <c r="C974" s="845" t="n"/>
      <c r="D974" s="845" t="n"/>
      <c r="E974" s="845" t="n"/>
      <c r="F974" s="845" t="n"/>
      <c r="G974" s="879" t="n"/>
      <c r="H974" s="845" t="n"/>
      <c r="I974" s="845" t="n"/>
      <c r="J974" s="845" t="n"/>
      <c r="K974" s="845" t="n"/>
      <c r="L974" s="845" t="n"/>
      <c r="M974" s="845" t="n"/>
      <c r="N974" s="845" t="n"/>
      <c r="O974" s="845" t="n"/>
      <c r="P974" s="845" t="n"/>
      <c r="Q974" s="845" t="n"/>
      <c r="R974" s="845" t="n"/>
      <c r="S974" s="845" t="n"/>
      <c r="T974" s="845" t="n"/>
      <c r="U974" s="845" t="n"/>
      <c r="V974" s="845" t="n"/>
      <c r="W974" s="845" t="n"/>
      <c r="X974" s="845" t="n"/>
      <c r="Y974" s="845" t="n"/>
      <c r="Z974" s="845" t="n"/>
    </row>
    <row r="975" ht="13.2" customHeight="1" s="1127">
      <c r="A975" s="845" t="n"/>
      <c r="B975" s="845" t="n"/>
      <c r="C975" s="845" t="n"/>
      <c r="D975" s="845" t="n"/>
      <c r="E975" s="845" t="n"/>
      <c r="F975" s="845" t="n"/>
      <c r="G975" s="879" t="n"/>
      <c r="H975" s="845" t="n"/>
      <c r="I975" s="845" t="n"/>
      <c r="J975" s="845" t="n"/>
      <c r="K975" s="845" t="n"/>
      <c r="L975" s="845" t="n"/>
      <c r="M975" s="845" t="n"/>
      <c r="N975" s="845" t="n"/>
      <c r="O975" s="845" t="n"/>
      <c r="P975" s="845" t="n"/>
      <c r="Q975" s="845" t="n"/>
      <c r="R975" s="845" t="n"/>
      <c r="S975" s="845" t="n"/>
      <c r="T975" s="845" t="n"/>
      <c r="U975" s="845" t="n"/>
      <c r="V975" s="845" t="n"/>
      <c r="W975" s="845" t="n"/>
      <c r="X975" s="845" t="n"/>
      <c r="Y975" s="845" t="n"/>
      <c r="Z975" s="845" t="n"/>
    </row>
    <row r="976" ht="13.2" customHeight="1" s="1127">
      <c r="A976" s="845" t="n"/>
      <c r="B976" s="845" t="n"/>
      <c r="C976" s="845" t="n"/>
      <c r="D976" s="845" t="n"/>
      <c r="E976" s="845" t="n"/>
      <c r="F976" s="845" t="n"/>
      <c r="G976" s="879" t="n"/>
      <c r="H976" s="845" t="n"/>
      <c r="I976" s="845" t="n"/>
      <c r="J976" s="845" t="n"/>
      <c r="K976" s="845" t="n"/>
      <c r="L976" s="845" t="n"/>
      <c r="M976" s="845" t="n"/>
      <c r="N976" s="845" t="n"/>
      <c r="O976" s="845" t="n"/>
      <c r="P976" s="845" t="n"/>
      <c r="Q976" s="845" t="n"/>
      <c r="R976" s="845" t="n"/>
      <c r="S976" s="845" t="n"/>
      <c r="T976" s="845" t="n"/>
      <c r="U976" s="845" t="n"/>
      <c r="V976" s="845" t="n"/>
      <c r="W976" s="845" t="n"/>
      <c r="X976" s="845" t="n"/>
      <c r="Y976" s="845" t="n"/>
      <c r="Z976" s="845" t="n"/>
    </row>
    <row r="977" ht="13.2" customHeight="1" s="1127">
      <c r="A977" s="845" t="n"/>
      <c r="B977" s="845" t="n"/>
      <c r="C977" s="845" t="n"/>
      <c r="D977" s="845" t="n"/>
      <c r="E977" s="845" t="n"/>
      <c r="F977" s="845" t="n"/>
      <c r="G977" s="879" t="n"/>
      <c r="H977" s="845" t="n"/>
      <c r="I977" s="845" t="n"/>
      <c r="J977" s="845" t="n"/>
      <c r="K977" s="845" t="n"/>
      <c r="L977" s="845" t="n"/>
      <c r="M977" s="845" t="n"/>
      <c r="N977" s="845" t="n"/>
      <c r="O977" s="845" t="n"/>
      <c r="P977" s="845" t="n"/>
      <c r="Q977" s="845" t="n"/>
      <c r="R977" s="845" t="n"/>
      <c r="S977" s="845" t="n"/>
      <c r="T977" s="845" t="n"/>
      <c r="U977" s="845" t="n"/>
      <c r="V977" s="845" t="n"/>
      <c r="W977" s="845" t="n"/>
      <c r="X977" s="845" t="n"/>
      <c r="Y977" s="845" t="n"/>
      <c r="Z977" s="845" t="n"/>
    </row>
    <row r="978" ht="13.2" customHeight="1" s="1127">
      <c r="A978" s="845" t="n"/>
      <c r="B978" s="845" t="n"/>
      <c r="C978" s="845" t="n"/>
      <c r="D978" s="845" t="n"/>
      <c r="E978" s="845" t="n"/>
      <c r="F978" s="845" t="n"/>
      <c r="G978" s="879" t="n"/>
      <c r="H978" s="845" t="n"/>
      <c r="I978" s="845" t="n"/>
      <c r="J978" s="845" t="n"/>
      <c r="K978" s="845" t="n"/>
      <c r="L978" s="845" t="n"/>
      <c r="M978" s="845" t="n"/>
      <c r="N978" s="845" t="n"/>
      <c r="O978" s="845" t="n"/>
      <c r="P978" s="845" t="n"/>
      <c r="Q978" s="845" t="n"/>
      <c r="R978" s="845" t="n"/>
      <c r="S978" s="845" t="n"/>
      <c r="T978" s="845" t="n"/>
      <c r="U978" s="845" t="n"/>
      <c r="V978" s="845" t="n"/>
      <c r="W978" s="845" t="n"/>
      <c r="X978" s="845" t="n"/>
      <c r="Y978" s="845" t="n"/>
      <c r="Z978" s="845" t="n"/>
    </row>
    <row r="979" ht="13.2" customHeight="1" s="1127">
      <c r="A979" s="845" t="n"/>
      <c r="B979" s="845" t="n"/>
      <c r="C979" s="845" t="n"/>
      <c r="D979" s="845" t="n"/>
      <c r="E979" s="845" t="n"/>
      <c r="F979" s="845" t="n"/>
      <c r="G979" s="879" t="n"/>
      <c r="H979" s="845" t="n"/>
      <c r="I979" s="845" t="n"/>
      <c r="J979" s="845" t="n"/>
      <c r="K979" s="845" t="n"/>
      <c r="L979" s="845" t="n"/>
      <c r="M979" s="845" t="n"/>
      <c r="N979" s="845" t="n"/>
      <c r="O979" s="845" t="n"/>
      <c r="P979" s="845" t="n"/>
      <c r="Q979" s="845" t="n"/>
      <c r="R979" s="845" t="n"/>
      <c r="S979" s="845" t="n"/>
      <c r="T979" s="845" t="n"/>
      <c r="U979" s="845" t="n"/>
      <c r="V979" s="845" t="n"/>
      <c r="W979" s="845" t="n"/>
      <c r="X979" s="845" t="n"/>
      <c r="Y979" s="845" t="n"/>
      <c r="Z979" s="845" t="n"/>
    </row>
    <row r="980" ht="13.2" customHeight="1" s="1127">
      <c r="A980" s="845" t="n"/>
      <c r="B980" s="845" t="n"/>
      <c r="C980" s="845" t="n"/>
      <c r="D980" s="845" t="n"/>
      <c r="E980" s="845" t="n"/>
      <c r="F980" s="845" t="n"/>
      <c r="G980" s="879" t="n"/>
      <c r="H980" s="845" t="n"/>
      <c r="I980" s="845" t="n"/>
      <c r="J980" s="845" t="n"/>
      <c r="K980" s="845" t="n"/>
      <c r="L980" s="845" t="n"/>
      <c r="M980" s="845" t="n"/>
      <c r="N980" s="845" t="n"/>
      <c r="O980" s="845" t="n"/>
      <c r="P980" s="845" t="n"/>
      <c r="Q980" s="845" t="n"/>
      <c r="R980" s="845" t="n"/>
      <c r="S980" s="845" t="n"/>
      <c r="T980" s="845" t="n"/>
      <c r="U980" s="845" t="n"/>
      <c r="V980" s="845" t="n"/>
      <c r="W980" s="845" t="n"/>
      <c r="X980" s="845" t="n"/>
      <c r="Y980" s="845" t="n"/>
      <c r="Z980" s="845" t="n"/>
    </row>
    <row r="981" ht="13.2" customHeight="1" s="1127">
      <c r="A981" s="845" t="n"/>
      <c r="B981" s="845" t="n"/>
      <c r="C981" s="845" t="n"/>
      <c r="D981" s="845" t="n"/>
      <c r="E981" s="845" t="n"/>
      <c r="F981" s="845" t="n"/>
      <c r="G981" s="879" t="n"/>
      <c r="H981" s="845" t="n"/>
      <c r="I981" s="845" t="n"/>
      <c r="J981" s="845" t="n"/>
      <c r="K981" s="845" t="n"/>
      <c r="L981" s="845" t="n"/>
      <c r="M981" s="845" t="n"/>
      <c r="N981" s="845" t="n"/>
      <c r="O981" s="845" t="n"/>
      <c r="P981" s="845" t="n"/>
      <c r="Q981" s="845" t="n"/>
      <c r="R981" s="845" t="n"/>
      <c r="S981" s="845" t="n"/>
      <c r="T981" s="845" t="n"/>
      <c r="U981" s="845" t="n"/>
      <c r="V981" s="845" t="n"/>
      <c r="W981" s="845" t="n"/>
      <c r="X981" s="845" t="n"/>
      <c r="Y981" s="845" t="n"/>
      <c r="Z981" s="845" t="n"/>
    </row>
    <row r="982" ht="13.2" customHeight="1" s="1127">
      <c r="A982" s="845" t="n"/>
      <c r="B982" s="845" t="n"/>
      <c r="C982" s="845" t="n"/>
      <c r="D982" s="845" t="n"/>
      <c r="E982" s="845" t="n"/>
      <c r="F982" s="845" t="n"/>
      <c r="G982" s="879" t="n"/>
      <c r="H982" s="845" t="n"/>
      <c r="I982" s="845" t="n"/>
      <c r="J982" s="845" t="n"/>
      <c r="K982" s="845" t="n"/>
      <c r="L982" s="845" t="n"/>
      <c r="M982" s="845" t="n"/>
      <c r="N982" s="845" t="n"/>
      <c r="O982" s="845" t="n"/>
      <c r="P982" s="845" t="n"/>
      <c r="Q982" s="845" t="n"/>
      <c r="R982" s="845" t="n"/>
      <c r="S982" s="845" t="n"/>
      <c r="T982" s="845" t="n"/>
      <c r="U982" s="845" t="n"/>
      <c r="V982" s="845" t="n"/>
      <c r="W982" s="845" t="n"/>
      <c r="X982" s="845" t="n"/>
      <c r="Y982" s="845" t="n"/>
      <c r="Z982" s="845" t="n"/>
    </row>
    <row r="983" ht="13.2" customHeight="1" s="1127">
      <c r="A983" s="845" t="n"/>
      <c r="B983" s="845" t="n"/>
      <c r="C983" s="845" t="n"/>
      <c r="D983" s="845" t="n"/>
      <c r="E983" s="845" t="n"/>
      <c r="F983" s="845" t="n"/>
      <c r="G983" s="879" t="n"/>
      <c r="H983" s="845" t="n"/>
      <c r="I983" s="845" t="n"/>
      <c r="J983" s="845" t="n"/>
      <c r="K983" s="845" t="n"/>
      <c r="L983" s="845" t="n"/>
      <c r="M983" s="845" t="n"/>
      <c r="N983" s="845" t="n"/>
      <c r="O983" s="845" t="n"/>
      <c r="P983" s="845" t="n"/>
      <c r="Q983" s="845" t="n"/>
      <c r="R983" s="845" t="n"/>
      <c r="S983" s="845" t="n"/>
      <c r="T983" s="845" t="n"/>
      <c r="U983" s="845" t="n"/>
      <c r="V983" s="845" t="n"/>
      <c r="W983" s="845" t="n"/>
      <c r="X983" s="845" t="n"/>
      <c r="Y983" s="845" t="n"/>
      <c r="Z983" s="845" t="n"/>
    </row>
    <row r="984" ht="13.2" customHeight="1" s="1127">
      <c r="A984" s="845" t="n"/>
      <c r="B984" s="845" t="n"/>
      <c r="C984" s="845" t="n"/>
      <c r="D984" s="845" t="n"/>
      <c r="E984" s="845" t="n"/>
      <c r="F984" s="845" t="n"/>
      <c r="G984" s="879" t="n"/>
      <c r="H984" s="845" t="n"/>
      <c r="I984" s="845" t="n"/>
      <c r="J984" s="845" t="n"/>
      <c r="K984" s="845" t="n"/>
      <c r="L984" s="845" t="n"/>
      <c r="M984" s="845" t="n"/>
      <c r="N984" s="845" t="n"/>
      <c r="O984" s="845" t="n"/>
      <c r="P984" s="845" t="n"/>
      <c r="Q984" s="845" t="n"/>
      <c r="R984" s="845" t="n"/>
      <c r="S984" s="845" t="n"/>
      <c r="T984" s="845" t="n"/>
      <c r="U984" s="845" t="n"/>
      <c r="V984" s="845" t="n"/>
      <c r="W984" s="845" t="n"/>
      <c r="X984" s="845" t="n"/>
      <c r="Y984" s="845" t="n"/>
      <c r="Z984" s="845" t="n"/>
    </row>
    <row r="985" ht="13.2" customHeight="1" s="1127">
      <c r="A985" s="845" t="n"/>
      <c r="B985" s="845" t="n"/>
      <c r="C985" s="845" t="n"/>
      <c r="D985" s="845" t="n"/>
      <c r="E985" s="845" t="n"/>
      <c r="F985" s="845" t="n"/>
      <c r="G985" s="879" t="n"/>
      <c r="H985" s="845" t="n"/>
      <c r="I985" s="845" t="n"/>
      <c r="J985" s="845" t="n"/>
      <c r="K985" s="845" t="n"/>
      <c r="L985" s="845" t="n"/>
      <c r="M985" s="845" t="n"/>
      <c r="N985" s="845" t="n"/>
      <c r="O985" s="845" t="n"/>
      <c r="P985" s="845" t="n"/>
      <c r="Q985" s="845" t="n"/>
      <c r="R985" s="845" t="n"/>
      <c r="S985" s="845" t="n"/>
      <c r="T985" s="845" t="n"/>
      <c r="U985" s="845" t="n"/>
      <c r="V985" s="845" t="n"/>
      <c r="W985" s="845" t="n"/>
      <c r="X985" s="845" t="n"/>
      <c r="Y985" s="845" t="n"/>
      <c r="Z985" s="845" t="n"/>
    </row>
    <row r="986" ht="13.2" customHeight="1" s="1127">
      <c r="A986" s="845" t="n"/>
      <c r="B986" s="845" t="n"/>
      <c r="C986" s="845" t="n"/>
      <c r="D986" s="845" t="n"/>
      <c r="E986" s="845" t="n"/>
      <c r="F986" s="845" t="n"/>
      <c r="G986" s="879" t="n"/>
      <c r="H986" s="845" t="n"/>
      <c r="I986" s="845" t="n"/>
      <c r="J986" s="845" t="n"/>
      <c r="K986" s="845" t="n"/>
      <c r="L986" s="845" t="n"/>
      <c r="M986" s="845" t="n"/>
      <c r="N986" s="845" t="n"/>
      <c r="O986" s="845" t="n"/>
      <c r="P986" s="845" t="n"/>
      <c r="Q986" s="845" t="n"/>
      <c r="R986" s="845" t="n"/>
      <c r="S986" s="845" t="n"/>
      <c r="T986" s="845" t="n"/>
      <c r="U986" s="845" t="n"/>
      <c r="V986" s="845" t="n"/>
      <c r="W986" s="845" t="n"/>
      <c r="X986" s="845" t="n"/>
      <c r="Y986" s="845" t="n"/>
      <c r="Z986" s="845" t="n"/>
    </row>
    <row r="987" ht="13.2" customHeight="1" s="1127">
      <c r="A987" s="845" t="n"/>
      <c r="B987" s="845" t="n"/>
      <c r="C987" s="845" t="n"/>
      <c r="D987" s="845" t="n"/>
      <c r="E987" s="845" t="n"/>
      <c r="F987" s="845" t="n"/>
      <c r="G987" s="879" t="n"/>
      <c r="H987" s="845" t="n"/>
      <c r="I987" s="845" t="n"/>
      <c r="J987" s="845" t="n"/>
      <c r="K987" s="845" t="n"/>
      <c r="L987" s="845" t="n"/>
      <c r="M987" s="845" t="n"/>
      <c r="N987" s="845" t="n"/>
      <c r="O987" s="845" t="n"/>
      <c r="P987" s="845" t="n"/>
      <c r="Q987" s="845" t="n"/>
      <c r="R987" s="845" t="n"/>
      <c r="S987" s="845" t="n"/>
      <c r="T987" s="845" t="n"/>
      <c r="U987" s="845" t="n"/>
      <c r="V987" s="845" t="n"/>
      <c r="W987" s="845" t="n"/>
      <c r="X987" s="845" t="n"/>
      <c r="Y987" s="845" t="n"/>
      <c r="Z987" s="845" t="n"/>
    </row>
    <row r="988" ht="13.2" customHeight="1" s="1127">
      <c r="A988" s="845" t="n"/>
      <c r="B988" s="845" t="n"/>
      <c r="C988" s="845" t="n"/>
      <c r="D988" s="845" t="n"/>
      <c r="E988" s="845" t="n"/>
      <c r="F988" s="845" t="n"/>
      <c r="G988" s="879" t="n"/>
      <c r="H988" s="845" t="n"/>
      <c r="I988" s="845" t="n"/>
      <c r="J988" s="845" t="n"/>
      <c r="K988" s="845" t="n"/>
      <c r="L988" s="845" t="n"/>
      <c r="M988" s="845" t="n"/>
      <c r="N988" s="845" t="n"/>
      <c r="O988" s="845" t="n"/>
      <c r="P988" s="845" t="n"/>
      <c r="Q988" s="845" t="n"/>
      <c r="R988" s="845" t="n"/>
      <c r="S988" s="845" t="n"/>
      <c r="T988" s="845" t="n"/>
      <c r="U988" s="845" t="n"/>
      <c r="V988" s="845" t="n"/>
      <c r="W988" s="845" t="n"/>
      <c r="X988" s="845" t="n"/>
      <c r="Y988" s="845" t="n"/>
      <c r="Z988" s="845" t="n"/>
    </row>
    <row r="989" ht="13.2" customHeight="1" s="1127">
      <c r="A989" s="845" t="n"/>
      <c r="B989" s="845" t="n"/>
      <c r="C989" s="845" t="n"/>
      <c r="D989" s="845" t="n"/>
      <c r="E989" s="845" t="n"/>
      <c r="F989" s="845" t="n"/>
      <c r="G989" s="879" t="n"/>
      <c r="H989" s="845" t="n"/>
      <c r="I989" s="845" t="n"/>
      <c r="J989" s="845" t="n"/>
      <c r="K989" s="845" t="n"/>
      <c r="L989" s="845" t="n"/>
      <c r="M989" s="845" t="n"/>
      <c r="N989" s="845" t="n"/>
      <c r="O989" s="845" t="n"/>
      <c r="P989" s="845" t="n"/>
      <c r="Q989" s="845" t="n"/>
      <c r="R989" s="845" t="n"/>
      <c r="S989" s="845" t="n"/>
      <c r="T989" s="845" t="n"/>
      <c r="U989" s="845" t="n"/>
      <c r="V989" s="845" t="n"/>
      <c r="W989" s="845" t="n"/>
      <c r="X989" s="845" t="n"/>
      <c r="Y989" s="845" t="n"/>
      <c r="Z989" s="845" t="n"/>
    </row>
    <row r="990" ht="13.2" customHeight="1" s="1127">
      <c r="A990" s="845" t="n"/>
      <c r="B990" s="845" t="n"/>
      <c r="C990" s="845" t="n"/>
      <c r="D990" s="845" t="n"/>
      <c r="E990" s="845" t="n"/>
      <c r="F990" s="845" t="n"/>
      <c r="G990" s="879" t="n"/>
      <c r="H990" s="845" t="n"/>
      <c r="I990" s="845" t="n"/>
      <c r="J990" s="845" t="n"/>
      <c r="K990" s="845" t="n"/>
      <c r="L990" s="845" t="n"/>
      <c r="M990" s="845" t="n"/>
      <c r="N990" s="845" t="n"/>
      <c r="O990" s="845" t="n"/>
      <c r="P990" s="845" t="n"/>
      <c r="Q990" s="845" t="n"/>
      <c r="R990" s="845" t="n"/>
      <c r="S990" s="845" t="n"/>
      <c r="T990" s="845" t="n"/>
      <c r="U990" s="845" t="n"/>
      <c r="V990" s="845" t="n"/>
      <c r="W990" s="845" t="n"/>
      <c r="X990" s="845" t="n"/>
      <c r="Y990" s="845" t="n"/>
      <c r="Z990" s="845" t="n"/>
    </row>
    <row r="991" ht="13.2" customHeight="1" s="1127">
      <c r="A991" s="845" t="n"/>
      <c r="B991" s="845" t="n"/>
      <c r="C991" s="845" t="n"/>
      <c r="D991" s="845" t="n"/>
      <c r="E991" s="845" t="n"/>
      <c r="F991" s="845" t="n"/>
      <c r="G991" s="879" t="n"/>
      <c r="H991" s="845" t="n"/>
      <c r="I991" s="845" t="n"/>
      <c r="J991" s="845" t="n"/>
      <c r="K991" s="845" t="n"/>
      <c r="L991" s="845" t="n"/>
      <c r="M991" s="845" t="n"/>
      <c r="N991" s="845" t="n"/>
      <c r="O991" s="845" t="n"/>
      <c r="P991" s="845" t="n"/>
      <c r="Q991" s="845" t="n"/>
      <c r="R991" s="845" t="n"/>
      <c r="S991" s="845" t="n"/>
      <c r="T991" s="845" t="n"/>
      <c r="U991" s="845" t="n"/>
      <c r="V991" s="845" t="n"/>
      <c r="W991" s="845" t="n"/>
      <c r="X991" s="845" t="n"/>
      <c r="Y991" s="845" t="n"/>
      <c r="Z991" s="845" t="n"/>
    </row>
    <row r="992" ht="13.2" customHeight="1" s="1127">
      <c r="A992" s="845" t="n"/>
      <c r="B992" s="845" t="n"/>
      <c r="C992" s="845" t="n"/>
      <c r="D992" s="845" t="n"/>
      <c r="E992" s="845" t="n"/>
      <c r="F992" s="845" t="n"/>
      <c r="G992" s="879" t="n"/>
      <c r="H992" s="845" t="n"/>
      <c r="I992" s="845" t="n"/>
      <c r="J992" s="845" t="n"/>
      <c r="K992" s="845" t="n"/>
      <c r="L992" s="845" t="n"/>
      <c r="M992" s="845" t="n"/>
      <c r="N992" s="845" t="n"/>
      <c r="O992" s="845" t="n"/>
      <c r="P992" s="845" t="n"/>
      <c r="Q992" s="845" t="n"/>
      <c r="R992" s="845" t="n"/>
      <c r="S992" s="845" t="n"/>
      <c r="T992" s="845" t="n"/>
      <c r="U992" s="845" t="n"/>
      <c r="V992" s="845" t="n"/>
      <c r="W992" s="845" t="n"/>
      <c r="X992" s="845" t="n"/>
      <c r="Y992" s="845" t="n"/>
      <c r="Z992" s="845" t="n"/>
    </row>
    <row r="993" ht="13.2" customHeight="1" s="1127">
      <c r="A993" s="845" t="n"/>
      <c r="B993" s="845" t="n"/>
      <c r="C993" s="845" t="n"/>
      <c r="D993" s="845" t="n"/>
      <c r="E993" s="845" t="n"/>
      <c r="F993" s="845" t="n"/>
      <c r="G993" s="879" t="n"/>
      <c r="H993" s="845" t="n"/>
      <c r="I993" s="845" t="n"/>
      <c r="J993" s="845" t="n"/>
      <c r="K993" s="845" t="n"/>
      <c r="L993" s="845" t="n"/>
      <c r="M993" s="845" t="n"/>
      <c r="N993" s="845" t="n"/>
      <c r="O993" s="845" t="n"/>
      <c r="P993" s="845" t="n"/>
      <c r="Q993" s="845" t="n"/>
      <c r="R993" s="845" t="n"/>
      <c r="S993" s="845" t="n"/>
      <c r="T993" s="845" t="n"/>
      <c r="U993" s="845" t="n"/>
      <c r="V993" s="845" t="n"/>
      <c r="W993" s="845" t="n"/>
      <c r="X993" s="845" t="n"/>
      <c r="Y993" s="845" t="n"/>
      <c r="Z993" s="845" t="n"/>
    </row>
    <row r="994" ht="13.2" customHeight="1" s="1127">
      <c r="A994" s="845" t="n"/>
      <c r="B994" s="845" t="n"/>
      <c r="C994" s="845" t="n"/>
      <c r="D994" s="845" t="n"/>
      <c r="E994" s="845" t="n"/>
      <c r="F994" s="845" t="n"/>
      <c r="G994" s="879" t="n"/>
      <c r="H994" s="845" t="n"/>
      <c r="I994" s="845" t="n"/>
      <c r="J994" s="845" t="n"/>
      <c r="K994" s="845" t="n"/>
      <c r="L994" s="845" t="n"/>
      <c r="M994" s="845" t="n"/>
      <c r="N994" s="845" t="n"/>
      <c r="O994" s="845" t="n"/>
      <c r="P994" s="845" t="n"/>
      <c r="Q994" s="845" t="n"/>
      <c r="R994" s="845" t="n"/>
      <c r="S994" s="845" t="n"/>
      <c r="T994" s="845" t="n"/>
      <c r="U994" s="845" t="n"/>
      <c r="V994" s="845" t="n"/>
      <c r="W994" s="845" t="n"/>
      <c r="X994" s="845" t="n"/>
      <c r="Y994" s="845" t="n"/>
      <c r="Z994" s="845" t="n"/>
    </row>
    <row r="995" ht="13.2" customHeight="1" s="1127">
      <c r="A995" s="845" t="n"/>
      <c r="B995" s="845" t="n"/>
      <c r="C995" s="845" t="n"/>
      <c r="D995" s="845" t="n"/>
      <c r="E995" s="845" t="n"/>
      <c r="F995" s="845" t="n"/>
      <c r="G995" s="879" t="n"/>
      <c r="H995" s="845" t="n"/>
      <c r="I995" s="845" t="n"/>
      <c r="J995" s="845" t="n"/>
      <c r="K995" s="845" t="n"/>
      <c r="L995" s="845" t="n"/>
      <c r="M995" s="845" t="n"/>
      <c r="N995" s="845" t="n"/>
      <c r="O995" s="845" t="n"/>
      <c r="P995" s="845" t="n"/>
      <c r="Q995" s="845" t="n"/>
      <c r="R995" s="845" t="n"/>
      <c r="S995" s="845" t="n"/>
      <c r="T995" s="845" t="n"/>
      <c r="U995" s="845" t="n"/>
      <c r="V995" s="845" t="n"/>
      <c r="W995" s="845" t="n"/>
      <c r="X995" s="845" t="n"/>
      <c r="Y995" s="845" t="n"/>
      <c r="Z995" s="845" t="n"/>
    </row>
    <row r="996" ht="13.2" customHeight="1" s="1127">
      <c r="A996" s="845" t="n"/>
      <c r="B996" s="845" t="n"/>
      <c r="C996" s="845" t="n"/>
      <c r="D996" s="845" t="n"/>
      <c r="E996" s="845" t="n"/>
      <c r="F996" s="845" t="n"/>
      <c r="G996" s="879" t="n"/>
      <c r="H996" s="845" t="n"/>
      <c r="I996" s="845" t="n"/>
      <c r="J996" s="845" t="n"/>
      <c r="K996" s="845" t="n"/>
      <c r="L996" s="845" t="n"/>
      <c r="M996" s="845" t="n"/>
      <c r="N996" s="845" t="n"/>
      <c r="O996" s="845" t="n"/>
      <c r="P996" s="845" t="n"/>
      <c r="Q996" s="845" t="n"/>
      <c r="R996" s="845" t="n"/>
      <c r="S996" s="845" t="n"/>
      <c r="T996" s="845" t="n"/>
      <c r="U996" s="845" t="n"/>
      <c r="V996" s="845" t="n"/>
      <c r="W996" s="845" t="n"/>
      <c r="X996" s="845" t="n"/>
      <c r="Y996" s="845" t="n"/>
      <c r="Z996" s="845" t="n"/>
    </row>
    <row r="997" ht="13.2" customHeight="1" s="1127">
      <c r="A997" s="845" t="n"/>
      <c r="B997" s="845" t="n"/>
      <c r="C997" s="845" t="n"/>
      <c r="D997" s="845" t="n"/>
      <c r="E997" s="845" t="n"/>
      <c r="F997" s="845" t="n"/>
      <c r="G997" s="879" t="n"/>
      <c r="H997" s="845" t="n"/>
      <c r="I997" s="845" t="n"/>
      <c r="J997" s="845" t="n"/>
      <c r="K997" s="845" t="n"/>
      <c r="L997" s="845" t="n"/>
      <c r="M997" s="845" t="n"/>
      <c r="N997" s="845" t="n"/>
      <c r="O997" s="845" t="n"/>
      <c r="P997" s="845" t="n"/>
      <c r="Q997" s="845" t="n"/>
      <c r="R997" s="845" t="n"/>
      <c r="S997" s="845" t="n"/>
      <c r="T997" s="845" t="n"/>
      <c r="U997" s="845" t="n"/>
      <c r="V997" s="845" t="n"/>
      <c r="W997" s="845" t="n"/>
      <c r="X997" s="845" t="n"/>
      <c r="Y997" s="845" t="n"/>
      <c r="Z997" s="845" t="n"/>
    </row>
    <row r="998" ht="13.2" customHeight="1" s="1127">
      <c r="A998" s="845" t="n"/>
      <c r="B998" s="845" t="n"/>
      <c r="C998" s="845" t="n"/>
      <c r="D998" s="845" t="n"/>
      <c r="E998" s="845" t="n"/>
      <c r="F998" s="845" t="n"/>
      <c r="G998" s="879" t="n"/>
      <c r="H998" s="845" t="n"/>
      <c r="I998" s="845" t="n"/>
      <c r="J998" s="845" t="n"/>
      <c r="K998" s="845" t="n"/>
      <c r="L998" s="845" t="n"/>
      <c r="M998" s="845" t="n"/>
      <c r="N998" s="845" t="n"/>
      <c r="O998" s="845" t="n"/>
      <c r="P998" s="845" t="n"/>
      <c r="Q998" s="845" t="n"/>
      <c r="R998" s="845" t="n"/>
      <c r="S998" s="845" t="n"/>
      <c r="T998" s="845" t="n"/>
      <c r="U998" s="845" t="n"/>
      <c r="V998" s="845" t="n"/>
      <c r="W998" s="845" t="n"/>
      <c r="X998" s="845" t="n"/>
      <c r="Y998" s="845" t="n"/>
      <c r="Z998" s="845" t="n"/>
    </row>
    <row r="999" ht="13.2" customHeight="1" s="1127">
      <c r="A999" s="845" t="n"/>
      <c r="B999" s="845" t="n"/>
      <c r="C999" s="845" t="n"/>
      <c r="D999" s="845" t="n"/>
      <c r="E999" s="845" t="n"/>
      <c r="F999" s="845" t="n"/>
      <c r="G999" s="879" t="n"/>
      <c r="H999" s="845" t="n"/>
      <c r="I999" s="845" t="n"/>
      <c r="J999" s="845" t="n"/>
      <c r="K999" s="845" t="n"/>
      <c r="L999" s="845" t="n"/>
      <c r="M999" s="845" t="n"/>
      <c r="N999" s="845" t="n"/>
      <c r="O999" s="845" t="n"/>
      <c r="P999" s="845" t="n"/>
      <c r="Q999" s="845" t="n"/>
      <c r="R999" s="845" t="n"/>
      <c r="S999" s="845" t="n"/>
      <c r="T999" s="845" t="n"/>
      <c r="U999" s="845" t="n"/>
      <c r="V999" s="845" t="n"/>
      <c r="W999" s="845" t="n"/>
      <c r="X999" s="845" t="n"/>
      <c r="Y999" s="845" t="n"/>
      <c r="Z999" s="845" t="n"/>
    </row>
    <row r="1000" ht="13.2" customHeight="1" s="1127">
      <c r="A1000" s="845" t="n"/>
      <c r="B1000" s="845" t="n"/>
      <c r="C1000" s="845" t="n"/>
      <c r="D1000" s="845" t="n"/>
      <c r="E1000" s="845" t="n"/>
      <c r="F1000" s="845" t="n"/>
      <c r="G1000" s="879" t="n"/>
      <c r="H1000" s="845" t="n"/>
      <c r="I1000" s="845" t="n"/>
      <c r="J1000" s="845" t="n"/>
      <c r="K1000" s="845" t="n"/>
      <c r="L1000" s="845" t="n"/>
      <c r="M1000" s="845" t="n"/>
      <c r="N1000" s="845" t="n"/>
      <c r="O1000" s="845" t="n"/>
      <c r="P1000" s="845" t="n"/>
      <c r="Q1000" s="845" t="n"/>
      <c r="R1000" s="845" t="n"/>
      <c r="S1000" s="845" t="n"/>
      <c r="T1000" s="845" t="n"/>
      <c r="U1000" s="845" t="n"/>
      <c r="V1000" s="845" t="n"/>
      <c r="W1000" s="845" t="n"/>
      <c r="X1000" s="845" t="n"/>
      <c r="Y1000" s="845" t="n"/>
      <c r="Z1000" s="845" t="n"/>
    </row>
    <row r="1001" ht="13.2" customHeight="1" s="1127">
      <c r="A1001" s="845" t="n"/>
      <c r="B1001" s="845" t="n"/>
      <c r="C1001" s="845" t="n"/>
      <c r="D1001" s="845" t="n"/>
      <c r="E1001" s="845" t="n"/>
      <c r="F1001" s="845" t="n"/>
      <c r="G1001" s="879" t="n"/>
      <c r="H1001" s="845" t="n"/>
      <c r="I1001" s="845" t="n"/>
      <c r="J1001" s="845" t="n"/>
      <c r="K1001" s="845" t="n"/>
      <c r="L1001" s="845" t="n"/>
      <c r="M1001" s="845" t="n"/>
      <c r="N1001" s="845" t="n"/>
      <c r="O1001" s="845" t="n"/>
      <c r="P1001" s="845" t="n"/>
      <c r="Q1001" s="845" t="n"/>
      <c r="R1001" s="845" t="n"/>
      <c r="S1001" s="845" t="n"/>
      <c r="T1001" s="845" t="n"/>
      <c r="U1001" s="845" t="n"/>
      <c r="V1001" s="845" t="n"/>
      <c r="W1001" s="845" t="n"/>
      <c r="X1001" s="845" t="n"/>
      <c r="Y1001" s="845" t="n"/>
      <c r="Z1001" s="845" t="n"/>
    </row>
  </sheetData>
  <mergeCells count="8">
    <mergeCell ref="N1:N3"/>
    <mergeCell ref="A1:A3"/>
    <mergeCell ref="H2:L2"/>
    <mergeCell ref="H1:M1"/>
    <mergeCell ref="B2:F2"/>
    <mergeCell ref="B1:G1"/>
    <mergeCell ref="M2:M3"/>
    <mergeCell ref="G2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3:D19"/>
  <sheetViews>
    <sheetView workbookViewId="0">
      <selection activeCell="A1" sqref="A1"/>
    </sheetView>
  </sheetViews>
  <sheetFormatPr baseColWidth="8" defaultColWidth="12.6640625" defaultRowHeight="15.75" customHeight="1"/>
  <cols>
    <col width="22.88671875" customWidth="1" style="1127" min="1" max="1"/>
  </cols>
  <sheetData>
    <row r="3">
      <c r="A3" s="456" t="n"/>
      <c r="B3" s="543" t="inlineStr">
        <is>
          <t>ДЗ</t>
        </is>
      </c>
      <c r="C3" s="543" t="inlineStr">
        <is>
          <t>КЗ</t>
        </is>
      </c>
      <c r="D3" s="57" t="n">
        <v>40000000</v>
      </c>
    </row>
    <row r="4" ht="15.75" customHeight="1" s="1127">
      <c r="B4" s="880" t="n">
        <v>217340687</v>
      </c>
      <c r="C4" s="735" t="n">
        <v>182009593</v>
      </c>
      <c r="D4" s="57">
        <f>D3-B7</f>
        <v/>
      </c>
    </row>
    <row r="6">
      <c r="A6" s="68" t="inlineStr">
        <is>
          <t>Поступления</t>
        </is>
      </c>
      <c r="B6" s="746" t="n">
        <v>54000000</v>
      </c>
      <c r="C6" s="68" t="n"/>
    </row>
    <row r="7">
      <c r="A7" s="68" t="inlineStr">
        <is>
          <t>Кредит</t>
        </is>
      </c>
      <c r="B7" s="881" t="n">
        <v>35000000</v>
      </c>
      <c r="C7" s="68" t="n"/>
    </row>
    <row r="8">
      <c r="A8" s="68" t="inlineStr">
        <is>
          <t>ИТОГО</t>
        </is>
      </c>
      <c r="B8" s="882">
        <f>B6+B7</f>
        <v/>
      </c>
      <c r="C8" s="68" t="n"/>
    </row>
    <row r="9">
      <c r="A9" s="68" t="inlineStr">
        <is>
          <t>Выбытия</t>
        </is>
      </c>
      <c r="B9" s="68" t="n"/>
      <c r="C9" s="68" t="n"/>
    </row>
    <row r="10">
      <c r="A10" s="68" t="inlineStr">
        <is>
          <t>Налоги</t>
        </is>
      </c>
      <c r="B10" s="68" t="n"/>
      <c r="C10" s="68" t="n">
        <v>28000000</v>
      </c>
    </row>
    <row r="11">
      <c r="A11" s="68" t="inlineStr">
        <is>
          <t>ЗП (производство)</t>
        </is>
      </c>
      <c r="B11" s="68" t="n"/>
      <c r="C11" s="426" t="n">
        <v>24109000</v>
      </c>
    </row>
    <row r="12">
      <c r="A12" s="68" t="inlineStr">
        <is>
          <t>Поставщики, подотчёт</t>
        </is>
      </c>
      <c r="B12" s="68" t="n"/>
      <c r="C12" s="746" t="n">
        <v>40000000</v>
      </c>
    </row>
    <row r="13">
      <c r="A13" s="68" t="inlineStr">
        <is>
          <t>ЭЭ</t>
        </is>
      </c>
      <c r="B13" s="68" t="n"/>
      <c r="C13" s="883" t="n"/>
    </row>
    <row r="14">
      <c r="A14" s="68" t="inlineStr">
        <is>
          <t>кредит</t>
        </is>
      </c>
      <c r="B14" s="68" t="n"/>
      <c r="C14" s="68" t="n">
        <v>4013564</v>
      </c>
    </row>
    <row r="15">
      <c r="A15" s="68" t="n"/>
      <c r="B15" s="68" t="n"/>
      <c r="C15" s="68" t="n"/>
    </row>
    <row r="16">
      <c r="B16" s="57">
        <f>B8</f>
        <v/>
      </c>
      <c r="C16" s="57">
        <f>C10+C11+C12+C14</f>
        <v/>
      </c>
    </row>
    <row r="18">
      <c r="C18" s="884">
        <f>B8-C16</f>
        <v/>
      </c>
    </row>
    <row r="19">
      <c r="B19" s="456" t="inlineStr">
        <is>
          <t>ЗП АУП</t>
        </is>
      </c>
      <c r="C19" s="57" t="n">
        <v>15220000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L52"/>
  <sheetViews>
    <sheetView workbookViewId="0">
      <selection activeCell="A1" sqref="A1"/>
    </sheetView>
  </sheetViews>
  <sheetFormatPr baseColWidth="8" defaultColWidth="12.6640625" defaultRowHeight="15.75" customHeight="1"/>
  <sheetData>
    <row r="1" ht="15.75" customHeight="1" s="1127">
      <c r="A1" s="904" t="n"/>
      <c r="B1" s="904" t="n"/>
      <c r="C1" s="904" t="n"/>
      <c r="D1" s="904" t="n"/>
      <c r="E1" s="904" t="n"/>
      <c r="F1" s="904" t="n"/>
      <c r="G1" s="904" t="n"/>
      <c r="H1" s="904" t="n"/>
      <c r="I1" s="904" t="n"/>
      <c r="J1" s="904" t="n"/>
      <c r="K1" s="904" t="n"/>
      <c r="L1" s="904" t="n"/>
    </row>
    <row r="2" ht="15.75" customHeight="1" s="1127">
      <c r="A2" s="904" t="n"/>
      <c r="B2" s="904" t="n"/>
      <c r="C2" s="904" t="n"/>
      <c r="D2" s="904" t="n"/>
      <c r="E2" s="904" t="n"/>
      <c r="F2" s="904" t="n"/>
      <c r="G2" s="904" t="n"/>
      <c r="H2" s="904" t="n"/>
      <c r="I2" s="886" t="n"/>
      <c r="J2" s="904" t="n"/>
      <c r="K2" s="904" t="n"/>
      <c r="L2" s="904" t="n"/>
    </row>
    <row r="3" ht="15.75" customHeight="1" s="1127">
      <c r="A3" s="904" t="n"/>
      <c r="B3" s="734" t="inlineStr">
        <is>
          <t>План выплаты Фуд заводу с каспи банка . Апрель месяц</t>
        </is>
      </c>
      <c r="C3" s="1210" t="n"/>
      <c r="D3" s="904" t="n"/>
      <c r="E3" s="904" t="n"/>
      <c r="F3" s="904" t="n"/>
      <c r="G3" s="904" t="n"/>
      <c r="H3" s="887" t="inlineStr">
        <is>
          <t>План выплаты Фуд заводу с Crave café жетысу</t>
        </is>
      </c>
      <c r="I3" s="891" t="n"/>
      <c r="J3" s="904" t="n"/>
      <c r="K3" s="887" t="inlineStr">
        <is>
          <t>План выплаты Фуд заводу с Crave café Сейфуллина</t>
        </is>
      </c>
      <c r="L3" s="891" t="n"/>
    </row>
    <row r="4" ht="15.75" customHeight="1" s="1127">
      <c r="A4" s="904" t="n"/>
      <c r="B4" s="889" t="inlineStr">
        <is>
          <t>с 06.04 по 10.04</t>
        </is>
      </c>
      <c r="C4" s="897" t="inlineStr">
        <is>
          <t>Каспи банк</t>
        </is>
      </c>
      <c r="D4" s="904" t="n"/>
      <c r="E4" s="904" t="n"/>
      <c r="F4" s="904" t="n"/>
      <c r="G4" s="904" t="n"/>
      <c r="H4" s="889" t="inlineStr">
        <is>
          <t>с 06.04 по 10.04</t>
        </is>
      </c>
      <c r="I4" s="891" t="inlineStr">
        <is>
          <t>400 000</t>
        </is>
      </c>
      <c r="J4" s="904" t="n"/>
      <c r="K4" s="889" t="inlineStr">
        <is>
          <t>с 06.04 по 10.04</t>
        </is>
      </c>
      <c r="L4" s="891" t="inlineStr">
        <is>
          <t>200 000</t>
        </is>
      </c>
    </row>
    <row r="5" ht="15.75" customHeight="1" s="1127">
      <c r="A5" s="904" t="n"/>
      <c r="B5" s="892" t="n">
        <v>46119</v>
      </c>
      <c r="C5" s="891" t="inlineStr">
        <is>
          <t>3 000 000</t>
        </is>
      </c>
      <c r="D5" s="904" t="n"/>
      <c r="E5" s="904" t="n"/>
      <c r="F5" s="904" t="n"/>
      <c r="G5" s="904" t="n"/>
      <c r="H5" s="889" t="inlineStr">
        <is>
          <t>13.04-17.04</t>
        </is>
      </c>
      <c r="I5" s="891" t="inlineStr">
        <is>
          <t>800 000</t>
        </is>
      </c>
      <c r="J5" s="904" t="n"/>
      <c r="K5" s="889" t="inlineStr">
        <is>
          <t>13.04-17.04</t>
        </is>
      </c>
      <c r="L5" s="891" t="inlineStr">
        <is>
          <t>800 000</t>
        </is>
      </c>
    </row>
    <row r="6" ht="15.75" customHeight="1" s="1127">
      <c r="A6" s="904" t="n"/>
      <c r="B6" s="892" t="n">
        <v>46120</v>
      </c>
      <c r="C6" s="891" t="inlineStr">
        <is>
          <t>1 500 000</t>
        </is>
      </c>
      <c r="D6" s="904" t="n"/>
      <c r="E6" s="904" t="n"/>
      <c r="F6" s="904" t="n"/>
      <c r="G6" s="904" t="n"/>
      <c r="H6" s="889" t="inlineStr">
        <is>
          <t>20.04-24.04</t>
        </is>
      </c>
      <c r="I6" s="891" t="inlineStr">
        <is>
          <t>500 000</t>
        </is>
      </c>
      <c r="J6" s="904" t="n"/>
      <c r="K6" s="889" t="inlineStr">
        <is>
          <t>20.04-24.04</t>
        </is>
      </c>
      <c r="L6" s="891" t="inlineStr">
        <is>
          <t>500 000</t>
        </is>
      </c>
    </row>
    <row r="7" ht="15.75" customHeight="1" s="1127">
      <c r="A7" s="904" t="n"/>
      <c r="B7" s="892" t="n">
        <v>46121</v>
      </c>
      <c r="C7" s="891" t="inlineStr">
        <is>
          <t>1 000 000</t>
        </is>
      </c>
      <c r="D7" s="904" t="n"/>
      <c r="E7" s="904" t="n"/>
      <c r="F7" s="904" t="n"/>
      <c r="G7" s="904" t="n"/>
      <c r="H7" s="889" t="inlineStr">
        <is>
          <t>27.04-30.04</t>
        </is>
      </c>
      <c r="I7" s="891" t="inlineStr">
        <is>
          <t>500 000</t>
        </is>
      </c>
      <c r="J7" s="904" t="n"/>
      <c r="K7" s="889" t="inlineStr">
        <is>
          <t>27.04-30.04</t>
        </is>
      </c>
      <c r="L7" s="891" t="inlineStr">
        <is>
          <t>500 000</t>
        </is>
      </c>
    </row>
    <row r="8" ht="15.75" customHeight="1" s="1127">
      <c r="A8" s="904" t="n"/>
      <c r="B8" s="893" t="n">
        <v>46122</v>
      </c>
      <c r="C8" s="894" t="inlineStr">
        <is>
          <t>не будет. Офиц зп отправим</t>
        </is>
      </c>
      <c r="D8" s="904" t="n"/>
      <c r="E8" s="904" t="n"/>
      <c r="F8" s="904" t="n"/>
      <c r="G8" s="904" t="n"/>
      <c r="H8" s="904" t="n"/>
      <c r="I8" s="895" t="inlineStr">
        <is>
          <t>2 200 000</t>
        </is>
      </c>
      <c r="J8" s="904" t="n"/>
      <c r="K8" s="904" t="n"/>
      <c r="L8" s="895" t="inlineStr">
        <is>
          <t>2 000 000</t>
        </is>
      </c>
    </row>
    <row r="9" ht="15.75" customHeight="1" s="1127">
      <c r="A9" s="904" t="n"/>
      <c r="B9" s="896" t="inlineStr">
        <is>
          <t>Итого:</t>
        </is>
      </c>
      <c r="C9" s="897" t="inlineStr">
        <is>
          <t>5 500 000</t>
        </is>
      </c>
      <c r="D9" s="904" t="n"/>
      <c r="E9" s="904" t="n"/>
      <c r="F9" s="904" t="n"/>
      <c r="G9" s="904" t="n"/>
      <c r="H9" s="904" t="n"/>
      <c r="I9" s="904" t="n"/>
      <c r="J9" s="904" t="n"/>
      <c r="K9" s="904" t="n"/>
      <c r="L9" s="904" t="n"/>
    </row>
    <row r="10" ht="15.75" customHeight="1" s="1127">
      <c r="A10" s="904" t="n"/>
      <c r="B10" s="904" t="n"/>
      <c r="C10" s="899" t="n"/>
      <c r="D10" s="904" t="n"/>
      <c r="E10" s="904" t="n"/>
      <c r="F10" s="904" t="n"/>
      <c r="G10" s="904" t="n"/>
      <c r="H10" s="904" t="n"/>
      <c r="I10" s="904" t="n"/>
      <c r="J10" s="904" t="n"/>
      <c r="K10" s="904" t="n"/>
      <c r="L10" s="904" t="n"/>
    </row>
    <row r="11" ht="15.75" customHeight="1" s="1127">
      <c r="A11" s="904" t="n"/>
      <c r="B11" s="889" t="inlineStr">
        <is>
          <t>13.04-17.04</t>
        </is>
      </c>
      <c r="C11" s="897" t="inlineStr">
        <is>
          <t>Каспи банк</t>
        </is>
      </c>
      <c r="D11" s="904" t="n"/>
      <c r="E11" s="904" t="n"/>
      <c r="F11" s="904" t="n"/>
      <c r="G11" s="904" t="n"/>
      <c r="H11" s="904" t="n"/>
      <c r="I11" s="904" t="n"/>
      <c r="J11" s="904" t="n"/>
      <c r="K11" s="904" t="n"/>
      <c r="L11" s="904" t="n"/>
    </row>
    <row r="12" ht="15.75" customHeight="1" s="1127">
      <c r="A12" s="904" t="n"/>
      <c r="B12" s="893" t="n">
        <v>46125</v>
      </c>
      <c r="C12" s="1241" t="inlineStr">
        <is>
          <t>не будет.ЗП выдаем</t>
        </is>
      </c>
      <c r="D12" s="904" t="n"/>
      <c r="E12" s="904" t="n"/>
      <c r="F12" s="904" t="n"/>
      <c r="G12" s="904" t="n"/>
      <c r="H12" s="904" t="n"/>
      <c r="I12" s="904" t="n"/>
      <c r="J12" s="904" t="n"/>
      <c r="K12" s="904" t="n"/>
      <c r="L12" s="904" t="n"/>
    </row>
    <row r="13" ht="15.75" customHeight="1" s="1127">
      <c r="A13" s="904" t="n"/>
      <c r="B13" s="893" t="n">
        <v>46126</v>
      </c>
      <c r="C13" s="1236" t="n"/>
      <c r="D13" s="904" t="n"/>
      <c r="E13" s="904" t="n"/>
      <c r="F13" s="904" t="n"/>
      <c r="G13" s="904" t="n"/>
      <c r="H13" s="904" t="n"/>
      <c r="I13" s="904" t="n"/>
      <c r="J13" s="904" t="n"/>
      <c r="K13" s="904" t="n"/>
      <c r="L13" s="904" t="n"/>
    </row>
    <row r="14" ht="15.75" customHeight="1" s="1127">
      <c r="A14" s="904" t="n"/>
      <c r="B14" s="900" t="n">
        <v>46127</v>
      </c>
      <c r="C14" s="891" t="inlineStr">
        <is>
          <t>1 400 000</t>
        </is>
      </c>
      <c r="D14" s="904" t="n"/>
      <c r="E14" s="904" t="n"/>
      <c r="F14" s="904" t="n"/>
      <c r="G14" s="904" t="n"/>
      <c r="H14" s="904" t="n"/>
      <c r="I14" s="904" t="n"/>
      <c r="J14" s="904" t="n"/>
      <c r="K14" s="904" t="n"/>
      <c r="L14" s="904" t="n"/>
    </row>
    <row r="15" ht="15.75" customHeight="1" s="1127">
      <c r="A15" s="904" t="n"/>
      <c r="B15" s="900" t="n">
        <v>46128</v>
      </c>
      <c r="C15" s="891" t="inlineStr">
        <is>
          <t>1 400 000</t>
        </is>
      </c>
      <c r="D15" s="904" t="n"/>
      <c r="E15" s="904" t="n"/>
      <c r="F15" s="904" t="n"/>
      <c r="G15" s="904" t="n"/>
      <c r="H15" s="904" t="n"/>
      <c r="I15" s="904" t="n"/>
      <c r="J15" s="904" t="n"/>
      <c r="K15" s="904" t="n"/>
      <c r="L15" s="904" t="n"/>
    </row>
    <row r="16" ht="15.75" customHeight="1" s="1127">
      <c r="A16" s="904" t="n"/>
      <c r="B16" s="900" t="n">
        <v>46129</v>
      </c>
      <c r="C16" s="891" t="inlineStr">
        <is>
          <t>800 000</t>
        </is>
      </c>
      <c r="D16" s="901" t="inlineStr">
        <is>
          <t>налог оплатим поэтому мало</t>
        </is>
      </c>
      <c r="E16" s="904" t="n"/>
      <c r="F16" s="904" t="n"/>
      <c r="G16" s="904" t="n"/>
      <c r="H16" s="904" t="n"/>
      <c r="I16" s="904" t="n"/>
      <c r="J16" s="904" t="n"/>
      <c r="K16" s="904" t="n"/>
      <c r="L16" s="904" t="n"/>
    </row>
    <row r="17" ht="15.75" customHeight="1" s="1127">
      <c r="A17" s="904" t="n"/>
      <c r="B17" s="897" t="inlineStr">
        <is>
          <t>Итого:</t>
        </is>
      </c>
      <c r="C17" s="897" t="inlineStr">
        <is>
          <t>3 600 000</t>
        </is>
      </c>
      <c r="D17" s="904" t="n"/>
      <c r="E17" s="904" t="n"/>
      <c r="F17" s="904" t="n"/>
      <c r="G17" s="904" t="n"/>
      <c r="H17" s="904" t="n"/>
      <c r="I17" s="904" t="n"/>
      <c r="J17" s="904" t="n"/>
      <c r="K17" s="904" t="n"/>
      <c r="L17" s="904" t="n"/>
    </row>
    <row r="18" ht="15.75" customHeight="1" s="1127">
      <c r="A18" s="904" t="n"/>
      <c r="B18" s="904" t="n"/>
      <c r="C18" s="899" t="n"/>
      <c r="D18" s="904" t="n"/>
      <c r="E18" s="904" t="n"/>
      <c r="F18" s="904" t="n"/>
      <c r="G18" s="904" t="n"/>
      <c r="H18" s="904" t="n"/>
      <c r="I18" s="904" t="n"/>
      <c r="J18" s="904" t="n"/>
      <c r="K18" s="904" t="n"/>
      <c r="L18" s="904" t="n"/>
    </row>
    <row r="19" ht="15.75" customHeight="1" s="1127">
      <c r="A19" s="904" t="n"/>
      <c r="B19" s="889" t="inlineStr">
        <is>
          <t>20.04-24.04</t>
        </is>
      </c>
      <c r="C19" s="897" t="inlineStr">
        <is>
          <t>Каспи банк</t>
        </is>
      </c>
      <c r="D19" s="904" t="n"/>
      <c r="E19" s="904" t="n"/>
      <c r="F19" s="904" t="n"/>
      <c r="G19" s="904" t="n"/>
      <c r="H19" s="904" t="n"/>
      <c r="I19" s="904" t="n"/>
      <c r="J19" s="904" t="n"/>
      <c r="K19" s="904" t="n"/>
      <c r="L19" s="904" t="n"/>
    </row>
    <row r="20" ht="15.75" customHeight="1" s="1127">
      <c r="A20" s="904" t="n"/>
      <c r="B20" s="900" t="n">
        <v>46132</v>
      </c>
      <c r="C20" s="891" t="inlineStr">
        <is>
          <t>1 400 000</t>
        </is>
      </c>
      <c r="D20" s="904" t="n"/>
      <c r="E20" s="904" t="n"/>
      <c r="F20" s="904" t="n"/>
      <c r="G20" s="904" t="n"/>
      <c r="H20" s="904" t="n"/>
      <c r="I20" s="904" t="n"/>
      <c r="J20" s="904" t="n"/>
      <c r="K20" s="904" t="n"/>
      <c r="L20" s="904" t="n"/>
    </row>
    <row r="21" ht="15.75" customHeight="1" s="1127">
      <c r="A21" s="904" t="n"/>
      <c r="B21" s="900" t="n">
        <v>46133</v>
      </c>
      <c r="C21" s="891" t="inlineStr">
        <is>
          <t>1 400 000</t>
        </is>
      </c>
      <c r="D21" s="904" t="n"/>
      <c r="E21" s="904" t="n"/>
      <c r="F21" s="904" t="n"/>
      <c r="G21" s="904" t="n"/>
      <c r="H21" s="904" t="n"/>
      <c r="I21" s="904" t="n"/>
      <c r="J21" s="904" t="n"/>
      <c r="K21" s="904" t="n"/>
      <c r="L21" s="904" t="n"/>
    </row>
    <row r="22" ht="15.75" customHeight="1" s="1127">
      <c r="A22" s="904" t="n"/>
      <c r="B22" s="900" t="n">
        <v>46134</v>
      </c>
      <c r="C22" s="891" t="inlineStr">
        <is>
          <t>1 400 000</t>
        </is>
      </c>
      <c r="D22" s="904" t="n"/>
      <c r="E22" s="904" t="n"/>
      <c r="F22" s="904" t="n"/>
      <c r="G22" s="904" t="n"/>
      <c r="H22" s="904" t="n"/>
      <c r="I22" s="904" t="n"/>
      <c r="J22" s="904" t="n"/>
      <c r="K22" s="904" t="n"/>
      <c r="L22" s="904" t="n"/>
    </row>
    <row r="23" ht="15.75" customHeight="1" s="1127">
      <c r="A23" s="904" t="n"/>
      <c r="B23" s="900" t="n">
        <v>46135</v>
      </c>
      <c r="C23" s="891" t="inlineStr">
        <is>
          <t>1 400 000</t>
        </is>
      </c>
      <c r="D23" s="904" t="n"/>
      <c r="E23" s="904" t="n"/>
      <c r="F23" s="904" t="n"/>
      <c r="G23" s="904" t="n"/>
      <c r="H23" s="904" t="n"/>
      <c r="I23" s="904" t="n"/>
      <c r="J23" s="904" t="n"/>
      <c r="K23" s="904" t="n"/>
      <c r="L23" s="904" t="n"/>
    </row>
    <row r="24" ht="15.75" customHeight="1" s="1127">
      <c r="A24" s="904" t="n"/>
      <c r="B24" s="900" t="n">
        <v>46136</v>
      </c>
      <c r="C24" s="891" t="inlineStr">
        <is>
          <t>1 400 000</t>
        </is>
      </c>
      <c r="D24" s="904" t="n"/>
      <c r="E24" s="904" t="n"/>
      <c r="F24" s="904" t="n"/>
      <c r="G24" s="904" t="n"/>
      <c r="H24" s="904" t="n"/>
      <c r="I24" s="904" t="n"/>
      <c r="J24" s="904" t="n"/>
      <c r="K24" s="904" t="n"/>
      <c r="L24" s="904" t="n"/>
    </row>
    <row r="25" ht="15.75" customHeight="1" s="1127">
      <c r="A25" s="904" t="n"/>
      <c r="B25" s="897" t="inlineStr">
        <is>
          <t>Итого:</t>
        </is>
      </c>
      <c r="C25" s="897" t="inlineStr">
        <is>
          <t>7 000 000</t>
        </is>
      </c>
      <c r="D25" s="904" t="n"/>
      <c r="E25" s="904" t="n"/>
      <c r="F25" s="904" t="n"/>
      <c r="G25" s="904" t="n"/>
      <c r="H25" s="904" t="n"/>
      <c r="I25" s="904" t="n"/>
      <c r="J25" s="904" t="n"/>
      <c r="K25" s="904" t="n"/>
      <c r="L25" s="904" t="n"/>
    </row>
    <row r="26" ht="15.75" customHeight="1" s="1127">
      <c r="A26" s="904" t="n"/>
      <c r="B26" s="904" t="n"/>
      <c r="C26" s="899" t="n"/>
      <c r="D26" s="904" t="n"/>
      <c r="E26" s="904" t="n"/>
      <c r="F26" s="904" t="n"/>
      <c r="G26" s="904" t="n"/>
      <c r="H26" s="904" t="n"/>
      <c r="I26" s="904" t="n"/>
      <c r="J26" s="904" t="n"/>
      <c r="K26" s="904" t="n"/>
      <c r="L26" s="904" t="n"/>
    </row>
    <row r="27" ht="15.75" customHeight="1" s="1127">
      <c r="A27" s="904" t="n"/>
      <c r="B27" s="889" t="inlineStr">
        <is>
          <t>27.04-30.04</t>
        </is>
      </c>
      <c r="C27" s="897" t="inlineStr">
        <is>
          <t>Каспи банк</t>
        </is>
      </c>
      <c r="D27" s="904" t="n"/>
      <c r="E27" s="904" t="n"/>
      <c r="F27" s="904" t="n"/>
      <c r="G27" s="904" t="n"/>
      <c r="H27" s="904" t="n"/>
      <c r="I27" s="904" t="n"/>
      <c r="J27" s="904" t="n"/>
      <c r="K27" s="904" t="n"/>
      <c r="L27" s="904" t="n"/>
    </row>
    <row r="28" ht="15.75" customHeight="1" s="1127">
      <c r="A28" s="904" t="n"/>
      <c r="B28" s="900" t="n">
        <v>46139</v>
      </c>
      <c r="C28" s="891" t="inlineStr">
        <is>
          <t>1 400 000</t>
        </is>
      </c>
      <c r="D28" s="904" t="n"/>
      <c r="E28" s="904" t="n"/>
      <c r="F28" s="904" t="n"/>
      <c r="G28" s="904" t="n"/>
      <c r="H28" s="904" t="n"/>
      <c r="I28" s="904" t="n"/>
      <c r="J28" s="904" t="n"/>
      <c r="K28" s="904" t="n"/>
      <c r="L28" s="904" t="n"/>
    </row>
    <row r="29" ht="15.75" customHeight="1" s="1127">
      <c r="A29" s="904" t="n"/>
      <c r="B29" s="900" t="n">
        <v>46140</v>
      </c>
      <c r="C29" s="891" t="inlineStr">
        <is>
          <t>1 400 000</t>
        </is>
      </c>
      <c r="D29" s="904" t="n"/>
      <c r="E29" s="904" t="n"/>
      <c r="F29" s="904" t="n"/>
      <c r="G29" s="904" t="n"/>
      <c r="H29" s="904" t="n"/>
      <c r="I29" s="904" t="n"/>
      <c r="J29" s="904" t="n"/>
      <c r="K29" s="904" t="n"/>
      <c r="L29" s="904" t="n"/>
    </row>
    <row r="30" ht="15.75" customHeight="1" s="1127">
      <c r="A30" s="904" t="n"/>
      <c r="B30" s="900" t="n">
        <v>46141</v>
      </c>
      <c r="C30" s="891" t="inlineStr">
        <is>
          <t>1 400 000</t>
        </is>
      </c>
      <c r="D30" s="904" t="n"/>
      <c r="E30" s="904" t="n"/>
      <c r="F30" s="904" t="n"/>
      <c r="G30" s="904" t="n"/>
      <c r="H30" s="904" t="n"/>
      <c r="I30" s="904" t="n"/>
      <c r="J30" s="904" t="n"/>
      <c r="K30" s="904" t="n"/>
      <c r="L30" s="904" t="n"/>
    </row>
    <row r="31" ht="15.75" customHeight="1" s="1127">
      <c r="A31" s="904" t="n"/>
      <c r="B31" s="900" t="n">
        <v>46142</v>
      </c>
      <c r="C31" s="891" t="inlineStr">
        <is>
          <t>1 400 000</t>
        </is>
      </c>
      <c r="D31" s="904" t="n"/>
      <c r="E31" s="904" t="n"/>
      <c r="F31" s="904" t="n"/>
      <c r="G31" s="904" t="n"/>
      <c r="H31" s="904" t="n"/>
      <c r="I31" s="904" t="n"/>
      <c r="J31" s="904" t="n"/>
      <c r="K31" s="904" t="n"/>
      <c r="L31" s="904" t="n"/>
    </row>
    <row r="32" ht="14.4" customHeight="1" s="1127">
      <c r="A32" s="904" t="n"/>
      <c r="B32" s="897" t="inlineStr">
        <is>
          <t>Итого:</t>
        </is>
      </c>
      <c r="C32" s="897" t="inlineStr">
        <is>
          <t>5 600 000</t>
        </is>
      </c>
      <c r="D32" s="904" t="n"/>
      <c r="E32" s="904" t="n"/>
      <c r="F32" s="904" t="n"/>
      <c r="G32" s="904" t="n"/>
      <c r="H32" s="904" t="n"/>
      <c r="I32" s="904" t="n"/>
      <c r="J32" s="904" t="n"/>
      <c r="K32" s="904" t="n"/>
      <c r="L32" s="904" t="n"/>
    </row>
    <row r="33" ht="14.4" customHeight="1" s="1127">
      <c r="A33" s="904" t="n"/>
      <c r="B33" s="904" t="n"/>
      <c r="C33" s="904" t="n"/>
      <c r="D33" s="904" t="n"/>
      <c r="E33" s="904" t="n"/>
      <c r="F33" s="904" t="n"/>
      <c r="G33" s="904" t="n"/>
      <c r="H33" s="904" t="n"/>
      <c r="I33" s="904" t="n"/>
      <c r="J33" s="904" t="n"/>
      <c r="K33" s="904" t="n"/>
      <c r="L33" s="904" t="n"/>
    </row>
    <row r="34" ht="14.4" customHeight="1" s="1127">
      <c r="A34" s="904" t="n"/>
      <c r="B34" s="903" t="inlineStr">
        <is>
          <t>Итого:</t>
        </is>
      </c>
      <c r="C34" s="903" t="inlineStr">
        <is>
          <t>21 700 000</t>
        </is>
      </c>
      <c r="D34" s="904" t="n"/>
      <c r="E34" s="904" t="n"/>
      <c r="F34" s="904" t="n"/>
      <c r="G34" s="904" t="n"/>
      <c r="H34" s="904" t="n"/>
      <c r="I34" s="904" t="n"/>
      <c r="J34" s="904" t="n"/>
      <c r="K34" s="904" t="n"/>
      <c r="L34" s="904" t="n"/>
    </row>
    <row r="35" ht="14.4" customHeight="1" s="1127">
      <c r="A35" s="904" t="n"/>
      <c r="B35" s="904" t="n"/>
      <c r="C35" s="904" t="n"/>
      <c r="D35" s="904" t="n"/>
      <c r="E35" s="904" t="n"/>
      <c r="F35" s="904" t="n"/>
      <c r="G35" s="904" t="n"/>
      <c r="H35" s="904" t="n"/>
      <c r="I35" s="904" t="n"/>
      <c r="J35" s="904" t="n"/>
      <c r="K35" s="904" t="n"/>
      <c r="L35" s="904" t="n"/>
    </row>
    <row r="36" ht="14.4" customHeight="1" s="1127">
      <c r="A36" s="904" t="n"/>
      <c r="B36" s="904" t="n"/>
      <c r="C36" s="904" t="n"/>
      <c r="D36" s="904" t="n"/>
      <c r="E36" s="904" t="n"/>
      <c r="F36" s="904" t="n"/>
      <c r="G36" s="904" t="n"/>
      <c r="H36" s="904" t="n"/>
      <c r="I36" s="904" t="n"/>
      <c r="J36" s="904" t="n"/>
      <c r="K36" s="904" t="n"/>
      <c r="L36" s="904" t="n"/>
    </row>
    <row r="37" ht="14.4" customHeight="1" s="1127">
      <c r="A37" s="904" t="n"/>
      <c r="B37" s="904" t="n"/>
      <c r="C37" s="904" t="n"/>
      <c r="D37" s="904" t="n"/>
      <c r="E37" s="904" t="n"/>
      <c r="F37" s="904" t="n"/>
      <c r="G37" s="904" t="n"/>
      <c r="H37" s="904" t="n"/>
      <c r="I37" s="904" t="n"/>
      <c r="J37" s="904" t="n"/>
      <c r="K37" s="904" t="n"/>
      <c r="L37" s="904" t="n"/>
    </row>
    <row r="38" ht="14.4" customHeight="1" s="1127">
      <c r="A38" s="904" t="n"/>
      <c r="B38" s="904" t="n"/>
      <c r="C38" s="904" t="n"/>
      <c r="D38" s="904" t="n"/>
      <c r="E38" s="904" t="n"/>
      <c r="F38" s="904" t="n"/>
      <c r="G38" s="904" t="n"/>
      <c r="H38" s="904" t="n"/>
      <c r="I38" s="904" t="n"/>
      <c r="J38" s="904" t="n"/>
      <c r="K38" s="904" t="n"/>
      <c r="L38" s="904" t="n"/>
    </row>
    <row r="39" ht="14.4" customHeight="1" s="1127">
      <c r="A39" s="904" t="n"/>
      <c r="B39" s="904" t="n"/>
      <c r="C39" s="904" t="n"/>
      <c r="D39" s="904" t="n"/>
      <c r="E39" s="904" t="n"/>
      <c r="F39" s="904" t="n"/>
      <c r="G39" s="904" t="n"/>
      <c r="H39" s="904" t="n"/>
      <c r="I39" s="904" t="n"/>
      <c r="J39" s="904" t="n"/>
      <c r="K39" s="904" t="n"/>
      <c r="L39" s="904" t="n"/>
    </row>
    <row r="40" ht="14.4" customHeight="1" s="1127">
      <c r="A40" s="904" t="n"/>
      <c r="B40" s="904" t="n"/>
      <c r="C40" s="904" t="n"/>
      <c r="D40" s="904" t="n"/>
      <c r="E40" s="904" t="n"/>
      <c r="F40" s="904" t="n"/>
      <c r="G40" s="904" t="n"/>
      <c r="H40" s="904" t="n"/>
      <c r="I40" s="904" t="n"/>
      <c r="J40" s="904" t="n"/>
      <c r="K40" s="904" t="n"/>
      <c r="L40" s="904" t="n"/>
    </row>
    <row r="41" ht="14.4" customHeight="1" s="1127">
      <c r="A41" s="904" t="n"/>
      <c r="B41" s="904" t="n"/>
      <c r="C41" s="904" t="n"/>
      <c r="D41" s="904" t="n"/>
      <c r="E41" s="904" t="n"/>
      <c r="F41" s="904" t="n"/>
      <c r="G41" s="904" t="n"/>
      <c r="H41" s="904" t="n"/>
      <c r="I41" s="904" t="n"/>
      <c r="J41" s="904" t="n"/>
      <c r="K41" s="904" t="n"/>
      <c r="L41" s="904" t="n"/>
    </row>
    <row r="42" ht="14.4" customHeight="1" s="1127">
      <c r="A42" s="904" t="n"/>
      <c r="B42" s="904" t="n"/>
      <c r="C42" s="904" t="n"/>
      <c r="D42" s="904" t="n"/>
      <c r="E42" s="904" t="n"/>
      <c r="F42" s="904" t="n"/>
      <c r="G42" s="904" t="n"/>
      <c r="H42" s="904" t="n"/>
      <c r="I42" s="904" t="n"/>
      <c r="J42" s="904" t="n"/>
      <c r="K42" s="904" t="n"/>
      <c r="L42" s="904" t="n"/>
    </row>
    <row r="43" ht="14.4" customHeight="1" s="1127">
      <c r="A43" s="904" t="n"/>
      <c r="B43" s="904" t="n"/>
      <c r="C43" s="904" t="n"/>
      <c r="D43" s="904" t="n"/>
      <c r="E43" s="904" t="n"/>
      <c r="F43" s="904" t="n"/>
      <c r="G43" s="904" t="n"/>
      <c r="H43" s="904" t="n"/>
      <c r="I43" s="904" t="n"/>
      <c r="J43" s="904" t="n"/>
      <c r="K43" s="904" t="n"/>
      <c r="L43" s="904" t="n"/>
    </row>
    <row r="44" ht="14.4" customHeight="1" s="1127">
      <c r="A44" s="904" t="n"/>
      <c r="B44" s="904" t="n"/>
      <c r="C44" s="904" t="n"/>
      <c r="D44" s="904" t="n"/>
      <c r="E44" s="904" t="n"/>
      <c r="F44" s="904" t="n"/>
      <c r="G44" s="904" t="n"/>
      <c r="H44" s="904" t="n"/>
      <c r="I44" s="904" t="n"/>
      <c r="J44" s="904" t="n"/>
      <c r="K44" s="904" t="n"/>
      <c r="L44" s="904" t="n"/>
    </row>
    <row r="45" ht="14.4" customHeight="1" s="1127">
      <c r="A45" s="904" t="n"/>
      <c r="B45" s="904" t="n"/>
      <c r="C45" s="904" t="n"/>
      <c r="D45" s="904" t="n"/>
      <c r="E45" s="904" t="n"/>
      <c r="F45" s="904" t="n"/>
      <c r="G45" s="904" t="n"/>
      <c r="H45" s="904" t="n"/>
      <c r="I45" s="904" t="n"/>
      <c r="J45" s="904" t="n"/>
      <c r="K45" s="904" t="n"/>
      <c r="L45" s="904" t="n"/>
    </row>
    <row r="46" ht="14.4" customHeight="1" s="1127">
      <c r="A46" s="904" t="n"/>
      <c r="B46" s="904" t="n"/>
      <c r="C46" s="904" t="n"/>
      <c r="D46" s="904" t="n"/>
      <c r="E46" s="904" t="n"/>
      <c r="F46" s="904" t="n"/>
      <c r="G46" s="904" t="n"/>
      <c r="H46" s="904" t="n"/>
      <c r="I46" s="904" t="n"/>
      <c r="J46" s="904" t="n"/>
      <c r="K46" s="904" t="n"/>
      <c r="L46" s="904" t="n"/>
    </row>
    <row r="47" ht="14.4" customHeight="1" s="1127">
      <c r="A47" s="904" t="n"/>
      <c r="B47" s="904" t="n"/>
      <c r="C47" s="904" t="n"/>
      <c r="D47" s="904" t="n"/>
      <c r="E47" s="904" t="n"/>
      <c r="F47" s="904" t="n"/>
      <c r="G47" s="904" t="n"/>
      <c r="H47" s="904" t="n"/>
      <c r="I47" s="904" t="n"/>
      <c r="J47" s="904" t="n"/>
      <c r="K47" s="904" t="n"/>
      <c r="L47" s="904" t="n"/>
    </row>
    <row r="48" ht="14.4" customHeight="1" s="1127">
      <c r="A48" s="904" t="n"/>
      <c r="B48" s="904" t="n"/>
      <c r="C48" s="904" t="n"/>
      <c r="D48" s="904" t="n"/>
      <c r="E48" s="904" t="n"/>
      <c r="F48" s="904" t="n"/>
      <c r="G48" s="904" t="n"/>
      <c r="H48" s="904" t="n"/>
      <c r="I48" s="904" t="n"/>
      <c r="J48" s="904" t="n"/>
      <c r="K48" s="904" t="n"/>
      <c r="L48" s="904" t="n"/>
    </row>
    <row r="49" ht="14.4" customHeight="1" s="1127">
      <c r="A49" s="904" t="n"/>
      <c r="B49" s="904" t="n"/>
      <c r="C49" s="904" t="n"/>
      <c r="D49" s="904" t="n"/>
      <c r="E49" s="904" t="n"/>
      <c r="F49" s="904" t="n"/>
      <c r="G49" s="904" t="n"/>
      <c r="H49" s="904" t="n"/>
      <c r="I49" s="904" t="n"/>
      <c r="J49" s="904" t="n"/>
      <c r="K49" s="904" t="n"/>
      <c r="L49" s="904" t="n"/>
    </row>
    <row r="50" ht="14.4" customHeight="1" s="1127">
      <c r="A50" s="904" t="n"/>
      <c r="B50" s="904" t="n"/>
      <c r="C50" s="904" t="n"/>
      <c r="D50" s="904" t="n"/>
      <c r="E50" s="904" t="n"/>
      <c r="F50" s="904" t="n"/>
      <c r="G50" s="904" t="n"/>
      <c r="H50" s="904" t="n"/>
      <c r="I50" s="904" t="n"/>
      <c r="J50" s="904" t="n"/>
      <c r="K50" s="904" t="n"/>
      <c r="L50" s="904" t="n"/>
    </row>
    <row r="51" ht="14.4" customHeight="1" s="1127">
      <c r="A51" s="904" t="n"/>
      <c r="B51" s="904" t="n"/>
      <c r="C51" s="904" t="n"/>
      <c r="D51" s="904" t="n"/>
      <c r="E51" s="904" t="n"/>
      <c r="F51" s="904" t="n"/>
      <c r="G51" s="904" t="n"/>
      <c r="H51" s="904" t="n"/>
      <c r="I51" s="904" t="n"/>
      <c r="J51" s="904" t="n"/>
      <c r="K51" s="904" t="n"/>
      <c r="L51" s="904" t="n"/>
    </row>
    <row r="52" ht="14.4" customHeight="1" s="1127">
      <c r="A52" s="904" t="n"/>
      <c r="B52" s="904" t="n"/>
      <c r="C52" s="904" t="n"/>
      <c r="D52" s="904" t="n"/>
      <c r="E52" s="904" t="n"/>
      <c r="F52" s="904" t="n"/>
      <c r="G52" s="904" t="n"/>
      <c r="H52" s="904" t="n"/>
      <c r="I52" s="904" t="n"/>
      <c r="J52" s="904" t="n"/>
      <c r="K52" s="904" t="n"/>
      <c r="L52" s="904" t="n"/>
    </row>
  </sheetData>
  <mergeCells count="2">
    <mergeCell ref="B3:C3"/>
    <mergeCell ref="C12:C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K41"/>
  <sheetViews>
    <sheetView workbookViewId="0">
      <selection activeCell="A1" sqref="A1"/>
    </sheetView>
  </sheetViews>
  <sheetFormatPr baseColWidth="8" defaultColWidth="12.6640625" defaultRowHeight="15.75" customHeight="1"/>
  <cols>
    <col width="2.44140625" customWidth="1" style="1127" min="1" max="1"/>
    <col width="6.6640625" customWidth="1" style="1127" min="2" max="2"/>
    <col width="0.33203125" customWidth="1" style="1127" min="3" max="3"/>
    <col width="22.33203125" customWidth="1" style="1127" min="8" max="9"/>
  </cols>
  <sheetData>
    <row r="1" ht="20.4" customHeight="1" s="1127">
      <c r="A1" s="1242" t="inlineStr">
        <is>
          <t>Отчет о движении денежных средств</t>
        </is>
      </c>
      <c r="I1" s="904" t="n"/>
    </row>
    <row r="2" ht="14.4" customHeight="1" s="1127">
      <c r="A2" s="1243" t="inlineStr">
        <is>
          <t>За период: с 01.04.2026 по 30.04.2026</t>
        </is>
      </c>
      <c r="I2" s="904" t="n"/>
    </row>
    <row r="3" ht="14.4" customHeight="1" s="1127">
      <c r="A3" s="906" t="inlineStr">
        <is>
          <t>Подразделение</t>
        </is>
      </c>
      <c r="B3" s="1225" t="n"/>
      <c r="C3" s="906" t="inlineStr">
        <is>
          <t>Концепция</t>
        </is>
      </c>
      <c r="D3" s="1225" t="n"/>
      <c r="E3" s="904" t="n"/>
      <c r="F3" s="904" t="n"/>
      <c r="G3" s="904" t="n"/>
      <c r="H3" s="904" t="n"/>
      <c r="I3" s="904" t="n"/>
    </row>
    <row r="4" ht="14.4" customHeight="1" s="1127">
      <c r="A4" s="904" t="n"/>
      <c r="B4" s="904" t="n"/>
      <c r="C4" s="904" t="n"/>
      <c r="D4" s="904" t="n"/>
      <c r="E4" s="904" t="n"/>
      <c r="F4" s="904" t="n"/>
      <c r="G4" s="904" t="n"/>
      <c r="H4" s="904" t="n"/>
      <c r="I4" s="904" t="n"/>
    </row>
    <row r="5" ht="14.4" customHeight="1" s="1127">
      <c r="A5" s="906" t="inlineStr">
        <is>
          <t>Сумма</t>
        </is>
      </c>
      <c r="B5" s="904" t="n"/>
      <c r="C5" s="904" t="n"/>
      <c r="D5" s="904" t="n"/>
      <c r="E5" s="904" t="n"/>
      <c r="F5" s="904" t="n"/>
      <c r="G5" s="904" t="n"/>
      <c r="H5" s="904" t="n"/>
      <c r="I5" s="904" t="n"/>
    </row>
    <row r="6" ht="13.2" customHeight="1" s="1127">
      <c r="A6" s="906" t="inlineStr">
        <is>
          <t>Тип статьи</t>
        </is>
      </c>
      <c r="B6" s="1244" t="n"/>
      <c r="C6" s="1225" t="n"/>
      <c r="D6" s="906" t="inlineStr">
        <is>
          <t>Статья ДДС 1-ого уровня</t>
        </is>
      </c>
      <c r="E6" s="1225" t="n"/>
      <c r="F6" s="906" t="inlineStr">
        <is>
          <t>Статья ДДС 2-ого уровня</t>
        </is>
      </c>
      <c r="G6" s="906" t="inlineStr">
        <is>
          <t>Статья ДДС 3-ого уровня</t>
        </is>
      </c>
      <c r="H6" s="906" t="inlineStr">
        <is>
          <t>Приход/Расход</t>
        </is>
      </c>
      <c r="I6" s="906" t="inlineStr">
        <is>
          <t>Итого</t>
        </is>
      </c>
    </row>
    <row r="7" ht="13.2" customHeight="1" s="1127">
      <c r="A7" s="906" t="inlineStr">
        <is>
          <t>Остаток на начало</t>
        </is>
      </c>
      <c r="B7" s="1244" t="n"/>
      <c r="C7" s="1225" t="n"/>
      <c r="D7" s="906" t="n"/>
      <c r="E7" s="1225" t="n"/>
      <c r="F7" s="906" t="n"/>
      <c r="G7" s="906" t="n"/>
      <c r="H7" s="906" t="n"/>
      <c r="I7" s="911" t="inlineStr">
        <is>
          <t>4 034 780</t>
        </is>
      </c>
      <c r="K7" s="456">
        <f>TRIM(I7:I41)</f>
        <v/>
      </c>
    </row>
    <row r="8" hidden="1" ht="13.2" customHeight="1" s="1127">
      <c r="A8" s="906" t="inlineStr">
        <is>
          <t>Инвестиционная деятельность</t>
        </is>
      </c>
      <c r="B8" s="1244" t="n"/>
      <c r="C8" s="1225" t="n"/>
      <c r="D8" s="906" t="inlineStr">
        <is>
          <t>Приобретение основных средств</t>
        </is>
      </c>
      <c r="E8" s="1225" t="n"/>
      <c r="F8" s="906" t="n"/>
      <c r="G8" s="906" t="n"/>
      <c r="H8" s="906" t="inlineStr">
        <is>
          <t>Расход</t>
        </is>
      </c>
      <c r="I8" s="911" t="inlineStr">
        <is>
          <t>-173 446</t>
        </is>
      </c>
      <c r="K8" s="456">
        <f>TRIM(I8:I42)</f>
        <v/>
      </c>
    </row>
    <row r="9" hidden="1" ht="13.2" customHeight="1" s="1127">
      <c r="A9" s="1245" t="inlineStr">
        <is>
          <t>Операционная деятельность</t>
        </is>
      </c>
      <c r="B9" s="1246" t="n"/>
      <c r="C9" s="1247" t="n"/>
      <c r="D9" s="1248" t="inlineStr">
        <is>
          <t>1 Внутренние обороты</t>
        </is>
      </c>
      <c r="E9" s="1247" t="n"/>
      <c r="F9" s="908" t="n"/>
      <c r="G9" s="908" t="n"/>
      <c r="H9" s="906" t="inlineStr">
        <is>
          <t>Приход</t>
        </is>
      </c>
      <c r="I9" s="911" t="inlineStr">
        <is>
          <t>372 495 755</t>
        </is>
      </c>
      <c r="K9" s="456">
        <f>TRIM(I9:I43)</f>
        <v/>
      </c>
    </row>
    <row r="10" hidden="1" ht="13.2" customHeight="1" s="1127">
      <c r="A10" s="1249" t="n"/>
      <c r="C10" s="1250" t="n"/>
      <c r="D10" s="1249" t="n"/>
      <c r="E10" s="1250" t="n"/>
      <c r="F10" s="1249" t="n"/>
      <c r="G10" s="909" t="n"/>
      <c r="H10" s="906" t="inlineStr">
        <is>
          <t>Расход</t>
        </is>
      </c>
      <c r="I10" s="911" t="inlineStr">
        <is>
          <t>-357 314 350</t>
        </is>
      </c>
      <c r="K10" s="456">
        <f>TRIM(I10:I44)</f>
        <v/>
      </c>
    </row>
    <row r="11" hidden="1" ht="13.2" customHeight="1" s="1127">
      <c r="A11" s="1251" t="n"/>
      <c r="C11" s="1250" t="n"/>
      <c r="D11" s="1219" t="n"/>
      <c r="E11" s="1215" t="n"/>
      <c r="F11" s="1252" t="n"/>
      <c r="G11" s="906" t="n"/>
      <c r="H11" s="1225" t="n"/>
      <c r="I11" s="910" t="inlineStr">
        <is>
          <t>15 181 405</t>
        </is>
      </c>
      <c r="K11" s="456">
        <f>TRIM(I11:I45)</f>
        <v/>
      </c>
    </row>
    <row r="12" ht="13.2" customHeight="1" s="1127">
      <c r="A12" s="1251" t="n"/>
      <c r="C12" s="1250" t="n"/>
      <c r="D12" s="906" t="inlineStr">
        <is>
          <t>1.Выручка</t>
        </is>
      </c>
      <c r="E12" s="1225" t="n"/>
      <c r="F12" s="906" t="n"/>
      <c r="G12" s="906" t="n"/>
      <c r="H12" s="906" t="inlineStr">
        <is>
          <t>Приход</t>
        </is>
      </c>
      <c r="I12" s="911" t="inlineStr">
        <is>
          <t>260235528</t>
        </is>
      </c>
      <c r="J12" s="57">
        <f>I12*1.18</f>
        <v/>
      </c>
      <c r="K12" s="456">
        <f>TRIM(I12:I46)</f>
        <v/>
      </c>
    </row>
    <row r="13" ht="13.2" customHeight="1" s="1127">
      <c r="A13" s="1251" t="n"/>
      <c r="C13" s="1250" t="n"/>
      <c r="D13" s="906" t="inlineStr">
        <is>
          <t>2.Доходы прочие(аренда...)</t>
        </is>
      </c>
      <c r="E13" s="1225" t="n"/>
      <c r="F13" s="906" t="n"/>
      <c r="G13" s="906" t="n"/>
      <c r="H13" s="906" t="inlineStr">
        <is>
          <t>Приход</t>
        </is>
      </c>
      <c r="I13" s="911" t="inlineStr">
        <is>
          <t>89 157</t>
        </is>
      </c>
      <c r="K13" s="456">
        <f>TRIM(I13:I47)</f>
        <v/>
      </c>
    </row>
    <row r="14" ht="13.2" customHeight="1" s="1127">
      <c r="A14" s="1251" t="n"/>
      <c r="C14" s="1250" t="n"/>
      <c r="D14" s="906" t="inlineStr">
        <is>
          <t>3.ВнутриГрупп Поступление</t>
        </is>
      </c>
      <c r="E14" s="1225" t="n"/>
      <c r="F14" s="906" t="n"/>
      <c r="G14" s="906" t="n"/>
      <c r="H14" s="906" t="inlineStr">
        <is>
          <t>Приход</t>
        </is>
      </c>
      <c r="I14" s="911" t="inlineStr">
        <is>
          <t>493 161</t>
        </is>
      </c>
      <c r="K14" s="456">
        <f>TRIM(I14:I48)</f>
        <v/>
      </c>
    </row>
    <row r="15" ht="13.2" customHeight="1" s="1127">
      <c r="A15" s="1251" t="n"/>
      <c r="C15" s="1250" t="n"/>
      <c r="D15" s="906" t="inlineStr">
        <is>
          <t>4.ВнутриГрупп Выбытие</t>
        </is>
      </c>
      <c r="E15" s="1225" t="n"/>
      <c r="F15" s="906" t="n"/>
      <c r="G15" s="906" t="n"/>
      <c r="H15" s="906" t="inlineStr">
        <is>
          <t>Расход</t>
        </is>
      </c>
      <c r="I15" s="911" t="inlineStr">
        <is>
          <t>-358 000</t>
        </is>
      </c>
      <c r="K15" s="456">
        <f>TRIM(I15:I49)</f>
        <v/>
      </c>
    </row>
    <row r="16" ht="13.2" customHeight="1" s="1127">
      <c r="A16" s="1251" t="n"/>
      <c r="C16" s="1250" t="n"/>
      <c r="D16" s="906" t="inlineStr">
        <is>
          <t>IT-обслуживание,телефония,интернет</t>
        </is>
      </c>
      <c r="E16" s="1225" t="n"/>
      <c r="F16" s="906" t="n"/>
      <c r="G16" s="906" t="n"/>
      <c r="H16" s="906" t="inlineStr">
        <is>
          <t>Расход</t>
        </is>
      </c>
      <c r="I16" s="911" t="n">
        <v>-390977</v>
      </c>
      <c r="K16" s="456">
        <f>TRIM(I16:I50)</f>
        <v/>
      </c>
    </row>
    <row r="17" ht="13.2" customHeight="1" s="1127">
      <c r="A17" s="1251" t="n"/>
      <c r="C17" s="1250" t="n"/>
      <c r="D17" s="906" t="inlineStr">
        <is>
          <t>Административные расходы</t>
        </is>
      </c>
      <c r="E17" s="1225" t="n"/>
      <c r="F17" s="906" t="n"/>
      <c r="G17" s="906" t="n"/>
      <c r="H17" s="906" t="inlineStr">
        <is>
          <t>Расход</t>
        </is>
      </c>
      <c r="I17" s="911" t="n">
        <v>-3162568</v>
      </c>
      <c r="K17" s="456">
        <f>TRIM(I17:I51)</f>
        <v/>
      </c>
    </row>
    <row r="18" ht="13.2" customHeight="1" s="1127">
      <c r="A18" s="1251" t="n"/>
      <c r="C18" s="1250" t="n"/>
      <c r="D18" s="906" t="inlineStr">
        <is>
          <t>Аренда квартир</t>
        </is>
      </c>
      <c r="E18" s="1225" t="n"/>
      <c r="F18" s="906" t="n"/>
      <c r="G18" s="906" t="n"/>
      <c r="H18" s="906" t="inlineStr">
        <is>
          <t>Расход</t>
        </is>
      </c>
      <c r="I18" s="911" t="n">
        <v>-1530149</v>
      </c>
      <c r="K18" s="456">
        <f>TRIM(I18:I52)</f>
        <v/>
      </c>
    </row>
    <row r="19" ht="13.2" customHeight="1" s="1127">
      <c r="A19" s="1251" t="n"/>
      <c r="C19" s="1250" t="n"/>
      <c r="D19" s="906" t="inlineStr">
        <is>
          <t>Аренда помещений</t>
        </is>
      </c>
      <c r="E19" s="1225" t="n"/>
      <c r="F19" s="906" t="n"/>
      <c r="G19" s="906" t="n"/>
      <c r="H19" s="906" t="inlineStr">
        <is>
          <t>Расход</t>
        </is>
      </c>
      <c r="I19" s="911" t="inlineStr">
        <is>
          <t>-6 655 000</t>
        </is>
      </c>
      <c r="K19" s="456">
        <f>TRIM(I19:I53)</f>
        <v/>
      </c>
    </row>
    <row r="20" ht="13.2" customHeight="1" s="1127">
      <c r="A20" s="1251" t="n"/>
      <c r="C20" s="1250" t="n"/>
      <c r="D20" s="906" t="inlineStr">
        <is>
          <t>Возврат с подотчета</t>
        </is>
      </c>
      <c r="E20" s="1225" t="n"/>
      <c r="F20" s="906" t="n"/>
      <c r="G20" s="906" t="n"/>
      <c r="H20" s="906" t="inlineStr">
        <is>
          <t>Приход</t>
        </is>
      </c>
      <c r="I20" s="911" t="inlineStr">
        <is>
          <t>1 770</t>
        </is>
      </c>
      <c r="K20" s="456">
        <f>TRIM(I20:I54)</f>
        <v/>
      </c>
    </row>
    <row r="21" ht="13.2" customHeight="1" s="1127">
      <c r="A21" s="1251" t="n"/>
      <c r="C21" s="1250" t="n"/>
      <c r="D21" s="906" t="inlineStr">
        <is>
          <t>Инвентарь</t>
        </is>
      </c>
      <c r="E21" s="1225" t="n"/>
      <c r="F21" s="906" t="n"/>
      <c r="G21" s="906" t="n"/>
      <c r="H21" s="906" t="inlineStr">
        <is>
          <t>Расход</t>
        </is>
      </c>
      <c r="I21" s="911" t="n">
        <v>-85000</v>
      </c>
      <c r="K21" s="456">
        <f>TRIM(I21:I55)</f>
        <v/>
      </c>
    </row>
    <row r="22" ht="13.2" customHeight="1" s="1127">
      <c r="A22" s="1251" t="n"/>
      <c r="C22" s="1250" t="n"/>
      <c r="D22" s="906" t="inlineStr">
        <is>
          <t>Маркетинг</t>
        </is>
      </c>
      <c r="E22" s="1225" t="n"/>
      <c r="F22" s="906" t="n"/>
      <c r="G22" s="906" t="n"/>
      <c r="H22" s="906" t="inlineStr">
        <is>
          <t>Расход</t>
        </is>
      </c>
      <c r="I22" s="911" t="inlineStr">
        <is>
          <t>-1 454 344</t>
        </is>
      </c>
      <c r="K22" s="456">
        <f>TRIM(I22:I56)</f>
        <v/>
      </c>
    </row>
    <row r="23" ht="13.2" customHeight="1" s="1127">
      <c r="A23" s="1251" t="n"/>
      <c r="C23" s="1250" t="n"/>
      <c r="D23" s="906" t="inlineStr">
        <is>
          <t>Мусор</t>
        </is>
      </c>
      <c r="E23" s="1225" t="n"/>
      <c r="F23" s="906" t="n"/>
      <c r="G23" s="906" t="n"/>
      <c r="H23" s="906" t="inlineStr">
        <is>
          <t>Расход</t>
        </is>
      </c>
      <c r="I23" s="911" t="inlineStr">
        <is>
          <t>-642 920</t>
        </is>
      </c>
      <c r="K23" s="456">
        <f>TRIM(I23:I57)</f>
        <v/>
      </c>
    </row>
    <row r="24" ht="13.2" customHeight="1" s="1127">
      <c r="A24" s="1251" t="n"/>
      <c r="C24" s="1250" t="n"/>
      <c r="D24" s="906" t="inlineStr">
        <is>
          <t>Налоги и другие платежи в бюджет</t>
        </is>
      </c>
      <c r="E24" s="1225" t="n"/>
      <c r="F24" s="906" t="n"/>
      <c r="G24" s="906" t="n"/>
      <c r="H24" s="906" t="inlineStr">
        <is>
          <t>Расход</t>
        </is>
      </c>
      <c r="I24" s="911" t="inlineStr">
        <is>
          <t>-28 737 701</t>
        </is>
      </c>
      <c r="K24" s="456">
        <f>TRIM(I24:I58)</f>
        <v/>
      </c>
    </row>
    <row r="25" ht="13.2" customHeight="1" s="1127">
      <c r="A25" s="1251" t="n"/>
      <c r="C25" s="1250" t="n"/>
      <c r="D25" s="906" t="inlineStr">
        <is>
          <t>Оплата труда</t>
        </is>
      </c>
      <c r="E25" s="1225" t="n"/>
      <c r="F25" s="906" t="n"/>
      <c r="G25" s="906" t="n"/>
      <c r="H25" s="906" t="inlineStr">
        <is>
          <t>Расход</t>
        </is>
      </c>
      <c r="I25" s="911" t="inlineStr">
        <is>
          <t>-76 177 553</t>
        </is>
      </c>
      <c r="K25" s="456">
        <f>TRIM(I25:I59)</f>
        <v/>
      </c>
    </row>
    <row r="26" ht="13.2" customHeight="1" s="1127">
      <c r="A26" s="1251" t="n"/>
      <c r="C26" s="1250" t="n"/>
      <c r="D26" s="906" t="inlineStr">
        <is>
          <t>Платежи поставщикам Прочее</t>
        </is>
      </c>
      <c r="E26" s="1225" t="n"/>
      <c r="F26" s="906" t="n"/>
      <c r="G26" s="906" t="n"/>
      <c r="H26" s="906" t="inlineStr">
        <is>
          <t>Расход</t>
        </is>
      </c>
      <c r="I26" s="911" t="n">
        <v>-1940260</v>
      </c>
      <c r="K26" s="456">
        <f>TRIM(I26:I60)</f>
        <v/>
      </c>
    </row>
    <row r="27" ht="13.2" customHeight="1" s="1127">
      <c r="A27" s="1251" t="n"/>
      <c r="C27" s="1250" t="n"/>
      <c r="D27" s="906" t="inlineStr">
        <is>
          <t>Подотчет</t>
        </is>
      </c>
      <c r="E27" s="1225" t="n"/>
      <c r="F27" s="906" t="n"/>
      <c r="G27" s="906" t="n"/>
      <c r="H27" s="906" t="inlineStr">
        <is>
          <t>Расход</t>
        </is>
      </c>
      <c r="I27" s="911" t="n">
        <v>-43340</v>
      </c>
      <c r="K27" s="456">
        <f>TRIM(I27:I61)</f>
        <v/>
      </c>
    </row>
    <row r="28" ht="13.2" customHeight="1" s="1127">
      <c r="A28" s="1251" t="n"/>
      <c r="C28" s="1250" t="n"/>
      <c r="D28" s="906" t="inlineStr">
        <is>
          <t>Производственные расходы</t>
        </is>
      </c>
      <c r="E28" s="1225" t="n"/>
      <c r="F28" s="906" t="n"/>
      <c r="G28" s="906" t="n"/>
      <c r="H28" s="906" t="inlineStr">
        <is>
          <t>Расход</t>
        </is>
      </c>
      <c r="I28" s="911" t="n">
        <v>-8424939</v>
      </c>
      <c r="K28" s="456">
        <f>TRIM(I28:I62)</f>
        <v/>
      </c>
    </row>
    <row r="29" ht="13.2" customHeight="1" s="1127">
      <c r="A29" s="1251" t="n"/>
      <c r="C29" s="1250" t="n"/>
      <c r="D29" s="906" t="inlineStr">
        <is>
          <t>Расходы по реализации Разные</t>
        </is>
      </c>
      <c r="E29" s="1225" t="n"/>
      <c r="F29" s="906" t="n"/>
      <c r="G29" s="906" t="n"/>
      <c r="H29" s="906" t="inlineStr">
        <is>
          <t>Расход</t>
        </is>
      </c>
      <c r="I29" s="911" t="n">
        <v>-176080</v>
      </c>
      <c r="K29" s="456">
        <f>TRIM(I29:I63)</f>
        <v/>
      </c>
    </row>
    <row r="30" ht="13.2" customHeight="1" s="1127">
      <c r="A30" s="1251" t="n"/>
      <c r="C30" s="1250" t="n"/>
      <c r="D30" s="906" t="inlineStr">
        <is>
          <t>Ремонт оборудования</t>
        </is>
      </c>
      <c r="E30" s="1225" t="n"/>
      <c r="F30" s="906" t="n"/>
      <c r="G30" s="906" t="n"/>
      <c r="H30" s="906" t="inlineStr">
        <is>
          <t>Расход</t>
        </is>
      </c>
      <c r="I30" s="911" t="n">
        <v>-1195116</v>
      </c>
      <c r="K30" s="456">
        <f>TRIM(I30:I64)</f>
        <v/>
      </c>
    </row>
    <row r="31" ht="13.2" customHeight="1" s="1127">
      <c r="A31" s="1251" t="n"/>
      <c r="C31" s="1250" t="n"/>
      <c r="D31" s="906" t="inlineStr">
        <is>
          <t>Ремонт помещений</t>
        </is>
      </c>
      <c r="E31" s="1225" t="n"/>
      <c r="F31" s="906" t="n"/>
      <c r="G31" s="906" t="n"/>
      <c r="H31" s="906" t="inlineStr">
        <is>
          <t>Расход</t>
        </is>
      </c>
      <c r="I31" s="911" t="n">
        <v>-155000</v>
      </c>
      <c r="K31" s="456">
        <f>TRIM(I31:I65)</f>
        <v/>
      </c>
    </row>
    <row r="32" ht="13.2" customHeight="1" s="1127">
      <c r="A32" s="1251" t="n"/>
      <c r="C32" s="1250" t="n"/>
      <c r="D32" s="906" t="inlineStr">
        <is>
          <t>Сырье Платежи поставщикам</t>
        </is>
      </c>
      <c r="E32" s="1225" t="n"/>
      <c r="F32" s="906" t="n"/>
      <c r="G32" s="906" t="n"/>
      <c r="H32" s="906" t="inlineStr">
        <is>
          <t>Расход</t>
        </is>
      </c>
      <c r="I32" s="911" t="n">
        <v>-115230372</v>
      </c>
      <c r="K32" s="456">
        <f>TRIM(I32:I66)</f>
        <v/>
      </c>
    </row>
    <row r="33" ht="13.2" customHeight="1" s="1127">
      <c r="A33" s="1251" t="n"/>
      <c r="C33" s="1250" t="n"/>
      <c r="D33" s="906" t="inlineStr">
        <is>
          <t>Униформа</t>
        </is>
      </c>
      <c r="E33" s="1225" t="n"/>
      <c r="F33" s="906" t="n"/>
      <c r="G33" s="906" t="n"/>
      <c r="H33" s="906" t="inlineStr">
        <is>
          <t>Расход</t>
        </is>
      </c>
      <c r="I33" s="911" t="n">
        <v>-475800</v>
      </c>
      <c r="K33" s="456">
        <f>TRIM(I33:I67)</f>
        <v/>
      </c>
    </row>
    <row r="34" ht="13.2" customHeight="1" s="1127">
      <c r="A34" s="1251" t="n"/>
      <c r="C34" s="1250" t="n"/>
      <c r="D34" s="906" t="inlineStr">
        <is>
          <t>Упаковка</t>
        </is>
      </c>
      <c r="E34" s="1225" t="n"/>
      <c r="F34" s="906" t="n"/>
      <c r="G34" s="906" t="n"/>
      <c r="H34" s="906" t="inlineStr">
        <is>
          <t>Расход</t>
        </is>
      </c>
      <c r="I34" s="911" t="n">
        <v>-13789130</v>
      </c>
      <c r="K34" s="456">
        <f>TRIM(I34:I68)</f>
        <v/>
      </c>
    </row>
    <row r="35" ht="13.2" customHeight="1" s="1127">
      <c r="A35" s="1251" t="n"/>
      <c r="C35" s="1250" t="n"/>
      <c r="D35" s="906" t="inlineStr">
        <is>
          <t>Хоз. товары</t>
        </is>
      </c>
      <c r="E35" s="1225" t="n"/>
      <c r="F35" s="906" t="n"/>
      <c r="G35" s="906" t="n"/>
      <c r="H35" s="906" t="inlineStr">
        <is>
          <t>Расход</t>
        </is>
      </c>
      <c r="I35" s="911" t="n">
        <v>-976593</v>
      </c>
      <c r="K35" s="456">
        <f>TRIM(I35:I69)</f>
        <v/>
      </c>
    </row>
    <row r="36" ht="13.2" customHeight="1" s="1127">
      <c r="A36" s="1219" t="n"/>
      <c r="B36" s="1217" t="n"/>
      <c r="C36" s="1215" t="n"/>
      <c r="D36" s="906" t="inlineStr">
        <is>
          <t>Электроэнергия</t>
        </is>
      </c>
      <c r="E36" s="1225" t="n"/>
      <c r="F36" s="906" t="n"/>
      <c r="G36" s="906" t="n"/>
      <c r="H36" s="906" t="inlineStr">
        <is>
          <t>Расход</t>
        </is>
      </c>
      <c r="I36" s="911" t="n">
        <v>-6534051</v>
      </c>
      <c r="K36" s="456">
        <f>TRIM(I36:I70)</f>
        <v/>
      </c>
    </row>
    <row r="37" ht="13.2" customHeight="1" s="1127">
      <c r="A37" s="906" t="inlineStr">
        <is>
          <t>Операционная деятельность</t>
        </is>
      </c>
      <c r="B37" s="1244" t="n"/>
      <c r="C37" s="1244" t="n"/>
      <c r="D37" s="1244" t="n"/>
      <c r="E37" s="1244" t="n"/>
      <c r="F37" s="1244" t="n"/>
      <c r="G37" s="1244" t="n"/>
      <c r="H37" s="1225" t="n"/>
      <c r="I37" s="910" t="inlineStr">
        <is>
          <t>7 866 128</t>
        </is>
      </c>
      <c r="K37" s="456">
        <f>TRIM(I37:I71)</f>
        <v/>
      </c>
    </row>
    <row r="38" ht="13.2" customHeight="1" s="1127">
      <c r="A38" s="1245" t="inlineStr">
        <is>
          <t>Финансовая деятельность</t>
        </is>
      </c>
      <c r="B38" s="1246" t="n"/>
      <c r="C38" s="1247" t="n"/>
      <c r="D38" s="906" t="inlineStr">
        <is>
          <t>Возврат ВФП</t>
        </is>
      </c>
      <c r="E38" s="1225" t="n"/>
      <c r="F38" s="906" t="n"/>
      <c r="G38" s="906" t="n"/>
      <c r="H38" s="906" t="inlineStr">
        <is>
          <t>Расход</t>
        </is>
      </c>
      <c r="I38" s="911" t="inlineStr">
        <is>
          <t>-12 495 000</t>
        </is>
      </c>
      <c r="K38" s="456">
        <f>TRIM(I38:I72)</f>
        <v/>
      </c>
    </row>
    <row r="39" ht="13.2" customHeight="1" s="1127">
      <c r="A39" s="1249" t="n"/>
      <c r="B39" s="1217" t="n"/>
      <c r="C39" s="1215" t="n"/>
      <c r="D39" s="906" t="inlineStr">
        <is>
          <t>ВФП Учредители поступление</t>
        </is>
      </c>
      <c r="E39" s="1225" t="n"/>
      <c r="F39" s="906" t="n"/>
      <c r="G39" s="906" t="n"/>
      <c r="H39" s="906" t="inlineStr">
        <is>
          <t>Приход</t>
        </is>
      </c>
      <c r="I39" s="911" t="inlineStr">
        <is>
          <t>6 898 500</t>
        </is>
      </c>
      <c r="K39" s="456">
        <f>TRIM(I39:I73)</f>
        <v/>
      </c>
    </row>
    <row r="40" ht="13.2" customHeight="1" s="1127">
      <c r="A40" s="906" t="inlineStr">
        <is>
          <t>Финансовая деятельность</t>
        </is>
      </c>
      <c r="B40" s="1244" t="n"/>
      <c r="C40" s="1244" t="n"/>
      <c r="D40" s="1244" t="n"/>
      <c r="E40" s="1244" t="n"/>
      <c r="F40" s="1244" t="n"/>
      <c r="G40" s="1244" t="n"/>
      <c r="H40" s="1225" t="n"/>
      <c r="I40" s="910" t="inlineStr">
        <is>
          <t>-5 596 500</t>
        </is>
      </c>
      <c r="K40" s="456">
        <f>TRIM(I40:I74)</f>
        <v/>
      </c>
    </row>
    <row r="41" ht="13.2" customHeight="1" s="1127">
      <c r="A41" s="906" t="inlineStr">
        <is>
          <t>Остаток на конец</t>
        </is>
      </c>
      <c r="B41" s="1244" t="n"/>
      <c r="C41" s="1225" t="n"/>
      <c r="D41" s="906" t="n"/>
      <c r="E41" s="1225" t="n"/>
      <c r="F41" s="906" t="n"/>
      <c r="G41" s="906" t="n"/>
      <c r="H41" s="906" t="n"/>
      <c r="I41" s="911" t="inlineStr">
        <is>
          <t>6 130 962</t>
        </is>
      </c>
      <c r="K41" s="456">
        <f>TRIM(I41:I75)</f>
        <v/>
      </c>
    </row>
  </sheetData>
  <mergeCells count="49">
    <mergeCell ref="D20:E20"/>
    <mergeCell ref="A41:C41"/>
    <mergeCell ref="D19:E19"/>
    <mergeCell ref="D34:E34"/>
    <mergeCell ref="G11:H11"/>
    <mergeCell ref="D22:E22"/>
    <mergeCell ref="A1:H1"/>
    <mergeCell ref="D36:E36"/>
    <mergeCell ref="D31:E31"/>
    <mergeCell ref="D21:E21"/>
    <mergeCell ref="D6:E6"/>
    <mergeCell ref="C3:D3"/>
    <mergeCell ref="D13:E13"/>
    <mergeCell ref="A8:C8"/>
    <mergeCell ref="D27:E27"/>
    <mergeCell ref="D32:E32"/>
    <mergeCell ref="D41:E41"/>
    <mergeCell ref="A37:H37"/>
    <mergeCell ref="D10:E11"/>
    <mergeCell ref="D17:E17"/>
    <mergeCell ref="A3:B3"/>
    <mergeCell ref="A38:C38"/>
    <mergeCell ref="D16:E16"/>
    <mergeCell ref="D7:E7"/>
    <mergeCell ref="F10:F11"/>
    <mergeCell ref="A2:H2"/>
    <mergeCell ref="A9:C9"/>
    <mergeCell ref="D28:E28"/>
    <mergeCell ref="A39:C39"/>
    <mergeCell ref="D18:E18"/>
    <mergeCell ref="D9:E9"/>
    <mergeCell ref="A10:C36"/>
    <mergeCell ref="D12:E12"/>
    <mergeCell ref="D39:E39"/>
    <mergeCell ref="D8:E8"/>
    <mergeCell ref="D25:E25"/>
    <mergeCell ref="D24:E24"/>
    <mergeCell ref="D30:E30"/>
    <mergeCell ref="D15:E15"/>
    <mergeCell ref="D33:E33"/>
    <mergeCell ref="D29:E29"/>
    <mergeCell ref="A6:C6"/>
    <mergeCell ref="D23:E23"/>
    <mergeCell ref="D38:E38"/>
    <mergeCell ref="D14:E14"/>
    <mergeCell ref="A7:C7"/>
    <mergeCell ref="D26:E26"/>
    <mergeCell ref="D35:E35"/>
    <mergeCell ref="A40:H4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C85"/>
  <sheetViews>
    <sheetView workbookViewId="0">
      <selection activeCell="A1" sqref="A1"/>
    </sheetView>
  </sheetViews>
  <sheetFormatPr baseColWidth="8" defaultColWidth="12.6640625" defaultRowHeight="15.75" customHeight="1"/>
  <cols>
    <col width="46.33203125" customWidth="1" style="1127" min="1" max="1"/>
    <col width="21.77734375" customWidth="1" style="1127" min="3" max="3"/>
  </cols>
  <sheetData>
    <row r="1">
      <c r="A1" s="1253" t="inlineStr">
        <is>
          <t>Статья ДДС 1-ого уровня</t>
        </is>
      </c>
      <c r="B1" s="1254" t="inlineStr">
        <is>
          <t>Приход/Расход</t>
        </is>
      </c>
      <c r="C1" s="912">
        <f>E1-D4</f>
        <v/>
      </c>
    </row>
    <row r="2">
      <c r="A2" s="1219" t="n"/>
      <c r="B2" s="1252" t="n"/>
      <c r="C2" s="951" t="n">
        <v>46113</v>
      </c>
    </row>
    <row r="3">
      <c r="A3" s="913" t="inlineStr">
        <is>
          <t>Остаток на начало по Банку</t>
        </is>
      </c>
      <c r="B3" s="914" t="n"/>
      <c r="C3" s="599" t="inlineStr">
        <is>
          <t>План</t>
        </is>
      </c>
    </row>
    <row r="4">
      <c r="A4" s="915" t="inlineStr">
        <is>
          <t>Остаток на начало по Кассе</t>
        </is>
      </c>
      <c r="B4" s="914" t="n"/>
      <c r="C4" s="599">
        <f>A83</f>
        <v/>
      </c>
    </row>
    <row r="5">
      <c r="A5" s="916" t="inlineStr">
        <is>
          <t>Прочие</t>
        </is>
      </c>
      <c r="B5" s="917" t="inlineStr">
        <is>
          <t>Приход</t>
        </is>
      </c>
      <c r="C5" s="977">
        <f>A84</f>
        <v/>
      </c>
    </row>
    <row r="6">
      <c r="A6" s="916" t="inlineStr">
        <is>
          <t>Б1, Б2, Б5</t>
        </is>
      </c>
      <c r="B6" s="917" t="inlineStr">
        <is>
          <t>Приход</t>
        </is>
      </c>
      <c r="C6" s="977" t="n">
        <v>1000000</v>
      </c>
    </row>
    <row r="7">
      <c r="A7" s="916" t="inlineStr">
        <is>
          <t>Яндекс</t>
        </is>
      </c>
      <c r="B7" s="917" t="inlineStr">
        <is>
          <t>Приход</t>
        </is>
      </c>
      <c r="C7" s="977" t="n"/>
    </row>
    <row r="8">
      <c r="A8" s="916" t="inlineStr">
        <is>
          <t>Май Март</t>
        </is>
      </c>
      <c r="B8" s="917" t="inlineStr">
        <is>
          <t>Приход</t>
        </is>
      </c>
      <c r="C8" s="977" t="n"/>
    </row>
    <row r="9">
      <c r="A9" s="916" t="inlineStr">
        <is>
          <t xml:space="preserve">7-Kaspi Банк </t>
        </is>
      </c>
      <c r="B9" s="917" t="inlineStr">
        <is>
          <t>Приход</t>
        </is>
      </c>
      <c r="C9" s="977" t="n">
        <v>1000000</v>
      </c>
    </row>
    <row r="10">
      <c r="A10" s="916" t="inlineStr">
        <is>
          <t>Crave</t>
        </is>
      </c>
      <c r="B10" s="917" t="inlineStr">
        <is>
          <t>Приход</t>
        </is>
      </c>
      <c r="C10" s="977" t="n">
        <v>1000000</v>
      </c>
    </row>
    <row r="11">
      <c r="A11" s="916" t="inlineStr">
        <is>
          <t>99-RP АЗС</t>
        </is>
      </c>
      <c r="B11" s="917" t="inlineStr">
        <is>
          <t>Приход</t>
        </is>
      </c>
      <c r="C11" s="977" t="n"/>
    </row>
    <row r="12">
      <c r="A12" s="916" t="inlineStr">
        <is>
          <t>96- DSF покупатель</t>
        </is>
      </c>
      <c r="B12" s="917" t="inlineStr">
        <is>
          <t>Приход</t>
        </is>
      </c>
      <c r="C12" s="977" t="n"/>
    </row>
    <row r="13">
      <c r="A13" s="916" t="inlineStr">
        <is>
          <t>85-ДФЗ дистрибьютер ФЗ</t>
        </is>
      </c>
      <c r="B13" s="917" t="inlineStr">
        <is>
          <t>Приход</t>
        </is>
      </c>
      <c r="C13" s="977" t="n">
        <v>5000000</v>
      </c>
    </row>
    <row r="14">
      <c r="A14" s="916" t="inlineStr">
        <is>
          <t xml:space="preserve">110 АЗС №67 "Sinooil" </t>
        </is>
      </c>
      <c r="B14" s="917" t="inlineStr">
        <is>
          <t>Приход</t>
        </is>
      </c>
      <c r="C14" s="977" t="n">
        <v>2000000</v>
      </c>
    </row>
    <row r="15">
      <c r="A15" s="916" t="inlineStr">
        <is>
          <t>100 ТУАР (шинлайн)</t>
        </is>
      </c>
      <c r="B15" s="917" t="inlineStr">
        <is>
          <t>Приход</t>
        </is>
      </c>
      <c r="C15" s="977" t="n"/>
    </row>
    <row r="16">
      <c r="A16" s="916" t="inlineStr">
        <is>
          <t>Даркстор Чоко</t>
        </is>
      </c>
      <c r="B16" s="917" t="inlineStr">
        <is>
          <t>Приход</t>
        </is>
      </c>
      <c r="C16" s="977" t="n">
        <v>150000</v>
      </c>
    </row>
    <row r="17">
      <c r="A17" s="916" t="inlineStr">
        <is>
          <t>Глово, Вольт</t>
        </is>
      </c>
      <c r="B17" s="917" t="inlineStr">
        <is>
          <t>Приход</t>
        </is>
      </c>
      <c r="C17" s="977" t="n"/>
    </row>
    <row r="18">
      <c r="A18" s="916" t="inlineStr">
        <is>
          <t>Торты</t>
        </is>
      </c>
      <c r="B18" s="917" t="inlineStr">
        <is>
          <t>Приход</t>
        </is>
      </c>
      <c r="C18" s="977" t="n"/>
    </row>
    <row r="19">
      <c r="A19" s="918" t="inlineStr">
        <is>
          <t>Итого по банку</t>
        </is>
      </c>
      <c r="B19" s="919" t="inlineStr">
        <is>
          <t>Приход</t>
        </is>
      </c>
      <c r="C19" s="920" t="n"/>
    </row>
    <row r="20">
      <c r="A20" s="916" t="inlineStr">
        <is>
          <t>97- Кейтеринг гость</t>
        </is>
      </c>
      <c r="B20" s="917" t="inlineStr">
        <is>
          <t>Приход</t>
        </is>
      </c>
      <c r="C20" s="977">
        <f>SUM(C6:C19)</f>
        <v/>
      </c>
    </row>
    <row r="21">
      <c r="A21" s="916" t="inlineStr">
        <is>
          <t>Возврат с подотчета, Кредит</t>
        </is>
      </c>
      <c r="B21" s="917" t="inlineStr">
        <is>
          <t>Приход</t>
        </is>
      </c>
      <c r="C21" s="977" t="n"/>
    </row>
    <row r="22">
      <c r="A22" s="916" t="inlineStr">
        <is>
          <t>Crave</t>
        </is>
      </c>
      <c r="B22" s="917" t="inlineStr">
        <is>
          <t>Приход</t>
        </is>
      </c>
      <c r="C22" s="977" t="n"/>
    </row>
    <row r="23">
      <c r="A23" s="916" t="inlineStr">
        <is>
          <t>7-Kaspi Банк (нал)</t>
        </is>
      </c>
      <c r="B23" s="917" t="inlineStr">
        <is>
          <t>Приход</t>
        </is>
      </c>
      <c r="C23" s="977" t="n"/>
    </row>
    <row r="24">
      <c r="A24" s="921" t="inlineStr">
        <is>
          <t>9-БАЗИЛИК 5 (АКСАЙ)</t>
        </is>
      </c>
      <c r="B24" s="917" t="inlineStr">
        <is>
          <t>Приход</t>
        </is>
      </c>
      <c r="C24" s="977" t="n"/>
    </row>
    <row r="25">
      <c r="A25" s="916" t="inlineStr">
        <is>
          <t>2-Алматушка (нал)</t>
        </is>
      </c>
      <c r="B25" s="917" t="inlineStr">
        <is>
          <t>Приход</t>
        </is>
      </c>
      <c r="C25" s="977" t="n"/>
    </row>
    <row r="26">
      <c r="A26" s="916" t="inlineStr">
        <is>
          <t>1-Basilic номер1 (нал)</t>
        </is>
      </c>
      <c r="B26" s="917" t="inlineStr">
        <is>
          <t>Приход</t>
        </is>
      </c>
      <c r="C26" s="977" t="n"/>
    </row>
    <row r="27">
      <c r="A27" s="916" t="inlineStr">
        <is>
          <t>Частное лицо (Покупатель)</t>
        </is>
      </c>
      <c r="B27" s="917" t="inlineStr">
        <is>
          <t>Приход</t>
        </is>
      </c>
      <c r="C27" s="977" t="n"/>
    </row>
    <row r="28">
      <c r="A28" s="916" t="inlineStr">
        <is>
          <t>98-FOOD vending : СКЛАД АППАРАТ №1 (ФЗ Ермагамбет)</t>
        </is>
      </c>
      <c r="B28" s="917" t="inlineStr">
        <is>
          <t>Приход</t>
        </is>
      </c>
      <c r="C28" s="977" t="n"/>
    </row>
    <row r="29">
      <c r="A29" s="922" t="inlineStr">
        <is>
          <t>Итого по кассе</t>
        </is>
      </c>
      <c r="B29" s="919" t="inlineStr">
        <is>
          <t>Приход</t>
        </is>
      </c>
      <c r="C29" s="599" t="n"/>
    </row>
    <row r="30">
      <c r="A30" s="923" t="inlineStr">
        <is>
          <t>1.Выручка</t>
        </is>
      </c>
      <c r="B30" s="919" t="inlineStr">
        <is>
          <t>Приход</t>
        </is>
      </c>
      <c r="C30" s="599">
        <f>SUM(C21:C29)</f>
        <v/>
      </c>
    </row>
    <row r="31">
      <c r="A31" s="924" t="inlineStr">
        <is>
          <t>IT-обслуживание,телефония,интернет</t>
        </is>
      </c>
      <c r="B31" s="917" t="inlineStr">
        <is>
          <t>Расход</t>
        </is>
      </c>
      <c r="C31" s="977">
        <f>C20+C30</f>
        <v/>
      </c>
    </row>
    <row r="32">
      <c r="A32" s="924" t="inlineStr">
        <is>
          <t>Авансы поставщикам</t>
        </is>
      </c>
      <c r="B32" s="917" t="inlineStr">
        <is>
          <t>Расход</t>
        </is>
      </c>
      <c r="C32" s="977" t="n">
        <v>-82240</v>
      </c>
    </row>
    <row r="33">
      <c r="A33" s="924" t="inlineStr">
        <is>
          <t>Административные расходы</t>
        </is>
      </c>
      <c r="B33" s="917" t="inlineStr">
        <is>
          <t>Расход</t>
        </is>
      </c>
      <c r="C33" s="977" t="n"/>
    </row>
    <row r="34">
      <c r="A34" s="924" t="inlineStr">
        <is>
          <t>Возврат ВФП</t>
        </is>
      </c>
      <c r="B34" s="917" t="inlineStr">
        <is>
          <t>Расход</t>
        </is>
      </c>
      <c r="C34" s="977" t="n"/>
    </row>
    <row r="35">
      <c r="A35" s="925" t="inlineStr">
        <is>
          <t>Представительские расходы</t>
        </is>
      </c>
      <c r="B35" s="917" t="inlineStr">
        <is>
          <t>Расход</t>
        </is>
      </c>
      <c r="C35" s="977" t="n"/>
    </row>
    <row r="36">
      <c r="A36" s="924" t="inlineStr">
        <is>
          <t>Аренда помещений</t>
        </is>
      </c>
      <c r="B36" s="917" t="inlineStr">
        <is>
          <t>Расход</t>
        </is>
      </c>
      <c r="C36" s="977" t="n"/>
    </row>
    <row r="37">
      <c r="A37" s="924" t="inlineStr">
        <is>
          <t>Газ</t>
        </is>
      </c>
      <c r="B37" s="917" t="inlineStr">
        <is>
          <t>Расход</t>
        </is>
      </c>
      <c r="C37" s="977" t="n"/>
    </row>
    <row r="38">
      <c r="A38" s="924" t="inlineStr">
        <is>
          <t>Маркетинг</t>
        </is>
      </c>
      <c r="B38" s="917" t="inlineStr">
        <is>
          <t>Расход</t>
        </is>
      </c>
      <c r="C38" s="977" t="n"/>
    </row>
    <row r="39">
      <c r="A39" s="924" t="inlineStr">
        <is>
          <t>Мусор</t>
        </is>
      </c>
      <c r="B39" s="917" t="inlineStr">
        <is>
          <t>Расход</t>
        </is>
      </c>
      <c r="C39" s="977" t="n"/>
    </row>
    <row r="40">
      <c r="A40" s="924" t="inlineStr">
        <is>
          <t>Налоги и другие платежи в бюджет</t>
        </is>
      </c>
      <c r="B40" s="917" t="inlineStr">
        <is>
          <t>Расход</t>
        </is>
      </c>
      <c r="C40" s="977" t="n"/>
    </row>
    <row r="41">
      <c r="A41" s="924" t="inlineStr">
        <is>
          <t>Оплата труда</t>
        </is>
      </c>
      <c r="B41" s="917" t="inlineStr">
        <is>
          <t>Расход</t>
        </is>
      </c>
      <c r="C41" s="977" t="n"/>
    </row>
    <row r="42">
      <c r="A42" s="924" t="inlineStr">
        <is>
          <t>Охрана</t>
        </is>
      </c>
      <c r="B42" s="917" t="inlineStr">
        <is>
          <t>Расход</t>
        </is>
      </c>
      <c r="C42" s="977" t="n"/>
    </row>
    <row r="43">
      <c r="A43" s="924" t="inlineStr">
        <is>
          <t>Платежи поставщикам Прочее</t>
        </is>
      </c>
      <c r="B43" s="917" t="inlineStr">
        <is>
          <t>Расход</t>
        </is>
      </c>
      <c r="C43" s="977" t="n"/>
    </row>
    <row r="44">
      <c r="A44" s="924" t="inlineStr">
        <is>
          <t xml:space="preserve">Производственные расходы </t>
        </is>
      </c>
      <c r="B44" s="917" t="inlineStr">
        <is>
          <t>Расход</t>
        </is>
      </c>
      <c r="C44" s="977" t="n">
        <v>-180000</v>
      </c>
    </row>
    <row r="45">
      <c r="A45" s="924" t="inlineStr">
        <is>
          <t>Инвентарь</t>
        </is>
      </c>
      <c r="B45" s="917" t="inlineStr">
        <is>
          <t>Расход</t>
        </is>
      </c>
      <c r="C45" s="977" t="n"/>
    </row>
    <row r="46">
      <c r="A46" s="924" t="inlineStr">
        <is>
          <t>Униформа</t>
        </is>
      </c>
      <c r="B46" s="917" t="inlineStr">
        <is>
          <t>Расход</t>
        </is>
      </c>
      <c r="C46" s="977" t="n"/>
    </row>
    <row r="47">
      <c r="A47" s="924" t="inlineStr">
        <is>
          <t>Упаковка</t>
        </is>
      </c>
      <c r="B47" s="917" t="inlineStr">
        <is>
          <t>Расход</t>
        </is>
      </c>
      <c r="C47" s="977" t="n"/>
    </row>
    <row r="48">
      <c r="A48" s="924" t="inlineStr">
        <is>
          <t>Хоз.товара</t>
        </is>
      </c>
      <c r="B48" s="917" t="inlineStr">
        <is>
          <t>Расход</t>
        </is>
      </c>
      <c r="C48" s="977" t="n"/>
    </row>
    <row r="49">
      <c r="A49" s="924" t="inlineStr">
        <is>
          <t>Погашение кредита и %%</t>
        </is>
      </c>
      <c r="B49" s="917" t="inlineStr">
        <is>
          <t>Расход</t>
        </is>
      </c>
      <c r="C49" s="977" t="n"/>
    </row>
    <row r="50">
      <c r="A50" s="924" t="inlineStr">
        <is>
          <t>Расходы по реализации Разные(Логистика)</t>
        </is>
      </c>
      <c r="B50" s="917" t="inlineStr">
        <is>
          <t>Расход</t>
        </is>
      </c>
      <c r="C50" s="977" t="n"/>
    </row>
    <row r="51">
      <c r="A51" s="924" t="inlineStr">
        <is>
          <t>Ремонт помещений</t>
        </is>
      </c>
      <c r="B51" s="917" t="inlineStr">
        <is>
          <t>Расход</t>
        </is>
      </c>
      <c r="C51" s="977" t="n"/>
    </row>
    <row r="52">
      <c r="A52" s="924" t="inlineStr">
        <is>
          <t>Ремонт оборудования</t>
        </is>
      </c>
      <c r="B52" s="917" t="inlineStr">
        <is>
          <t>Расход</t>
        </is>
      </c>
      <c r="C52" s="977" t="n"/>
    </row>
    <row r="53">
      <c r="A53" s="924" t="inlineStr">
        <is>
          <t>Приобретение основных средств</t>
        </is>
      </c>
      <c r="B53" s="917" t="inlineStr">
        <is>
          <t>Расход</t>
        </is>
      </c>
      <c r="C53" s="977" t="n"/>
    </row>
    <row r="54">
      <c r="A54" s="924" t="inlineStr">
        <is>
          <t>Сырье Платежи поставщикам</t>
        </is>
      </c>
      <c r="B54" s="917" t="inlineStr">
        <is>
          <t>Расход</t>
        </is>
      </c>
      <c r="C54" s="977" t="n"/>
    </row>
    <row r="55">
      <c r="A55" s="924" t="inlineStr">
        <is>
          <t>Электроэнергия</t>
        </is>
      </c>
      <c r="B55" s="917" t="inlineStr">
        <is>
          <t>Расход</t>
        </is>
      </c>
      <c r="C55" s="977" t="n"/>
    </row>
    <row r="56">
      <c r="A56" s="926" t="inlineStr">
        <is>
          <t>Итого по банку</t>
        </is>
      </c>
      <c r="B56" s="917" t="inlineStr">
        <is>
          <t>Расход</t>
        </is>
      </c>
      <c r="C56" s="920" t="n"/>
    </row>
    <row r="57">
      <c r="A57" s="924" t="inlineStr">
        <is>
          <t>Подотчет (Рынок сырье, Рынок ТМЦ)</t>
        </is>
      </c>
      <c r="B57" s="917" t="inlineStr">
        <is>
          <t>Расход</t>
        </is>
      </c>
      <c r="C57" s="977">
        <f>SUM(C32:C56)</f>
        <v/>
      </c>
    </row>
    <row r="58">
      <c r="A58" s="924" t="inlineStr">
        <is>
          <t>Административные расходы</t>
        </is>
      </c>
      <c r="B58" s="917" t="inlineStr">
        <is>
          <t>Расход</t>
        </is>
      </c>
      <c r="C58" s="977" t="n"/>
    </row>
    <row r="59">
      <c r="A59" s="924" t="inlineStr">
        <is>
          <t>Представительские расходы</t>
        </is>
      </c>
      <c r="B59" s="917" t="inlineStr">
        <is>
          <t>Расход</t>
        </is>
      </c>
      <c r="C59" s="977" t="n"/>
    </row>
    <row r="60">
      <c r="A60" s="924" t="inlineStr">
        <is>
          <t>Аренда квартир</t>
        </is>
      </c>
      <c r="B60" s="917" t="inlineStr">
        <is>
          <t>Расход</t>
        </is>
      </c>
      <c r="C60" s="977" t="n"/>
    </row>
    <row r="61">
      <c r="A61" s="924" t="inlineStr">
        <is>
          <t>Налоги и другие платежи в бюджет</t>
        </is>
      </c>
      <c r="B61" s="917" t="inlineStr">
        <is>
          <t>Расход</t>
        </is>
      </c>
      <c r="C61" s="977" t="n"/>
    </row>
    <row r="62">
      <c r="A62" s="924" t="inlineStr">
        <is>
          <t>Маркетинг</t>
        </is>
      </c>
      <c r="B62" s="917" t="inlineStr">
        <is>
          <t>Расход</t>
        </is>
      </c>
      <c r="C62" s="977" t="n"/>
    </row>
    <row r="63">
      <c r="A63" s="924" t="inlineStr">
        <is>
          <t>Оплата труда</t>
        </is>
      </c>
      <c r="B63" s="917" t="inlineStr">
        <is>
          <t>Расход</t>
        </is>
      </c>
      <c r="C63" s="977" t="n"/>
    </row>
    <row r="64">
      <c r="A64" s="924" t="inlineStr">
        <is>
          <t>Платежи поставщикам Прочее</t>
        </is>
      </c>
      <c r="B64" s="917" t="inlineStr">
        <is>
          <t>Расход</t>
        </is>
      </c>
      <c r="C64" s="977" t="n"/>
    </row>
    <row r="65">
      <c r="A65" s="924" t="inlineStr">
        <is>
          <t xml:space="preserve">Производственные расходы </t>
        </is>
      </c>
      <c r="B65" s="917" t="inlineStr">
        <is>
          <t>Расход</t>
        </is>
      </c>
      <c r="C65" s="977" t="n"/>
    </row>
    <row r="66">
      <c r="A66" s="924" t="inlineStr">
        <is>
          <t>Инвентарь</t>
        </is>
      </c>
      <c r="B66" s="917" t="inlineStr">
        <is>
          <t>Расход</t>
        </is>
      </c>
      <c r="C66" s="977" t="n"/>
    </row>
    <row r="67">
      <c r="A67" s="924" t="inlineStr">
        <is>
          <t>Погашение кредита и %%</t>
        </is>
      </c>
      <c r="B67" s="917" t="inlineStr">
        <is>
          <t>Расход</t>
        </is>
      </c>
      <c r="C67" s="977" t="n"/>
    </row>
    <row r="68">
      <c r="A68" s="924" t="inlineStr">
        <is>
          <t>Хоз.товара</t>
        </is>
      </c>
      <c r="B68" s="917" t="inlineStr">
        <is>
          <t>Расход</t>
        </is>
      </c>
      <c r="C68" s="977" t="n"/>
    </row>
    <row r="69">
      <c r="A69" s="924" t="inlineStr">
        <is>
          <t>Канц.товары</t>
        </is>
      </c>
      <c r="B69" s="917" t="inlineStr">
        <is>
          <t>Расход</t>
        </is>
      </c>
      <c r="C69" s="977" t="n"/>
    </row>
    <row r="70">
      <c r="A70" s="924" t="inlineStr">
        <is>
          <t>Расходы по реализации Разные</t>
        </is>
      </c>
      <c r="B70" s="917" t="inlineStr">
        <is>
          <t>Расход</t>
        </is>
      </c>
      <c r="C70" s="977" t="n"/>
    </row>
    <row r="71">
      <c r="A71" s="924" t="inlineStr">
        <is>
          <t>Ремонт помещений</t>
        </is>
      </c>
      <c r="B71" s="917" t="inlineStr">
        <is>
          <t>Расход</t>
        </is>
      </c>
      <c r="C71" s="977" t="n"/>
    </row>
    <row r="72">
      <c r="A72" s="924" t="inlineStr">
        <is>
          <t>Ремонт оборудования</t>
        </is>
      </c>
      <c r="B72" s="917" t="inlineStr">
        <is>
          <t>Расход</t>
        </is>
      </c>
      <c r="C72" s="977" t="n"/>
    </row>
    <row r="73">
      <c r="A73" s="924" t="inlineStr">
        <is>
          <t>Приобретение основных средств</t>
        </is>
      </c>
      <c r="B73" s="917" t="inlineStr">
        <is>
          <t>Расход</t>
        </is>
      </c>
      <c r="C73" s="977" t="n"/>
    </row>
    <row r="74">
      <c r="A74" s="924" t="inlineStr">
        <is>
          <t>Сырье Платежи поставщикам</t>
        </is>
      </c>
      <c r="B74" s="917" t="inlineStr">
        <is>
          <t>Расход</t>
        </is>
      </c>
      <c r="C74" s="977" t="n"/>
    </row>
    <row r="75">
      <c r="A75" s="927" t="inlineStr">
        <is>
          <t>Итого по кассе</t>
        </is>
      </c>
      <c r="B75" s="928" t="inlineStr">
        <is>
          <t>Расход</t>
        </is>
      </c>
      <c r="C75" s="929" t="n"/>
    </row>
    <row r="76">
      <c r="A76" s="930" t="inlineStr">
        <is>
          <t>ИТОГО РАСХОДЫ</t>
        </is>
      </c>
      <c r="B76" s="931" t="n"/>
      <c r="C76" s="932">
        <f>SUM(C58:C75)</f>
        <v/>
      </c>
    </row>
    <row r="77">
      <c r="A77" s="933" t="inlineStr">
        <is>
          <t>Операционная деятельность</t>
        </is>
      </c>
      <c r="B77" s="934" t="n"/>
      <c r="C77" s="935">
        <f>C57+C76</f>
        <v/>
      </c>
    </row>
    <row r="78">
      <c r="A78" s="1255" t="inlineStr">
        <is>
          <t>ВФП Учредители поступление (НАЛ)</t>
        </is>
      </c>
      <c r="B78" s="937" t="inlineStr">
        <is>
          <t>Приход</t>
        </is>
      </c>
      <c r="C78" s="998">
        <f>C31-(-C57-C76)</f>
        <v/>
      </c>
    </row>
    <row r="79">
      <c r="A79" s="1219" t="n"/>
      <c r="B79" s="917" t="inlineStr">
        <is>
          <t>Расход</t>
        </is>
      </c>
      <c r="C79" s="977" t="n"/>
    </row>
    <row r="80">
      <c r="A80" s="1180" t="inlineStr">
        <is>
          <t>Касса взаиморасчета банк</t>
        </is>
      </c>
      <c r="B80" s="917" t="inlineStr">
        <is>
          <t>Расход</t>
        </is>
      </c>
      <c r="C80" s="938" t="n"/>
    </row>
    <row r="81">
      <c r="A81" s="1180" t="inlineStr">
        <is>
          <t>Касса взаиморасчета касса</t>
        </is>
      </c>
      <c r="B81" s="937" t="inlineStr">
        <is>
          <t>Приход</t>
        </is>
      </c>
      <c r="C81" s="938" t="n">
        <v>2000000</v>
      </c>
    </row>
    <row r="82">
      <c r="A82" s="926" t="inlineStr">
        <is>
          <t>Остаток на конец ПО БАНКУ</t>
        </is>
      </c>
      <c r="B82" s="914" t="n"/>
      <c r="C82" s="939" t="n">
        <v>2000000</v>
      </c>
    </row>
    <row r="83">
      <c r="A83" s="926" t="inlineStr">
        <is>
          <t>Остаток на конец ПО КАССЕ</t>
        </is>
      </c>
      <c r="B83" s="914" t="n"/>
      <c r="C83" s="939">
        <f>C4+C20-(-C57)-C81</f>
        <v/>
      </c>
    </row>
    <row r="84">
      <c r="A84" s="940" t="inlineStr">
        <is>
          <t>Итого</t>
        </is>
      </c>
      <c r="B84" s="914" t="n"/>
      <c r="C84" s="941">
        <f>C5+C30-(-C76)+C79-C80+C82</f>
        <v/>
      </c>
    </row>
    <row r="85">
      <c r="C85" s="456">
        <f>C83+C84</f>
        <v/>
      </c>
    </row>
  </sheetData>
  <mergeCells count="3">
    <mergeCell ref="B1:B2"/>
    <mergeCell ref="A78:A79"/>
    <mergeCell ref="A1:A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CH1000"/>
  <sheetViews>
    <sheetView workbookViewId="0">
      <selection activeCell="A1" sqref="A1"/>
    </sheetView>
  </sheetViews>
  <sheetFormatPr baseColWidth="8" defaultColWidth="12.6640625" defaultRowHeight="15.75" customHeight="1"/>
  <cols>
    <col width="39.33203125" customWidth="1" style="1127" min="1" max="1"/>
    <col outlineLevel="1" width="12.6640625" customWidth="1" style="1127" min="3" max="8"/>
    <col outlineLevel="1" width="12.6640625" customWidth="1" style="1127" min="11" max="38"/>
    <col collapsed="1" width="12.6640625" customWidth="1" style="1127" min="40" max="40"/>
    <col hidden="1" outlineLevel="1" width="12.6640625" customWidth="1" style="1127" min="41" max="51"/>
    <col collapsed="1" width="12.6640625" customWidth="1" style="1127" min="53" max="53"/>
    <col hidden="1" outlineLevel="1" width="12.6640625" customWidth="1" style="1127" min="54" max="64"/>
    <col collapsed="1" width="12.6640625" customWidth="1" style="1127" min="66" max="66"/>
    <col hidden="1" outlineLevel="1" width="12.6640625" customWidth="1" style="1127" min="67" max="81"/>
  </cols>
  <sheetData>
    <row r="1">
      <c r="A1" s="942" t="n"/>
      <c r="B1" s="943" t="n"/>
      <c r="C1" s="943" t="n"/>
      <c r="D1" s="944" t="n"/>
      <c r="E1" s="944" t="n"/>
      <c r="F1" s="944" t="n"/>
      <c r="G1" s="944" t="n"/>
      <c r="H1" s="944" t="n"/>
      <c r="I1" s="944" t="n"/>
      <c r="J1" s="944" t="n"/>
      <c r="K1" s="944" t="n"/>
      <c r="L1" s="944" t="n"/>
      <c r="M1" s="944" t="n"/>
      <c r="N1" s="944" t="n"/>
      <c r="O1" s="944" t="n"/>
      <c r="P1" s="944" t="n"/>
      <c r="Q1" s="944" t="n"/>
      <c r="R1" s="944" t="n"/>
      <c r="S1" s="944" t="n"/>
      <c r="T1" s="944" t="n"/>
      <c r="U1" s="944" t="n"/>
      <c r="V1" s="944" t="n"/>
      <c r="W1" s="944" t="n"/>
      <c r="X1" s="944" t="n"/>
      <c r="Y1" s="944" t="n"/>
      <c r="Z1" s="944" t="n"/>
      <c r="AA1" s="944" t="n"/>
      <c r="AB1" s="944" t="n"/>
      <c r="AC1" s="944" t="n"/>
      <c r="AD1" s="944" t="n"/>
      <c r="AE1" s="944" t="n"/>
      <c r="AF1" s="944" t="n"/>
      <c r="AG1" s="944" t="n"/>
      <c r="AH1" s="944" t="n"/>
      <c r="AI1" s="944" t="n"/>
      <c r="AJ1" s="944" t="n"/>
      <c r="AK1" s="944" t="n"/>
      <c r="AL1" s="945" t="n"/>
      <c r="AM1" s="943" t="n"/>
      <c r="AN1" s="946" t="n"/>
      <c r="AO1" s="944" t="n"/>
      <c r="AP1" s="944" t="n"/>
      <c r="AQ1" s="944" t="n"/>
      <c r="AR1" s="944" t="n"/>
      <c r="AS1" s="944" t="n"/>
      <c r="AT1" s="944" t="n"/>
      <c r="AU1" s="944" t="n"/>
      <c r="AV1" s="944" t="n"/>
      <c r="AW1" s="944" t="n"/>
      <c r="AX1" s="944" t="n"/>
      <c r="AY1" s="944" t="n"/>
      <c r="AZ1" s="944" t="n"/>
      <c r="BA1" s="947" t="n"/>
      <c r="BB1" s="944" t="n"/>
      <c r="BC1" s="944" t="n"/>
      <c r="BD1" s="944" t="n"/>
      <c r="BE1" s="944" t="n"/>
      <c r="BF1" s="944" t="n"/>
      <c r="BG1" s="944" t="n"/>
      <c r="BH1" s="944" t="n"/>
      <c r="BI1" s="944" t="n"/>
      <c r="BJ1" s="944" t="n"/>
      <c r="BK1" s="944" t="n"/>
      <c r="BL1" s="1256" t="inlineStr">
        <is>
          <t>Итого 4-я неделя</t>
        </is>
      </c>
      <c r="BM1" s="1225" t="n"/>
      <c r="BN1" s="947" t="n"/>
      <c r="BO1" s="943" t="n"/>
      <c r="BP1" s="943" t="n"/>
      <c r="BQ1" s="912" t="n"/>
      <c r="BR1" s="1225" t="n"/>
      <c r="BS1" s="912" t="n"/>
      <c r="BT1" s="1225" t="n"/>
      <c r="BU1" s="912" t="n"/>
      <c r="BV1" s="1225" t="n"/>
      <c r="BW1" s="912" t="n"/>
      <c r="BX1" s="1225" t="n"/>
      <c r="BY1" s="912" t="n"/>
      <c r="BZ1" s="1225" t="n"/>
      <c r="CA1" s="912" t="n"/>
      <c r="CB1" s="1225" t="n"/>
      <c r="CC1" s="944" t="n"/>
      <c r="CD1" s="944" t="n"/>
      <c r="CE1" s="944" t="n"/>
      <c r="CF1" s="944" t="n"/>
      <c r="CG1" s="944" t="n"/>
      <c r="CH1" s="948" t="n"/>
    </row>
    <row r="2">
      <c r="A2" s="1253" t="inlineStr">
        <is>
          <t>Статья ДДС 1-ого уровня</t>
        </is>
      </c>
      <c r="B2" s="1254" t="inlineStr">
        <is>
          <t>Приход/Расход</t>
        </is>
      </c>
      <c r="C2" s="912" t="n"/>
      <c r="D2" s="912" t="n"/>
      <c r="E2" s="949" t="n">
        <v>46113</v>
      </c>
      <c r="F2" s="949" t="n">
        <v>46114</v>
      </c>
      <c r="G2" s="949" t="n">
        <v>46115</v>
      </c>
      <c r="H2" s="1254" t="inlineStr">
        <is>
          <t>Итого план 1 неделя</t>
        </is>
      </c>
      <c r="I2" s="1254" t="inlineStr">
        <is>
          <t>Итого факт 1 неделя</t>
        </is>
      </c>
      <c r="J2" s="974" t="inlineStr">
        <is>
          <t xml:space="preserve">Отклонение </t>
        </is>
      </c>
      <c r="K2" s="950" t="n">
        <v>46118</v>
      </c>
      <c r="L2" s="1244" t="n"/>
      <c r="M2" s="1244" t="n"/>
      <c r="N2" s="1244" t="n"/>
      <c r="O2" s="1244" t="n"/>
      <c r="P2" s="1244" t="n"/>
      <c r="Q2" s="1244" t="n"/>
      <c r="R2" s="1244" t="n"/>
      <c r="S2" s="1244" t="n"/>
      <c r="T2" s="1244" t="n"/>
      <c r="U2" s="1244" t="n"/>
      <c r="V2" s="1244" t="n"/>
      <c r="W2" s="1244" t="n"/>
      <c r="X2" s="1244" t="n"/>
      <c r="Y2" s="1244" t="n"/>
      <c r="Z2" s="1244" t="n"/>
      <c r="AA2" s="1244" t="n"/>
      <c r="AB2" s="1225" t="n"/>
      <c r="AC2" s="950" t="n"/>
      <c r="AD2" s="950" t="n">
        <v>46119</v>
      </c>
      <c r="AE2" s="1225" t="n"/>
      <c r="AF2" s="950" t="n">
        <v>46120</v>
      </c>
      <c r="AG2" s="1225" t="n"/>
      <c r="AH2" s="950" t="n">
        <v>46121</v>
      </c>
      <c r="AI2" s="1225" t="n"/>
      <c r="AJ2" s="950" t="n">
        <v>46122</v>
      </c>
      <c r="AK2" s="1225" t="n"/>
      <c r="AL2" s="1256" t="inlineStr">
        <is>
          <t>Итого 2-я неделя</t>
        </is>
      </c>
      <c r="AM2" s="1225" t="n"/>
      <c r="AN2" s="974" t="inlineStr">
        <is>
          <t xml:space="preserve">Отклонение </t>
        </is>
      </c>
      <c r="AO2" s="949" t="n">
        <v>46125</v>
      </c>
      <c r="AP2" s="1225" t="n"/>
      <c r="AQ2" s="949" t="n">
        <v>46126</v>
      </c>
      <c r="AR2" s="1225" t="n"/>
      <c r="AS2" s="949" t="n">
        <v>46127</v>
      </c>
      <c r="AT2" s="1225" t="n"/>
      <c r="AU2" s="949" t="n">
        <v>46128</v>
      </c>
      <c r="AV2" s="1225" t="n"/>
      <c r="AW2" s="949" t="n">
        <v>46129</v>
      </c>
      <c r="AX2" s="1225" t="n"/>
      <c r="AY2" s="1256" t="inlineStr">
        <is>
          <t>Итого 3-я неделя</t>
        </is>
      </c>
      <c r="AZ2" s="1225" t="n"/>
      <c r="BA2" s="920" t="inlineStr">
        <is>
          <t xml:space="preserve">Отклонение </t>
        </is>
      </c>
      <c r="BB2" s="949" t="n">
        <v>46132</v>
      </c>
      <c r="BC2" s="1225" t="n"/>
      <c r="BD2" s="949" t="n">
        <v>46133</v>
      </c>
      <c r="BE2" s="1225" t="n"/>
      <c r="BF2" s="949" t="n">
        <v>46134</v>
      </c>
      <c r="BG2" s="1225" t="n"/>
      <c r="BH2" s="949" t="n">
        <v>46135</v>
      </c>
      <c r="BI2" s="1225" t="n"/>
      <c r="BJ2" s="949" t="n">
        <v>46136</v>
      </c>
      <c r="BK2" s="1225" t="n"/>
      <c r="BL2" s="1257" t="inlineStr">
        <is>
          <t>Итого план 4 неделя</t>
        </is>
      </c>
      <c r="BM2" s="1257" t="inlineStr">
        <is>
          <t>Итого факт 4 неделя</t>
        </is>
      </c>
      <c r="BN2" s="920" t="inlineStr">
        <is>
          <t xml:space="preserve">Отклонение </t>
        </is>
      </c>
      <c r="BO2" s="949" t="n">
        <v>46139</v>
      </c>
      <c r="BP2" s="1225" t="n"/>
      <c r="BQ2" s="949" t="n">
        <v>46140</v>
      </c>
      <c r="BR2" s="1225" t="n"/>
      <c r="BS2" s="949" t="n">
        <v>46141</v>
      </c>
      <c r="BT2" s="1225" t="n"/>
      <c r="BU2" s="949" t="n">
        <v>46142</v>
      </c>
      <c r="BV2" s="1225" t="n"/>
      <c r="BW2" s="912" t="n"/>
      <c r="BX2" s="1225" t="n"/>
      <c r="BY2" s="772" t="n"/>
      <c r="BZ2" s="772" t="n"/>
      <c r="CA2" s="772" t="n"/>
      <c r="CB2" s="772" t="n"/>
      <c r="CC2" s="1257" t="inlineStr">
        <is>
          <t>Итого план 5 неделя</t>
        </is>
      </c>
      <c r="CD2" s="1257" t="inlineStr">
        <is>
          <t>Итого факт 5 неделя</t>
        </is>
      </c>
      <c r="CE2" s="1258" t="inlineStr">
        <is>
          <t xml:space="preserve">Отклонение </t>
        </is>
      </c>
      <c r="CF2" s="1259" t="inlineStr">
        <is>
          <t xml:space="preserve">Итого план </t>
        </is>
      </c>
      <c r="CG2" s="1260" t="inlineStr">
        <is>
          <t xml:space="preserve">Итого факт </t>
        </is>
      </c>
      <c r="CH2" s="1261" t="inlineStr">
        <is>
          <t>Отклонение</t>
        </is>
      </c>
    </row>
    <row r="3">
      <c r="A3" s="1219" t="n"/>
      <c r="B3" s="1252" t="n"/>
      <c r="C3" s="951" t="inlineStr">
        <is>
          <t>План</t>
        </is>
      </c>
      <c r="D3" s="951" t="inlineStr">
        <is>
          <t>План</t>
        </is>
      </c>
      <c r="E3" s="951" t="inlineStr">
        <is>
          <t>План</t>
        </is>
      </c>
      <c r="F3" s="951" t="inlineStr">
        <is>
          <t>План</t>
        </is>
      </c>
      <c r="G3" s="951" t="inlineStr">
        <is>
          <t>План</t>
        </is>
      </c>
      <c r="H3" s="1252" t="n"/>
      <c r="I3" s="1252" t="n"/>
      <c r="J3" s="1252" t="n"/>
      <c r="K3" s="951" t="n">
        <v>46143</v>
      </c>
      <c r="L3" s="951" t="n"/>
      <c r="M3" s="951" t="n"/>
      <c r="N3" s="951" t="n"/>
      <c r="O3" s="951" t="n"/>
      <c r="P3" s="951" t="n"/>
      <c r="Q3" s="951" t="n"/>
      <c r="R3" s="951" t="n"/>
      <c r="S3" s="951" t="n"/>
      <c r="T3" s="951" t="n"/>
      <c r="U3" s="951" t="n"/>
      <c r="V3" s="951" t="n"/>
      <c r="W3" s="951" t="n"/>
      <c r="X3" s="951" t="n"/>
      <c r="Y3" s="951" t="n"/>
      <c r="Z3" s="951" t="n"/>
      <c r="AA3" s="951" t="n"/>
      <c r="AB3" s="951" t="inlineStr">
        <is>
          <t>Факт</t>
        </is>
      </c>
      <c r="AC3" s="951" t="n"/>
      <c r="AD3" s="951" t="inlineStr">
        <is>
          <t>План</t>
        </is>
      </c>
      <c r="AE3" s="951" t="inlineStr">
        <is>
          <t>Факт</t>
        </is>
      </c>
      <c r="AF3" s="951" t="inlineStr">
        <is>
          <t>План</t>
        </is>
      </c>
      <c r="AG3" s="951" t="inlineStr">
        <is>
          <t>Факт</t>
        </is>
      </c>
      <c r="AH3" s="951" t="inlineStr">
        <is>
          <t>План</t>
        </is>
      </c>
      <c r="AI3" s="951" t="inlineStr">
        <is>
          <t>Факт</t>
        </is>
      </c>
      <c r="AJ3" s="951" t="inlineStr">
        <is>
          <t>План</t>
        </is>
      </c>
      <c r="AK3" s="951" t="inlineStr">
        <is>
          <t>Факт</t>
        </is>
      </c>
      <c r="AL3" s="951" t="inlineStr">
        <is>
          <t>План</t>
        </is>
      </c>
      <c r="AM3" s="951" t="inlineStr">
        <is>
          <t>Факт</t>
        </is>
      </c>
      <c r="AN3" s="1252" t="n"/>
      <c r="AO3" s="951" t="inlineStr">
        <is>
          <t>План</t>
        </is>
      </c>
      <c r="AP3" s="951" t="inlineStr">
        <is>
          <t>Факт</t>
        </is>
      </c>
      <c r="AQ3" s="951" t="inlineStr">
        <is>
          <t>План</t>
        </is>
      </c>
      <c r="AR3" s="951" t="inlineStr">
        <is>
          <t>Факт</t>
        </is>
      </c>
      <c r="AS3" s="951" t="inlineStr">
        <is>
          <t>План</t>
        </is>
      </c>
      <c r="AT3" s="951" t="inlineStr">
        <is>
          <t>Факт</t>
        </is>
      </c>
      <c r="AU3" s="951" t="inlineStr">
        <is>
          <t>План</t>
        </is>
      </c>
      <c r="AV3" s="951" t="inlineStr">
        <is>
          <t>Факт</t>
        </is>
      </c>
      <c r="AW3" s="951" t="inlineStr">
        <is>
          <t>План</t>
        </is>
      </c>
      <c r="AX3" s="951" t="inlineStr">
        <is>
          <t>Факт</t>
        </is>
      </c>
      <c r="AY3" s="951" t="inlineStr">
        <is>
          <t>План</t>
        </is>
      </c>
      <c r="AZ3" s="951" t="inlineStr">
        <is>
          <t>Факт</t>
        </is>
      </c>
      <c r="BA3" s="1252" t="n"/>
      <c r="BB3" s="951" t="inlineStr">
        <is>
          <t>План</t>
        </is>
      </c>
      <c r="BC3" s="951" t="inlineStr">
        <is>
          <t>Факт</t>
        </is>
      </c>
      <c r="BD3" s="951" t="inlineStr">
        <is>
          <t>План</t>
        </is>
      </c>
      <c r="BE3" s="951" t="inlineStr">
        <is>
          <t>Факт</t>
        </is>
      </c>
      <c r="BF3" s="951" t="inlineStr">
        <is>
          <t>План</t>
        </is>
      </c>
      <c r="BG3" s="951" t="inlineStr">
        <is>
          <t>Факт</t>
        </is>
      </c>
      <c r="BH3" s="951" t="inlineStr">
        <is>
          <t>План</t>
        </is>
      </c>
      <c r="BI3" s="951" t="inlineStr">
        <is>
          <t>Факт</t>
        </is>
      </c>
      <c r="BJ3" s="951" t="inlineStr">
        <is>
          <t>План</t>
        </is>
      </c>
      <c r="BK3" s="951" t="inlineStr">
        <is>
          <t>Факт</t>
        </is>
      </c>
      <c r="BL3" s="1252" t="n"/>
      <c r="BM3" s="1252" t="n"/>
      <c r="BN3" s="1252" t="n"/>
      <c r="BO3" s="952" t="n"/>
      <c r="BP3" s="952" t="n"/>
      <c r="BQ3" s="952" t="n"/>
      <c r="BR3" s="952" t="n"/>
      <c r="BS3" s="952" t="n"/>
      <c r="BT3" s="952" t="n"/>
      <c r="BU3" s="952" t="n"/>
      <c r="BV3" s="952" t="n"/>
      <c r="BW3" s="952" t="n"/>
      <c r="BX3" s="952" t="n"/>
      <c r="BY3" s="952" t="n"/>
      <c r="BZ3" s="952" t="n"/>
      <c r="CA3" s="952" t="n"/>
      <c r="CB3" s="952" t="n"/>
      <c r="CC3" s="1252" t="n"/>
      <c r="CD3" s="1252" t="n"/>
      <c r="CE3" s="1219" t="n"/>
      <c r="CF3" s="1262" t="n"/>
      <c r="CG3" s="1216" t="n"/>
      <c r="CH3" s="1217" t="n"/>
    </row>
    <row r="4">
      <c r="A4" s="913" t="inlineStr">
        <is>
          <t>Остаток на начало по Банку</t>
        </is>
      </c>
      <c r="B4" s="914" t="n"/>
      <c r="C4" s="599" t="n">
        <v>3140328</v>
      </c>
      <c r="D4" s="599">
        <f>C83</f>
        <v/>
      </c>
      <c r="E4" s="599">
        <f>D83</f>
        <v/>
      </c>
      <c r="F4" s="599">
        <f>E83</f>
        <v/>
      </c>
      <c r="G4" s="599">
        <f>F83</f>
        <v/>
      </c>
      <c r="H4" s="953">
        <f>C4</f>
        <v/>
      </c>
      <c r="I4" s="953">
        <f>H4</f>
        <v/>
      </c>
      <c r="J4" s="953">
        <f>I4-H4</f>
        <v/>
      </c>
      <c r="K4" s="599">
        <f>G83</f>
        <v/>
      </c>
      <c r="L4" s="599" t="n"/>
      <c r="M4" s="599" t="n"/>
      <c r="N4" s="599" t="n"/>
      <c r="O4" s="599" t="n"/>
      <c r="P4" s="599" t="n"/>
      <c r="Q4" s="599" t="n"/>
      <c r="R4" s="599" t="n"/>
      <c r="S4" s="599" t="n"/>
      <c r="T4" s="599" t="n"/>
      <c r="U4" s="599" t="n"/>
      <c r="V4" s="599" t="n"/>
      <c r="W4" s="599" t="n"/>
      <c r="X4" s="599" t="n"/>
      <c r="Y4" s="599" t="n"/>
      <c r="Z4" s="599" t="n"/>
      <c r="AA4" s="599" t="n"/>
      <c r="AB4" s="599">
        <f>#REF!</f>
        <v/>
      </c>
      <c r="AC4" s="599" t="n"/>
      <c r="AD4" s="599">
        <f>K83</f>
        <v/>
      </c>
      <c r="AE4" s="599">
        <f>AB83</f>
        <v/>
      </c>
      <c r="AF4" s="599">
        <f>AD83</f>
        <v/>
      </c>
      <c r="AG4" s="599">
        <f>AE83</f>
        <v/>
      </c>
      <c r="AH4" s="599">
        <f>AF83</f>
        <v/>
      </c>
      <c r="AI4" s="599">
        <f>AG83</f>
        <v/>
      </c>
      <c r="AJ4" s="599">
        <f>AH83</f>
        <v/>
      </c>
      <c r="AK4" s="599">
        <f>AI83</f>
        <v/>
      </c>
      <c r="AL4" s="953">
        <f>K4</f>
        <v/>
      </c>
      <c r="AM4" s="953">
        <f>AL4</f>
        <v/>
      </c>
      <c r="AN4" s="953">
        <f>AM4-AL4</f>
        <v/>
      </c>
      <c r="AO4" s="954">
        <f>AJ83</f>
        <v/>
      </c>
      <c r="AP4" s="599">
        <f>AM83</f>
        <v/>
      </c>
      <c r="AQ4" s="599">
        <f>AO83</f>
        <v/>
      </c>
      <c r="AR4" s="599">
        <f>AP83</f>
        <v/>
      </c>
      <c r="AS4" s="599">
        <f>AQ83</f>
        <v/>
      </c>
      <c r="AT4" s="599">
        <f>AR83</f>
        <v/>
      </c>
      <c r="AU4" s="599">
        <f>AS83</f>
        <v/>
      </c>
      <c r="AV4" s="599">
        <f>AT83</f>
        <v/>
      </c>
      <c r="AW4" s="599">
        <f>AU83</f>
        <v/>
      </c>
      <c r="AX4" s="599">
        <f>AV83</f>
        <v/>
      </c>
      <c r="AY4" s="955">
        <f>AO4</f>
        <v/>
      </c>
      <c r="AZ4" s="955">
        <f>AP4</f>
        <v/>
      </c>
      <c r="BA4" s="956">
        <f>AZ4-AY4</f>
        <v/>
      </c>
      <c r="BB4" s="954">
        <f>AW83</f>
        <v/>
      </c>
      <c r="BC4" s="599">
        <f>AX83</f>
        <v/>
      </c>
      <c r="BD4" s="599">
        <f>BB83</f>
        <v/>
      </c>
      <c r="BE4" s="599">
        <f>BC83</f>
        <v/>
      </c>
      <c r="BF4" s="599">
        <f>BD83</f>
        <v/>
      </c>
      <c r="BG4" s="599">
        <f>BE83</f>
        <v/>
      </c>
      <c r="BH4" s="599">
        <f>BF83</f>
        <v/>
      </c>
      <c r="BI4" s="599">
        <f>BG83</f>
        <v/>
      </c>
      <c r="BJ4" s="599">
        <f>BH83</f>
        <v/>
      </c>
      <c r="BK4" s="599">
        <f>BI83</f>
        <v/>
      </c>
      <c r="BL4" s="955">
        <f>BB4</f>
        <v/>
      </c>
      <c r="BM4" s="955">
        <f>BC4</f>
        <v/>
      </c>
      <c r="BN4" s="599">
        <f>BM4-BL4</f>
        <v/>
      </c>
      <c r="BO4" s="920">
        <f>BJ83</f>
        <v/>
      </c>
      <c r="BP4" s="599">
        <f>BK83</f>
        <v/>
      </c>
      <c r="BQ4" s="599">
        <f>BO83</f>
        <v/>
      </c>
      <c r="BR4" s="599">
        <f>BP83</f>
        <v/>
      </c>
      <c r="BS4" s="599">
        <f>BQ83</f>
        <v/>
      </c>
      <c r="BT4" s="599">
        <f>BR83</f>
        <v/>
      </c>
      <c r="BU4" s="599">
        <f>BS83</f>
        <v/>
      </c>
      <c r="BV4" s="599">
        <f>BT83</f>
        <v/>
      </c>
      <c r="BW4" s="599">
        <f>BU83</f>
        <v/>
      </c>
      <c r="BX4" s="599">
        <f>BV83</f>
        <v/>
      </c>
      <c r="BY4" s="599">
        <f>BW83</f>
        <v/>
      </c>
      <c r="BZ4" s="599">
        <f>BX83</f>
        <v/>
      </c>
      <c r="CA4" s="599">
        <f>BY83</f>
        <v/>
      </c>
      <c r="CB4" s="599">
        <f>BZ83</f>
        <v/>
      </c>
      <c r="CC4" s="955">
        <f>BO4</f>
        <v/>
      </c>
      <c r="CD4" s="957">
        <f>BP4</f>
        <v/>
      </c>
      <c r="CE4" s="958">
        <f>CD4+CC4</f>
        <v/>
      </c>
      <c r="CF4" s="959">
        <f>C4</f>
        <v/>
      </c>
      <c r="CG4" s="959">
        <f>CF4</f>
        <v/>
      </c>
      <c r="CH4" s="960">
        <f>CG4-CF4</f>
        <v/>
      </c>
    </row>
    <row r="5">
      <c r="A5" s="915" t="inlineStr">
        <is>
          <t>Остаток на начало по Кассе</t>
        </is>
      </c>
      <c r="B5" s="914" t="n"/>
      <c r="C5" s="599" t="n">
        <v>917728</v>
      </c>
      <c r="D5" s="599">
        <f>C84</f>
        <v/>
      </c>
      <c r="E5" s="599">
        <f>D84</f>
        <v/>
      </c>
      <c r="F5" s="599">
        <f>E84</f>
        <v/>
      </c>
      <c r="G5" s="599">
        <f>F84</f>
        <v/>
      </c>
      <c r="H5" s="953">
        <f>C5</f>
        <v/>
      </c>
      <c r="I5" s="953">
        <f>H5</f>
        <v/>
      </c>
      <c r="J5" s="953">
        <f>I5-H5</f>
        <v/>
      </c>
      <c r="K5" s="599">
        <f>G84</f>
        <v/>
      </c>
      <c r="L5" s="599" t="n"/>
      <c r="M5" s="599" t="n"/>
      <c r="N5" s="599" t="n"/>
      <c r="O5" s="599" t="n"/>
      <c r="P5" s="599" t="n"/>
      <c r="Q5" s="599" t="n"/>
      <c r="R5" s="599" t="n"/>
      <c r="S5" s="599" t="n"/>
      <c r="T5" s="599" t="n"/>
      <c r="U5" s="599" t="n"/>
      <c r="V5" s="599" t="n"/>
      <c r="W5" s="599" t="n"/>
      <c r="X5" s="599" t="n"/>
      <c r="Y5" s="599" t="n"/>
      <c r="Z5" s="599" t="n"/>
      <c r="AA5" s="599" t="n"/>
      <c r="AB5" s="599">
        <f>#REF!</f>
        <v/>
      </c>
      <c r="AC5" s="599" t="n"/>
      <c r="AD5" s="599">
        <f>K84</f>
        <v/>
      </c>
      <c r="AE5" s="599">
        <f>AB84</f>
        <v/>
      </c>
      <c r="AF5" s="599">
        <f>AD84</f>
        <v/>
      </c>
      <c r="AG5" s="599">
        <f>AE84</f>
        <v/>
      </c>
      <c r="AH5" s="599">
        <f>AF84</f>
        <v/>
      </c>
      <c r="AI5" s="599">
        <f>AG84</f>
        <v/>
      </c>
      <c r="AJ5" s="599">
        <f>AH84</f>
        <v/>
      </c>
      <c r="AK5" s="599">
        <f>AI84</f>
        <v/>
      </c>
      <c r="AL5" s="953">
        <f>K5</f>
        <v/>
      </c>
      <c r="AM5" s="953">
        <f>AL5</f>
        <v/>
      </c>
      <c r="AN5" s="953">
        <f>AM5-AL5</f>
        <v/>
      </c>
      <c r="AO5" s="954">
        <f>AJ84</f>
        <v/>
      </c>
      <c r="AP5" s="599">
        <f>AM84</f>
        <v/>
      </c>
      <c r="AQ5" s="599">
        <f>AO84</f>
        <v/>
      </c>
      <c r="AR5" s="599">
        <f>AP84</f>
        <v/>
      </c>
      <c r="AS5" s="599">
        <f>AQ84</f>
        <v/>
      </c>
      <c r="AT5" s="599">
        <f>AR84</f>
        <v/>
      </c>
      <c r="AU5" s="599">
        <f>AS84</f>
        <v/>
      </c>
      <c r="AV5" s="599">
        <f>AT84</f>
        <v/>
      </c>
      <c r="AW5" s="599">
        <f>AU84</f>
        <v/>
      </c>
      <c r="AX5" s="599">
        <f>AV84</f>
        <v/>
      </c>
      <c r="AY5" s="920">
        <f>AO5</f>
        <v/>
      </c>
      <c r="AZ5" s="920">
        <f>AP5</f>
        <v/>
      </c>
      <c r="BA5" s="956">
        <f>AZ5-AY5</f>
        <v/>
      </c>
      <c r="BB5" s="954">
        <f>AW84</f>
        <v/>
      </c>
      <c r="BC5" s="599">
        <f>AX84</f>
        <v/>
      </c>
      <c r="BD5" s="599">
        <f>BB84</f>
        <v/>
      </c>
      <c r="BE5" s="599">
        <f>BC84</f>
        <v/>
      </c>
      <c r="BF5" s="599">
        <f>BD84</f>
        <v/>
      </c>
      <c r="BG5" s="599">
        <f>BE84</f>
        <v/>
      </c>
      <c r="BH5" s="599">
        <f>BF84</f>
        <v/>
      </c>
      <c r="BI5" s="599">
        <f>BG84</f>
        <v/>
      </c>
      <c r="BJ5" s="599">
        <f>BH84</f>
        <v/>
      </c>
      <c r="BK5" s="599">
        <f>BI84</f>
        <v/>
      </c>
      <c r="BL5" s="920">
        <f>BB5</f>
        <v/>
      </c>
      <c r="BM5" s="920">
        <f>BC5</f>
        <v/>
      </c>
      <c r="BN5" s="599">
        <f>BM5-BL5</f>
        <v/>
      </c>
      <c r="BO5" s="920">
        <f>BJ84</f>
        <v/>
      </c>
      <c r="BP5" s="599">
        <f>BK84</f>
        <v/>
      </c>
      <c r="BQ5" s="599">
        <f>BO84</f>
        <v/>
      </c>
      <c r="BR5" s="599">
        <f>BP84</f>
        <v/>
      </c>
      <c r="BS5" s="599">
        <f>BQ84</f>
        <v/>
      </c>
      <c r="BT5" s="599">
        <f>BR84</f>
        <v/>
      </c>
      <c r="BU5" s="599">
        <f>BS84</f>
        <v/>
      </c>
      <c r="BV5" s="599">
        <f>BT84</f>
        <v/>
      </c>
      <c r="BW5" s="599">
        <f>BU84</f>
        <v/>
      </c>
      <c r="BX5" s="599">
        <f>BV84</f>
        <v/>
      </c>
      <c r="BY5" s="599">
        <f>BW84</f>
        <v/>
      </c>
      <c r="BZ5" s="599">
        <f>BX84</f>
        <v/>
      </c>
      <c r="CA5" s="599">
        <f>BY84</f>
        <v/>
      </c>
      <c r="CB5" s="599">
        <f>BZ84</f>
        <v/>
      </c>
      <c r="CC5" s="920">
        <f>BO5</f>
        <v/>
      </c>
      <c r="CD5" s="961">
        <f>BO5</f>
        <v/>
      </c>
      <c r="CE5" s="958">
        <f>CD5-CC5</f>
        <v/>
      </c>
      <c r="CF5" s="959">
        <f>C5</f>
        <v/>
      </c>
      <c r="CG5" s="959">
        <f>CF5</f>
        <v/>
      </c>
      <c r="CH5" s="960">
        <f>CG5-CF5</f>
        <v/>
      </c>
    </row>
    <row r="6">
      <c r="A6" s="916" t="inlineStr">
        <is>
          <t>Прочие</t>
        </is>
      </c>
      <c r="B6" s="917" t="inlineStr">
        <is>
          <t>Приход</t>
        </is>
      </c>
      <c r="C6" s="977" t="n"/>
      <c r="D6" s="977" t="n"/>
      <c r="E6" s="962" t="n">
        <v>1000000</v>
      </c>
      <c r="F6" s="977" t="n"/>
      <c r="G6" s="977" t="n"/>
      <c r="H6" s="963">
        <f>C6+D6+E6+F6+G6</f>
        <v/>
      </c>
      <c r="I6" s="964">
        <f>#REF!+#REF!+#REF!+#REF!+#REF!</f>
        <v/>
      </c>
      <c r="J6" s="953">
        <f>I6-H6</f>
        <v/>
      </c>
      <c r="K6" s="962" t="n">
        <v>1000000</v>
      </c>
      <c r="L6" s="962" t="n"/>
      <c r="M6" s="962" t="n"/>
      <c r="N6" s="962" t="n"/>
      <c r="O6" s="962" t="n"/>
      <c r="P6" s="962" t="n"/>
      <c r="Q6" s="962" t="n"/>
      <c r="R6" s="962" t="n"/>
      <c r="S6" s="962" t="n"/>
      <c r="T6" s="962" t="n"/>
      <c r="U6" s="962" t="n"/>
      <c r="V6" s="962" t="n"/>
      <c r="W6" s="962" t="n"/>
      <c r="X6" s="962" t="n"/>
      <c r="Y6" s="962" t="n"/>
      <c r="Z6" s="962" t="n"/>
      <c r="AA6" s="962" t="n"/>
      <c r="AB6" s="966">
        <f>303750+17890</f>
        <v/>
      </c>
      <c r="AC6" s="966" t="n"/>
      <c r="AD6" s="977" t="n"/>
      <c r="AE6" s="977" t="n"/>
      <c r="AF6" s="977" t="n"/>
      <c r="AG6" s="971" t="n"/>
      <c r="AH6" s="977" t="n"/>
      <c r="AI6" s="977" t="n"/>
      <c r="AJ6" s="962" t="n">
        <v>500000</v>
      </c>
      <c r="AK6" s="977" t="n"/>
      <c r="AL6" s="963">
        <f>K6+AD6+AF6+AH6+AJ6</f>
        <v/>
      </c>
      <c r="AM6" s="964">
        <f>AB6+AE6+AG6+AI6+AK6</f>
        <v/>
      </c>
      <c r="AN6" s="953">
        <f>AM6-AL6</f>
        <v/>
      </c>
      <c r="AO6" s="977" t="n"/>
      <c r="AP6" s="977" t="n"/>
      <c r="AQ6" s="966" t="n">
        <v>600000</v>
      </c>
      <c r="AR6" s="977" t="n"/>
      <c r="AS6" s="977" t="n"/>
      <c r="AT6" s="977" t="n"/>
      <c r="AU6" s="977" t="n"/>
      <c r="AV6" s="977" t="n"/>
      <c r="AW6" s="962" t="n">
        <v>400000</v>
      </c>
      <c r="AX6" s="977" t="n"/>
      <c r="AY6" s="966">
        <f>AO6+AQ6+AS6+AU6+AW6</f>
        <v/>
      </c>
      <c r="AZ6" s="938">
        <f>AP6+AR6+AT6+AV6+AX6</f>
        <v/>
      </c>
      <c r="BA6" s="599">
        <f>AZ6-AY6</f>
        <v/>
      </c>
      <c r="BB6" s="977" t="n"/>
      <c r="BC6" s="977" t="n"/>
      <c r="BD6" s="977" t="n"/>
      <c r="BE6" s="977" t="n"/>
      <c r="BF6" s="977" t="n"/>
      <c r="BG6" s="977" t="n"/>
      <c r="BH6" s="962" t="n">
        <v>1000000</v>
      </c>
      <c r="BI6" s="977" t="n"/>
      <c r="BJ6" s="977" t="n"/>
      <c r="BK6" s="977" t="n"/>
      <c r="BL6" s="966">
        <f>BB6+BD6+BF6+BH6+BJ6</f>
        <v/>
      </c>
      <c r="BM6" s="938">
        <f>BC6+BE6+BG6+BI6+BK6</f>
        <v/>
      </c>
      <c r="BN6" s="599">
        <f>BM6-BL6</f>
        <v/>
      </c>
      <c r="BO6" s="977" t="n"/>
      <c r="BP6" s="977" t="n"/>
      <c r="BQ6" s="966" t="n">
        <v>500000</v>
      </c>
      <c r="BR6" s="977" t="n"/>
      <c r="BS6" s="977" t="n"/>
      <c r="BT6" s="977" t="n"/>
      <c r="BU6" s="962" t="n">
        <v>500000</v>
      </c>
      <c r="BV6" s="977" t="n"/>
      <c r="BW6" s="977" t="n"/>
      <c r="BX6" s="977" t="n"/>
      <c r="BY6" s="977" t="n"/>
      <c r="BZ6" s="977" t="n"/>
      <c r="CA6" s="977" t="n"/>
      <c r="CB6" s="977" t="n"/>
      <c r="CC6" s="966">
        <f>BO6+BQ6+BS6+BU6+BW6+BY6+CA6</f>
        <v/>
      </c>
      <c r="CD6" s="967">
        <f>BP6+BR6+BT6+BV6+BX6+BZ6+CB6</f>
        <v/>
      </c>
      <c r="CE6" s="958">
        <f>CD6-CC6</f>
        <v/>
      </c>
      <c r="CF6" s="968">
        <f>AL6+AY6+BL6+CC6+H6</f>
        <v/>
      </c>
      <c r="CG6" s="969">
        <f>AM6+AZ6+BM6+CD6+I6</f>
        <v/>
      </c>
      <c r="CH6" s="970">
        <f>CF6-CG6</f>
        <v/>
      </c>
    </row>
    <row r="7">
      <c r="A7" s="916" t="inlineStr">
        <is>
          <t>Б1, Б2, Б5</t>
        </is>
      </c>
      <c r="B7" s="917" t="inlineStr">
        <is>
          <t>Приход</t>
        </is>
      </c>
      <c r="C7" s="977" t="n"/>
      <c r="D7" s="977" t="n"/>
      <c r="E7" s="977" t="n"/>
      <c r="F7" s="977" t="n"/>
      <c r="G7" s="962" t="n">
        <v>1600000</v>
      </c>
      <c r="H7" s="963">
        <f>C7+D7+E7+F7+G7</f>
        <v/>
      </c>
      <c r="I7" s="964">
        <f>#REF!+#REF!+#REF!+#REF!+#REF!</f>
        <v/>
      </c>
      <c r="J7" s="953">
        <f>I7-H7</f>
        <v/>
      </c>
      <c r="K7" s="977" t="n"/>
      <c r="L7" s="977" t="n"/>
      <c r="M7" s="977" t="n"/>
      <c r="N7" s="977" t="n"/>
      <c r="O7" s="977" t="n"/>
      <c r="P7" s="977" t="n"/>
      <c r="Q7" s="977" t="n"/>
      <c r="R7" s="977" t="n"/>
      <c r="S7" s="977" t="n"/>
      <c r="T7" s="977" t="n"/>
      <c r="U7" s="977" t="n"/>
      <c r="V7" s="977" t="n"/>
      <c r="W7" s="977" t="n"/>
      <c r="X7" s="977" t="n"/>
      <c r="Y7" s="977" t="n"/>
      <c r="Z7" s="977" t="n"/>
      <c r="AA7" s="977" t="n"/>
      <c r="AB7" s="966" t="n">
        <v>1144435</v>
      </c>
      <c r="AC7" s="966" t="n"/>
      <c r="AD7" s="977" t="n"/>
      <c r="AE7" s="966" t="n">
        <v>1168357</v>
      </c>
      <c r="AF7" s="977" t="n"/>
      <c r="AG7" s="971" t="n"/>
      <c r="AH7" s="966" t="n">
        <v>2000000</v>
      </c>
      <c r="AI7" s="977" t="n"/>
      <c r="AJ7" s="977" t="n"/>
      <c r="AK7" s="977" t="n"/>
      <c r="AL7" s="963">
        <f>K7+AD7+AF7+AH7+AJ7</f>
        <v/>
      </c>
      <c r="AM7" s="964">
        <f>AB7+AE7+AG7+AI7+AK7</f>
        <v/>
      </c>
      <c r="AN7" s="953">
        <f>AM7-AL7</f>
        <v/>
      </c>
      <c r="AO7" s="977" t="n"/>
      <c r="AP7" s="977" t="n"/>
      <c r="AQ7" s="977" t="n"/>
      <c r="AR7" s="977" t="n"/>
      <c r="AS7" s="977" t="n"/>
      <c r="AT7" s="977" t="n"/>
      <c r="AU7" s="977" t="n"/>
      <c r="AV7" s="977" t="n"/>
      <c r="AW7" s="962" t="n">
        <v>2000000</v>
      </c>
      <c r="AX7" s="977" t="n"/>
      <c r="AY7" s="966">
        <f>AO7+AQ7+AS7+AU7+AW7</f>
        <v/>
      </c>
      <c r="AZ7" s="938">
        <f>AP7+AR7+AT7+AV7+AX7</f>
        <v/>
      </c>
      <c r="BA7" s="599">
        <f>AZ7-AY7</f>
        <v/>
      </c>
      <c r="BB7" s="977" t="n"/>
      <c r="BC7" s="977" t="n"/>
      <c r="BD7" s="962" t="n">
        <v>1000000</v>
      </c>
      <c r="BE7" s="977" t="n"/>
      <c r="BF7" s="977" t="n"/>
      <c r="BG7" s="977" t="n"/>
      <c r="BH7" s="977" t="n"/>
      <c r="BI7" s="977" t="n"/>
      <c r="BJ7" s="962" t="n">
        <v>1000000</v>
      </c>
      <c r="BK7" s="977" t="n"/>
      <c r="BL7" s="966">
        <f>BB7+BD7+BF7+BH7+BJ7</f>
        <v/>
      </c>
      <c r="BM7" s="938">
        <f>BC7+BE7+BG7+BI7+BK7</f>
        <v/>
      </c>
      <c r="BN7" s="599">
        <f>BM7-BL7</f>
        <v/>
      </c>
      <c r="BO7" s="977" t="n"/>
      <c r="BP7" s="977" t="n"/>
      <c r="BQ7" s="977" t="n"/>
      <c r="BR7" s="977" t="n"/>
      <c r="BS7" s="962" t="n">
        <v>1000000</v>
      </c>
      <c r="BT7" s="977" t="n"/>
      <c r="BU7" s="977" t="n"/>
      <c r="BV7" s="977" t="n"/>
      <c r="BW7" s="977" t="n"/>
      <c r="BX7" s="977" t="n"/>
      <c r="BY7" s="977" t="n"/>
      <c r="BZ7" s="977" t="n"/>
      <c r="CA7" s="977" t="n"/>
      <c r="CB7" s="977" t="n"/>
      <c r="CC7" s="966">
        <f>BO7+BQ7+BS7+BU7+BW7+BY7+CA7</f>
        <v/>
      </c>
      <c r="CD7" s="967">
        <f>BP7+BR7+BT7+BV7+BX7+BZ7+CB7</f>
        <v/>
      </c>
      <c r="CE7" s="958">
        <f>CD7-CC7</f>
        <v/>
      </c>
      <c r="CF7" s="968">
        <f>AL7+AY7+BL7+CC7+H7</f>
        <v/>
      </c>
      <c r="CG7" s="969">
        <f>AM7+AZ7+BM7+CD7+I7</f>
        <v/>
      </c>
      <c r="CH7" s="970">
        <f>CF7-CG7</f>
        <v/>
      </c>
    </row>
    <row r="8">
      <c r="A8" s="916" t="inlineStr">
        <is>
          <t>Яндекс</t>
        </is>
      </c>
      <c r="B8" s="917" t="inlineStr">
        <is>
          <t>Приход</t>
        </is>
      </c>
      <c r="C8" s="977" t="n"/>
      <c r="D8" s="977" t="n"/>
      <c r="E8" s="977" t="n"/>
      <c r="F8" s="966" t="n">
        <v>6000000</v>
      </c>
      <c r="G8" s="977" t="n"/>
      <c r="H8" s="963">
        <f>C8+D8+E8+F8+G8</f>
        <v/>
      </c>
      <c r="I8" s="964">
        <f>#REF!+#REF!+#REF!+#REF!+#REF!</f>
        <v/>
      </c>
      <c r="J8" s="953">
        <f>I8-H8</f>
        <v/>
      </c>
      <c r="K8" s="977" t="n"/>
      <c r="L8" s="977" t="n"/>
      <c r="M8" s="977" t="n"/>
      <c r="N8" s="977" t="n"/>
      <c r="O8" s="977" t="n"/>
      <c r="P8" s="977" t="n"/>
      <c r="Q8" s="977" t="n"/>
      <c r="R8" s="977" t="n"/>
      <c r="S8" s="977" t="n"/>
      <c r="T8" s="977" t="n"/>
      <c r="U8" s="977" t="n"/>
      <c r="V8" s="977" t="n"/>
      <c r="W8" s="977" t="n"/>
      <c r="X8" s="977" t="n"/>
      <c r="Y8" s="977" t="n"/>
      <c r="Z8" s="977" t="n"/>
      <c r="AA8" s="977" t="n"/>
      <c r="AB8" s="977" t="n"/>
      <c r="AC8" s="977" t="n"/>
      <c r="AD8" s="966" t="n">
        <v>8000000</v>
      </c>
      <c r="AE8" s="966" t="n">
        <v>8761731</v>
      </c>
      <c r="AF8" s="977" t="n"/>
      <c r="AG8" s="971" t="n"/>
      <c r="AH8" s="966" t="n">
        <v>6000000</v>
      </c>
      <c r="AI8" s="977" t="n"/>
      <c r="AJ8" s="977" t="n"/>
      <c r="AK8" s="977" t="n"/>
      <c r="AL8" s="963">
        <f>K8+AD8+AF8+AH8+AJ8</f>
        <v/>
      </c>
      <c r="AM8" s="964">
        <f>AB8+AE8+AG8+AI8+AK8</f>
        <v/>
      </c>
      <c r="AN8" s="953">
        <f>AM8-AL8</f>
        <v/>
      </c>
      <c r="AO8" s="977" t="n"/>
      <c r="AP8" s="977" t="n"/>
      <c r="AQ8" s="962" t="n">
        <v>8000000</v>
      </c>
      <c r="AR8" s="977" t="n"/>
      <c r="AS8" s="977" t="n"/>
      <c r="AT8" s="977" t="n"/>
      <c r="AU8" s="962" t="n">
        <v>6000000</v>
      </c>
      <c r="AV8" s="977" t="n"/>
      <c r="AW8" s="977" t="n"/>
      <c r="AX8" s="977" t="n"/>
      <c r="AY8" s="966">
        <f>AO8+AQ8+AS8+AU8+AW8</f>
        <v/>
      </c>
      <c r="AZ8" s="938">
        <f>AP8+AR8+AT8+AV8+AX8</f>
        <v/>
      </c>
      <c r="BA8" s="599">
        <f>AZ8-AY8</f>
        <v/>
      </c>
      <c r="BB8" s="977" t="n"/>
      <c r="BC8" s="977" t="n"/>
      <c r="BD8" s="962" t="n">
        <v>8000000</v>
      </c>
      <c r="BE8" s="977" t="n"/>
      <c r="BF8" s="977" t="n"/>
      <c r="BG8" s="977" t="n"/>
      <c r="BH8" s="962" t="n">
        <v>6000000</v>
      </c>
      <c r="BI8" s="977" t="n"/>
      <c r="BJ8" s="977" t="n"/>
      <c r="BK8" s="977" t="n"/>
      <c r="BL8" s="966">
        <f>BB8+BD8+BF8+BH8+BJ8</f>
        <v/>
      </c>
      <c r="BM8" s="938">
        <f>BC8+BE8+BG8+BI8+BK8</f>
        <v/>
      </c>
      <c r="BN8" s="599">
        <f>BM8-BL8</f>
        <v/>
      </c>
      <c r="BO8" s="977" t="n"/>
      <c r="BP8" s="977" t="n"/>
      <c r="BQ8" s="962" t="n">
        <v>8000000</v>
      </c>
      <c r="BR8" s="977" t="n"/>
      <c r="BS8" s="977" t="n"/>
      <c r="BT8" s="977" t="n"/>
      <c r="BU8" s="962" t="n">
        <v>8000000</v>
      </c>
      <c r="BV8" s="977" t="n"/>
      <c r="BW8" s="977" t="n"/>
      <c r="BX8" s="977" t="n"/>
      <c r="BY8" s="977" t="n"/>
      <c r="BZ8" s="977" t="n"/>
      <c r="CA8" s="977" t="n"/>
      <c r="CB8" s="977" t="n"/>
      <c r="CC8" s="966">
        <f>BO8+BQ8+BS8+BU8+BW8+BY8+CA8</f>
        <v/>
      </c>
      <c r="CD8" s="967">
        <f>BP8+BR8+BT8+BV8+BX8+BZ8+CB8</f>
        <v/>
      </c>
      <c r="CE8" s="958">
        <f>CD8-CC8</f>
        <v/>
      </c>
      <c r="CF8" s="968">
        <f>AL8+AY8+BL8+CC8+H8</f>
        <v/>
      </c>
      <c r="CG8" s="969">
        <f>AM8+AZ8+BM8+CD8+I8</f>
        <v/>
      </c>
      <c r="CH8" s="970">
        <f>CF8-CG8</f>
        <v/>
      </c>
    </row>
    <row r="9">
      <c r="A9" s="916" t="inlineStr">
        <is>
          <t>Май Март</t>
        </is>
      </c>
      <c r="B9" s="917" t="inlineStr">
        <is>
          <t>Приход</t>
        </is>
      </c>
      <c r="C9" s="977" t="n"/>
      <c r="D9" s="977" t="n"/>
      <c r="E9" s="966" t="n">
        <v>1000000</v>
      </c>
      <c r="F9" s="977" t="n"/>
      <c r="G9" s="977" t="n"/>
      <c r="H9" s="963">
        <f>C9+D9+E9+F9+G9</f>
        <v/>
      </c>
      <c r="I9" s="964">
        <f>#REF!+#REF!+#REF!+#REF!+#REF!</f>
        <v/>
      </c>
      <c r="J9" s="953">
        <f>I9-H9</f>
        <v/>
      </c>
      <c r="K9" s="977" t="n"/>
      <c r="L9" s="977" t="n"/>
      <c r="M9" s="977" t="n"/>
      <c r="N9" s="977" t="n"/>
      <c r="O9" s="977" t="n"/>
      <c r="P9" s="977" t="n"/>
      <c r="Q9" s="977" t="n"/>
      <c r="R9" s="977" t="n"/>
      <c r="S9" s="977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7" t="n"/>
      <c r="AC9" s="977" t="n"/>
      <c r="AD9" s="966" t="n">
        <v>2000000</v>
      </c>
      <c r="AE9" s="977" t="n"/>
      <c r="AF9" s="977" t="n"/>
      <c r="AG9" s="971" t="n">
        <v>1406616</v>
      </c>
      <c r="AH9" s="966" t="n"/>
      <c r="AI9" s="977" t="n"/>
      <c r="AJ9" s="977" t="n"/>
      <c r="AK9" s="977" t="n"/>
      <c r="AL9" s="963">
        <f>K9+AD9+AF9+AH9+AJ9</f>
        <v/>
      </c>
      <c r="AM9" s="964">
        <f>AB9+AE9+AG9+AI9+AK9</f>
        <v/>
      </c>
      <c r="AN9" s="953">
        <f>AM9-AL9</f>
        <v/>
      </c>
      <c r="AO9" s="977" t="n"/>
      <c r="AP9" s="977" t="n"/>
      <c r="AQ9" s="977" t="n"/>
      <c r="AR9" s="977" t="n"/>
      <c r="AS9" s="977" t="n"/>
      <c r="AT9" s="977" t="n"/>
      <c r="AU9" s="977" t="n"/>
      <c r="AV9" s="977" t="n"/>
      <c r="AW9" s="962" t="n">
        <v>2000000</v>
      </c>
      <c r="AX9" s="977" t="n"/>
      <c r="AY9" s="966">
        <f>AO9+AQ9+AS9+AU9+AW9</f>
        <v/>
      </c>
      <c r="AZ9" s="938">
        <f>AP9+AR9+AT9+AV9+AX9</f>
        <v/>
      </c>
      <c r="BA9" s="599">
        <f>AZ9-AY9</f>
        <v/>
      </c>
      <c r="BB9" s="977" t="n"/>
      <c r="BC9" s="977" t="n"/>
      <c r="BD9" s="977" t="n"/>
      <c r="BE9" s="977" t="n"/>
      <c r="BF9" s="962" t="n">
        <v>2000000</v>
      </c>
      <c r="BG9" s="977" t="n"/>
      <c r="BH9" s="977" t="n"/>
      <c r="BI9" s="977" t="n"/>
      <c r="BJ9" s="977" t="n"/>
      <c r="BK9" s="977" t="n"/>
      <c r="BL9" s="966">
        <f>BB9+BD9+BF9+BH9+BJ9</f>
        <v/>
      </c>
      <c r="BM9" s="938">
        <f>BC9+BE9+BG9+BI9+BK9</f>
        <v/>
      </c>
      <c r="BN9" s="599">
        <f>BM9-BL9</f>
        <v/>
      </c>
      <c r="BO9" s="977" t="n"/>
      <c r="BP9" s="977" t="n"/>
      <c r="BQ9" s="966" t="n">
        <v>2000000</v>
      </c>
      <c r="BR9" s="977" t="n"/>
      <c r="BS9" s="977" t="n"/>
      <c r="BT9" s="977" t="n"/>
      <c r="BU9" s="977" t="n"/>
      <c r="BV9" s="977" t="n"/>
      <c r="BW9" s="977" t="n"/>
      <c r="BX9" s="977" t="n"/>
      <c r="BY9" s="977" t="n"/>
      <c r="BZ9" s="977" t="n"/>
      <c r="CA9" s="977" t="n"/>
      <c r="CB9" s="977" t="n"/>
      <c r="CC9" s="966">
        <f>BO9+BQ9+BS9+BU9+BW9+BY9+CA9</f>
        <v/>
      </c>
      <c r="CD9" s="967">
        <f>BP9+BR9+BT9+BV9+BX9+BZ9+CB9</f>
        <v/>
      </c>
      <c r="CE9" s="958">
        <f>CD9-CC9</f>
        <v/>
      </c>
      <c r="CF9" s="968">
        <f>AL9+AY9+BL9+CC9+H9</f>
        <v/>
      </c>
      <c r="CG9" s="969">
        <f>AM9+AZ9+BM9+CD9+I9</f>
        <v/>
      </c>
      <c r="CH9" s="970">
        <f>CF9-CG9</f>
        <v/>
      </c>
    </row>
    <row r="10">
      <c r="A10" s="916" t="inlineStr">
        <is>
          <t xml:space="preserve">7-Kaspi Банк </t>
        </is>
      </c>
      <c r="B10" s="917" t="inlineStr">
        <is>
          <t>Приход</t>
        </is>
      </c>
      <c r="C10" s="977" t="n"/>
      <c r="D10" s="977" t="n"/>
      <c r="E10" s="962" t="n">
        <v>1000000</v>
      </c>
      <c r="F10" s="966" t="n">
        <v>1500000</v>
      </c>
      <c r="G10" s="962" t="n">
        <v>1000000</v>
      </c>
      <c r="H10" s="963">
        <f>C10+D10+E10+F10+G10</f>
        <v/>
      </c>
      <c r="I10" s="964">
        <f>#REF!+#REF!+#REF!+#REF!+#REF!</f>
        <v/>
      </c>
      <c r="J10" s="953">
        <f>I10-H10</f>
        <v/>
      </c>
      <c r="K10" s="977" t="n"/>
      <c r="L10" s="977" t="n"/>
      <c r="M10" s="977" t="n"/>
      <c r="N10" s="977" t="n"/>
      <c r="O10" s="977" t="n"/>
      <c r="P10" s="977" t="n"/>
      <c r="Q10" s="977" t="n"/>
      <c r="R10" s="977" t="n"/>
      <c r="S10" s="977" t="n"/>
      <c r="T10" s="977" t="n"/>
      <c r="U10" s="977" t="n"/>
      <c r="V10" s="977" t="n"/>
      <c r="W10" s="977" t="n"/>
      <c r="X10" s="977" t="n"/>
      <c r="Y10" s="977" t="n"/>
      <c r="Z10" s="977" t="n"/>
      <c r="AA10" s="977" t="n"/>
      <c r="AB10" s="977" t="n"/>
      <c r="AC10" s="977" t="n"/>
      <c r="AD10" s="977" t="n"/>
      <c r="AE10" s="966" t="n">
        <v>3000000</v>
      </c>
      <c r="AF10" s="966" t="n">
        <v>1000000</v>
      </c>
      <c r="AG10" s="971" t="n">
        <v>1500000</v>
      </c>
      <c r="AH10" s="966" t="n">
        <v>1000000</v>
      </c>
      <c r="AI10" s="977" t="n"/>
      <c r="AJ10" s="966" t="n">
        <v>1000000</v>
      </c>
      <c r="AK10" s="977" t="n"/>
      <c r="AL10" s="963">
        <f>K10+AD10+AF10+AH10+AJ10</f>
        <v/>
      </c>
      <c r="AM10" s="964">
        <f>AB10+AE10+AG10+AI10+AK10</f>
        <v/>
      </c>
      <c r="AN10" s="953">
        <f>AM10-AL10</f>
        <v/>
      </c>
      <c r="AO10" s="962" t="n">
        <v>1400000</v>
      </c>
      <c r="AP10" s="977" t="n"/>
      <c r="AQ10" s="962" t="n">
        <v>1000000</v>
      </c>
      <c r="AR10" s="977" t="n"/>
      <c r="AS10" s="962" t="n">
        <v>1000000</v>
      </c>
      <c r="AT10" s="977" t="n"/>
      <c r="AU10" s="966" t="n">
        <v>1000000</v>
      </c>
      <c r="AV10" s="977" t="n"/>
      <c r="AW10" s="966" t="n">
        <v>1000000</v>
      </c>
      <c r="AX10" s="977" t="n"/>
      <c r="AY10" s="966">
        <f>AO10+AQ10+AS10+AU10+AW10</f>
        <v/>
      </c>
      <c r="AZ10" s="938">
        <f>AP10+AR10+AT10+AV10+AX10</f>
        <v/>
      </c>
      <c r="BA10" s="599">
        <f>AZ10-AY10</f>
        <v/>
      </c>
      <c r="BB10" s="962" t="n">
        <v>1000000</v>
      </c>
      <c r="BC10" s="977" t="n"/>
      <c r="BD10" s="962" t="n">
        <v>1000000</v>
      </c>
      <c r="BE10" s="977" t="n"/>
      <c r="BF10" s="962" t="n">
        <v>1000000</v>
      </c>
      <c r="BG10" s="977" t="n"/>
      <c r="BH10" s="962" t="n">
        <v>1000000</v>
      </c>
      <c r="BI10" s="977" t="n"/>
      <c r="BJ10" s="962" t="n">
        <v>1000000</v>
      </c>
      <c r="BK10" s="977" t="n"/>
      <c r="BL10" s="966">
        <f>BB10+BD10+BF10+BH10+BJ10</f>
        <v/>
      </c>
      <c r="BM10" s="938">
        <f>BC10+BE10+BG10+BI10+BK10</f>
        <v/>
      </c>
      <c r="BN10" s="599">
        <f>BM10-BL10</f>
        <v/>
      </c>
      <c r="BO10" s="962" t="n">
        <v>1000000</v>
      </c>
      <c r="BP10" s="977" t="n"/>
      <c r="BQ10" s="977" t="n"/>
      <c r="BR10" s="977" t="n"/>
      <c r="BS10" s="966" t="n">
        <v>1000000</v>
      </c>
      <c r="BT10" s="977" t="n"/>
      <c r="BU10" s="977" t="n"/>
      <c r="BV10" s="977" t="n"/>
      <c r="BW10" s="977" t="n"/>
      <c r="BX10" s="977" t="n"/>
      <c r="BY10" s="977" t="n"/>
      <c r="BZ10" s="977" t="n"/>
      <c r="CA10" s="977" t="n"/>
      <c r="CB10" s="977" t="n"/>
      <c r="CC10" s="966">
        <f>BO10+BQ10+BS10+BU10+BW10+BY10+CA10</f>
        <v/>
      </c>
      <c r="CD10" s="967">
        <f>BP10+BR10+BT10+BV10+BX10+BZ10+CB10</f>
        <v/>
      </c>
      <c r="CE10" s="958">
        <f>CD10-CC10</f>
        <v/>
      </c>
      <c r="CF10" s="968">
        <f>AL10+AY10+BL10+CC10+H10</f>
        <v/>
      </c>
      <c r="CG10" s="969">
        <f>AM10+AZ10+BM10+CD10+I10</f>
        <v/>
      </c>
      <c r="CH10" s="970">
        <f>CF10-CG10</f>
        <v/>
      </c>
    </row>
    <row r="11">
      <c r="A11" s="916" t="inlineStr">
        <is>
          <t>Crave</t>
        </is>
      </c>
      <c r="B11" s="917" t="inlineStr">
        <is>
          <t>Приход</t>
        </is>
      </c>
      <c r="C11" s="977" t="n"/>
      <c r="D11" s="977" t="n"/>
      <c r="E11" s="977" t="n"/>
      <c r="F11" s="977" t="n"/>
      <c r="G11" s="977" t="n"/>
      <c r="H11" s="963">
        <f>C11+D11+E11+F11+G11</f>
        <v/>
      </c>
      <c r="I11" s="964">
        <f>#REF!+#REF!+#REF!+#REF!+#REF!</f>
        <v/>
      </c>
      <c r="J11" s="953">
        <f>I11-H11</f>
        <v/>
      </c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977" t="n"/>
      <c r="AE11" s="977" t="n"/>
      <c r="AF11" s="977" t="n"/>
      <c r="AG11" s="971" t="n"/>
      <c r="AH11" s="977" t="n"/>
      <c r="AI11" s="977" t="n"/>
      <c r="AJ11" s="977" t="n"/>
      <c r="AK11" s="977" t="n"/>
      <c r="AL11" s="963">
        <f>K11+AD11+AF11+AH11+AJ11</f>
        <v/>
      </c>
      <c r="AM11" s="964">
        <f>AB11+AE11+AG11+AI11+AK11</f>
        <v/>
      </c>
      <c r="AN11" s="953">
        <f>AM11-AL11</f>
        <v/>
      </c>
      <c r="AO11" s="977" t="n"/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66">
        <f>AO11+AQ11+AS11+AU11+AW11</f>
        <v/>
      </c>
      <c r="AZ11" s="938">
        <f>AP11+AR11+AT11+AV11+AX11</f>
        <v/>
      </c>
      <c r="BA11" s="599">
        <f>AZ11-AY11</f>
        <v/>
      </c>
      <c r="BB11" s="977" t="n"/>
      <c r="BC11" s="977" t="n"/>
      <c r="BD11" s="966" t="n">
        <v>1000000</v>
      </c>
      <c r="BE11" s="977" t="n"/>
      <c r="BF11" s="977" t="n"/>
      <c r="BG11" s="977" t="n"/>
      <c r="BH11" s="977" t="n"/>
      <c r="BI11" s="977" t="n"/>
      <c r="BJ11" s="962" t="n">
        <v>1000000</v>
      </c>
      <c r="BK11" s="977" t="n"/>
      <c r="BL11" s="966">
        <f>BB11+BD11+BF11+BH11+BJ11</f>
        <v/>
      </c>
      <c r="BM11" s="938">
        <f>BC11+BE11+BG11+BI11+BK11</f>
        <v/>
      </c>
      <c r="BN11" s="599">
        <f>BM11-BL11</f>
        <v/>
      </c>
      <c r="BO11" s="977" t="n"/>
      <c r="BP11" s="977" t="n"/>
      <c r="BQ11" s="977" t="n"/>
      <c r="BR11" s="977" t="n"/>
      <c r="BS11" s="962" t="n">
        <v>1000000</v>
      </c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66">
        <f>BO11+BQ11+BS11+BU11+BW11+BY11+CA11</f>
        <v/>
      </c>
      <c r="CD11" s="967">
        <f>BP11+BR11+BT11+BV11+BX11+BZ11+CB11</f>
        <v/>
      </c>
      <c r="CE11" s="958">
        <f>CD11-CC11</f>
        <v/>
      </c>
      <c r="CF11" s="968">
        <f>AL11+AY11+BL11+CC11+H11</f>
        <v/>
      </c>
      <c r="CG11" s="969">
        <f>AM11+AZ11+BM11+CD11+I11</f>
        <v/>
      </c>
      <c r="CH11" s="970">
        <f>CF11-CG11</f>
        <v/>
      </c>
    </row>
    <row r="12">
      <c r="A12" s="916" t="inlineStr">
        <is>
          <t>99-RP АЗС</t>
        </is>
      </c>
      <c r="B12" s="917" t="inlineStr">
        <is>
          <t>Приход</t>
        </is>
      </c>
      <c r="C12" s="977" t="n"/>
      <c r="D12" s="977" t="n"/>
      <c r="E12" s="977" t="n"/>
      <c r="F12" s="962" t="n">
        <v>5000000</v>
      </c>
      <c r="G12" s="977" t="n"/>
      <c r="H12" s="963">
        <f>C12+D12+E12+F12+G12</f>
        <v/>
      </c>
      <c r="I12" s="964">
        <f>#REF!+#REF!+#REF!+#REF!+#REF!</f>
        <v/>
      </c>
      <c r="J12" s="953">
        <f>I12-H12</f>
        <v/>
      </c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977" t="n"/>
      <c r="AE12" s="977" t="n"/>
      <c r="AF12" s="977" t="n"/>
      <c r="AG12" s="971" t="n"/>
      <c r="AH12" s="972" t="n">
        <v>6000000</v>
      </c>
      <c r="AI12" s="977" t="n"/>
      <c r="AJ12" s="977" t="n"/>
      <c r="AK12" s="977" t="n"/>
      <c r="AL12" s="963">
        <f>K12+AD12+AF12+AH12+AJ12</f>
        <v/>
      </c>
      <c r="AM12" s="964">
        <f>AB12+AE12+AG12+AI12+AK12</f>
        <v/>
      </c>
      <c r="AN12" s="953">
        <f>AM12-AL12</f>
        <v/>
      </c>
      <c r="AO12" s="977" t="n"/>
      <c r="AP12" s="977" t="n"/>
      <c r="AQ12" s="977" t="n"/>
      <c r="AR12" s="977" t="n"/>
      <c r="AS12" s="977" t="n"/>
      <c r="AT12" s="977" t="n"/>
      <c r="AU12" s="962" t="n">
        <v>6000000</v>
      </c>
      <c r="AV12" s="977" t="n"/>
      <c r="AW12" s="977" t="n"/>
      <c r="AX12" s="977" t="n"/>
      <c r="AY12" s="966">
        <f>AO12+AQ12+AS12+AU12+AW12</f>
        <v/>
      </c>
      <c r="AZ12" s="938">
        <f>AP12+AR12+AT12+AV12+AX12</f>
        <v/>
      </c>
      <c r="BA12" s="599">
        <f>AZ12-AY12</f>
        <v/>
      </c>
      <c r="BB12" s="977" t="n"/>
      <c r="BC12" s="977" t="n"/>
      <c r="BD12" s="977" t="n"/>
      <c r="BE12" s="977" t="n"/>
      <c r="BF12" s="977" t="n"/>
      <c r="BG12" s="977" t="n"/>
      <c r="BH12" s="962" t="n">
        <v>5000000</v>
      </c>
      <c r="BI12" s="977" t="n"/>
      <c r="BJ12" s="977" t="n"/>
      <c r="BK12" s="977" t="n"/>
      <c r="BL12" s="966">
        <f>BB12+BD12+BF12+BH12+BJ12</f>
        <v/>
      </c>
      <c r="BM12" s="938">
        <f>BC12+BE12+BG12+BI12+BK12</f>
        <v/>
      </c>
      <c r="BN12" s="599">
        <f>BM12-BL12</f>
        <v/>
      </c>
      <c r="BO12" s="977" t="n"/>
      <c r="BP12" s="977" t="n"/>
      <c r="BQ12" s="977" t="n"/>
      <c r="BR12" s="977" t="n"/>
      <c r="BS12" s="977" t="n"/>
      <c r="BT12" s="977" t="n"/>
      <c r="BU12" s="962" t="n">
        <v>4000000</v>
      </c>
      <c r="BV12" s="977" t="n"/>
      <c r="BW12" s="977" t="n"/>
      <c r="BX12" s="977" t="n"/>
      <c r="BY12" s="977" t="n"/>
      <c r="BZ12" s="977" t="n"/>
      <c r="CA12" s="977" t="n"/>
      <c r="CB12" s="977" t="n"/>
      <c r="CC12" s="966">
        <f>BO12+BQ12+BS12+BU12+BW12+BY12+CA12</f>
        <v/>
      </c>
      <c r="CD12" s="967">
        <f>BP12+BR12+BT12+BV12+BX12+BZ12+CB12</f>
        <v/>
      </c>
      <c r="CE12" s="958">
        <f>CD12-CC12</f>
        <v/>
      </c>
      <c r="CF12" s="968">
        <f>AL12+AY12+BL12+CC12+H12</f>
        <v/>
      </c>
      <c r="CG12" s="969">
        <f>AM12+AZ12+BM12+CD12+I12</f>
        <v/>
      </c>
      <c r="CH12" s="970">
        <f>CF12-CG12</f>
        <v/>
      </c>
    </row>
    <row r="13">
      <c r="A13" s="916" t="inlineStr">
        <is>
          <t>96- DSF покупатель</t>
        </is>
      </c>
      <c r="B13" s="917" t="inlineStr">
        <is>
          <t>Приход</t>
        </is>
      </c>
      <c r="C13" s="977" t="n"/>
      <c r="D13" s="977" t="n"/>
      <c r="E13" s="966" t="n">
        <v>5000000</v>
      </c>
      <c r="F13" s="977" t="n"/>
      <c r="G13" s="966" t="n">
        <v>1000000</v>
      </c>
      <c r="H13" s="963">
        <f>C13+D13+E13+F13+G13</f>
        <v/>
      </c>
      <c r="I13" s="964">
        <f>#REF!+#REF!+#REF!+#REF!+#REF!</f>
        <v/>
      </c>
      <c r="J13" s="953">
        <f>I13-H13</f>
        <v/>
      </c>
      <c r="K13" s="966" t="n">
        <v>4000000</v>
      </c>
      <c r="L13" s="966" t="n"/>
      <c r="M13" s="966" t="n"/>
      <c r="N13" s="966" t="n"/>
      <c r="O13" s="966" t="n"/>
      <c r="P13" s="966" t="n"/>
      <c r="Q13" s="966" t="n"/>
      <c r="R13" s="966" t="n"/>
      <c r="S13" s="966" t="n"/>
      <c r="T13" s="966" t="n"/>
      <c r="U13" s="966" t="n"/>
      <c r="V13" s="966" t="n"/>
      <c r="W13" s="966" t="n"/>
      <c r="X13" s="966" t="n"/>
      <c r="Y13" s="966" t="n"/>
      <c r="Z13" s="966" t="n"/>
      <c r="AA13" s="966" t="n"/>
      <c r="AB13" s="977" t="n"/>
      <c r="AC13" s="977" t="n"/>
      <c r="AD13" s="977" t="n"/>
      <c r="AE13" s="973" t="n">
        <v>2000000</v>
      </c>
      <c r="AF13" s="977" t="n"/>
      <c r="AG13" s="971" t="n"/>
      <c r="AH13" s="977" t="n"/>
      <c r="AI13" s="977" t="n"/>
      <c r="AJ13" s="977" t="n"/>
      <c r="AK13" s="977" t="n"/>
      <c r="AL13" s="963">
        <f>K13+AD13+AF13+AH13+AJ13</f>
        <v/>
      </c>
      <c r="AM13" s="964">
        <f>AB13+AE13+AG13+AI13+AK13</f>
        <v/>
      </c>
      <c r="AN13" s="953">
        <f>AM13-AL13</f>
        <v/>
      </c>
      <c r="AO13" s="977" t="n"/>
      <c r="AP13" s="977" t="n"/>
      <c r="AQ13" s="977" t="n"/>
      <c r="AR13" s="977" t="n"/>
      <c r="AS13" s="977" t="n"/>
      <c r="AT13" s="977" t="n"/>
      <c r="AU13" s="977" t="n"/>
      <c r="AV13" s="977" t="n"/>
      <c r="AW13" s="966" t="n">
        <v>2000000</v>
      </c>
      <c r="AX13" s="977" t="n"/>
      <c r="AY13" s="966">
        <f>AO13+AQ13+AS13+AU13+AW13</f>
        <v/>
      </c>
      <c r="AZ13" s="938">
        <f>AP13+AR13+AT13+AV13+AX13</f>
        <v/>
      </c>
      <c r="BA13" s="599">
        <f>AZ13-AY13</f>
        <v/>
      </c>
      <c r="BB13" s="977" t="n"/>
      <c r="BC13" s="977" t="n"/>
      <c r="BD13" s="977" t="n"/>
      <c r="BE13" s="977" t="n"/>
      <c r="BF13" s="977" t="n"/>
      <c r="BG13" s="977" t="n"/>
      <c r="BH13" s="962" t="n">
        <v>2000000</v>
      </c>
      <c r="BI13" s="977" t="n"/>
      <c r="BJ13" s="977" t="n"/>
      <c r="BK13" s="977" t="n"/>
      <c r="BL13" s="966">
        <f>BB13+BD13+BF13+BH13+BJ13</f>
        <v/>
      </c>
      <c r="BM13" s="938">
        <f>BC13+BE13+BG13+BI13+BK13</f>
        <v/>
      </c>
      <c r="BN13" s="599">
        <f>BM13-BL13</f>
        <v/>
      </c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66">
        <f>BO13+BQ13+BS13+BU13+BW13+BY13+CA13</f>
        <v/>
      </c>
      <c r="CD13" s="967">
        <f>BP13+BR13+BT13+BV13+BX13+BZ13+CB13</f>
        <v/>
      </c>
      <c r="CE13" s="958">
        <f>CD13-CC13</f>
        <v/>
      </c>
      <c r="CF13" s="968">
        <f>AL13+AY13+BL13+CC13+H13</f>
        <v/>
      </c>
      <c r="CG13" s="969">
        <f>AM13+AZ13+BM13+CD13+I13</f>
        <v/>
      </c>
      <c r="CH13" s="970">
        <f>CF13-CG13</f>
        <v/>
      </c>
    </row>
    <row r="14">
      <c r="A14" s="916" t="inlineStr">
        <is>
          <t>85-ДФЗ дистрибьютер ФЗ</t>
        </is>
      </c>
      <c r="B14" s="917" t="inlineStr">
        <is>
          <t>Приход</t>
        </is>
      </c>
      <c r="C14" s="977" t="n"/>
      <c r="D14" s="977" t="n"/>
      <c r="E14" s="966" t="n">
        <v>2000000</v>
      </c>
      <c r="F14" s="966" t="n">
        <v>2200000</v>
      </c>
      <c r="G14" s="966" t="n">
        <v>3700000</v>
      </c>
      <c r="H14" s="963">
        <f>C14+D14+E14+F14+G14</f>
        <v/>
      </c>
      <c r="I14" s="964">
        <f>#REF!+#REF!+#REF!+#REF!+#REF!</f>
        <v/>
      </c>
      <c r="J14" s="953">
        <f>I14-H14</f>
        <v/>
      </c>
      <c r="K14" s="966" t="n">
        <v>10000000</v>
      </c>
      <c r="L14" s="966" t="n"/>
      <c r="M14" s="966" t="n"/>
      <c r="N14" s="966" t="n"/>
      <c r="O14" s="966" t="n"/>
      <c r="P14" s="966" t="n"/>
      <c r="Q14" s="966" t="n"/>
      <c r="R14" s="966" t="n"/>
      <c r="S14" s="966" t="n"/>
      <c r="T14" s="966" t="n"/>
      <c r="U14" s="966" t="n"/>
      <c r="V14" s="966" t="n"/>
      <c r="W14" s="966" t="n"/>
      <c r="X14" s="966" t="n"/>
      <c r="Y14" s="966" t="n"/>
      <c r="Z14" s="966" t="n"/>
      <c r="AA14" s="966" t="n"/>
      <c r="AB14" s="966">
        <f>7070000+2800000</f>
        <v/>
      </c>
      <c r="AC14" s="966" t="n"/>
      <c r="AD14" s="966" t="n">
        <v>4000000</v>
      </c>
      <c r="AE14" s="966">
        <f>1300000+500000</f>
        <v/>
      </c>
      <c r="AF14" s="966" t="n">
        <v>5000000</v>
      </c>
      <c r="AG14" s="971" t="n"/>
      <c r="AH14" s="966" t="n">
        <v>1000000</v>
      </c>
      <c r="AI14" s="977" t="n"/>
      <c r="AJ14" s="966" t="n">
        <v>5000000</v>
      </c>
      <c r="AK14" s="977" t="n"/>
      <c r="AL14" s="963">
        <f>K14+AD14+AF14+AH14+AJ14</f>
        <v/>
      </c>
      <c r="AM14" s="964">
        <f>AB14+AE14+AG14+AI14+AK14</f>
        <v/>
      </c>
      <c r="AN14" s="953">
        <f>AM14-AL14</f>
        <v/>
      </c>
      <c r="AO14" s="966" t="n">
        <v>10000000</v>
      </c>
      <c r="AP14" s="977" t="n"/>
      <c r="AQ14" s="966" t="n">
        <v>4000000</v>
      </c>
      <c r="AR14" s="977" t="n"/>
      <c r="AS14" s="966" t="n">
        <v>3000000</v>
      </c>
      <c r="AT14" s="977" t="n"/>
      <c r="AU14" s="966" t="n">
        <v>2000000</v>
      </c>
      <c r="AV14" s="977" t="n"/>
      <c r="AW14" s="966" t="n">
        <v>4000000</v>
      </c>
      <c r="AX14" s="977" t="n"/>
      <c r="AY14" s="966">
        <f>AO14+AQ14+AS14+AU14+AW14</f>
        <v/>
      </c>
      <c r="AZ14" s="938">
        <f>AP14+AR14+AT14+AV14+AX14</f>
        <v/>
      </c>
      <c r="BA14" s="599">
        <f>AZ14-AY14</f>
        <v/>
      </c>
      <c r="BB14" s="966" t="n">
        <v>11000000</v>
      </c>
      <c r="BC14" s="977" t="n"/>
      <c r="BD14" s="966" t="n">
        <v>1000000</v>
      </c>
      <c r="BE14" s="977" t="n"/>
      <c r="BF14" s="966" t="n">
        <v>4000000</v>
      </c>
      <c r="BG14" s="977" t="n"/>
      <c r="BH14" s="966" t="n">
        <v>4000000</v>
      </c>
      <c r="BI14" s="977" t="n"/>
      <c r="BJ14" s="966" t="n">
        <v>3000000</v>
      </c>
      <c r="BK14" s="977" t="n"/>
      <c r="BL14" s="966">
        <f>BB14+BD14+BF14+BH14+BJ14</f>
        <v/>
      </c>
      <c r="BM14" s="938">
        <f>BC14+BE14+BG14+BI14+BK14</f>
        <v/>
      </c>
      <c r="BN14" s="599">
        <f>BM14-BL14</f>
        <v/>
      </c>
      <c r="BO14" s="966" t="n">
        <v>11000000</v>
      </c>
      <c r="BP14" s="977" t="n"/>
      <c r="BQ14" s="966" t="n">
        <v>1000000</v>
      </c>
      <c r="BR14" s="977" t="n"/>
      <c r="BS14" s="966" t="n">
        <v>5000000</v>
      </c>
      <c r="BT14" s="977" t="n"/>
      <c r="BU14" s="966" t="n">
        <v>2000000</v>
      </c>
      <c r="BV14" s="977" t="n"/>
      <c r="BW14" s="977" t="n"/>
      <c r="BX14" s="977" t="n"/>
      <c r="BY14" s="977" t="n"/>
      <c r="BZ14" s="977" t="n"/>
      <c r="CA14" s="977" t="n"/>
      <c r="CB14" s="977" t="n"/>
      <c r="CC14" s="966">
        <f>BO14+BQ14+BS14+BU14+BW14+BY14+CA14</f>
        <v/>
      </c>
      <c r="CD14" s="967">
        <f>BP14+BR14+BT14+BV14+BX14+BZ14+CB14</f>
        <v/>
      </c>
      <c r="CE14" s="958">
        <f>CD14-CC14</f>
        <v/>
      </c>
      <c r="CF14" s="968">
        <f>AL14+AY14+BL14+CC14+H14</f>
        <v/>
      </c>
      <c r="CG14" s="969">
        <f>AM14+AZ14+BM14+CD14+I14</f>
        <v/>
      </c>
      <c r="CH14" s="970">
        <f>CF14-CG14</f>
        <v/>
      </c>
    </row>
    <row r="15">
      <c r="A15" s="916" t="inlineStr">
        <is>
          <t xml:space="preserve">110 АЗС №67 "Sinooil" </t>
        </is>
      </c>
      <c r="B15" s="917" t="inlineStr">
        <is>
          <t>Приход</t>
        </is>
      </c>
      <c r="C15" s="977" t="n"/>
      <c r="D15" s="977" t="n"/>
      <c r="E15" s="977" t="n"/>
      <c r="F15" s="977" t="n"/>
      <c r="G15" s="977" t="n"/>
      <c r="H15" s="963">
        <f>C15+D15+E15+F15+G15</f>
        <v/>
      </c>
      <c r="I15" s="964">
        <f>#REF!+#REF!+#REF!+#REF!+#REF!</f>
        <v/>
      </c>
      <c r="J15" s="953">
        <f>I15-H15</f>
        <v/>
      </c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977" t="n"/>
      <c r="AE15" s="966" t="n">
        <v>125725</v>
      </c>
      <c r="AF15" s="977" t="n"/>
      <c r="AG15" s="971" t="n"/>
      <c r="AH15" s="977" t="n"/>
      <c r="AI15" s="977" t="n"/>
      <c r="AJ15" s="966" t="n">
        <v>1000000</v>
      </c>
      <c r="AK15" s="977" t="n"/>
      <c r="AL15" s="963">
        <f>K15+AD15+AF15+AH15+AJ15</f>
        <v/>
      </c>
      <c r="AM15" s="964">
        <f>AB15+AE15+AG15+AI15+AK15</f>
        <v/>
      </c>
      <c r="AN15" s="953">
        <f>AM15-AL15</f>
        <v/>
      </c>
      <c r="AO15" s="977" t="n"/>
      <c r="AP15" s="977" t="n"/>
      <c r="AQ15" s="966" t="n">
        <v>1500000</v>
      </c>
      <c r="AR15" s="977" t="n"/>
      <c r="AS15" s="977" t="n"/>
      <c r="AT15" s="977" t="n"/>
      <c r="AU15" s="977" t="n"/>
      <c r="AV15" s="977" t="n"/>
      <c r="AW15" s="977" t="n"/>
      <c r="AX15" s="977" t="n"/>
      <c r="AY15" s="966">
        <f>AO15+AQ15+AS15+AU15+AW15</f>
        <v/>
      </c>
      <c r="AZ15" s="938">
        <f>AP15+AR15+AT15+AV15+AX15</f>
        <v/>
      </c>
      <c r="BA15" s="599">
        <f>AZ15-AY15</f>
        <v/>
      </c>
      <c r="BB15" s="966" t="n">
        <v>1000000</v>
      </c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66">
        <f>BB15+BD15+BF15+BH15+BJ15</f>
        <v/>
      </c>
      <c r="BM15" s="938">
        <f>BC15+BE15+BG15+BI15+BK15</f>
        <v/>
      </c>
      <c r="BN15" s="599">
        <f>BM15-BL15</f>
        <v/>
      </c>
      <c r="BO15" s="977" t="n"/>
      <c r="BP15" s="977" t="n"/>
      <c r="BQ15" s="977" t="n"/>
      <c r="BR15" s="977" t="n"/>
      <c r="BS15" s="966" t="n">
        <v>2000000</v>
      </c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66">
        <f>BO15+BQ15+BS15+BU15+BW15+BY15+CA15</f>
        <v/>
      </c>
      <c r="CD15" s="967">
        <f>BP15+BR15+BT15+BV15+BX15+BZ15+CB15</f>
        <v/>
      </c>
      <c r="CE15" s="958">
        <f>CD15-CC15</f>
        <v/>
      </c>
      <c r="CF15" s="968">
        <f>AL15+AY15+BL15+CC15+H15</f>
        <v/>
      </c>
      <c r="CG15" s="969">
        <f>AM15+AZ15+BM15+CD15+I15</f>
        <v/>
      </c>
      <c r="CH15" s="970">
        <f>CF15-CG15</f>
        <v/>
      </c>
    </row>
    <row r="16">
      <c r="A16" s="916" t="inlineStr">
        <is>
          <t>100 ТУАР (шинлайн)</t>
        </is>
      </c>
      <c r="B16" s="917" t="inlineStr">
        <is>
          <t>Приход</t>
        </is>
      </c>
      <c r="C16" s="977" t="n"/>
      <c r="D16" s="977" t="n"/>
      <c r="E16" s="966" t="n">
        <v>150000</v>
      </c>
      <c r="F16" s="977" t="n"/>
      <c r="G16" s="977" t="n"/>
      <c r="H16" s="963">
        <f>C16+D16+E16+F16+G16</f>
        <v/>
      </c>
      <c r="I16" s="964">
        <f>#REF!+#REF!+#REF!+#REF!+#REF!</f>
        <v/>
      </c>
      <c r="J16" s="953">
        <f>I16-H16</f>
        <v/>
      </c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977" t="n"/>
      <c r="AE16" s="977" t="n"/>
      <c r="AF16" s="977" t="n"/>
      <c r="AG16" s="971" t="n"/>
      <c r="AH16" s="977" t="n"/>
      <c r="AI16" s="977" t="n"/>
      <c r="AJ16" s="977" t="n"/>
      <c r="AK16" s="977" t="n"/>
      <c r="AL16" s="963">
        <f>K16+AD16+AF16+AH16+AJ16</f>
        <v/>
      </c>
      <c r="AM16" s="964">
        <f>AB16+AE16+AG16+AI16+AK16</f>
        <v/>
      </c>
      <c r="AN16" s="953">
        <f>AM16-AL16</f>
        <v/>
      </c>
      <c r="AO16" s="977" t="n"/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66">
        <f>AO16+AQ16+AS16+AU16+AW16</f>
        <v/>
      </c>
      <c r="AZ16" s="938">
        <f>AP16+AR16+AT16+AV16+AX16</f>
        <v/>
      </c>
      <c r="BA16" s="599">
        <f>AZ16-AY16</f>
        <v/>
      </c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66">
        <f>BB16+BD16+BF16+BH16+BJ16</f>
        <v/>
      </c>
      <c r="BM16" s="938">
        <f>BC16+BE16+BG16+BI16+BK16</f>
        <v/>
      </c>
      <c r="BN16" s="599">
        <f>BM16-BL16</f>
        <v/>
      </c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66">
        <f>BO16+BQ16+BS16+BU16+BW16+BY16+CA16</f>
        <v/>
      </c>
      <c r="CD16" s="967">
        <f>BP16+BR16+BT16+BV16+BX16+BZ16+CB16</f>
        <v/>
      </c>
      <c r="CE16" s="958">
        <f>CD16-CC16</f>
        <v/>
      </c>
      <c r="CF16" s="968">
        <f>AL16+AY16+BL16+CC16+H16</f>
        <v/>
      </c>
      <c r="CG16" s="969">
        <f>AM16+AZ16+BM16+CD16+I16</f>
        <v/>
      </c>
      <c r="CH16" s="970">
        <f>CF16-CG16</f>
        <v/>
      </c>
    </row>
    <row r="17">
      <c r="A17" s="916" t="inlineStr">
        <is>
          <t>Даркстор Чоко</t>
        </is>
      </c>
      <c r="B17" s="917" t="inlineStr">
        <is>
          <t>Приход</t>
        </is>
      </c>
      <c r="C17" s="977" t="n"/>
      <c r="D17" s="977" t="n"/>
      <c r="E17" s="977" t="n"/>
      <c r="F17" s="977" t="n"/>
      <c r="G17" s="977" t="n"/>
      <c r="H17" s="963">
        <f>C17+D17+E17+F17+G17</f>
        <v/>
      </c>
      <c r="I17" s="964">
        <f>#REF!+#REF!+#REF!+#REF!+#REF!</f>
        <v/>
      </c>
      <c r="J17" s="953">
        <f>I17-H17</f>
        <v/>
      </c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966" t="n">
        <v>600000</v>
      </c>
      <c r="AE17" s="977" t="n"/>
      <c r="AF17" s="977" t="n"/>
      <c r="AG17" s="971" t="n"/>
      <c r="AH17" s="977" t="n"/>
      <c r="AI17" s="977" t="n"/>
      <c r="AJ17" s="977" t="n"/>
      <c r="AK17" s="977" t="n"/>
      <c r="AL17" s="963">
        <f>K17+AD17+AF17+AH17+AJ17</f>
        <v/>
      </c>
      <c r="AM17" s="964">
        <f>AB17+AE17+AG17+AI17+AK17</f>
        <v/>
      </c>
      <c r="AN17" s="953">
        <f>AM17-AL17</f>
        <v/>
      </c>
      <c r="AO17" s="962" t="n">
        <v>210000</v>
      </c>
      <c r="AP17" s="977" t="n"/>
      <c r="AQ17" s="977" t="n"/>
      <c r="AR17" s="977" t="n"/>
      <c r="AS17" s="966" t="n">
        <v>440000</v>
      </c>
      <c r="AT17" s="977" t="n"/>
      <c r="AU17" s="977" t="n"/>
      <c r="AV17" s="977" t="n"/>
      <c r="AW17" s="977" t="n"/>
      <c r="AX17" s="977" t="n"/>
      <c r="AY17" s="966">
        <f>AO17+AQ17+AS17+AU17+AW17</f>
        <v/>
      </c>
      <c r="AZ17" s="938">
        <f>AP17+AR17+AT17+AV17+AX17</f>
        <v/>
      </c>
      <c r="BA17" s="599">
        <f>AZ17-AY17</f>
        <v/>
      </c>
      <c r="BB17" s="977" t="n"/>
      <c r="BC17" s="977" t="n"/>
      <c r="BD17" s="977" t="n"/>
      <c r="BE17" s="977" t="n"/>
      <c r="BF17" s="977" t="n"/>
      <c r="BG17" s="977" t="n"/>
      <c r="BH17" s="966" t="n">
        <v>650000</v>
      </c>
      <c r="BI17" s="977" t="n"/>
      <c r="BJ17" s="977" t="n"/>
      <c r="BK17" s="977" t="n"/>
      <c r="BL17" s="966">
        <f>BB17+BD17+BF17+BH17+BJ17</f>
        <v/>
      </c>
      <c r="BM17" s="938">
        <f>BC17+BE17+BG17+BI17+BK17</f>
        <v/>
      </c>
      <c r="BN17" s="599">
        <f>BM17-BL17</f>
        <v/>
      </c>
      <c r="BO17" s="962" t="n">
        <v>150000</v>
      </c>
      <c r="BP17" s="977" t="n"/>
      <c r="BQ17" s="977" t="n"/>
      <c r="BR17" s="977" t="n"/>
      <c r="BS17" s="966" t="n">
        <v>150000</v>
      </c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66">
        <f>BO17+BQ17+BS17+BU17+BW17+BY17+CA17</f>
        <v/>
      </c>
      <c r="CD17" s="967">
        <f>BP17+BR17+BT17+BV17+BX17+BZ17+CB17</f>
        <v/>
      </c>
      <c r="CE17" s="958">
        <f>CD17-CC17</f>
        <v/>
      </c>
      <c r="CF17" s="968">
        <f>AL17+AY17+BL17+CC17+H17</f>
        <v/>
      </c>
      <c r="CG17" s="969">
        <f>AM17+AZ17+BM17+CD17+I17</f>
        <v/>
      </c>
      <c r="CH17" s="970">
        <f>CF17-CG17</f>
        <v/>
      </c>
    </row>
    <row r="18">
      <c r="A18" s="916" t="inlineStr">
        <is>
          <t>Глово, Вольт</t>
        </is>
      </c>
      <c r="B18" s="917" t="inlineStr">
        <is>
          <t>Приход</t>
        </is>
      </c>
      <c r="C18" s="977" t="n"/>
      <c r="D18" s="977" t="n"/>
      <c r="E18" s="977" t="n"/>
      <c r="F18" s="977" t="n"/>
      <c r="G18" s="977" t="n"/>
      <c r="H18" s="963">
        <f>C18+D18+E18+F18+G18</f>
        <v/>
      </c>
      <c r="I18" s="964">
        <f>#REF!+#REF!+#REF!+#REF!+#REF!</f>
        <v/>
      </c>
      <c r="J18" s="953">
        <f>I18-H18</f>
        <v/>
      </c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966" t="n">
        <v>1000000</v>
      </c>
      <c r="AE18" s="966" t="n">
        <v>157556</v>
      </c>
      <c r="AF18" s="977" t="n"/>
      <c r="AG18" s="971" t="n"/>
      <c r="AH18" s="966" t="n">
        <v>1000000</v>
      </c>
      <c r="AI18" s="977" t="n"/>
      <c r="AJ18" s="977" t="n"/>
      <c r="AK18" s="977" t="n"/>
      <c r="AL18" s="963">
        <f>K18+AD18+AF18+AH18+AJ18</f>
        <v/>
      </c>
      <c r="AM18" s="964">
        <f>AB18+AE18+AG18+AI18+AK18</f>
        <v/>
      </c>
      <c r="AN18" s="953">
        <f>AM18-AL18</f>
        <v/>
      </c>
      <c r="AO18" s="977" t="n"/>
      <c r="AP18" s="977" t="n"/>
      <c r="AQ18" s="962" t="n">
        <v>1000000</v>
      </c>
      <c r="AR18" s="977" t="n"/>
      <c r="AS18" s="977" t="n"/>
      <c r="AT18" s="977" t="n"/>
      <c r="AU18" s="977" t="n"/>
      <c r="AV18" s="977" t="n"/>
      <c r="AW18" s="977" t="n"/>
      <c r="AX18" s="977" t="n"/>
      <c r="AY18" s="966">
        <f>AO18+AQ18+AS18+AU18+AW18</f>
        <v/>
      </c>
      <c r="AZ18" s="938">
        <f>AP18+AR18+AT18+AV18+AX18</f>
        <v/>
      </c>
      <c r="BA18" s="599">
        <f>AZ18-AY18</f>
        <v/>
      </c>
      <c r="BB18" s="977" t="n"/>
      <c r="BC18" s="977" t="n"/>
      <c r="BD18" s="962" t="n">
        <v>500000</v>
      </c>
      <c r="BE18" s="977" t="n"/>
      <c r="BF18" s="977" t="n"/>
      <c r="BG18" s="977" t="n"/>
      <c r="BH18" s="977" t="n"/>
      <c r="BI18" s="977" t="n"/>
      <c r="BJ18" s="962" t="n">
        <v>1000000</v>
      </c>
      <c r="BK18" s="977" t="n"/>
      <c r="BL18" s="966">
        <f>BB18+BD18+BF18+BH18+BJ18</f>
        <v/>
      </c>
      <c r="BM18" s="938">
        <f>BC18+BE18+BG18+BI18+BK18</f>
        <v/>
      </c>
      <c r="BN18" s="599">
        <f>BM18-BL18</f>
        <v/>
      </c>
      <c r="BO18" s="977" t="n"/>
      <c r="BP18" s="977" t="n"/>
      <c r="BQ18" s="962" t="n">
        <v>1000000</v>
      </c>
      <c r="BR18" s="977" t="n"/>
      <c r="BS18" s="977" t="n"/>
      <c r="BT18" s="977" t="n"/>
      <c r="BU18" s="962" t="n">
        <v>600000</v>
      </c>
      <c r="BV18" s="977" t="n"/>
      <c r="BW18" s="977" t="n"/>
      <c r="BX18" s="977" t="n"/>
      <c r="BY18" s="977" t="n"/>
      <c r="BZ18" s="977" t="n"/>
      <c r="CA18" s="977" t="n"/>
      <c r="CB18" s="977" t="n"/>
      <c r="CC18" s="966">
        <f>BO18+BQ18+BS18+BU18+BW18+BY18+CA18</f>
        <v/>
      </c>
      <c r="CD18" s="967">
        <f>BP18+BR18+BT18+BV18+BX18+BZ18+CB18</f>
        <v/>
      </c>
      <c r="CE18" s="958">
        <f>CD18-CC18</f>
        <v/>
      </c>
      <c r="CF18" s="968">
        <f>AL18+AY18+BL18+CC18+H18</f>
        <v/>
      </c>
      <c r="CG18" s="969">
        <f>AM18+AZ18+BM18+CD18+I18</f>
        <v/>
      </c>
      <c r="CH18" s="970">
        <f>CF18-CG18</f>
        <v/>
      </c>
    </row>
    <row r="19">
      <c r="A19" s="916" t="inlineStr">
        <is>
          <t>Торты</t>
        </is>
      </c>
      <c r="B19" s="917" t="inlineStr">
        <is>
          <t>Приход</t>
        </is>
      </c>
      <c r="C19" s="977" t="n"/>
      <c r="D19" s="977" t="n"/>
      <c r="E19" s="977" t="n"/>
      <c r="F19" s="977" t="n"/>
      <c r="G19" s="977" t="n"/>
      <c r="H19" s="963">
        <f>C19+D19+E19+F19+G19</f>
        <v/>
      </c>
      <c r="I19" s="964">
        <f>#REF!+#REF!+#REF!+#REF!+#REF!</f>
        <v/>
      </c>
      <c r="J19" s="953">
        <f>I19-H19</f>
        <v/>
      </c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977" t="n"/>
      <c r="AE19" s="977" t="n"/>
      <c r="AF19" s="977" t="n"/>
      <c r="AG19" s="971" t="n"/>
      <c r="AH19" s="966" t="n">
        <v>500000</v>
      </c>
      <c r="AI19" s="977" t="n"/>
      <c r="AJ19" s="977" t="n"/>
      <c r="AK19" s="977" t="n"/>
      <c r="AL19" s="963">
        <f>K19+AD19+AF19+AH19+AJ19</f>
        <v/>
      </c>
      <c r="AM19" s="964">
        <f>AB19+AE19+AG19+AI19+AK19</f>
        <v/>
      </c>
      <c r="AN19" s="953">
        <f>AM19-AL19</f>
        <v/>
      </c>
      <c r="AO19" s="977" t="n"/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66">
        <f>AO19+AQ19+AS19+AU19+AW19</f>
        <v/>
      </c>
      <c r="AZ19" s="938">
        <f>AP19+AR19+AT19+AV19+AX19</f>
        <v/>
      </c>
      <c r="BA19" s="599">
        <f>AZ19-AY19</f>
        <v/>
      </c>
      <c r="BB19" s="977" t="n"/>
      <c r="BC19" s="977" t="n"/>
      <c r="BD19" s="977" t="n"/>
      <c r="BE19" s="977" t="n"/>
      <c r="BF19" s="977" t="n"/>
      <c r="BG19" s="977" t="n"/>
      <c r="BH19" s="966" t="n">
        <v>300000</v>
      </c>
      <c r="BI19" s="977" t="n"/>
      <c r="BJ19" s="977" t="n"/>
      <c r="BK19" s="977" t="n"/>
      <c r="BL19" s="966">
        <f>BB19+BD19+BF19+BH19+BJ19</f>
        <v/>
      </c>
      <c r="BM19" s="938">
        <f>BC19+BE19+BG19+BI19+BK19</f>
        <v/>
      </c>
      <c r="BN19" s="599">
        <f>BM19-BL19</f>
        <v/>
      </c>
      <c r="BO19" s="977" t="n"/>
      <c r="BP19" s="977" t="n"/>
      <c r="BQ19" s="977" t="n"/>
      <c r="BR19" s="977" t="n"/>
      <c r="BS19" s="977" t="n"/>
      <c r="BT19" s="977" t="n"/>
      <c r="BU19" s="966" t="n">
        <v>300000</v>
      </c>
      <c r="BV19" s="977" t="n"/>
      <c r="BW19" s="977" t="n"/>
      <c r="BX19" s="977" t="n"/>
      <c r="BY19" s="977" t="n"/>
      <c r="BZ19" s="977" t="n"/>
      <c r="CA19" s="977" t="n"/>
      <c r="CB19" s="977" t="n"/>
      <c r="CC19" s="966">
        <f>BO19+BQ19+BS19+BU19+BW19+BY19+CA19</f>
        <v/>
      </c>
      <c r="CD19" s="967">
        <f>BP19+BR19+BT19+BV19+BX19+BZ19+CB19</f>
        <v/>
      </c>
      <c r="CE19" s="958">
        <f>CD19-CC19</f>
        <v/>
      </c>
      <c r="CF19" s="968">
        <f>AL19+AY19+BL19+CC19+H19</f>
        <v/>
      </c>
      <c r="CG19" s="969">
        <f>AM19+AZ19+BM19+CD19+I19</f>
        <v/>
      </c>
      <c r="CH19" s="970">
        <f>CF19-CG19</f>
        <v/>
      </c>
    </row>
    <row r="20">
      <c r="A20" s="918" t="inlineStr">
        <is>
          <t>Итого по банку</t>
        </is>
      </c>
      <c r="B20" s="919" t="inlineStr">
        <is>
          <t>Приход</t>
        </is>
      </c>
      <c r="C20" s="920" t="n">
        <v>0</v>
      </c>
      <c r="D20" s="920">
        <f>SUM(D6:D19)</f>
        <v/>
      </c>
      <c r="E20" s="920">
        <f>SUM(E6:E19)</f>
        <v/>
      </c>
      <c r="F20" s="920">
        <f>SUM(F6:F19)</f>
        <v/>
      </c>
      <c r="G20" s="920">
        <f>SUM(G6:G19)</f>
        <v/>
      </c>
      <c r="H20" s="974">
        <f>SUM(H6:H19)</f>
        <v/>
      </c>
      <c r="I20" s="920">
        <f>SUM(I6:I19)</f>
        <v/>
      </c>
      <c r="J20" s="953">
        <f>I20-H20</f>
        <v/>
      </c>
      <c r="K20" s="920">
        <f>SUM(K6:K19)</f>
        <v/>
      </c>
      <c r="L20" s="920" t="n"/>
      <c r="M20" s="920" t="n"/>
      <c r="N20" s="920" t="n"/>
      <c r="O20" s="920" t="n"/>
      <c r="P20" s="920" t="n"/>
      <c r="Q20" s="920" t="n"/>
      <c r="R20" s="920" t="n"/>
      <c r="S20" s="920" t="n"/>
      <c r="T20" s="920" t="n"/>
      <c r="U20" s="920" t="n"/>
      <c r="V20" s="920" t="n"/>
      <c r="W20" s="920" t="n"/>
      <c r="X20" s="920" t="n"/>
      <c r="Y20" s="920" t="n"/>
      <c r="Z20" s="920" t="n"/>
      <c r="AA20" s="920" t="n"/>
      <c r="AB20" s="920">
        <f>SUM(AB6:AB19)</f>
        <v/>
      </c>
      <c r="AC20" s="920" t="n"/>
      <c r="AD20" s="920">
        <f>SUM(AD6:AD19)</f>
        <v/>
      </c>
      <c r="AE20" s="920">
        <f>SUM(AE6:AE19)</f>
        <v/>
      </c>
      <c r="AF20" s="920">
        <f>SUM(AF6:AF19)</f>
        <v/>
      </c>
      <c r="AG20" s="920">
        <f>SUM(AG6:AG19)</f>
        <v/>
      </c>
      <c r="AH20" s="920">
        <f>SUM(AH6:AH19)</f>
        <v/>
      </c>
      <c r="AI20" s="920">
        <f>SUM(AI6:AI19)</f>
        <v/>
      </c>
      <c r="AJ20" s="920">
        <f>SUM(AJ6:AJ19)</f>
        <v/>
      </c>
      <c r="AK20" s="920">
        <f>SUM(AK6:AK19)</f>
        <v/>
      </c>
      <c r="AL20" s="974">
        <f>SUM(AL6:AL19)</f>
        <v/>
      </c>
      <c r="AM20" s="920">
        <f>SUM(AM6:AM19)</f>
        <v/>
      </c>
      <c r="AN20" s="953">
        <f>AM20-AL20</f>
        <v/>
      </c>
      <c r="AO20" s="920">
        <f>SUM(AO6:AO19)</f>
        <v/>
      </c>
      <c r="AP20" s="920">
        <f>SUM(AP6:AP19)</f>
        <v/>
      </c>
      <c r="AQ20" s="920">
        <f>SUM(AQ6:AQ19)</f>
        <v/>
      </c>
      <c r="AR20" s="920">
        <f>SUM(AR6:AR19)</f>
        <v/>
      </c>
      <c r="AS20" s="920">
        <f>SUM(AS6:AS19)</f>
        <v/>
      </c>
      <c r="AT20" s="920">
        <f>SUM(AT6:AT19)</f>
        <v/>
      </c>
      <c r="AU20" s="920">
        <f>SUM(AU6:AU19)</f>
        <v/>
      </c>
      <c r="AV20" s="920">
        <f>SUM(AV6:AV19)</f>
        <v/>
      </c>
      <c r="AW20" s="920">
        <f>SUM(AW6:AW19)</f>
        <v/>
      </c>
      <c r="AX20" s="920">
        <f>SUM(AX6:AX19)</f>
        <v/>
      </c>
      <c r="AY20" s="920">
        <f>SUM(AY6:AY19)</f>
        <v/>
      </c>
      <c r="AZ20" s="920">
        <f>SUM(AZ6:AZ19)</f>
        <v/>
      </c>
      <c r="BA20" s="956">
        <f>SUM(BA6:BA19)</f>
        <v/>
      </c>
      <c r="BB20" s="920">
        <f>SUM(BB6:BB19)</f>
        <v/>
      </c>
      <c r="BC20" s="920">
        <f>SUM(BC6:BC19)</f>
        <v/>
      </c>
      <c r="BD20" s="920">
        <f>SUM(BD6:BD19)</f>
        <v/>
      </c>
      <c r="BE20" s="920">
        <f>SUM(BE6:BE19)</f>
        <v/>
      </c>
      <c r="BF20" s="920">
        <f>SUM(BF6:BF19)</f>
        <v/>
      </c>
      <c r="BG20" s="920">
        <f>SUM(BG6:BG19)</f>
        <v/>
      </c>
      <c r="BH20" s="920">
        <f>SUM(BH6:BH19)</f>
        <v/>
      </c>
      <c r="BI20" s="920">
        <f>SUM(BI6:BI19)</f>
        <v/>
      </c>
      <c r="BJ20" s="920">
        <f>SUM(BJ6:BJ19)</f>
        <v/>
      </c>
      <c r="BK20" s="920">
        <f>SUM(BK6:BK19)</f>
        <v/>
      </c>
      <c r="BL20" s="920">
        <f>SUM(BL6:BL19)</f>
        <v/>
      </c>
      <c r="BM20" s="920">
        <f>SUM(BM6:BM19)</f>
        <v/>
      </c>
      <c r="BN20" s="599">
        <f>BM20-BL20</f>
        <v/>
      </c>
      <c r="BO20" s="920">
        <f>SUM(BO6:BO19)</f>
        <v/>
      </c>
      <c r="BP20" s="920">
        <f>SUM(BP6:BP19)</f>
        <v/>
      </c>
      <c r="BQ20" s="920">
        <f>SUM(BQ6:BQ19)</f>
        <v/>
      </c>
      <c r="BR20" s="920">
        <f>SUM(BR6:BR19)</f>
        <v/>
      </c>
      <c r="BS20" s="920">
        <f>SUM(BS6:BS19)</f>
        <v/>
      </c>
      <c r="BT20" s="920">
        <f>SUM(BT6:BT19)</f>
        <v/>
      </c>
      <c r="BU20" s="920">
        <f>SUM(BU6:BU19)</f>
        <v/>
      </c>
      <c r="BV20" s="920">
        <f>SUM(BV6:BV19)</f>
        <v/>
      </c>
      <c r="BW20" s="920">
        <f>SUM(BW6:BW19)</f>
        <v/>
      </c>
      <c r="BX20" s="920">
        <f>SUM(BX6:BX19)</f>
        <v/>
      </c>
      <c r="BY20" s="920">
        <f>SUM(BY6:BY19)</f>
        <v/>
      </c>
      <c r="BZ20" s="920">
        <f>SUM(BZ6:BZ19)</f>
        <v/>
      </c>
      <c r="CA20" s="920">
        <f>SUM(CA6:CA19)</f>
        <v/>
      </c>
      <c r="CB20" s="920">
        <f>SUM(CB6:CB19)</f>
        <v/>
      </c>
      <c r="CC20" s="920">
        <f>SUM(CC6:CC19)</f>
        <v/>
      </c>
      <c r="CD20" s="920">
        <f>SUM(CD6:CD19)</f>
        <v/>
      </c>
      <c r="CE20" s="958">
        <f>CD20-CC20</f>
        <v/>
      </c>
      <c r="CF20" s="975">
        <f>SUM(CF6:CF19)</f>
        <v/>
      </c>
      <c r="CG20" s="976">
        <f>SUM(CG6:CG19)</f>
        <v/>
      </c>
      <c r="CH20" s="970">
        <f>CF20-CG20</f>
        <v/>
      </c>
    </row>
    <row r="21">
      <c r="A21" s="916" t="inlineStr">
        <is>
          <t>97- Кейтеринг гость</t>
        </is>
      </c>
      <c r="B21" s="917" t="inlineStr">
        <is>
          <t>Приход</t>
        </is>
      </c>
      <c r="C21" s="977" t="n"/>
      <c r="D21" s="977" t="n"/>
      <c r="E21" s="977" t="n"/>
      <c r="F21" s="977" t="n"/>
      <c r="G21" s="977" t="n"/>
      <c r="H21" s="963">
        <f>C21+D21+E21+F21+G21</f>
        <v/>
      </c>
      <c r="I21" s="964">
        <f>#REF!+#REF!+#REF!+#REF!+#REF!</f>
        <v/>
      </c>
      <c r="J21" s="953">
        <f>I21-H21</f>
        <v/>
      </c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977" t="n"/>
      <c r="AE21" s="977" t="n"/>
      <c r="AF21" s="977" t="n"/>
      <c r="AG21" s="977" t="n"/>
      <c r="AH21" s="966" t="n">
        <v>450000</v>
      </c>
      <c r="AI21" s="977" t="n"/>
      <c r="AJ21" s="977" t="n"/>
      <c r="AK21" s="977" t="n"/>
      <c r="AL21" s="963">
        <f>K21+AD21+AF21+AH21+AJ21</f>
        <v/>
      </c>
      <c r="AM21" s="964">
        <f>AB21+AE21+AG21+AI21+AK21</f>
        <v/>
      </c>
      <c r="AN21" s="953">
        <f>AM21-AL21</f>
        <v/>
      </c>
      <c r="AO21" s="977" t="n"/>
      <c r="AP21" s="977" t="n"/>
      <c r="AQ21" s="977" t="n"/>
      <c r="AR21" s="977" t="n"/>
      <c r="AS21" s="977" t="n"/>
      <c r="AT21" s="977" t="n"/>
      <c r="AU21" s="966" t="n">
        <v>250000</v>
      </c>
      <c r="AV21" s="977" t="n"/>
      <c r="AW21" s="977" t="n"/>
      <c r="AX21" s="977" t="n"/>
      <c r="AY21" s="966">
        <f>AO21+AQ21+AS21+AU21+AW21</f>
        <v/>
      </c>
      <c r="AZ21" s="938">
        <f>AP21+AR21+AT21+AV21+AX21</f>
        <v/>
      </c>
      <c r="BA21" s="599">
        <f>AZ21-AY21</f>
        <v/>
      </c>
      <c r="BB21" s="977" t="n"/>
      <c r="BC21" s="977" t="n"/>
      <c r="BD21" s="966" t="n">
        <v>300000</v>
      </c>
      <c r="BE21" s="977" t="n"/>
      <c r="BF21" s="977" t="n"/>
      <c r="BG21" s="977" t="n"/>
      <c r="BH21" s="977" t="n"/>
      <c r="BI21" s="977" t="n"/>
      <c r="BJ21" s="977" t="n"/>
      <c r="BK21" s="977" t="n"/>
      <c r="BL21" s="966">
        <f>BB21+BD21+BF21+BH21+BJ21</f>
        <v/>
      </c>
      <c r="BM21" s="938">
        <f>BC21+BE21+BG21+BI21+BK21</f>
        <v/>
      </c>
      <c r="BN21" s="599">
        <f>BM21-BL21</f>
        <v/>
      </c>
      <c r="BO21" s="977" t="n"/>
      <c r="BP21" s="977" t="n"/>
      <c r="BQ21" s="966" t="n">
        <v>500000</v>
      </c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66">
        <f>BO21+BQ21+BS21+BU21+BW21+BY21+CA21</f>
        <v/>
      </c>
      <c r="CD21" s="967">
        <f>BP21+BR21+BT21+BV21+BX21+BZ21+CB21</f>
        <v/>
      </c>
      <c r="CE21" s="958">
        <f>CD21-CC21</f>
        <v/>
      </c>
      <c r="CF21" s="968">
        <f>AL21+AY21+BL21+CC21+H21</f>
        <v/>
      </c>
      <c r="CG21" s="969">
        <f>AM21+AZ21+BM21+CD21+I21</f>
        <v/>
      </c>
      <c r="CH21" s="970">
        <f>CF21-CG21</f>
        <v/>
      </c>
    </row>
    <row r="22">
      <c r="A22" s="916" t="inlineStr">
        <is>
          <t>Возврат с подотчета, Кредит</t>
        </is>
      </c>
      <c r="B22" s="917" t="inlineStr">
        <is>
          <t>Приход</t>
        </is>
      </c>
      <c r="C22" s="977" t="n"/>
      <c r="D22" s="977" t="n"/>
      <c r="E22" s="977" t="n"/>
      <c r="F22" s="977" t="n"/>
      <c r="G22" s="977" t="n"/>
      <c r="H22" s="963">
        <f>C22+D22+E22+F22+G22</f>
        <v/>
      </c>
      <c r="I22" s="964">
        <f>#REF!+#REF!+#REF!+#REF!+#REF!</f>
        <v/>
      </c>
      <c r="J22" s="953">
        <f>I22-H22</f>
        <v/>
      </c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977" t="n"/>
      <c r="AE22" s="977" t="n"/>
      <c r="AF22" s="977" t="n"/>
      <c r="AG22" s="977" t="n"/>
      <c r="AH22" s="977" t="n"/>
      <c r="AI22" s="977" t="n"/>
      <c r="AJ22" s="977" t="n"/>
      <c r="AK22" s="977" t="n"/>
      <c r="AL22" s="963">
        <f>K22+AD22+AF22+AH22+AJ22</f>
        <v/>
      </c>
      <c r="AM22" s="964">
        <f>AB22+AE22+AG22+AI22+AK22</f>
        <v/>
      </c>
      <c r="AN22" s="953">
        <f>AM22-AL22</f>
        <v/>
      </c>
      <c r="AO22" s="977" t="n"/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66">
        <f>AO22+AQ22+AS22+AU22+AW22</f>
        <v/>
      </c>
      <c r="AZ22" s="938">
        <f>AP22+AR22+AT22+AV22+AX22</f>
        <v/>
      </c>
      <c r="BA22" s="599">
        <f>AZ22-AY22</f>
        <v/>
      </c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66">
        <f>BB22+BD22+BF22+BH22+BJ22</f>
        <v/>
      </c>
      <c r="BM22" s="938">
        <f>BC22+BE22+BG22+BI22+BK22</f>
        <v/>
      </c>
      <c r="BN22" s="599">
        <f>BM22-BL22</f>
        <v/>
      </c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66">
        <f>BO22+BQ22+BS22+BU22+BW22+BY22+CA22</f>
        <v/>
      </c>
      <c r="CD22" s="967">
        <f>BP22+BR22+BT22+BV22+BX22+BZ22+CB22</f>
        <v/>
      </c>
      <c r="CE22" s="958">
        <f>CD22-CC22</f>
        <v/>
      </c>
      <c r="CF22" s="968">
        <f>AL22+AY22+BL22+CC22+H22</f>
        <v/>
      </c>
      <c r="CG22" s="969">
        <f>AM22+AZ22+BM22+CD22+I22</f>
        <v/>
      </c>
      <c r="CH22" s="970">
        <f>CF22-CG22</f>
        <v/>
      </c>
    </row>
    <row r="23">
      <c r="A23" s="916" t="inlineStr">
        <is>
          <t>Crave</t>
        </is>
      </c>
      <c r="B23" s="917" t="inlineStr">
        <is>
          <t>Приход</t>
        </is>
      </c>
      <c r="C23" s="977" t="n"/>
      <c r="D23" s="977" t="n"/>
      <c r="E23" s="977" t="n"/>
      <c r="F23" s="977" t="n"/>
      <c r="G23" s="977" t="n"/>
      <c r="H23" s="963">
        <f>C23+D23+E23+F23+G23</f>
        <v/>
      </c>
      <c r="I23" s="964">
        <f>#REF!+#REF!+#REF!+#REF!+#REF!</f>
        <v/>
      </c>
      <c r="J23" s="953">
        <f>I23-H23</f>
        <v/>
      </c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66" t="n">
        <v>600000</v>
      </c>
      <c r="AC23" s="966" t="n"/>
      <c r="AD23" s="977" t="n"/>
      <c r="AE23" s="977" t="n"/>
      <c r="AF23" s="977" t="n"/>
      <c r="AG23" s="977" t="n"/>
      <c r="AH23" s="977" t="n"/>
      <c r="AI23" s="977" t="n"/>
      <c r="AJ23" s="977" t="n"/>
      <c r="AK23" s="977" t="n"/>
      <c r="AL23" s="963">
        <f>K23+AD23+AF23+AH23+AJ23</f>
        <v/>
      </c>
      <c r="AM23" s="964">
        <f>AB23+AE23+AG23+AI23+AK23</f>
        <v/>
      </c>
      <c r="AN23" s="953">
        <f>AM23-AL23</f>
        <v/>
      </c>
      <c r="AO23" s="977" t="n"/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66">
        <f>AO23+AQ23+AS23+AU23+AW23</f>
        <v/>
      </c>
      <c r="AZ23" s="938">
        <f>AP23+AR23+AT23+AV23+AX23</f>
        <v/>
      </c>
      <c r="BA23" s="599">
        <f>AZ23-AY23</f>
        <v/>
      </c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66">
        <f>BB23+BD23+BF23+BH23+BJ23</f>
        <v/>
      </c>
      <c r="BM23" s="938">
        <f>BC23+BE23+BG23+BI23+BK23</f>
        <v/>
      </c>
      <c r="BN23" s="599">
        <f>BM23-BL23</f>
        <v/>
      </c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66">
        <f>BO23+BQ23+BS23+BU23+BW23+BY23+CA23</f>
        <v/>
      </c>
      <c r="CD23" s="967">
        <f>BP23+BR23+BT23+BV23+BX23+BZ23+CB23</f>
        <v/>
      </c>
      <c r="CE23" s="958">
        <f>CD23-CC23</f>
        <v/>
      </c>
      <c r="CF23" s="968">
        <f>AL23+AY23+BL23+CC23+H23</f>
        <v/>
      </c>
      <c r="CG23" s="969">
        <f>AM23+AZ23+BM23+CD23+I23</f>
        <v/>
      </c>
      <c r="CH23" s="970">
        <f>CF23-CG23</f>
        <v/>
      </c>
    </row>
    <row r="24">
      <c r="A24" s="916" t="inlineStr">
        <is>
          <t>7-Kaspi Банк (нал)</t>
        </is>
      </c>
      <c r="B24" s="917" t="inlineStr">
        <is>
          <t>Приход</t>
        </is>
      </c>
      <c r="C24" s="977" t="n"/>
      <c r="D24" s="977" t="n"/>
      <c r="E24" s="977" t="n"/>
      <c r="F24" s="977" t="n"/>
      <c r="G24" s="977" t="n"/>
      <c r="H24" s="963">
        <f>C24+D24+E24+F24+G24</f>
        <v/>
      </c>
      <c r="I24" s="964">
        <f>#REF!+#REF!+#REF!+#REF!+#REF!</f>
        <v/>
      </c>
      <c r="J24" s="953">
        <f>I24-H24</f>
        <v/>
      </c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977" t="n"/>
      <c r="AE24" s="977" t="n"/>
      <c r="AF24" s="966" t="n">
        <v>1000000</v>
      </c>
      <c r="AG24" s="977" t="n"/>
      <c r="AH24" s="966" t="n">
        <v>1000000</v>
      </c>
      <c r="AI24" s="977" t="n"/>
      <c r="AJ24" s="977" t="n"/>
      <c r="AK24" s="977" t="n"/>
      <c r="AL24" s="963">
        <f>K24+AD24+AF24+AH24+AJ24</f>
        <v/>
      </c>
      <c r="AM24" s="964">
        <f>AB24+AE24+AG24+AI24+AK24</f>
        <v/>
      </c>
      <c r="AN24" s="953">
        <f>AM24-AL24</f>
        <v/>
      </c>
      <c r="AO24" s="977" t="n"/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66">
        <f>AO24+AQ24+AS24+AU24+AW24</f>
        <v/>
      </c>
      <c r="AZ24" s="938">
        <f>AP24+AR24+AT24+AV24+AX24</f>
        <v/>
      </c>
      <c r="BA24" s="599">
        <f>AZ24-AY24</f>
        <v/>
      </c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66">
        <f>BB24+BD24+BF24+BH24+BJ24</f>
        <v/>
      </c>
      <c r="BM24" s="938">
        <f>BC24+BE24+BG24+BI24+BK24</f>
        <v/>
      </c>
      <c r="BN24" s="599">
        <f>BM24-BL24</f>
        <v/>
      </c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66">
        <f>BO24+BQ24+BS24+BU24+BW24+BY24+CA24</f>
        <v/>
      </c>
      <c r="CD24" s="967">
        <f>BP24+BR24+BT24+BV24+BX24+BZ24+CB24</f>
        <v/>
      </c>
      <c r="CE24" s="958">
        <f>CD24-CC24</f>
        <v/>
      </c>
      <c r="CF24" s="968">
        <f>AL24+AY24+BL24+CC24+H24</f>
        <v/>
      </c>
      <c r="CG24" s="969">
        <f>AM24+AZ24+BM24+CD24+I24</f>
        <v/>
      </c>
      <c r="CH24" s="970">
        <f>CF24-CG24</f>
        <v/>
      </c>
    </row>
    <row r="25">
      <c r="A25" s="921" t="inlineStr">
        <is>
          <t>9-БАЗИЛИК 5 (АКСАЙ)</t>
        </is>
      </c>
      <c r="B25" s="917" t="inlineStr">
        <is>
          <t>Приход</t>
        </is>
      </c>
      <c r="C25" s="977" t="n"/>
      <c r="D25" s="977" t="n"/>
      <c r="E25" s="977" t="n"/>
      <c r="F25" s="977" t="n"/>
      <c r="G25" s="977" t="n"/>
      <c r="H25" s="963">
        <f>C25+D25+E25+F25+G25</f>
        <v/>
      </c>
      <c r="I25" s="964">
        <f>#REF!+#REF!+#REF!+#REF!+#REF!</f>
        <v/>
      </c>
      <c r="J25" s="953">
        <f>I25-H25</f>
        <v/>
      </c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977" t="n"/>
      <c r="AE25" s="977" t="n"/>
      <c r="AF25" s="977" t="n"/>
      <c r="AG25" s="977" t="n"/>
      <c r="AH25" s="977" t="n"/>
      <c r="AI25" s="977" t="n"/>
      <c r="AJ25" s="977" t="n"/>
      <c r="AK25" s="977" t="n"/>
      <c r="AL25" s="963">
        <f>K25+AD25+AF25+AH25+AJ25</f>
        <v/>
      </c>
      <c r="AM25" s="964">
        <f>AB25+AE25+AG25+AI25+AK25</f>
        <v/>
      </c>
      <c r="AN25" s="953">
        <f>AM25-AL25</f>
        <v/>
      </c>
      <c r="AO25" s="977" t="n"/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66">
        <f>AO25+AQ25+AS25+AU25+AW25</f>
        <v/>
      </c>
      <c r="AZ25" s="938">
        <f>AP25+AR25+AT25+AV25+AX25</f>
        <v/>
      </c>
      <c r="BA25" s="599">
        <f>AZ25-AY25</f>
        <v/>
      </c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66">
        <f>BB25+BD25+BF25+BH25+BJ25</f>
        <v/>
      </c>
      <c r="BM25" s="938">
        <f>BC25+BE25+BG25+BI25+BK25</f>
        <v/>
      </c>
      <c r="BN25" s="599">
        <f>BM25-BL25</f>
        <v/>
      </c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66">
        <f>BO25+BQ25+BS25+BU25+BW25+BY25+CA25</f>
        <v/>
      </c>
      <c r="CD25" s="967">
        <f>BP25+BR25+BT25+BV25+BX25+BZ25+CB25</f>
        <v/>
      </c>
      <c r="CE25" s="958">
        <f>CD25-CC25</f>
        <v/>
      </c>
      <c r="CF25" s="968">
        <f>AL25+AY25+BL25+CC25+H25</f>
        <v/>
      </c>
      <c r="CG25" s="969">
        <f>AM25+AZ25+BM25+CD25+I25</f>
        <v/>
      </c>
      <c r="CH25" s="970">
        <f>CF25-CG25</f>
        <v/>
      </c>
    </row>
    <row r="26">
      <c r="A26" s="916" t="inlineStr">
        <is>
          <t>2-Алматушка (нал)</t>
        </is>
      </c>
      <c r="B26" s="917" t="inlineStr">
        <is>
          <t>Приход</t>
        </is>
      </c>
      <c r="C26" s="977" t="n"/>
      <c r="D26" s="977" t="n"/>
      <c r="E26" s="977" t="n"/>
      <c r="F26" s="977" t="n"/>
      <c r="G26" s="977" t="n"/>
      <c r="H26" s="963">
        <f>C26+D26+E26+F26+G26</f>
        <v/>
      </c>
      <c r="I26" s="964">
        <f>#REF!+#REF!+#REF!+#REF!+#REF!</f>
        <v/>
      </c>
      <c r="J26" s="953">
        <f>I26-H26</f>
        <v/>
      </c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977" t="n"/>
      <c r="AE26" s="977" t="n"/>
      <c r="AF26" s="977" t="n"/>
      <c r="AG26" s="977" t="n"/>
      <c r="AH26" s="977" t="n"/>
      <c r="AI26" s="977" t="n"/>
      <c r="AJ26" s="977" t="n"/>
      <c r="AK26" s="977" t="n"/>
      <c r="AL26" s="963">
        <f>K26+AD26+AF26+AH26+AJ26</f>
        <v/>
      </c>
      <c r="AM26" s="964">
        <f>AB26+AE26+AG26+AI26+AK26</f>
        <v/>
      </c>
      <c r="AN26" s="953">
        <f>AM26-AL26</f>
        <v/>
      </c>
      <c r="AO26" s="977" t="n"/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66">
        <f>AO26+AQ26+AS26+AU26+AW26</f>
        <v/>
      </c>
      <c r="AZ26" s="938">
        <f>AP26+AR26+AT26+AV26+AX26</f>
        <v/>
      </c>
      <c r="BA26" s="599">
        <f>AZ26-AY26</f>
        <v/>
      </c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66">
        <f>BB26+BD26+BF26+BH26+BJ26</f>
        <v/>
      </c>
      <c r="BM26" s="938">
        <f>BC26+BE26+BG26+BI26+BK26</f>
        <v/>
      </c>
      <c r="BN26" s="599">
        <f>BM26-BL26</f>
        <v/>
      </c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66">
        <f>BO26+BQ26+BS26+BU26+BW26+BY26+CA26</f>
        <v/>
      </c>
      <c r="CD26" s="967">
        <f>BP26+BR26+BT26+BV26+BX26+BZ26+CB26</f>
        <v/>
      </c>
      <c r="CE26" s="958">
        <f>CD26-CC26</f>
        <v/>
      </c>
      <c r="CF26" s="968">
        <f>AL26+AY26+BL26+CC26+H26</f>
        <v/>
      </c>
      <c r="CG26" s="969">
        <f>AM26+AZ26+BM26+CD26+I26</f>
        <v/>
      </c>
      <c r="CH26" s="970">
        <f>CF26-CG26</f>
        <v/>
      </c>
    </row>
    <row r="27">
      <c r="A27" s="916" t="inlineStr">
        <is>
          <t>1-Basilic номер1 (нал)</t>
        </is>
      </c>
      <c r="B27" s="917" t="inlineStr">
        <is>
          <t>Приход</t>
        </is>
      </c>
      <c r="C27" s="977" t="n"/>
      <c r="D27" s="977" t="n"/>
      <c r="E27" s="977" t="n"/>
      <c r="F27" s="977" t="n"/>
      <c r="G27" s="977" t="n"/>
      <c r="H27" s="963">
        <f>C27+D27+E27+F27+G27</f>
        <v/>
      </c>
      <c r="I27" s="964">
        <f>#REF!+#REF!+#REF!+#REF!+#REF!</f>
        <v/>
      </c>
      <c r="J27" s="953">
        <f>I27-H27</f>
        <v/>
      </c>
      <c r="K27" s="977" t="n"/>
      <c r="L27" s="977" t="n"/>
      <c r="M27" s="977" t="n"/>
      <c r="N27" s="977" t="n"/>
      <c r="O27" s="977" t="n"/>
      <c r="P27" s="977" t="n"/>
      <c r="Q27" s="977" t="n"/>
      <c r="R27" s="977" t="n"/>
      <c r="S27" s="977" t="n"/>
      <c r="T27" s="977" t="n"/>
      <c r="U27" s="977" t="n"/>
      <c r="V27" s="977" t="n"/>
      <c r="W27" s="977" t="n"/>
      <c r="X27" s="977" t="n"/>
      <c r="Y27" s="977" t="n"/>
      <c r="Z27" s="977" t="n"/>
      <c r="AA27" s="977" t="n"/>
      <c r="AB27" s="977" t="n"/>
      <c r="AC27" s="977" t="n"/>
      <c r="AD27" s="977" t="n"/>
      <c r="AE27" s="977" t="n"/>
      <c r="AF27" s="977" t="n"/>
      <c r="AG27" s="977" t="n"/>
      <c r="AH27" s="977" t="n"/>
      <c r="AI27" s="977" t="n"/>
      <c r="AJ27" s="977" t="n"/>
      <c r="AK27" s="977" t="n"/>
      <c r="AL27" s="963">
        <f>K27+AD27+AF27+AH27+AJ27</f>
        <v/>
      </c>
      <c r="AM27" s="964">
        <f>AB27+AE27+AG27+AI27+AK27</f>
        <v/>
      </c>
      <c r="AN27" s="953">
        <f>AM27-AL27</f>
        <v/>
      </c>
      <c r="AO27" s="977" t="n"/>
      <c r="AP27" s="977" t="n"/>
      <c r="AQ27" s="977" t="n"/>
      <c r="AR27" s="977" t="n"/>
      <c r="AS27" s="977" t="n"/>
      <c r="AT27" s="977" t="n"/>
      <c r="AU27" s="977" t="n"/>
      <c r="AV27" s="977" t="n"/>
      <c r="AW27" s="977" t="n"/>
      <c r="AX27" s="977" t="n"/>
      <c r="AY27" s="966">
        <f>AO27+AQ27+AS27+AU27+AW27</f>
        <v/>
      </c>
      <c r="AZ27" s="938">
        <f>AP27+AR27+AT27+AV27+AX27</f>
        <v/>
      </c>
      <c r="BA27" s="599">
        <f>AZ27-AY27</f>
        <v/>
      </c>
      <c r="BB27" s="977" t="n"/>
      <c r="BC27" s="977" t="n"/>
      <c r="BD27" s="977" t="n"/>
      <c r="BE27" s="977" t="n"/>
      <c r="BF27" s="977" t="n"/>
      <c r="BG27" s="977" t="n"/>
      <c r="BH27" s="977" t="n"/>
      <c r="BI27" s="977" t="n"/>
      <c r="BJ27" s="977" t="n"/>
      <c r="BK27" s="977" t="n"/>
      <c r="BL27" s="966">
        <f>BB27+BD27+BF27+BH27+BJ27</f>
        <v/>
      </c>
      <c r="BM27" s="938">
        <f>BC27+BE27+BG27+BI27+BK27</f>
        <v/>
      </c>
      <c r="BN27" s="599">
        <f>BM27-BL27</f>
        <v/>
      </c>
      <c r="BO27" s="977" t="n"/>
      <c r="BP27" s="977" t="n"/>
      <c r="BQ27" s="966" t="n">
        <v>1000000</v>
      </c>
      <c r="BR27" s="977" t="n"/>
      <c r="BS27" s="977" t="n"/>
      <c r="BT27" s="977" t="n"/>
      <c r="BU27" s="977" t="n"/>
      <c r="BV27" s="977" t="n"/>
      <c r="BW27" s="977" t="n"/>
      <c r="BX27" s="977" t="n"/>
      <c r="BY27" s="977" t="n"/>
      <c r="BZ27" s="977" t="n"/>
      <c r="CA27" s="977" t="n"/>
      <c r="CB27" s="977" t="n"/>
      <c r="CC27" s="966">
        <f>BO27+BQ27+BS27+BU27+BW27+BY27+CA27</f>
        <v/>
      </c>
      <c r="CD27" s="967">
        <f>BP27+BR27+BT27+BV27+BX27+BZ27+CB27</f>
        <v/>
      </c>
      <c r="CE27" s="958">
        <f>CD27-CC27</f>
        <v/>
      </c>
      <c r="CF27" s="968">
        <f>AL27+AY27+BL27+CC27+H27</f>
        <v/>
      </c>
      <c r="CG27" s="969">
        <f>AM27+AZ27+BM27+CD27+I27</f>
        <v/>
      </c>
      <c r="CH27" s="970">
        <f>CF27-CG27</f>
        <v/>
      </c>
    </row>
    <row r="28">
      <c r="A28" s="916" t="inlineStr">
        <is>
          <t>Частное лицо (Покупатель)</t>
        </is>
      </c>
      <c r="B28" s="917" t="inlineStr">
        <is>
          <t>Приход</t>
        </is>
      </c>
      <c r="C28" s="977" t="n"/>
      <c r="D28" s="977" t="n"/>
      <c r="E28" s="977" t="n"/>
      <c r="F28" s="977" t="n"/>
      <c r="G28" s="977" t="n"/>
      <c r="H28" s="963">
        <f>C28+D28+E28+F28+G28</f>
        <v/>
      </c>
      <c r="I28" s="964">
        <f>#REF!+#REF!+#REF!+#REF!+#REF!</f>
        <v/>
      </c>
      <c r="J28" s="953">
        <f>I28-H28</f>
        <v/>
      </c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977" t="n"/>
      <c r="AE28" s="977" t="n"/>
      <c r="AF28" s="977" t="n"/>
      <c r="AG28" s="971" t="n">
        <v>228846</v>
      </c>
      <c r="AH28" s="966" t="n">
        <v>200000</v>
      </c>
      <c r="AI28" s="977" t="n"/>
      <c r="AJ28" s="977" t="n"/>
      <c r="AK28" s="977" t="n"/>
      <c r="AL28" s="963">
        <f>K28+AD28+AF28+AH28+AJ28</f>
        <v/>
      </c>
      <c r="AM28" s="964">
        <f>AB28+AE28+AG28+AI28+AK28</f>
        <v/>
      </c>
      <c r="AN28" s="953">
        <f>AM28-AL28</f>
        <v/>
      </c>
      <c r="AO28" s="977" t="n"/>
      <c r="AP28" s="977" t="n"/>
      <c r="AQ28" s="977" t="n"/>
      <c r="AR28" s="977" t="n"/>
      <c r="AS28" s="977" t="n"/>
      <c r="AT28" s="977" t="n"/>
      <c r="AU28" s="966" t="n">
        <v>400000</v>
      </c>
      <c r="AV28" s="977" t="n"/>
      <c r="AW28" s="977" t="n"/>
      <c r="AX28" s="977" t="n"/>
      <c r="AY28" s="966">
        <f>AO28+AQ28+AS28+AU28+AW28</f>
        <v/>
      </c>
      <c r="AZ28" s="938">
        <f>AP28+AR28+AT28+AV28+AX28</f>
        <v/>
      </c>
      <c r="BA28" s="599">
        <f>AZ28-AY28</f>
        <v/>
      </c>
      <c r="BB28" s="977" t="n"/>
      <c r="BC28" s="977" t="n"/>
      <c r="BD28" s="977" t="n"/>
      <c r="BE28" s="977" t="n"/>
      <c r="BF28" s="977" t="n"/>
      <c r="BG28" s="977" t="n"/>
      <c r="BH28" s="966" t="n">
        <v>200000</v>
      </c>
      <c r="BI28" s="977" t="n"/>
      <c r="BJ28" s="977" t="n"/>
      <c r="BK28" s="977" t="n"/>
      <c r="BL28" s="966">
        <f>BB28+BD28+BF28+BH28+BJ28</f>
        <v/>
      </c>
      <c r="BM28" s="938">
        <f>BC28+BE28+BG28+BI28+BK28</f>
        <v/>
      </c>
      <c r="BN28" s="599">
        <f>BM28-BL28</f>
        <v/>
      </c>
      <c r="BO28" s="977" t="n"/>
      <c r="BP28" s="977" t="n"/>
      <c r="BQ28" s="966" t="n">
        <v>200000</v>
      </c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66">
        <f>BO28+BQ28+BS28+BU28+BW28+BY28+CA28</f>
        <v/>
      </c>
      <c r="CD28" s="967">
        <f>BP28+BR28+BT28+BV28+BX28+BZ28+CB28</f>
        <v/>
      </c>
      <c r="CE28" s="958">
        <f>CD28-CC28</f>
        <v/>
      </c>
      <c r="CF28" s="968">
        <f>AL28+AY28+BL28+CC28+H28</f>
        <v/>
      </c>
      <c r="CG28" s="969">
        <f>AM28+AZ28+BM28+CD28+I28</f>
        <v/>
      </c>
      <c r="CH28" s="970">
        <f>CF28-CG28</f>
        <v/>
      </c>
    </row>
    <row r="29">
      <c r="A29" s="916" t="inlineStr">
        <is>
          <t>98-FOOD vending : СКЛАД АППАРАТ №1 (ФЗ Ермагамбет)</t>
        </is>
      </c>
      <c r="B29" s="917" t="inlineStr">
        <is>
          <t>Приход</t>
        </is>
      </c>
      <c r="C29" s="977" t="n"/>
      <c r="D29" s="977" t="n"/>
      <c r="E29" s="977" t="n"/>
      <c r="F29" s="977" t="n"/>
      <c r="G29" s="977" t="n"/>
      <c r="H29" s="963">
        <f>C29+D29+E29+F29+G29</f>
        <v/>
      </c>
      <c r="I29" s="964">
        <f>#REF!+#REF!+#REF!+#REF!+#REF!</f>
        <v/>
      </c>
      <c r="J29" s="953">
        <f>I29-H29</f>
        <v/>
      </c>
      <c r="K29" s="977" t="n"/>
      <c r="L29" s="977" t="n"/>
      <c r="M29" s="977" t="n"/>
      <c r="N29" s="977" t="n"/>
      <c r="O29" s="977" t="n"/>
      <c r="P29" s="977" t="n"/>
      <c r="Q29" s="977" t="n"/>
      <c r="R29" s="977" t="n"/>
      <c r="S29" s="977" t="n"/>
      <c r="T29" s="977" t="n"/>
      <c r="U29" s="977" t="n"/>
      <c r="V29" s="977" t="n"/>
      <c r="W29" s="977" t="n"/>
      <c r="X29" s="977" t="n"/>
      <c r="Y29" s="977" t="n"/>
      <c r="Z29" s="977" t="n"/>
      <c r="AA29" s="977" t="n"/>
      <c r="AB29" s="977" t="n"/>
      <c r="AC29" s="977" t="n"/>
      <c r="AD29" s="977" t="n"/>
      <c r="AE29" s="977" t="n">
        <v>1500000</v>
      </c>
      <c r="AF29" s="977" t="n"/>
      <c r="AG29" s="977" t="n"/>
      <c r="AH29" s="977" t="n"/>
      <c r="AI29" s="977" t="n"/>
      <c r="AJ29" s="977" t="n"/>
      <c r="AK29" s="977" t="n"/>
      <c r="AL29" s="963">
        <f>K29+AD29+AF29+AH29+AJ29</f>
        <v/>
      </c>
      <c r="AM29" s="964">
        <f>AB29+AE29+AG29+AI29+AK29</f>
        <v/>
      </c>
      <c r="AN29" s="953">
        <f>AM29-AL29</f>
        <v/>
      </c>
      <c r="AO29" s="977" t="n"/>
      <c r="AP29" s="977" t="n"/>
      <c r="AQ29" s="977" t="n"/>
      <c r="AR29" s="977" t="n"/>
      <c r="AS29" s="977" t="n"/>
      <c r="AT29" s="977" t="n"/>
      <c r="AU29" s="977" t="n"/>
      <c r="AV29" s="977" t="n"/>
      <c r="AW29" s="977" t="n"/>
      <c r="AX29" s="977" t="n"/>
      <c r="AY29" s="966">
        <f>AO29+AQ29+AS29+AU29+AW29</f>
        <v/>
      </c>
      <c r="AZ29" s="938">
        <f>AP29+AR29+AT29+AV29+AX29</f>
        <v/>
      </c>
      <c r="BA29" s="599">
        <f>AZ29-AY29</f>
        <v/>
      </c>
      <c r="BB29" s="977" t="n"/>
      <c r="BC29" s="977" t="n"/>
      <c r="BD29" s="977" t="n"/>
      <c r="BE29" s="977" t="n"/>
      <c r="BF29" s="977" t="n"/>
      <c r="BG29" s="977" t="n"/>
      <c r="BH29" s="977" t="n"/>
      <c r="BI29" s="977" t="n"/>
      <c r="BJ29" s="977" t="n"/>
      <c r="BK29" s="977" t="n"/>
      <c r="BL29" s="966">
        <f>BB29+BD29+BF29+BH29+BJ29</f>
        <v/>
      </c>
      <c r="BM29" s="938">
        <f>BC29+BE29+BG29+BI29+BK29</f>
        <v/>
      </c>
      <c r="BN29" s="599">
        <f>BM29-BL29</f>
        <v/>
      </c>
      <c r="BO29" s="977" t="n"/>
      <c r="BP29" s="977" t="n"/>
      <c r="BQ29" s="977" t="n"/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66">
        <f>BO29+BQ29+BS29+BU29+BW29+BY29+CA29</f>
        <v/>
      </c>
      <c r="CD29" s="967">
        <f>BP29+BR29+BT29+BV29+BX29+BZ29+CB29</f>
        <v/>
      </c>
      <c r="CE29" s="958">
        <f>CD29-CC29</f>
        <v/>
      </c>
      <c r="CF29" s="968">
        <f>AL29+AY29+BL29+CC29+H29</f>
        <v/>
      </c>
      <c r="CG29" s="969">
        <f>AM29+AZ29+BM29+CD29+I29</f>
        <v/>
      </c>
      <c r="CH29" s="970">
        <f>CF29-CG29</f>
        <v/>
      </c>
    </row>
    <row r="30">
      <c r="A30" s="922" t="inlineStr">
        <is>
          <t>Итого по кассе</t>
        </is>
      </c>
      <c r="B30" s="919" t="inlineStr">
        <is>
          <t>Приход</t>
        </is>
      </c>
      <c r="C30" s="599" t="n">
        <v>0</v>
      </c>
      <c r="D30" s="599">
        <f>SUM(D21:D29)</f>
        <v/>
      </c>
      <c r="E30" s="599">
        <f>SUM(E21:E29)</f>
        <v/>
      </c>
      <c r="F30" s="599">
        <f>SUM(F21:F29)</f>
        <v/>
      </c>
      <c r="G30" s="599">
        <f>SUM(G21:G29)</f>
        <v/>
      </c>
      <c r="H30" s="599">
        <f>SUM(H21:H29)</f>
        <v/>
      </c>
      <c r="I30" s="599">
        <f>SUM(I21:I29)</f>
        <v/>
      </c>
      <c r="J30" s="953">
        <f>I30-H30</f>
        <v/>
      </c>
      <c r="K30" s="599">
        <f>SUM(K21:K29)</f>
        <v/>
      </c>
      <c r="L30" s="599" t="n"/>
      <c r="M30" s="599" t="n"/>
      <c r="N30" s="599" t="n"/>
      <c r="O30" s="599" t="n"/>
      <c r="P30" s="599" t="n"/>
      <c r="Q30" s="599" t="n"/>
      <c r="R30" s="599" t="n"/>
      <c r="S30" s="599" t="n"/>
      <c r="T30" s="599" t="n"/>
      <c r="U30" s="599" t="n"/>
      <c r="V30" s="599" t="n"/>
      <c r="W30" s="599" t="n"/>
      <c r="X30" s="599" t="n"/>
      <c r="Y30" s="599" t="n"/>
      <c r="Z30" s="599" t="n"/>
      <c r="AA30" s="599" t="n"/>
      <c r="AB30" s="599">
        <f>SUM(AB21:AB29)</f>
        <v/>
      </c>
      <c r="AC30" s="599" t="n"/>
      <c r="AD30" s="599">
        <f>SUM(AD21:AD29)</f>
        <v/>
      </c>
      <c r="AE30" s="599">
        <f>SUM(AE21:AE29)</f>
        <v/>
      </c>
      <c r="AF30" s="599">
        <f>SUM(AF21:AF29)</f>
        <v/>
      </c>
      <c r="AG30" s="599">
        <f>SUM(AG21:AG29)</f>
        <v/>
      </c>
      <c r="AH30" s="599">
        <f>SUM(AH21:AH29)</f>
        <v/>
      </c>
      <c r="AI30" s="599">
        <f>SUM(AI21:AI29)</f>
        <v/>
      </c>
      <c r="AJ30" s="599">
        <f>SUM(AJ21:AJ29)</f>
        <v/>
      </c>
      <c r="AK30" s="599">
        <f>SUM(AK21:AK29)</f>
        <v/>
      </c>
      <c r="AL30" s="599">
        <f>SUM(AL21:AL29)</f>
        <v/>
      </c>
      <c r="AM30" s="599">
        <f>SUM(AM21:AM29)</f>
        <v/>
      </c>
      <c r="AN30" s="953">
        <f>AM30-AL30</f>
        <v/>
      </c>
      <c r="AO30" s="599">
        <f>SUM(AO21:AO29)</f>
        <v/>
      </c>
      <c r="AP30" s="599">
        <f>SUM(AP21:AP29)</f>
        <v/>
      </c>
      <c r="AQ30" s="599">
        <f>SUM(AQ21:AQ29)</f>
        <v/>
      </c>
      <c r="AR30" s="599">
        <f>SUM(AR21:AR29)</f>
        <v/>
      </c>
      <c r="AS30" s="599">
        <f>SUM(AS21:AS29)</f>
        <v/>
      </c>
      <c r="AT30" s="599">
        <f>SUM(AT21:AT29)</f>
        <v/>
      </c>
      <c r="AU30" s="599">
        <f>SUM(AU21:AU29)</f>
        <v/>
      </c>
      <c r="AV30" s="599">
        <f>SUM(AV21:AV29)</f>
        <v/>
      </c>
      <c r="AW30" s="599">
        <f>SUM(AW21:AW29)</f>
        <v/>
      </c>
      <c r="AX30" s="599">
        <f>SUM(AX21:AX29)</f>
        <v/>
      </c>
      <c r="AY30" s="599">
        <f>SUM(AY21:AY29)</f>
        <v/>
      </c>
      <c r="AZ30" s="599">
        <f>SUM(AZ21:AZ29)</f>
        <v/>
      </c>
      <c r="BA30" s="956">
        <f>SUM(BA21:BA29)</f>
        <v/>
      </c>
      <c r="BB30" s="599">
        <f>SUM(BB21:BB29)</f>
        <v/>
      </c>
      <c r="BC30" s="599">
        <f>SUM(BC21:BC29)</f>
        <v/>
      </c>
      <c r="BD30" s="599">
        <f>SUM(BD21:BD29)</f>
        <v/>
      </c>
      <c r="BE30" s="599">
        <f>SUM(BE21:BE29)</f>
        <v/>
      </c>
      <c r="BF30" s="599">
        <f>SUM(BF21:BF29)</f>
        <v/>
      </c>
      <c r="BG30" s="599">
        <f>SUM(BG21:BG29)</f>
        <v/>
      </c>
      <c r="BH30" s="599">
        <f>SUM(BH21:BH29)</f>
        <v/>
      </c>
      <c r="BI30" s="599">
        <f>SUM(BI21:BI29)</f>
        <v/>
      </c>
      <c r="BJ30" s="599">
        <f>SUM(BJ21:BJ29)</f>
        <v/>
      </c>
      <c r="BK30" s="599">
        <f>SUM(BK21:BK29)</f>
        <v/>
      </c>
      <c r="BL30" s="599">
        <f>SUM(BL21:BL29)</f>
        <v/>
      </c>
      <c r="BM30" s="599">
        <f>SUM(BM21:BM29)</f>
        <v/>
      </c>
      <c r="BN30" s="599">
        <f>BM30-BL30</f>
        <v/>
      </c>
      <c r="BO30" s="599">
        <f>SUM(BO21:BO29)</f>
        <v/>
      </c>
      <c r="BP30" s="599">
        <f>SUM(BP21:BP29)</f>
        <v/>
      </c>
      <c r="BQ30" s="599">
        <f>SUM(BQ21:BQ29)</f>
        <v/>
      </c>
      <c r="BR30" s="599">
        <f>SUM(BR21:BR29)</f>
        <v/>
      </c>
      <c r="BS30" s="599">
        <f>SUM(BS21:BS29)</f>
        <v/>
      </c>
      <c r="BT30" s="599">
        <f>SUM(BT21:BT29)</f>
        <v/>
      </c>
      <c r="BU30" s="599">
        <f>SUM(BU21:BU29)</f>
        <v/>
      </c>
      <c r="BV30" s="599">
        <f>SUM(BV21:BV29)</f>
        <v/>
      </c>
      <c r="BW30" s="599">
        <f>SUM(BW21:BW29)</f>
        <v/>
      </c>
      <c r="BX30" s="599">
        <f>SUM(BX21:BX29)</f>
        <v/>
      </c>
      <c r="BY30" s="599">
        <f>SUM(BY21:BY29)</f>
        <v/>
      </c>
      <c r="BZ30" s="599">
        <f>SUM(BZ21:BZ29)</f>
        <v/>
      </c>
      <c r="CA30" s="599">
        <f>SUM(CA21:CA29)</f>
        <v/>
      </c>
      <c r="CB30" s="599">
        <f>SUM(CB21:CB29)</f>
        <v/>
      </c>
      <c r="CC30" s="599">
        <f>SUM(CC21:CC29)</f>
        <v/>
      </c>
      <c r="CD30" s="599">
        <f>SUM(CD21:CD29)</f>
        <v/>
      </c>
      <c r="CE30" s="958">
        <f>CD30-CC30</f>
        <v/>
      </c>
      <c r="CF30" s="978">
        <f>SUM(CF21:CF29)</f>
        <v/>
      </c>
      <c r="CG30" s="979">
        <f>SUM(CG21:CG29)</f>
        <v/>
      </c>
      <c r="CH30" s="970">
        <f>CF30-CG30</f>
        <v/>
      </c>
    </row>
    <row r="31">
      <c r="A31" s="923" t="inlineStr">
        <is>
          <t>1.Выручка</t>
        </is>
      </c>
      <c r="B31" s="919" t="inlineStr">
        <is>
          <t>Приход</t>
        </is>
      </c>
      <c r="C31" s="599" t="n">
        <v>0</v>
      </c>
      <c r="D31" s="599">
        <f>D20+D30</f>
        <v/>
      </c>
      <c r="E31" s="599">
        <f>E20+E30</f>
        <v/>
      </c>
      <c r="F31" s="599">
        <f>F20+F30</f>
        <v/>
      </c>
      <c r="G31" s="599">
        <f>G20+G30</f>
        <v/>
      </c>
      <c r="H31" s="953">
        <f>H30+H20</f>
        <v/>
      </c>
      <c r="I31" s="953">
        <f>I30+I20</f>
        <v/>
      </c>
      <c r="J31" s="953">
        <f>I31-H31</f>
        <v/>
      </c>
      <c r="K31" s="599">
        <f>K20+K30</f>
        <v/>
      </c>
      <c r="L31" s="599" t="n"/>
      <c r="M31" s="599" t="n"/>
      <c r="N31" s="599" t="n"/>
      <c r="O31" s="599" t="n"/>
      <c r="P31" s="599" t="n"/>
      <c r="Q31" s="599" t="n"/>
      <c r="R31" s="599" t="n"/>
      <c r="S31" s="599" t="n"/>
      <c r="T31" s="599" t="n"/>
      <c r="U31" s="599" t="n"/>
      <c r="V31" s="599" t="n"/>
      <c r="W31" s="599" t="n"/>
      <c r="X31" s="599" t="n"/>
      <c r="Y31" s="599" t="n"/>
      <c r="Z31" s="599" t="n"/>
      <c r="AA31" s="599" t="n"/>
      <c r="AB31" s="599">
        <f>AB20+AB30</f>
        <v/>
      </c>
      <c r="AC31" s="599" t="n"/>
      <c r="AD31" s="599">
        <f>AD20+AD30</f>
        <v/>
      </c>
      <c r="AE31" s="599">
        <f>AE20+AE30</f>
        <v/>
      </c>
      <c r="AF31" s="599">
        <f>AF20+AF30</f>
        <v/>
      </c>
      <c r="AG31" s="599">
        <f>AG20+AG30</f>
        <v/>
      </c>
      <c r="AH31" s="599">
        <f>AH20+AH30</f>
        <v/>
      </c>
      <c r="AI31" s="599">
        <f>AI20+AI30</f>
        <v/>
      </c>
      <c r="AJ31" s="599">
        <f>AJ20+AJ30</f>
        <v/>
      </c>
      <c r="AK31" s="599">
        <f>AK20+AK30</f>
        <v/>
      </c>
      <c r="AL31" s="953">
        <f>AL30+AL20</f>
        <v/>
      </c>
      <c r="AM31" s="953">
        <f>AM30+AM20</f>
        <v/>
      </c>
      <c r="AN31" s="953">
        <f>AM31-AL31</f>
        <v/>
      </c>
      <c r="AO31" s="599">
        <f>AO20+AO30</f>
        <v/>
      </c>
      <c r="AP31" s="599">
        <f>AP20+AP30</f>
        <v/>
      </c>
      <c r="AQ31" s="599">
        <f>AQ20+AQ30</f>
        <v/>
      </c>
      <c r="AR31" s="599">
        <f>AR20+AR30</f>
        <v/>
      </c>
      <c r="AS31" s="599">
        <f>AS20+AS30</f>
        <v/>
      </c>
      <c r="AT31" s="599">
        <f>AT20+AT30</f>
        <v/>
      </c>
      <c r="AU31" s="599">
        <f>AU20+AU30</f>
        <v/>
      </c>
      <c r="AV31" s="599">
        <f>AV20+AV30</f>
        <v/>
      </c>
      <c r="AW31" s="599">
        <f>AW20+AW30</f>
        <v/>
      </c>
      <c r="AX31" s="599">
        <f>AX20+AX30</f>
        <v/>
      </c>
      <c r="AY31" s="599">
        <f>AY20+AY30</f>
        <v/>
      </c>
      <c r="AZ31" s="599">
        <f>AZ20+AZ30</f>
        <v/>
      </c>
      <c r="BA31" s="956">
        <f>AZ31-AY31</f>
        <v/>
      </c>
      <c r="BB31" s="599">
        <f>BB20+BB30</f>
        <v/>
      </c>
      <c r="BC31" s="599">
        <f>BC20+BC30</f>
        <v/>
      </c>
      <c r="BD31" s="599">
        <f>BD20+BD30</f>
        <v/>
      </c>
      <c r="BE31" s="599">
        <f>BE20+BE30</f>
        <v/>
      </c>
      <c r="BF31" s="599">
        <f>BF20+BF30</f>
        <v/>
      </c>
      <c r="BG31" s="599">
        <f>BG20+BG30</f>
        <v/>
      </c>
      <c r="BH31" s="599">
        <f>BH20+BH30</f>
        <v/>
      </c>
      <c r="BI31" s="599">
        <f>BI20+BI30</f>
        <v/>
      </c>
      <c r="BJ31" s="599">
        <f>BJ20+BJ30</f>
        <v/>
      </c>
      <c r="BK31" s="599">
        <f>BK20+BK30</f>
        <v/>
      </c>
      <c r="BL31" s="599">
        <f>BL20+BL30</f>
        <v/>
      </c>
      <c r="BM31" s="599">
        <f>BM20+BM30</f>
        <v/>
      </c>
      <c r="BN31" s="599">
        <f>BM31-BL31</f>
        <v/>
      </c>
      <c r="BO31" s="599">
        <f>BO20+BO30</f>
        <v/>
      </c>
      <c r="BP31" s="599">
        <f>BP20+BP30</f>
        <v/>
      </c>
      <c r="BQ31" s="599">
        <f>BQ20+BQ30</f>
        <v/>
      </c>
      <c r="BR31" s="599">
        <f>BR20+BR30</f>
        <v/>
      </c>
      <c r="BS31" s="599">
        <f>BS20+BS30</f>
        <v/>
      </c>
      <c r="BT31" s="599">
        <f>BT20+BT30</f>
        <v/>
      </c>
      <c r="BU31" s="599">
        <f>BU20+BU30</f>
        <v/>
      </c>
      <c r="BV31" s="599">
        <f>BV20+BV30</f>
        <v/>
      </c>
      <c r="BW31" s="599">
        <f>BW20+BW30</f>
        <v/>
      </c>
      <c r="BX31" s="599">
        <f>BX20+BX30</f>
        <v/>
      </c>
      <c r="BY31" s="599">
        <f>BY20+BY30</f>
        <v/>
      </c>
      <c r="BZ31" s="599">
        <f>BZ20+BZ30</f>
        <v/>
      </c>
      <c r="CA31" s="599">
        <f>CA20+CA30</f>
        <v/>
      </c>
      <c r="CB31" s="599">
        <f>CB20+CB30</f>
        <v/>
      </c>
      <c r="CC31" s="599">
        <f>CC20+CC30</f>
        <v/>
      </c>
      <c r="CD31" s="599">
        <f>CD20+CD30</f>
        <v/>
      </c>
      <c r="CE31" s="958">
        <f>CD31-CC31</f>
        <v/>
      </c>
      <c r="CF31" s="978">
        <f>CF20+CF30</f>
        <v/>
      </c>
      <c r="CG31" s="979">
        <f>CG20+CG30</f>
        <v/>
      </c>
      <c r="CH31" s="970">
        <f>CF31-CG31</f>
        <v/>
      </c>
    </row>
    <row r="32">
      <c r="A32" s="924" t="inlineStr">
        <is>
          <t>IT-обслуживание,телефония,интернет</t>
        </is>
      </c>
      <c r="B32" s="917" t="inlineStr">
        <is>
          <t>Расход</t>
        </is>
      </c>
      <c r="C32" s="977" t="n"/>
      <c r="D32" s="977" t="n"/>
      <c r="E32" s="980" t="n">
        <v>-82240</v>
      </c>
      <c r="F32" s="656" t="n">
        <v>-220400</v>
      </c>
      <c r="G32" s="656" t="n">
        <v>-80000</v>
      </c>
      <c r="H32" s="981">
        <f>C32+D32+E32+F32+G32</f>
        <v/>
      </c>
      <c r="I32" s="964">
        <f>#REF!+#REF!+#REF!+#REF!+#REF!</f>
        <v/>
      </c>
      <c r="J32" s="982">
        <f>I32-H32</f>
        <v/>
      </c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656" t="n">
        <v>-120000</v>
      </c>
      <c r="AE32" s="977" t="n"/>
      <c r="AF32" s="977" t="n"/>
      <c r="AG32" s="977" t="n"/>
      <c r="AH32" s="977" t="n"/>
      <c r="AI32" s="977" t="n"/>
      <c r="AJ32" s="977" t="n"/>
      <c r="AK32" s="977" t="n"/>
      <c r="AL32" s="659">
        <f>K32+AF32+AD32+AH32+AJ32</f>
        <v/>
      </c>
      <c r="AM32" s="964">
        <f>AB32+AE32+AG32+AI32+AK32</f>
        <v/>
      </c>
      <c r="AN32" s="982">
        <f>AM32-AL32</f>
        <v/>
      </c>
      <c r="AO32" s="977" t="n"/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54">
        <f>AO32+AQ32+AS32+AU32+AW32</f>
        <v/>
      </c>
      <c r="AZ32" s="954">
        <f>AP32+AR32+AT32+AV32+AX32</f>
        <v/>
      </c>
      <c r="BA32" s="983">
        <f>AZ32-AY32</f>
        <v/>
      </c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54">
        <f>BB32+BD32+BF32+BH32+BJ32</f>
        <v/>
      </c>
      <c r="BM32" s="954">
        <f>BC32+BE32+BG32+BI32+BK32</f>
        <v/>
      </c>
      <c r="BN32" s="599">
        <f>BM32-BL32</f>
        <v/>
      </c>
      <c r="BO32" s="954" t="n">
        <v>-40472</v>
      </c>
      <c r="BP32" s="977" t="n"/>
      <c r="BQ32" s="954" t="n">
        <v>-90000</v>
      </c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80">
        <f>BO32+BQ32+BS32+BU32+BW32+BY32+CA32</f>
        <v/>
      </c>
      <c r="CD32" s="967">
        <f>BP32+BR32+BT32+BV32+BX32+BZ32+CB32</f>
        <v/>
      </c>
      <c r="CE32" s="958">
        <f>CD32-CC32</f>
        <v/>
      </c>
      <c r="CF32" s="984">
        <f>AL32+AY32+BL32+CC32+H32</f>
        <v/>
      </c>
      <c r="CG32" s="985">
        <f>AM32+AZ32+BM32+CD32+I32</f>
        <v/>
      </c>
      <c r="CH32" s="970">
        <f>CF32-CG32</f>
        <v/>
      </c>
    </row>
    <row r="33">
      <c r="A33" s="924" t="inlineStr">
        <is>
          <t>Авансы поставщикам</t>
        </is>
      </c>
      <c r="B33" s="917" t="inlineStr">
        <is>
          <t>Расход</t>
        </is>
      </c>
      <c r="C33" s="977" t="n"/>
      <c r="D33" s="977" t="n"/>
      <c r="E33" s="977" t="n"/>
      <c r="F33" s="977" t="n"/>
      <c r="G33" s="977" t="n"/>
      <c r="H33" s="981">
        <f>C33+D33+E33+F33+G33</f>
        <v/>
      </c>
      <c r="I33" s="964">
        <f>#REF!+#REF!+#REF!+#REF!+#REF!</f>
        <v/>
      </c>
      <c r="J33" s="982">
        <f>I33-H33</f>
        <v/>
      </c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977" t="n"/>
      <c r="AE33" s="977" t="n"/>
      <c r="AF33" s="977" t="n"/>
      <c r="AG33" s="977" t="n"/>
      <c r="AH33" s="977" t="n"/>
      <c r="AI33" s="977" t="n"/>
      <c r="AJ33" s="977" t="n"/>
      <c r="AK33" s="977" t="n"/>
      <c r="AL33" s="659">
        <f>K33+AF33+AD33+AH33+AJ33</f>
        <v/>
      </c>
      <c r="AM33" s="964">
        <f>AB33+AE33+AG33+AI33+AK33</f>
        <v/>
      </c>
      <c r="AN33" s="982">
        <f>AM33-AL33</f>
        <v/>
      </c>
      <c r="AO33" s="977" t="n"/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54">
        <f>AO33+AQ33+AS33+AU33+AW33</f>
        <v/>
      </c>
      <c r="AZ33" s="954">
        <f>AP33+AR33+AT33+AV33+AX33</f>
        <v/>
      </c>
      <c r="BA33" s="983">
        <f>AZ33-AY33</f>
        <v/>
      </c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54">
        <f>BB33+BD33+BF33+BH33+BJ33</f>
        <v/>
      </c>
      <c r="BM33" s="954">
        <f>BC33+BE33+BG33+BI33+BK33</f>
        <v/>
      </c>
      <c r="BN33" s="599">
        <f>BM33-BL33</f>
        <v/>
      </c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80">
        <f>BO33+BQ33+BS33+BU33+BW33+BY33+CA33</f>
        <v/>
      </c>
      <c r="CD33" s="967">
        <f>BP33+BR33+BT33+BV33+BX33+BZ33+CB33</f>
        <v/>
      </c>
      <c r="CE33" s="958">
        <f>CD33-CC33</f>
        <v/>
      </c>
      <c r="CF33" s="984">
        <f>AL33+AY33+BL33+CC33+H33</f>
        <v/>
      </c>
      <c r="CG33" s="985">
        <f>AM33+AZ33+BM33+CD33+I33</f>
        <v/>
      </c>
      <c r="CH33" s="970">
        <f>CF33-CG33</f>
        <v/>
      </c>
    </row>
    <row r="34">
      <c r="A34" s="924" t="inlineStr">
        <is>
          <t>Административные расходы</t>
        </is>
      </c>
      <c r="B34" s="917" t="inlineStr">
        <is>
          <t>Расход</t>
        </is>
      </c>
      <c r="C34" s="977" t="n"/>
      <c r="D34" s="977" t="n"/>
      <c r="E34" s="977" t="n"/>
      <c r="F34" s="656" t="n">
        <v>-3000</v>
      </c>
      <c r="G34" s="656" t="n">
        <v>-3000</v>
      </c>
      <c r="H34" s="981">
        <f>C34+D34+E34+F34+G34</f>
        <v/>
      </c>
      <c r="I34" s="964">
        <f>#REF!+#REF!+#REF!+#REF!+#REF!</f>
        <v/>
      </c>
      <c r="J34" s="982">
        <f>I34-H34</f>
        <v/>
      </c>
      <c r="K34" s="656" t="n">
        <v>-3000</v>
      </c>
      <c r="L34" s="656" t="n"/>
      <c r="M34" s="656" t="n"/>
      <c r="N34" s="656" t="n"/>
      <c r="O34" s="656" t="n"/>
      <c r="P34" s="656" t="n"/>
      <c r="Q34" s="656" t="n"/>
      <c r="R34" s="656" t="n"/>
      <c r="S34" s="656" t="n"/>
      <c r="T34" s="656" t="n"/>
      <c r="U34" s="656" t="n"/>
      <c r="V34" s="656" t="n"/>
      <c r="W34" s="656" t="n"/>
      <c r="X34" s="656" t="n"/>
      <c r="Y34" s="656" t="n"/>
      <c r="Z34" s="656" t="n"/>
      <c r="AA34" s="656" t="n"/>
      <c r="AB34" s="656">
        <f>-950000-220400-1300</f>
        <v/>
      </c>
      <c r="AC34" s="656" t="n"/>
      <c r="AD34" s="656">
        <f>-3000-400000</f>
        <v/>
      </c>
      <c r="AE34" s="656">
        <f>-400000-1300</f>
        <v/>
      </c>
      <c r="AF34" s="656" t="n">
        <v>-3000</v>
      </c>
      <c r="AG34" s="977">
        <f>-24300-4000</f>
        <v/>
      </c>
      <c r="AH34" s="656" t="n">
        <v>-3000</v>
      </c>
      <c r="AI34" s="977" t="n"/>
      <c r="AJ34" s="656" t="n">
        <v>-3000</v>
      </c>
      <c r="AK34" s="977" t="n"/>
      <c r="AL34" s="659">
        <f>K34+AF34+AD34+AH34+AJ34</f>
        <v/>
      </c>
      <c r="AM34" s="964">
        <f>AB34+AE34+AG34+AI34+AK34</f>
        <v/>
      </c>
      <c r="AN34" s="982">
        <f>AM34-AL34</f>
        <v/>
      </c>
      <c r="AO34" s="656" t="n">
        <v>-3000</v>
      </c>
      <c r="AP34" s="977" t="n"/>
      <c r="AQ34" s="656" t="n">
        <v>-30000</v>
      </c>
      <c r="AR34" s="977" t="n"/>
      <c r="AS34" s="656" t="n">
        <v>-32400</v>
      </c>
      <c r="AT34" s="977" t="n"/>
      <c r="AU34" s="656" t="n">
        <v>-30000</v>
      </c>
      <c r="AV34" s="977" t="n"/>
      <c r="AW34" s="977" t="n"/>
      <c r="AX34" s="977" t="n"/>
      <c r="AY34" s="954">
        <f>AO34+AQ34+AS34+AU34+AW34</f>
        <v/>
      </c>
      <c r="AZ34" s="954">
        <f>AP34+AR34+AT34+AV34+AX34</f>
        <v/>
      </c>
      <c r="BA34" s="983">
        <f>AZ34-AY34</f>
        <v/>
      </c>
      <c r="BB34" s="954" t="n">
        <v>-3000</v>
      </c>
      <c r="BC34" s="977" t="n"/>
      <c r="BD34" s="954" t="n">
        <v>-3000</v>
      </c>
      <c r="BE34" s="977" t="n"/>
      <c r="BF34" s="954" t="n">
        <v>-3000</v>
      </c>
      <c r="BG34" s="977" t="n"/>
      <c r="BH34" s="656" t="n">
        <v>-30000</v>
      </c>
      <c r="BI34" s="977" t="n"/>
      <c r="BJ34" s="656" t="n">
        <v>-3000</v>
      </c>
      <c r="BK34" s="977" t="n"/>
      <c r="BL34" s="954">
        <f>BB34+BD34+BF34+BH34+BJ34</f>
        <v/>
      </c>
      <c r="BM34" s="954">
        <f>BC34+BE34+BG34+BI34+BK34</f>
        <v/>
      </c>
      <c r="BN34" s="599">
        <f>BM34-BL34</f>
        <v/>
      </c>
      <c r="BO34" s="656" t="n">
        <v>-3000</v>
      </c>
      <c r="BP34" s="977" t="n"/>
      <c r="BQ34" s="656" t="n">
        <v>-3000</v>
      </c>
      <c r="BR34" s="977" t="n"/>
      <c r="BS34" s="656" t="n">
        <v>-3000</v>
      </c>
      <c r="BT34" s="977" t="n"/>
      <c r="BU34" s="656" t="n">
        <v>-3000</v>
      </c>
      <c r="BV34" s="977" t="n"/>
      <c r="BW34" s="977" t="n"/>
      <c r="BX34" s="977" t="n"/>
      <c r="BY34" s="977" t="n"/>
      <c r="BZ34" s="977" t="n"/>
      <c r="CA34" s="977" t="n"/>
      <c r="CB34" s="977" t="n"/>
      <c r="CC34" s="980">
        <f>BO34+BQ34+BS34+BU34+BW34+BY34+CA34</f>
        <v/>
      </c>
      <c r="CD34" s="967">
        <f>BP34+BR34+BT34+BV34+BX34+BZ34+CB34</f>
        <v/>
      </c>
      <c r="CE34" s="958">
        <f>CD34-CC34</f>
        <v/>
      </c>
      <c r="CF34" s="984">
        <f>AL34+AY34+BL34+CC34+H34</f>
        <v/>
      </c>
      <c r="CG34" s="985">
        <f>AM34+AZ34+BM34+CD34+I34</f>
        <v/>
      </c>
      <c r="CH34" s="970">
        <f>CF34-CG34</f>
        <v/>
      </c>
    </row>
    <row r="35">
      <c r="A35" s="924" t="inlineStr">
        <is>
          <t>Возврат ВФП</t>
        </is>
      </c>
      <c r="B35" s="917" t="inlineStr">
        <is>
          <t>Расход</t>
        </is>
      </c>
      <c r="C35" s="977" t="n"/>
      <c r="D35" s="977" t="n"/>
      <c r="E35" s="977" t="n"/>
      <c r="F35" s="977" t="n"/>
      <c r="G35" s="977" t="n"/>
      <c r="H35" s="981">
        <f>C35+D35+E35+F35+G35</f>
        <v/>
      </c>
      <c r="I35" s="964">
        <f>#REF!+#REF!+#REF!+#REF!+#REF!</f>
        <v/>
      </c>
      <c r="J35" s="982">
        <f>I35-H35</f>
        <v/>
      </c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977" t="n"/>
      <c r="AE35" s="977" t="n"/>
      <c r="AF35" s="977" t="n"/>
      <c r="AG35" s="977" t="n"/>
      <c r="AH35" s="977" t="n"/>
      <c r="AI35" s="977" t="n"/>
      <c r="AJ35" s="977" t="n"/>
      <c r="AK35" s="977" t="n"/>
      <c r="AL35" s="659">
        <f>K35+AF35+AD35+AH35+AJ35</f>
        <v/>
      </c>
      <c r="AM35" s="964">
        <f>AB35+AE35+AG35+AI35+AK35</f>
        <v/>
      </c>
      <c r="AN35" s="982">
        <f>AM35-AL35</f>
        <v/>
      </c>
      <c r="AO35" s="977" t="n"/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54">
        <f>AO35+AQ35+AS35+AU35+AW35</f>
        <v/>
      </c>
      <c r="AZ35" s="954">
        <f>AP35+AR35+AT35+AV35+AX35</f>
        <v/>
      </c>
      <c r="BA35" s="983">
        <f>AZ35-AY35</f>
        <v/>
      </c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54">
        <f>BB35+BD35+BF35+BH35+BJ35</f>
        <v/>
      </c>
      <c r="BM35" s="954">
        <f>BC35+BE35+BG35+BI35+BK35</f>
        <v/>
      </c>
      <c r="BN35" s="599">
        <f>BM35-BL35</f>
        <v/>
      </c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80">
        <f>BO35+BQ35+BS35+BU35+BW35+BY35+CA35</f>
        <v/>
      </c>
      <c r="CD35" s="967">
        <f>BP35+BR35+BT35+BV35+BX35+BZ35+CB35</f>
        <v/>
      </c>
      <c r="CE35" s="958">
        <f>CD35-CC35</f>
        <v/>
      </c>
      <c r="CF35" s="984">
        <f>AL35+AY35+BL35+CC35+H35</f>
        <v/>
      </c>
      <c r="CG35" s="985">
        <f>AM35+AZ35+BM35+CD35+I35</f>
        <v/>
      </c>
      <c r="CH35" s="970">
        <f>CF35-CG35</f>
        <v/>
      </c>
    </row>
    <row r="36">
      <c r="A36" s="925" t="inlineStr">
        <is>
          <t>Представительские расходы</t>
        </is>
      </c>
      <c r="B36" s="917" t="inlineStr">
        <is>
          <t>Расход</t>
        </is>
      </c>
      <c r="C36" s="977" t="n"/>
      <c r="D36" s="977" t="n"/>
      <c r="E36" s="977" t="n"/>
      <c r="F36" s="977" t="n"/>
      <c r="G36" s="977" t="n"/>
      <c r="H36" s="981">
        <f>C36+D36+E36+F36+G36</f>
        <v/>
      </c>
      <c r="I36" s="964">
        <f>#REF!+#REF!+#REF!+#REF!+#REF!</f>
        <v/>
      </c>
      <c r="J36" s="982">
        <f>I36-H36</f>
        <v/>
      </c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977" t="n"/>
      <c r="AE36" s="977" t="n"/>
      <c r="AF36" s="977" t="n"/>
      <c r="AG36" s="977" t="n"/>
      <c r="AH36" s="977" t="n"/>
      <c r="AI36" s="977" t="n"/>
      <c r="AJ36" s="977" t="n"/>
      <c r="AK36" s="977" t="n"/>
      <c r="AL36" s="659">
        <f>K36+AF36+AD36+AH36+AJ36</f>
        <v/>
      </c>
      <c r="AM36" s="964">
        <f>AB36+AE36+AG36+AI36+AK36</f>
        <v/>
      </c>
      <c r="AN36" s="982">
        <f>AM36-AL36</f>
        <v/>
      </c>
      <c r="AO36" s="977" t="n"/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54">
        <f>AO36+AQ36+AS36+AU36+AW36</f>
        <v/>
      </c>
      <c r="AZ36" s="954">
        <f>AP36+AR36+AT36+AV36+AX36</f>
        <v/>
      </c>
      <c r="BA36" s="983">
        <f>AZ36-AY36</f>
        <v/>
      </c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54">
        <f>BB36+BD36+BF36+BH36+BJ36</f>
        <v/>
      </c>
      <c r="BM36" s="954">
        <f>BC36+BE36+BG36+BI36+BK36</f>
        <v/>
      </c>
      <c r="BN36" s="599">
        <f>BM36-BL36</f>
        <v/>
      </c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80">
        <f>BO36+BQ36+BS36+BU36+BW36+BY36+CA36</f>
        <v/>
      </c>
      <c r="CD36" s="967">
        <f>BP36+BR36+BT36+BV36+BX36+BZ36+CB36</f>
        <v/>
      </c>
      <c r="CE36" s="958">
        <f>CD36-CC36</f>
        <v/>
      </c>
      <c r="CF36" s="984">
        <f>AL36+AY36+BL36+CC36+H36</f>
        <v/>
      </c>
      <c r="CG36" s="985">
        <f>AM36+AZ36+BM36+CD36+I36</f>
        <v/>
      </c>
      <c r="CH36" s="970">
        <f>CF36-CG36</f>
        <v/>
      </c>
    </row>
    <row r="37">
      <c r="A37" s="924" t="inlineStr">
        <is>
          <t>Аренда помещений</t>
        </is>
      </c>
      <c r="B37" s="917" t="inlineStr">
        <is>
          <t>Расход</t>
        </is>
      </c>
      <c r="C37" s="977" t="n"/>
      <c r="D37" s="977" t="n"/>
      <c r="E37" s="977" t="n"/>
      <c r="F37" s="977" t="n"/>
      <c r="G37" s="977" t="n"/>
      <c r="H37" s="981">
        <f>C37+D37+E37+F37+G37</f>
        <v/>
      </c>
      <c r="I37" s="964">
        <f>#REF!+#REF!+#REF!+#REF!+#REF!</f>
        <v/>
      </c>
      <c r="J37" s="982">
        <f>I37-H37</f>
        <v/>
      </c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977" t="n"/>
      <c r="AE37" s="977" t="n"/>
      <c r="AF37" s="977" t="n"/>
      <c r="AG37" s="977" t="n"/>
      <c r="AH37" s="977" t="n"/>
      <c r="AI37" s="977" t="n"/>
      <c r="AJ37" s="977" t="n"/>
      <c r="AK37" s="977" t="n"/>
      <c r="AL37" s="659">
        <f>K37+AF37+AD37+AH37+AJ37</f>
        <v/>
      </c>
      <c r="AM37" s="964">
        <f>AB37+AE37+AG37+AI37+AK37</f>
        <v/>
      </c>
      <c r="AN37" s="982">
        <f>AM37-AL37</f>
        <v/>
      </c>
      <c r="AO37" s="977" t="n"/>
      <c r="AP37" s="977" t="n"/>
      <c r="AQ37" s="954" t="n">
        <v>-6655000</v>
      </c>
      <c r="AR37" s="977" t="n"/>
      <c r="AS37" s="977" t="n"/>
      <c r="AT37" s="977" t="n"/>
      <c r="AU37" s="977" t="n"/>
      <c r="AV37" s="977" t="n"/>
      <c r="AW37" s="977" t="n"/>
      <c r="AX37" s="977" t="n"/>
      <c r="AY37" s="954">
        <f>AO37+AQ37+AS37+AU37+AW37</f>
        <v/>
      </c>
      <c r="AZ37" s="954">
        <f>AP37+AR37+AT37+AV37+AX37</f>
        <v/>
      </c>
      <c r="BA37" s="983">
        <f>AZ37-AY37</f>
        <v/>
      </c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54">
        <f>BB37+BD37+BF37+BH37+BJ37</f>
        <v/>
      </c>
      <c r="BM37" s="954">
        <f>BC37+BE37+BG37+BI37+BK37</f>
        <v/>
      </c>
      <c r="BN37" s="599">
        <f>BM37-BL37</f>
        <v/>
      </c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80">
        <f>BO37+BQ37+BS37+BU37+BW37+BY37+CA37</f>
        <v/>
      </c>
      <c r="CD37" s="967">
        <f>BP37+BR37+BT37+BV37+BX37+BZ37+CB37</f>
        <v/>
      </c>
      <c r="CE37" s="958">
        <f>CD37-CC37</f>
        <v/>
      </c>
      <c r="CF37" s="984">
        <f>AL37+AY37+BL37+CC37+H37</f>
        <v/>
      </c>
      <c r="CG37" s="985">
        <f>AM37+AZ37+BM37+CD37+I37</f>
        <v/>
      </c>
      <c r="CH37" s="970">
        <f>CF37-CG37</f>
        <v/>
      </c>
    </row>
    <row r="38">
      <c r="A38" s="924" t="inlineStr">
        <is>
          <t>Газ</t>
        </is>
      </c>
      <c r="B38" s="917" t="inlineStr">
        <is>
          <t>Расход</t>
        </is>
      </c>
      <c r="C38" s="977" t="n"/>
      <c r="D38" s="977" t="n"/>
      <c r="E38" s="977" t="n"/>
      <c r="F38" s="977" t="n"/>
      <c r="G38" s="977" t="n"/>
      <c r="H38" s="981">
        <f>C38+D38+E38+F38+G38</f>
        <v/>
      </c>
      <c r="I38" s="964">
        <f>#REF!+#REF!+#REF!+#REF!+#REF!</f>
        <v/>
      </c>
      <c r="J38" s="982">
        <f>I38-H38</f>
        <v/>
      </c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977" t="n"/>
      <c r="AE38" s="977" t="n"/>
      <c r="AF38" s="977" t="n"/>
      <c r="AG38" s="977" t="n"/>
      <c r="AH38" s="977" t="n"/>
      <c r="AI38" s="977" t="n"/>
      <c r="AJ38" s="977" t="n"/>
      <c r="AK38" s="977" t="n"/>
      <c r="AL38" s="659">
        <f>K38+AF38+AD38+AH38+AJ38</f>
        <v/>
      </c>
      <c r="AM38" s="964">
        <f>AB38+AE38+AG38+AI38+AK38</f>
        <v/>
      </c>
      <c r="AN38" s="982">
        <f>AM38-AL38</f>
        <v/>
      </c>
      <c r="AO38" s="977" t="n"/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54">
        <f>AO38+AQ38+AS38+AU38+AW38</f>
        <v/>
      </c>
      <c r="AZ38" s="954">
        <f>AP38+AR38+AT38+AV38+AX38</f>
        <v/>
      </c>
      <c r="BA38" s="983">
        <f>AZ38-AY38</f>
        <v/>
      </c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54">
        <f>BB38+BD38+BF38+BH38+BJ38</f>
        <v/>
      </c>
      <c r="BM38" s="954">
        <f>BC38+BE38+BG38+BI38+BK38</f>
        <v/>
      </c>
      <c r="BN38" s="599">
        <f>BM38-BL38</f>
        <v/>
      </c>
      <c r="BO38" s="954" t="n">
        <v>-630000</v>
      </c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80">
        <f>BO38+BQ38+BS38+BU38+BW38+BY38+CA38</f>
        <v/>
      </c>
      <c r="CD38" s="967">
        <f>BP38+BR38+BT38+BV38+BX38+BZ38+CB38</f>
        <v/>
      </c>
      <c r="CE38" s="958">
        <f>CD38-CC38</f>
        <v/>
      </c>
      <c r="CF38" s="984">
        <f>AL38+AY38+BL38+CC38+H38</f>
        <v/>
      </c>
      <c r="CG38" s="985">
        <f>AM38+AZ38+BM38+CD38+I38</f>
        <v/>
      </c>
      <c r="CH38" s="970">
        <f>CF38-CG38</f>
        <v/>
      </c>
    </row>
    <row r="39">
      <c r="A39" s="924" t="inlineStr">
        <is>
          <t>Маркетинг</t>
        </is>
      </c>
      <c r="B39" s="917" t="inlineStr">
        <is>
          <t>Расход</t>
        </is>
      </c>
      <c r="C39" s="977" t="n"/>
      <c r="D39" s="977" t="n"/>
      <c r="E39" s="977" t="n"/>
      <c r="F39" s="977" t="n"/>
      <c r="G39" s="977" t="n"/>
      <c r="H39" s="981">
        <f>C39+D39+E39+F39+G39</f>
        <v/>
      </c>
      <c r="I39" s="964">
        <f>#REF!+#REF!+#REF!+#REF!+#REF!</f>
        <v/>
      </c>
      <c r="J39" s="982">
        <f>I39-H39</f>
        <v/>
      </c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977" t="n"/>
      <c r="AE39" s="977" t="n"/>
      <c r="AF39" s="977" t="n"/>
      <c r="AG39" s="977" t="n">
        <v>-1000000</v>
      </c>
      <c r="AH39" s="977" t="n"/>
      <c r="AI39" s="977" t="n"/>
      <c r="AJ39" s="977" t="n"/>
      <c r="AK39" s="977" t="n"/>
      <c r="AL39" s="659">
        <f>K39+AF39+AD39+AH39+AJ39</f>
        <v/>
      </c>
      <c r="AM39" s="964">
        <f>AB39+AE39+AG39+AI39+AK39</f>
        <v/>
      </c>
      <c r="AN39" s="982">
        <f>AM39-AL39</f>
        <v/>
      </c>
      <c r="AO39" s="977" t="n"/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54">
        <f>AO39+AQ39+AS39+AU39+AW39</f>
        <v/>
      </c>
      <c r="AZ39" s="954">
        <f>AP39+AR39+AT39+AV39+AX39</f>
        <v/>
      </c>
      <c r="BA39" s="983">
        <f>AZ39-AY39</f>
        <v/>
      </c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54">
        <f>BB39+BD39+BF39+BH39+BJ39</f>
        <v/>
      </c>
      <c r="BM39" s="954">
        <f>BC39+BE39+BG39+BI39+BK39</f>
        <v/>
      </c>
      <c r="BN39" s="599">
        <f>BM39-BL39</f>
        <v/>
      </c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80">
        <f>BO39+BQ39+BS39+BU39+BW39+BY39+CA39</f>
        <v/>
      </c>
      <c r="CD39" s="967">
        <f>BP39+BR39+BT39+BV39+BX39+BZ39+CB39</f>
        <v/>
      </c>
      <c r="CE39" s="958">
        <f>CD39-CC39</f>
        <v/>
      </c>
      <c r="CF39" s="984">
        <f>AL39+AY39+BL39+CC39+H39</f>
        <v/>
      </c>
      <c r="CG39" s="985">
        <f>AM39+AZ39+BM39+CD39+I39</f>
        <v/>
      </c>
      <c r="CH39" s="970">
        <f>CF39-CG39</f>
        <v/>
      </c>
    </row>
    <row r="40">
      <c r="A40" s="924" t="inlineStr">
        <is>
          <t>Мусор</t>
        </is>
      </c>
      <c r="B40" s="917" t="inlineStr">
        <is>
          <t>Расход</t>
        </is>
      </c>
      <c r="C40" s="977" t="n"/>
      <c r="D40" s="977" t="n"/>
      <c r="E40" s="977" t="n"/>
      <c r="F40" s="977" t="n"/>
      <c r="G40" s="977" t="n"/>
      <c r="H40" s="981">
        <f>C40+D40+E40+F40+G40</f>
        <v/>
      </c>
      <c r="I40" s="964">
        <f>#REF!+#REF!+#REF!+#REF!+#REF!</f>
        <v/>
      </c>
      <c r="J40" s="982">
        <f>I40-H40</f>
        <v/>
      </c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977" t="n"/>
      <c r="AE40" s="977" t="n"/>
      <c r="AF40" s="977" t="n"/>
      <c r="AG40" s="977" t="n">
        <v>-7000</v>
      </c>
      <c r="AH40" s="977" t="n"/>
      <c r="AI40" s="977" t="n"/>
      <c r="AJ40" s="977" t="n"/>
      <c r="AK40" s="977" t="n"/>
      <c r="AL40" s="659">
        <f>K40+AF40+AD40+AH40+AJ40</f>
        <v/>
      </c>
      <c r="AM40" s="964">
        <f>AB40+AE40+AG40+AI40+AK40</f>
        <v/>
      </c>
      <c r="AN40" s="982">
        <f>AM40-AL40</f>
        <v/>
      </c>
      <c r="AO40" s="977" t="n"/>
      <c r="AP40" s="977" t="n"/>
      <c r="AQ40" s="977" t="n"/>
      <c r="AR40" s="977" t="n"/>
      <c r="AS40" s="977" t="n"/>
      <c r="AT40" s="977" t="n"/>
      <c r="AU40" s="977" t="n"/>
      <c r="AV40" s="977" t="n"/>
      <c r="AW40" s="954" t="n">
        <v>-100000</v>
      </c>
      <c r="AX40" s="977" t="n"/>
      <c r="AY40" s="954">
        <f>AO40+AQ40+AS40+AU40+AW40</f>
        <v/>
      </c>
      <c r="AZ40" s="954">
        <f>AP40+AR40+AT40+AV40+AX40</f>
        <v/>
      </c>
      <c r="BA40" s="983">
        <f>AZ40-AY40</f>
        <v/>
      </c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80" t="n">
        <v>-100000</v>
      </c>
      <c r="BK40" s="977" t="n"/>
      <c r="BL40" s="954">
        <f>BB40+BD40+BF40+BH40+BJ40</f>
        <v/>
      </c>
      <c r="BM40" s="954">
        <f>BC40+BE40+BG40+BI40+BK40</f>
        <v/>
      </c>
      <c r="BN40" s="599">
        <f>BM40-BL40</f>
        <v/>
      </c>
      <c r="BO40" s="656" t="n">
        <v>-850000</v>
      </c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80">
        <f>BO40+BQ40+BS40+BU40+BW40+BY40+CA40</f>
        <v/>
      </c>
      <c r="CD40" s="967">
        <f>BP40+BR40+BT40+BV40+BX40+BZ40+CB40</f>
        <v/>
      </c>
      <c r="CE40" s="958">
        <f>CD40-CC40</f>
        <v/>
      </c>
      <c r="CF40" s="984">
        <f>AL40+AY40+BL40+CC40+H40</f>
        <v/>
      </c>
      <c r="CG40" s="985">
        <f>AM40+AZ40+BM40+CD40+I40</f>
        <v/>
      </c>
      <c r="CH40" s="970">
        <f>CF40-CG40</f>
        <v/>
      </c>
    </row>
    <row r="41">
      <c r="A41" s="924" t="inlineStr">
        <is>
          <t>Налоги и другие платежи в бюджет</t>
        </is>
      </c>
      <c r="B41" s="917" t="inlineStr">
        <is>
          <t>Расход</t>
        </is>
      </c>
      <c r="C41" s="977" t="n"/>
      <c r="D41" s="977" t="n"/>
      <c r="E41" s="977" t="n"/>
      <c r="F41" s="977" t="n"/>
      <c r="G41" s="977" t="n"/>
      <c r="H41" s="981">
        <f>C41+D41+E41+F41+G41</f>
        <v/>
      </c>
      <c r="I41" s="964">
        <f>#REF!+#REF!+#REF!+#REF!+#REF!</f>
        <v/>
      </c>
      <c r="J41" s="982">
        <f>I41-H41</f>
        <v/>
      </c>
      <c r="K41" s="977" t="n"/>
      <c r="L41" s="977" t="n"/>
      <c r="M41" s="977" t="n"/>
      <c r="N41" s="977" t="n"/>
      <c r="O41" s="977" t="n"/>
      <c r="P41" s="977" t="n"/>
      <c r="Q41" s="977" t="n"/>
      <c r="R41" s="977" t="n"/>
      <c r="S41" s="977" t="n"/>
      <c r="T41" s="977" t="n"/>
      <c r="U41" s="977" t="n"/>
      <c r="V41" s="977" t="n"/>
      <c r="W41" s="977" t="n"/>
      <c r="X41" s="977" t="n"/>
      <c r="Y41" s="977" t="n"/>
      <c r="Z41" s="977" t="n"/>
      <c r="AA41" s="977" t="n"/>
      <c r="AB41" s="656" t="n">
        <v>-2000000</v>
      </c>
      <c r="AC41" s="656" t="n"/>
      <c r="AD41" s="977" t="n"/>
      <c r="AE41" s="656" t="n">
        <v>-7000000</v>
      </c>
      <c r="AF41" s="977" t="n"/>
      <c r="AG41" s="977" t="n"/>
      <c r="AH41" s="977" t="n"/>
      <c r="AI41" s="977" t="n"/>
      <c r="AJ41" s="977" t="n"/>
      <c r="AK41" s="977" t="n"/>
      <c r="AL41" s="659">
        <f>K41+AF41+AD41+AH41+AJ41</f>
        <v/>
      </c>
      <c r="AM41" s="964">
        <f>AB41+AE41+AG41+AI41+AK41</f>
        <v/>
      </c>
      <c r="AN41" s="982">
        <f>AM41-AL41</f>
        <v/>
      </c>
      <c r="AO41" s="977" t="n"/>
      <c r="AP41" s="977" t="n"/>
      <c r="AQ41" s="977" t="n"/>
      <c r="AR41" s="977" t="n"/>
      <c r="AS41" s="977" t="n"/>
      <c r="AT41" s="977" t="n"/>
      <c r="AU41" s="977" t="n"/>
      <c r="AV41" s="977" t="n"/>
      <c r="AW41" s="954" t="n">
        <v>-8000000</v>
      </c>
      <c r="AX41" s="977" t="n"/>
      <c r="AY41" s="954">
        <f>AO41+AQ41+AS41+AU41+AW41</f>
        <v/>
      </c>
      <c r="AZ41" s="954">
        <f>AP41+AR41+AT41+AV41+AX41</f>
        <v/>
      </c>
      <c r="BA41" s="983">
        <f>AZ41-AY41</f>
        <v/>
      </c>
      <c r="BB41" s="977" t="n"/>
      <c r="BC41" s="977" t="n"/>
      <c r="BD41" s="977" t="n"/>
      <c r="BE41" s="977" t="n"/>
      <c r="BF41" s="977" t="n"/>
      <c r="BG41" s="977" t="n"/>
      <c r="BH41" s="954" t="n">
        <v>-14104937</v>
      </c>
      <c r="BI41" s="977" t="n"/>
      <c r="BJ41" s="954" t="n">
        <v>-427718</v>
      </c>
      <c r="BK41" s="977" t="n"/>
      <c r="BL41" s="954">
        <f>BB41+BD41+BF41+BH41+BJ41</f>
        <v/>
      </c>
      <c r="BM41" s="954">
        <f>BC41+BE41+BG41+BI41+BK41</f>
        <v/>
      </c>
      <c r="BN41" s="599">
        <f>BM41-BL41</f>
        <v/>
      </c>
      <c r="BO41" s="977" t="n"/>
      <c r="BP41" s="977" t="n"/>
      <c r="BQ41" s="656" t="n">
        <v>-12000000</v>
      </c>
      <c r="BR41" s="977" t="n"/>
      <c r="BS41" s="977" t="n"/>
      <c r="BT41" s="977" t="n"/>
      <c r="BU41" s="977" t="n"/>
      <c r="BV41" s="977" t="n"/>
      <c r="BW41" s="977" t="n"/>
      <c r="BX41" s="977" t="n"/>
      <c r="BY41" s="977" t="n"/>
      <c r="BZ41" s="977" t="n"/>
      <c r="CA41" s="977" t="n"/>
      <c r="CB41" s="977" t="n"/>
      <c r="CC41" s="980">
        <f>BO41+BQ41+BS41+BU41+BW41+BY41+CA41</f>
        <v/>
      </c>
      <c r="CD41" s="967">
        <f>BP41+BR41+BT41+BV41+BX41+BZ41+CB41</f>
        <v/>
      </c>
      <c r="CE41" s="958">
        <f>CD41-CC41</f>
        <v/>
      </c>
      <c r="CF41" s="984">
        <f>AL41+AY41+BL41+CC41+H41</f>
        <v/>
      </c>
      <c r="CG41" s="985">
        <f>AM41+AZ41+BM41+CD41+I41</f>
        <v/>
      </c>
      <c r="CH41" s="970">
        <f>CF41-CG41</f>
        <v/>
      </c>
    </row>
    <row r="42">
      <c r="A42" s="924" t="inlineStr">
        <is>
          <t>Оплата труда</t>
        </is>
      </c>
      <c r="B42" s="917" t="inlineStr">
        <is>
          <t>Расход</t>
        </is>
      </c>
      <c r="C42" s="977" t="n"/>
      <c r="D42" s="977" t="n"/>
      <c r="E42" s="977" t="n"/>
      <c r="F42" s="977" t="n"/>
      <c r="G42" s="977" t="n"/>
      <c r="H42" s="981">
        <f>C42+D42+E42+F42+G42</f>
        <v/>
      </c>
      <c r="I42" s="964">
        <f>#REF!+#REF!+#REF!+#REF!+#REF!</f>
        <v/>
      </c>
      <c r="J42" s="982">
        <f>I42-H42</f>
        <v/>
      </c>
      <c r="K42" s="977" t="n"/>
      <c r="L42" s="977" t="n"/>
      <c r="M42" s="977" t="n"/>
      <c r="N42" s="977" t="n"/>
      <c r="O42" s="977" t="n"/>
      <c r="P42" s="977" t="n"/>
      <c r="Q42" s="977" t="n"/>
      <c r="R42" s="977" t="n"/>
      <c r="S42" s="977" t="n"/>
      <c r="T42" s="977" t="n"/>
      <c r="U42" s="977" t="n"/>
      <c r="V42" s="977" t="n"/>
      <c r="W42" s="977" t="n"/>
      <c r="X42" s="977" t="n"/>
      <c r="Y42" s="977" t="n"/>
      <c r="Z42" s="977" t="n"/>
      <c r="AA42" s="977" t="n"/>
      <c r="AB42" s="977" t="n"/>
      <c r="AC42" s="977" t="n"/>
      <c r="AD42" s="656" t="n">
        <v>-14340000</v>
      </c>
      <c r="AE42" s="977" t="n"/>
      <c r="AF42" s="977" t="n"/>
      <c r="AG42" s="977" t="n"/>
      <c r="AH42" s="977" t="n"/>
      <c r="AI42" s="977" t="n"/>
      <c r="AJ42" s="977" t="n"/>
      <c r="AK42" s="977" t="n"/>
      <c r="AL42" s="659">
        <f>K42+AF42+AD42+AH42+AJ42</f>
        <v/>
      </c>
      <c r="AM42" s="964">
        <f>AB42+AE42+AG42+AI42+AK42</f>
        <v/>
      </c>
      <c r="AN42" s="982">
        <f>AM42-AL42</f>
        <v/>
      </c>
      <c r="AO42" s="977" t="n"/>
      <c r="AP42" s="977" t="n"/>
      <c r="AQ42" s="977" t="n"/>
      <c r="AR42" s="977" t="n"/>
      <c r="AS42" s="977" t="n"/>
      <c r="AT42" s="977" t="n"/>
      <c r="AU42" s="977" t="n"/>
      <c r="AV42" s="977" t="n"/>
      <c r="AW42" s="977" t="n"/>
      <c r="AX42" s="977" t="n"/>
      <c r="AY42" s="954">
        <f>AO42+AQ42+AS42+AU42+AW42</f>
        <v/>
      </c>
      <c r="AZ42" s="954">
        <f>AP42+AR42+AT42+AV42+AX42</f>
        <v/>
      </c>
      <c r="BA42" s="983">
        <f>AZ42-AY42</f>
        <v/>
      </c>
      <c r="BB42" s="977" t="n"/>
      <c r="BC42" s="977" t="n"/>
      <c r="BD42" s="977" t="n"/>
      <c r="BE42" s="977" t="n"/>
      <c r="BF42" s="977" t="n"/>
      <c r="BG42" s="977" t="n"/>
      <c r="BH42" s="980" t="n">
        <v>-1700000</v>
      </c>
      <c r="BI42" s="977" t="n"/>
      <c r="BJ42" s="977" t="n"/>
      <c r="BK42" s="977" t="n"/>
      <c r="BL42" s="954">
        <f>BB42+BD42+BF42+BH42+BJ42</f>
        <v/>
      </c>
      <c r="BM42" s="954">
        <f>BC42+BE42+BG42+BI42+BK42</f>
        <v/>
      </c>
      <c r="BN42" s="599">
        <f>BM42-BL42</f>
        <v/>
      </c>
      <c r="BO42" s="977" t="n"/>
      <c r="BP42" s="977" t="n"/>
      <c r="BQ42" s="977" t="n"/>
      <c r="BR42" s="977" t="n"/>
      <c r="BS42" s="977" t="n"/>
      <c r="BT42" s="977" t="n"/>
      <c r="BU42" s="977" t="n"/>
      <c r="BV42" s="977" t="n"/>
      <c r="BW42" s="977" t="n"/>
      <c r="BX42" s="977" t="n"/>
      <c r="BY42" s="977" t="n"/>
      <c r="BZ42" s="977" t="n"/>
      <c r="CA42" s="977" t="n"/>
      <c r="CB42" s="977" t="n"/>
      <c r="CC42" s="980">
        <f>BO42+BQ42+BS42+BU42+BW42+BY42+CA42</f>
        <v/>
      </c>
      <c r="CD42" s="967">
        <f>BP42+BR42+BT42+BV42+BX42+BZ42+CB42</f>
        <v/>
      </c>
      <c r="CE42" s="958">
        <f>CD42-CC42</f>
        <v/>
      </c>
      <c r="CF42" s="984">
        <f>AL42+AY42+BL42+CC42+H42</f>
        <v/>
      </c>
      <c r="CG42" s="985">
        <f>AM42+AZ42+BM42+CD42+I42</f>
        <v/>
      </c>
      <c r="CH42" s="970">
        <f>CF42-CG42</f>
        <v/>
      </c>
    </row>
    <row r="43">
      <c r="A43" s="924" t="inlineStr">
        <is>
          <t>Охрана</t>
        </is>
      </c>
      <c r="B43" s="917" t="inlineStr">
        <is>
          <t>Расход</t>
        </is>
      </c>
      <c r="C43" s="977" t="n"/>
      <c r="D43" s="977" t="n"/>
      <c r="E43" s="977" t="n"/>
      <c r="F43" s="977" t="n"/>
      <c r="G43" s="977" t="n"/>
      <c r="H43" s="981">
        <f>C43+D43+E43+F43+G43</f>
        <v/>
      </c>
      <c r="I43" s="964">
        <f>#REF!+#REF!+#REF!+#REF!+#REF!</f>
        <v/>
      </c>
      <c r="J43" s="982">
        <f>I43-H43</f>
        <v/>
      </c>
      <c r="K43" s="977" t="n"/>
      <c r="L43" s="977" t="n"/>
      <c r="M43" s="977" t="n"/>
      <c r="N43" s="977" t="n"/>
      <c r="O43" s="977" t="n"/>
      <c r="P43" s="977" t="n"/>
      <c r="Q43" s="977" t="n"/>
      <c r="R43" s="977" t="n"/>
      <c r="S43" s="977" t="n"/>
      <c r="T43" s="977" t="n"/>
      <c r="U43" s="977" t="n"/>
      <c r="V43" s="977" t="n"/>
      <c r="W43" s="977" t="n"/>
      <c r="X43" s="977" t="n"/>
      <c r="Y43" s="977" t="n"/>
      <c r="Z43" s="977" t="n"/>
      <c r="AA43" s="977" t="n"/>
      <c r="AB43" s="977" t="n"/>
      <c r="AC43" s="977" t="n"/>
      <c r="AD43" s="977" t="n"/>
      <c r="AE43" s="977" t="n"/>
      <c r="AF43" s="977" t="n"/>
      <c r="AG43" s="977" t="n"/>
      <c r="AH43" s="977" t="n"/>
      <c r="AI43" s="977" t="n"/>
      <c r="AJ43" s="977" t="n"/>
      <c r="AK43" s="977" t="n"/>
      <c r="AL43" s="659">
        <f>K43+AF43+AD43+AH43+AJ43</f>
        <v/>
      </c>
      <c r="AM43" s="964">
        <f>AB43+AE43+AG43+AI43+AK43</f>
        <v/>
      </c>
      <c r="AN43" s="982">
        <f>AM43-AL43</f>
        <v/>
      </c>
      <c r="AO43" s="977" t="n"/>
      <c r="AP43" s="977" t="n"/>
      <c r="AQ43" s="954" t="n">
        <v>-1000000</v>
      </c>
      <c r="AR43" s="977" t="n"/>
      <c r="AS43" s="977" t="n"/>
      <c r="AT43" s="977" t="n"/>
      <c r="AU43" s="977" t="n"/>
      <c r="AV43" s="977" t="n"/>
      <c r="AW43" s="977" t="n"/>
      <c r="AX43" s="977" t="n"/>
      <c r="AY43" s="954">
        <f>AO43+AQ43+AS43+AU43+AW43</f>
        <v/>
      </c>
      <c r="AZ43" s="954">
        <f>AP43+AR43+AT43+AV43+AX43</f>
        <v/>
      </c>
      <c r="BA43" s="983">
        <f>AZ43-AY43</f>
        <v/>
      </c>
      <c r="BB43" s="977" t="n"/>
      <c r="BC43" s="977" t="n"/>
      <c r="BD43" s="977" t="n"/>
      <c r="BE43" s="977" t="n"/>
      <c r="BF43" s="977" t="n"/>
      <c r="BG43" s="977" t="n"/>
      <c r="BH43" s="977" t="n"/>
      <c r="BI43" s="977" t="n"/>
      <c r="BJ43" s="977" t="n"/>
      <c r="BK43" s="977" t="n"/>
      <c r="BL43" s="954">
        <f>BB43+BD43+BF43+BH43+BJ43</f>
        <v/>
      </c>
      <c r="BM43" s="954">
        <f>BC43+BE43+BG43+BI43+BK43</f>
        <v/>
      </c>
      <c r="BN43" s="599">
        <f>BM43-BL43</f>
        <v/>
      </c>
      <c r="BO43" s="977" t="n"/>
      <c r="BP43" s="977" t="n"/>
      <c r="BQ43" s="977" t="n"/>
      <c r="BR43" s="977" t="n"/>
      <c r="BS43" s="977" t="n"/>
      <c r="BT43" s="977" t="n"/>
      <c r="BU43" s="977" t="n"/>
      <c r="BV43" s="977" t="n"/>
      <c r="BW43" s="977" t="n"/>
      <c r="BX43" s="977" t="n"/>
      <c r="BY43" s="977" t="n"/>
      <c r="BZ43" s="977" t="n"/>
      <c r="CA43" s="977" t="n"/>
      <c r="CB43" s="977" t="n"/>
      <c r="CC43" s="980">
        <f>BO43+BQ43+BS43+BU43+BW43+BY43+CA43</f>
        <v/>
      </c>
      <c r="CD43" s="967">
        <f>BP43+BR43+BT43+BV43+BX43+BZ43+CB43</f>
        <v/>
      </c>
      <c r="CE43" s="958">
        <f>CD43-CC43</f>
        <v/>
      </c>
      <c r="CF43" s="984">
        <f>AL43+AY43+BL43+CC43+H43</f>
        <v/>
      </c>
      <c r="CG43" s="985">
        <f>AM43+AZ43+BM43+CD43+I43</f>
        <v/>
      </c>
      <c r="CH43" s="970">
        <f>CF43-CG43</f>
        <v/>
      </c>
    </row>
    <row r="44">
      <c r="A44" s="924" t="inlineStr">
        <is>
          <t>Платежи поставщикам Прочее</t>
        </is>
      </c>
      <c r="B44" s="917" t="inlineStr">
        <is>
          <t>Расход</t>
        </is>
      </c>
      <c r="C44" s="977" t="n"/>
      <c r="D44" s="977" t="n"/>
      <c r="E44" s="656" t="n">
        <v>-180000</v>
      </c>
      <c r="F44" s="977" t="n"/>
      <c r="G44" s="977" t="n"/>
      <c r="H44" s="981">
        <f>C44+D44+E44+F44+G44</f>
        <v/>
      </c>
      <c r="I44" s="964">
        <f>#REF!+#REF!+#REF!+#REF!+#REF!</f>
        <v/>
      </c>
      <c r="J44" s="982">
        <f>I44-H44</f>
        <v/>
      </c>
      <c r="K44" s="977" t="n"/>
      <c r="L44" s="977" t="n"/>
      <c r="M44" s="977" t="n"/>
      <c r="N44" s="977" t="n"/>
      <c r="O44" s="977" t="n"/>
      <c r="P44" s="977" t="n"/>
      <c r="Q44" s="977" t="n"/>
      <c r="R44" s="977" t="n"/>
      <c r="S44" s="977" t="n"/>
      <c r="T44" s="977" t="n"/>
      <c r="U44" s="977" t="n"/>
      <c r="V44" s="977" t="n"/>
      <c r="W44" s="977" t="n"/>
      <c r="X44" s="977" t="n"/>
      <c r="Y44" s="977" t="n"/>
      <c r="Z44" s="977" t="n"/>
      <c r="AA44" s="977" t="n"/>
      <c r="AB44" s="977" t="n"/>
      <c r="AC44" s="977" t="n"/>
      <c r="AD44" s="977" t="n"/>
      <c r="AE44" s="977" t="n"/>
      <c r="AF44" s="977" t="n"/>
      <c r="AG44" s="977" t="n"/>
      <c r="AH44" s="977" t="n"/>
      <c r="AI44" s="977" t="n"/>
      <c r="AJ44" s="977" t="n"/>
      <c r="AK44" s="977" t="n"/>
      <c r="AL44" s="659">
        <f>K44+AF44+AD44+AH44+AJ44</f>
        <v/>
      </c>
      <c r="AM44" s="964">
        <f>AB44+AE44+AG44+AI44+AK44</f>
        <v/>
      </c>
      <c r="AN44" s="982">
        <f>AM44-AL44</f>
        <v/>
      </c>
      <c r="AO44" s="977" t="n"/>
      <c r="AP44" s="977" t="n"/>
      <c r="AQ44" s="977" t="n"/>
      <c r="AR44" s="977" t="n"/>
      <c r="AS44" s="977" t="n"/>
      <c r="AT44" s="977" t="n"/>
      <c r="AU44" s="977" t="n"/>
      <c r="AV44" s="977" t="n"/>
      <c r="AW44" s="977" t="n"/>
      <c r="AX44" s="977" t="n"/>
      <c r="AY44" s="954">
        <f>AO44+AQ44+AS44+AU44+AW44</f>
        <v/>
      </c>
      <c r="AZ44" s="954">
        <f>AP44+AR44+AT44+AV44+AX44</f>
        <v/>
      </c>
      <c r="BA44" s="983">
        <f>AZ44-AY44</f>
        <v/>
      </c>
      <c r="BB44" s="977" t="n"/>
      <c r="BC44" s="977" t="n"/>
      <c r="BD44" s="977" t="n"/>
      <c r="BE44" s="977" t="n"/>
      <c r="BF44" s="977" t="n"/>
      <c r="BG44" s="977" t="n"/>
      <c r="BH44" s="977" t="n"/>
      <c r="BI44" s="977" t="n"/>
      <c r="BJ44" s="977" t="n"/>
      <c r="BK44" s="977" t="n"/>
      <c r="BL44" s="954">
        <f>BB44+BD44+BF44+BH44+BJ44</f>
        <v/>
      </c>
      <c r="BM44" s="954">
        <f>BC44+BE44+BG44+BI44+BK44</f>
        <v/>
      </c>
      <c r="BN44" s="599">
        <f>BM44-BL44</f>
        <v/>
      </c>
      <c r="BO44" s="977" t="n"/>
      <c r="BP44" s="977" t="n"/>
      <c r="BQ44" s="977" t="n"/>
      <c r="BR44" s="977" t="n"/>
      <c r="BS44" s="977" t="n"/>
      <c r="BT44" s="977" t="n"/>
      <c r="BU44" s="977" t="n"/>
      <c r="BV44" s="977" t="n"/>
      <c r="BW44" s="977" t="n"/>
      <c r="BX44" s="977" t="n"/>
      <c r="BY44" s="977" t="n"/>
      <c r="BZ44" s="977" t="n"/>
      <c r="CA44" s="977" t="n"/>
      <c r="CB44" s="977" t="n"/>
      <c r="CC44" s="980">
        <f>BO44+BQ44+BS44+BU44+BW44+BY44+CA44</f>
        <v/>
      </c>
      <c r="CD44" s="967">
        <f>BP44+BR44+BT44+BV44+BX44+BZ44+CB44</f>
        <v/>
      </c>
      <c r="CE44" s="958">
        <f>CD44-CC44</f>
        <v/>
      </c>
      <c r="CF44" s="984">
        <f>AL44+AY44+BL44+CC44+H44</f>
        <v/>
      </c>
      <c r="CG44" s="985">
        <f>AM44+AZ44+BM44+CD44+I44</f>
        <v/>
      </c>
      <c r="CH44" s="970">
        <f>CF44-CG44</f>
        <v/>
      </c>
    </row>
    <row r="45">
      <c r="A45" s="924" t="inlineStr">
        <is>
          <t xml:space="preserve">Производственные расходы </t>
        </is>
      </c>
      <c r="B45" s="917" t="inlineStr">
        <is>
          <t>Расход</t>
        </is>
      </c>
      <c r="C45" s="977" t="n"/>
      <c r="D45" s="977" t="n"/>
      <c r="E45" s="977" t="n"/>
      <c r="F45" s="977" t="n"/>
      <c r="G45" s="977" t="n"/>
      <c r="H45" s="981">
        <f>C45+D45+E45+F45+G45</f>
        <v/>
      </c>
      <c r="I45" s="964">
        <f>#REF!+#REF!+#REF!+#REF!+#REF!</f>
        <v/>
      </c>
      <c r="J45" s="982">
        <f>I45-H45</f>
        <v/>
      </c>
      <c r="K45" s="977" t="n"/>
      <c r="L45" s="977" t="n"/>
      <c r="M45" s="977" t="n"/>
      <c r="N45" s="977" t="n"/>
      <c r="O45" s="977" t="n"/>
      <c r="P45" s="977" t="n"/>
      <c r="Q45" s="977" t="n"/>
      <c r="R45" s="977" t="n"/>
      <c r="S45" s="977" t="n"/>
      <c r="T45" s="977" t="n"/>
      <c r="U45" s="977" t="n"/>
      <c r="V45" s="977" t="n"/>
      <c r="W45" s="977" t="n"/>
      <c r="X45" s="977" t="n"/>
      <c r="Y45" s="977" t="n"/>
      <c r="Z45" s="977" t="n"/>
      <c r="AA45" s="977" t="n"/>
      <c r="AB45" s="656">
        <f>-335000</f>
        <v/>
      </c>
      <c r="AC45" s="656" t="n"/>
      <c r="AD45" s="977" t="n"/>
      <c r="AE45" s="656" t="n">
        <v>-300000</v>
      </c>
      <c r="AF45" s="977" t="n"/>
      <c r="AG45" s="977" t="n"/>
      <c r="AH45" s="977" t="n"/>
      <c r="AI45" s="977" t="n"/>
      <c r="AJ45" s="977" t="n"/>
      <c r="AK45" s="977" t="n"/>
      <c r="AL45" s="659">
        <f>K45+AF45+AD45+AH45+AJ45</f>
        <v/>
      </c>
      <c r="AM45" s="964">
        <f>AB45+AE45+AG45+AI45+AK45</f>
        <v/>
      </c>
      <c r="AN45" s="982">
        <f>AM45-AL45</f>
        <v/>
      </c>
      <c r="AO45" s="977" t="n"/>
      <c r="AP45" s="977" t="n"/>
      <c r="AQ45" s="977" t="n"/>
      <c r="AR45" s="977" t="n"/>
      <c r="AS45" s="954" t="n">
        <v>-88300</v>
      </c>
      <c r="AT45" s="977" t="n"/>
      <c r="AU45" s="977" t="n"/>
      <c r="AV45" s="977" t="n"/>
      <c r="AW45" s="977" t="n"/>
      <c r="AX45" s="977" t="n"/>
      <c r="AY45" s="954">
        <f>AO45+AQ45+AS45+AU45+AW45</f>
        <v/>
      </c>
      <c r="AZ45" s="954">
        <f>AP45+AR45+AT45+AV45+AX45</f>
        <v/>
      </c>
      <c r="BA45" s="983">
        <f>AZ45-AY45</f>
        <v/>
      </c>
      <c r="BB45" s="977" t="n"/>
      <c r="BC45" s="977" t="n"/>
      <c r="BD45" s="656" t="n">
        <v>-150000</v>
      </c>
      <c r="BE45" s="977" t="n"/>
      <c r="BF45" s="977" t="n"/>
      <c r="BG45" s="977" t="n"/>
      <c r="BH45" s="977" t="n"/>
      <c r="BI45" s="977" t="n"/>
      <c r="BJ45" s="977" t="n"/>
      <c r="BK45" s="977" t="n"/>
      <c r="BL45" s="954">
        <f>BB45+BD45+BF45+BH45+BJ45</f>
        <v/>
      </c>
      <c r="BM45" s="954">
        <f>BC45+BE45+BG45+BI45+BK45</f>
        <v/>
      </c>
      <c r="BN45" s="599">
        <f>BM45-BL45</f>
        <v/>
      </c>
      <c r="BO45" s="977" t="n"/>
      <c r="BP45" s="977" t="n"/>
      <c r="BQ45" s="977" t="n"/>
      <c r="BR45" s="977" t="n"/>
      <c r="BS45" s="977" t="n"/>
      <c r="BT45" s="977" t="n"/>
      <c r="BU45" s="977" t="n"/>
      <c r="BV45" s="977" t="n"/>
      <c r="BW45" s="977" t="n"/>
      <c r="BX45" s="977" t="n"/>
      <c r="BY45" s="977" t="n"/>
      <c r="BZ45" s="977" t="n"/>
      <c r="CA45" s="977" t="n"/>
      <c r="CB45" s="977" t="n"/>
      <c r="CC45" s="980">
        <f>BO45+BQ45+BS45+BU45+BW45+BY45+CA45</f>
        <v/>
      </c>
      <c r="CD45" s="967">
        <f>BP45+BR45+BT45+BV45+BX45+BZ45+CB45</f>
        <v/>
      </c>
      <c r="CE45" s="958">
        <f>CD45-CC45</f>
        <v/>
      </c>
      <c r="CF45" s="984">
        <f>AL45+AY45+BL45+CC45+H45</f>
        <v/>
      </c>
      <c r="CG45" s="985">
        <f>AM45+AZ45+BM45+CD45+I45</f>
        <v/>
      </c>
      <c r="CH45" s="970">
        <f>CF45-CG45</f>
        <v/>
      </c>
    </row>
    <row r="46">
      <c r="A46" s="924" t="inlineStr">
        <is>
          <t>Инвентарь</t>
        </is>
      </c>
      <c r="B46" s="917" t="inlineStr">
        <is>
          <t>Расход</t>
        </is>
      </c>
      <c r="C46" s="977" t="n"/>
      <c r="D46" s="977" t="n"/>
      <c r="E46" s="977" t="n"/>
      <c r="F46" s="977" t="n"/>
      <c r="G46" s="977" t="n"/>
      <c r="H46" s="981">
        <f>C46+D46+E46+F46+G46</f>
        <v/>
      </c>
      <c r="I46" s="964">
        <f>#REF!+#REF!+#REF!+#REF!+#REF!</f>
        <v/>
      </c>
      <c r="J46" s="982">
        <f>I46-H46</f>
        <v/>
      </c>
      <c r="K46" s="977" t="n"/>
      <c r="L46" s="977" t="n"/>
      <c r="M46" s="977" t="n"/>
      <c r="N46" s="977" t="n"/>
      <c r="O46" s="977" t="n"/>
      <c r="P46" s="977" t="n"/>
      <c r="Q46" s="977" t="n"/>
      <c r="R46" s="977" t="n"/>
      <c r="S46" s="977" t="n"/>
      <c r="T46" s="977" t="n"/>
      <c r="U46" s="977" t="n"/>
      <c r="V46" s="977" t="n"/>
      <c r="W46" s="977" t="n"/>
      <c r="X46" s="977" t="n"/>
      <c r="Y46" s="977" t="n"/>
      <c r="Z46" s="977" t="n"/>
      <c r="AA46" s="977" t="n"/>
      <c r="AB46" s="977" t="n"/>
      <c r="AC46" s="977" t="n"/>
      <c r="AD46" s="977" t="n"/>
      <c r="AE46" s="977" t="n"/>
      <c r="AF46" s="977" t="n"/>
      <c r="AG46" s="977" t="n"/>
      <c r="AH46" s="977" t="n"/>
      <c r="AI46" s="977" t="n"/>
      <c r="AJ46" s="977" t="n"/>
      <c r="AK46" s="977" t="n"/>
      <c r="AL46" s="659">
        <f>K46+AF46+AD46+AH46+AJ46</f>
        <v/>
      </c>
      <c r="AM46" s="964">
        <f>AB46+AE46+AG46+AI46+AK46</f>
        <v/>
      </c>
      <c r="AN46" s="982">
        <f>AM46-AL46</f>
        <v/>
      </c>
      <c r="AO46" s="977" t="n"/>
      <c r="AP46" s="977" t="n"/>
      <c r="AQ46" s="977" t="n"/>
      <c r="AR46" s="977" t="n"/>
      <c r="AS46" s="977" t="n"/>
      <c r="AT46" s="977" t="n"/>
      <c r="AU46" s="977" t="n"/>
      <c r="AV46" s="977" t="n"/>
      <c r="AW46" s="977" t="n"/>
      <c r="AX46" s="977" t="n"/>
      <c r="AY46" s="954">
        <f>AO46+AQ46+AS46+AU46+AW46</f>
        <v/>
      </c>
      <c r="AZ46" s="954">
        <f>AP46+AR46+AT46+AV46+AX46</f>
        <v/>
      </c>
      <c r="BA46" s="983">
        <f>AZ46-AY46</f>
        <v/>
      </c>
      <c r="BB46" s="977" t="n"/>
      <c r="BC46" s="977" t="n"/>
      <c r="BD46" s="977" t="n"/>
      <c r="BE46" s="977" t="n"/>
      <c r="BF46" s="977" t="n"/>
      <c r="BG46" s="977" t="n"/>
      <c r="BH46" s="977" t="n"/>
      <c r="BI46" s="977" t="n"/>
      <c r="BJ46" s="977" t="n"/>
      <c r="BK46" s="977" t="n"/>
      <c r="BL46" s="954">
        <f>BB46+BD46+BF46+BH46+BJ46</f>
        <v/>
      </c>
      <c r="BM46" s="954">
        <f>BC46+BE46+BG46+BI46+BK46</f>
        <v/>
      </c>
      <c r="BN46" s="599">
        <f>BM46-BL46</f>
        <v/>
      </c>
      <c r="BO46" s="977" t="n"/>
      <c r="BP46" s="977" t="n"/>
      <c r="BQ46" s="977" t="n"/>
      <c r="BR46" s="977" t="n"/>
      <c r="BS46" s="977" t="n"/>
      <c r="BT46" s="977" t="n"/>
      <c r="BU46" s="977" t="n"/>
      <c r="BV46" s="977" t="n"/>
      <c r="BW46" s="977" t="n"/>
      <c r="BX46" s="977" t="n"/>
      <c r="BY46" s="977" t="n"/>
      <c r="BZ46" s="977" t="n"/>
      <c r="CA46" s="977" t="n"/>
      <c r="CB46" s="977" t="n"/>
      <c r="CC46" s="980">
        <f>BO46+BQ46+BS46+BU46+BW46+BY46+CA46</f>
        <v/>
      </c>
      <c r="CD46" s="967">
        <f>BP46+BR46+BT46+BV46+BX46+BZ46+CB46</f>
        <v/>
      </c>
      <c r="CE46" s="958">
        <f>CD46-CC46</f>
        <v/>
      </c>
      <c r="CF46" s="984">
        <f>AL46+AY46+BL46+CC46+H46</f>
        <v/>
      </c>
      <c r="CG46" s="985">
        <f>AM46+AZ46+BM46+CD46+I46</f>
        <v/>
      </c>
      <c r="CH46" s="970">
        <f>CF46-CG46</f>
        <v/>
      </c>
    </row>
    <row r="47">
      <c r="A47" s="924" t="inlineStr">
        <is>
          <t>Униформа</t>
        </is>
      </c>
      <c r="B47" s="917" t="inlineStr">
        <is>
          <t>Расход</t>
        </is>
      </c>
      <c r="C47" s="977" t="n"/>
      <c r="D47" s="977" t="n"/>
      <c r="E47" s="977" t="n"/>
      <c r="F47" s="977" t="n"/>
      <c r="G47" s="656" t="n">
        <v>-150000</v>
      </c>
      <c r="H47" s="981">
        <f>C47+D47+E47+F47+G47</f>
        <v/>
      </c>
      <c r="I47" s="964">
        <f>#REF!+#REF!+#REF!+#REF!+#REF!</f>
        <v/>
      </c>
      <c r="J47" s="982">
        <f>I47-H47</f>
        <v/>
      </c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7" t="n"/>
      <c r="U47" s="977" t="n"/>
      <c r="V47" s="977" t="n"/>
      <c r="W47" s="977" t="n"/>
      <c r="X47" s="977" t="n"/>
      <c r="Y47" s="977" t="n"/>
      <c r="Z47" s="977" t="n"/>
      <c r="AA47" s="977" t="n"/>
      <c r="AB47" s="656" t="n">
        <v>-39900</v>
      </c>
      <c r="AC47" s="656" t="n"/>
      <c r="AD47" s="977" t="n"/>
      <c r="AE47" s="977" t="n"/>
      <c r="AF47" s="977" t="n"/>
      <c r="AG47" s="977" t="n"/>
      <c r="AH47" s="977" t="n"/>
      <c r="AI47" s="977" t="n"/>
      <c r="AJ47" s="977" t="n"/>
      <c r="AK47" s="977" t="n"/>
      <c r="AL47" s="659">
        <f>K47+AF47+AD47+AH47+AJ47</f>
        <v/>
      </c>
      <c r="AM47" s="964">
        <f>AB47+AE47+AG47+AI47+AK47</f>
        <v/>
      </c>
      <c r="AN47" s="982">
        <f>AM47-AL47</f>
        <v/>
      </c>
      <c r="AO47" s="977" t="n"/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54">
        <f>AO47+AQ47+AS47+AU47+AW47</f>
        <v/>
      </c>
      <c r="AZ47" s="954">
        <f>AP47+AR47+AT47+AV47+AX47</f>
        <v/>
      </c>
      <c r="BA47" s="983">
        <f>AZ47-AY47</f>
        <v/>
      </c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54">
        <f>BB47+BD47+BF47+BH47+BJ47</f>
        <v/>
      </c>
      <c r="BM47" s="954">
        <f>BC47+BE47+BG47+BI47+BK47</f>
        <v/>
      </c>
      <c r="BN47" s="599">
        <f>BM47-BL47</f>
        <v/>
      </c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80">
        <f>BO47+BQ47+BS47+BU47+BW47+BY47+CA47</f>
        <v/>
      </c>
      <c r="CD47" s="967">
        <f>BP47+BR47+BT47+BV47+BX47+BZ47+CB47</f>
        <v/>
      </c>
      <c r="CE47" s="958">
        <f>CD47-CC47</f>
        <v/>
      </c>
      <c r="CF47" s="984">
        <f>AL47+AY47+BL47+CC47+H47</f>
        <v/>
      </c>
      <c r="CG47" s="985">
        <f>AM47+AZ47+BM47+CD47+I47</f>
        <v/>
      </c>
      <c r="CH47" s="970">
        <f>CF47-CG47</f>
        <v/>
      </c>
    </row>
    <row r="48">
      <c r="A48" s="924" t="inlineStr">
        <is>
          <t>Упаковка</t>
        </is>
      </c>
      <c r="B48" s="917" t="inlineStr">
        <is>
          <t>Расход</t>
        </is>
      </c>
      <c r="C48" s="977" t="n"/>
      <c r="D48" s="977" t="n"/>
      <c r="E48" s="977" t="n"/>
      <c r="F48" s="977" t="n"/>
      <c r="G48" s="656" t="n">
        <v>-2000000</v>
      </c>
      <c r="H48" s="981">
        <f>C48+D48+E48+F48+G48</f>
        <v/>
      </c>
      <c r="I48" s="964">
        <f>#REF!+#REF!+#REF!+#REF!+#REF!</f>
        <v/>
      </c>
      <c r="J48" s="982">
        <f>I48-H48</f>
        <v/>
      </c>
      <c r="K48" s="977" t="n"/>
      <c r="L48" s="977" t="n"/>
      <c r="M48" s="977" t="n"/>
      <c r="N48" s="977" t="n"/>
      <c r="O48" s="977" t="n"/>
      <c r="P48" s="977" t="n"/>
      <c r="Q48" s="977" t="n"/>
      <c r="R48" s="977" t="n"/>
      <c r="S48" s="977" t="n"/>
      <c r="T48" s="977" t="n"/>
      <c r="U48" s="977" t="n"/>
      <c r="V48" s="977" t="n"/>
      <c r="W48" s="977" t="n"/>
      <c r="X48" s="977" t="n"/>
      <c r="Y48" s="977" t="n"/>
      <c r="Z48" s="977" t="n"/>
      <c r="AA48" s="977" t="n"/>
      <c r="AB48" s="656" t="n">
        <v>-132000</v>
      </c>
      <c r="AC48" s="656" t="n"/>
      <c r="AD48" s="656" t="n">
        <v>-2500000</v>
      </c>
      <c r="AE48" s="656" t="n">
        <v>-569817</v>
      </c>
      <c r="AF48" s="977" t="n"/>
      <c r="AG48" s="977" t="n"/>
      <c r="AH48" s="977" t="n"/>
      <c r="AI48" s="977" t="n"/>
      <c r="AJ48" s="656" t="n">
        <v>-2000000</v>
      </c>
      <c r="AK48" s="977" t="n"/>
      <c r="AL48" s="659">
        <f>K48+AF48+AD48+AH48+AJ48</f>
        <v/>
      </c>
      <c r="AM48" s="964">
        <f>AB48+AE48+AG48+AI48+AK48</f>
        <v/>
      </c>
      <c r="AN48" s="982">
        <f>AM48-AL48</f>
        <v/>
      </c>
      <c r="AO48" s="977" t="n"/>
      <c r="AP48" s="977" t="n"/>
      <c r="AQ48" s="977" t="n"/>
      <c r="AR48" s="977" t="n"/>
      <c r="AS48" s="656" t="n">
        <v>-1500000</v>
      </c>
      <c r="AT48" s="977" t="n"/>
      <c r="AU48" s="954" t="n">
        <v>-900000</v>
      </c>
      <c r="AV48" s="977" t="n"/>
      <c r="AW48" s="656" t="n">
        <v>-600000</v>
      </c>
      <c r="AX48" s="977" t="n"/>
      <c r="AY48" s="954">
        <f>AO48+AQ48+AS48+AU48+AW48</f>
        <v/>
      </c>
      <c r="AZ48" s="954">
        <f>AP48+AR48+AT48+AV48+AX48</f>
        <v/>
      </c>
      <c r="BA48" s="983">
        <f>AZ48-AY48</f>
        <v/>
      </c>
      <c r="BB48" s="977" t="n"/>
      <c r="BC48" s="977" t="n"/>
      <c r="BD48" s="954" t="n">
        <v>-1000000</v>
      </c>
      <c r="BE48" s="977" t="n"/>
      <c r="BF48" s="977" t="n"/>
      <c r="BG48" s="977" t="n"/>
      <c r="BH48" s="980" t="n">
        <v>-1000000</v>
      </c>
      <c r="BI48" s="977" t="n"/>
      <c r="BJ48" s="656" t="n">
        <v>-2000000</v>
      </c>
      <c r="BK48" s="977" t="n"/>
      <c r="BL48" s="954">
        <f>BB48+BD48+BF48+BH48+BJ48</f>
        <v/>
      </c>
      <c r="BM48" s="954">
        <f>BC48+BE48+BG48+BI48+BK48</f>
        <v/>
      </c>
      <c r="BN48" s="599">
        <f>BM48-BL48</f>
        <v/>
      </c>
      <c r="BO48" s="977" t="n"/>
      <c r="BP48" s="977" t="n"/>
      <c r="BQ48" s="656" t="n">
        <v>-2000000</v>
      </c>
      <c r="BR48" s="977" t="n"/>
      <c r="BS48" s="977" t="n"/>
      <c r="BT48" s="977" t="n"/>
      <c r="BU48" s="977" t="n"/>
      <c r="BV48" s="977" t="n"/>
      <c r="BW48" s="977" t="n"/>
      <c r="BX48" s="977" t="n"/>
      <c r="BY48" s="977" t="n"/>
      <c r="BZ48" s="977" t="n"/>
      <c r="CA48" s="977" t="n"/>
      <c r="CB48" s="977" t="n"/>
      <c r="CC48" s="980">
        <f>BO48+BQ48+BS48+BU48+BW48+BY48+CA48</f>
        <v/>
      </c>
      <c r="CD48" s="967">
        <f>BP48+BR48+BT48+BV48+BX48+BZ48+CB48</f>
        <v/>
      </c>
      <c r="CE48" s="958">
        <f>CD48-CC48</f>
        <v/>
      </c>
      <c r="CF48" s="984">
        <f>AL48+AY48+BL48+CC48+H48</f>
        <v/>
      </c>
      <c r="CG48" s="985">
        <f>AM48+AZ48+BM48+CD48+I48</f>
        <v/>
      </c>
      <c r="CH48" s="970">
        <f>CF48-CG48</f>
        <v/>
      </c>
    </row>
    <row r="49">
      <c r="A49" s="924" t="inlineStr">
        <is>
          <t>Хоз.товара</t>
        </is>
      </c>
      <c r="B49" s="917" t="inlineStr">
        <is>
          <t>Расход</t>
        </is>
      </c>
      <c r="C49" s="977" t="n"/>
      <c r="D49" s="977" t="n"/>
      <c r="E49" s="977" t="n"/>
      <c r="F49" s="977" t="n"/>
      <c r="G49" s="977" t="n"/>
      <c r="H49" s="981">
        <f>C49+D49+E49+F49+G49</f>
        <v/>
      </c>
      <c r="I49" s="964">
        <f>#REF!+#REF!+#REF!+#REF!+#REF!</f>
        <v/>
      </c>
      <c r="J49" s="982">
        <f>I49-H49</f>
        <v/>
      </c>
      <c r="K49" s="977" t="n"/>
      <c r="L49" s="977" t="n"/>
      <c r="M49" s="977" t="n"/>
      <c r="N49" s="977" t="n"/>
      <c r="O49" s="977" t="n"/>
      <c r="P49" s="977" t="n"/>
      <c r="Q49" s="977" t="n"/>
      <c r="R49" s="977" t="n"/>
      <c r="S49" s="977" t="n"/>
      <c r="T49" s="977" t="n"/>
      <c r="U49" s="977" t="n"/>
      <c r="V49" s="977" t="n"/>
      <c r="W49" s="977" t="n"/>
      <c r="X49" s="977" t="n"/>
      <c r="Y49" s="977" t="n"/>
      <c r="Z49" s="977" t="n"/>
      <c r="AA49" s="977" t="n"/>
      <c r="AB49" s="977" t="n"/>
      <c r="AC49" s="977" t="n"/>
      <c r="AD49" s="977" t="n"/>
      <c r="AE49" s="656" t="n">
        <v>-340760</v>
      </c>
      <c r="AF49" s="977" t="n"/>
      <c r="AG49" s="977" t="n"/>
      <c r="AH49" s="977" t="n"/>
      <c r="AI49" s="977" t="n"/>
      <c r="AJ49" s="977" t="n"/>
      <c r="AK49" s="977" t="n"/>
      <c r="AL49" s="659">
        <f>K49+AF49+AD49+AH49+AJ49</f>
        <v/>
      </c>
      <c r="AM49" s="964">
        <f>AB49+AE49+AG49+AI49+AK49</f>
        <v/>
      </c>
      <c r="AN49" s="982">
        <f>AM49-AL49</f>
        <v/>
      </c>
      <c r="AO49" s="977" t="n"/>
      <c r="AP49" s="977" t="n"/>
      <c r="AQ49" s="977" t="n"/>
      <c r="AR49" s="977" t="n"/>
      <c r="AS49" s="977" t="n"/>
      <c r="AT49" s="977" t="n"/>
      <c r="AU49" s="977" t="n"/>
      <c r="AV49" s="977" t="n"/>
      <c r="AW49" s="656" t="n">
        <v>-300000</v>
      </c>
      <c r="AX49" s="977" t="n"/>
      <c r="AY49" s="954">
        <f>AO49+AQ49+AS49+AU49+AW49</f>
        <v/>
      </c>
      <c r="AZ49" s="954">
        <f>AP49+AR49+AT49+AV49+AX49</f>
        <v/>
      </c>
      <c r="BA49" s="983">
        <f>AZ49-AY49</f>
        <v/>
      </c>
      <c r="BB49" s="977" t="n"/>
      <c r="BC49" s="977" t="n"/>
      <c r="BD49" s="977" t="n"/>
      <c r="BE49" s="977" t="n"/>
      <c r="BF49" s="977" t="n"/>
      <c r="BG49" s="977" t="n"/>
      <c r="BH49" s="977" t="n"/>
      <c r="BI49" s="977" t="n"/>
      <c r="BJ49" s="977" t="n"/>
      <c r="BK49" s="977" t="n"/>
      <c r="BL49" s="954">
        <f>BB49+BD49+BF49+BH49+BJ49</f>
        <v/>
      </c>
      <c r="BM49" s="954">
        <f>BC49+BE49+BG49+BI49+BK49</f>
        <v/>
      </c>
      <c r="BN49" s="599">
        <f>BM49-BL49</f>
        <v/>
      </c>
      <c r="BO49" s="977" t="n"/>
      <c r="BP49" s="977" t="n"/>
      <c r="BQ49" s="977" t="n"/>
      <c r="BR49" s="977" t="n"/>
      <c r="BS49" s="977" t="n"/>
      <c r="BT49" s="977" t="n"/>
      <c r="BU49" s="977" t="n"/>
      <c r="BV49" s="977" t="n"/>
      <c r="BW49" s="977" t="n"/>
      <c r="BX49" s="977" t="n"/>
      <c r="BY49" s="977" t="n"/>
      <c r="BZ49" s="977" t="n"/>
      <c r="CA49" s="977" t="n"/>
      <c r="CB49" s="977" t="n"/>
      <c r="CC49" s="980">
        <f>BO49+BQ49+BS49+BU49+BW49+BY49+CA49</f>
        <v/>
      </c>
      <c r="CD49" s="967">
        <f>BP49+BR49+BT49+BV49+BX49+BZ49+CB49</f>
        <v/>
      </c>
      <c r="CE49" s="958">
        <f>CD49-CC49</f>
        <v/>
      </c>
      <c r="CF49" s="984">
        <f>AL49+AY49+BL49+CC49+H49</f>
        <v/>
      </c>
      <c r="CG49" s="985">
        <f>AM49+AZ49+BM49+CD49+I49</f>
        <v/>
      </c>
      <c r="CH49" s="970">
        <f>CF49-CG49</f>
        <v/>
      </c>
    </row>
    <row r="50">
      <c r="A50" s="924" t="inlineStr">
        <is>
          <t>Погашение кредита и %%</t>
        </is>
      </c>
      <c r="B50" s="917" t="inlineStr">
        <is>
          <t>Расход</t>
        </is>
      </c>
      <c r="C50" s="977" t="n"/>
      <c r="D50" s="977" t="n"/>
      <c r="E50" s="977" t="n"/>
      <c r="F50" s="977" t="n"/>
      <c r="G50" s="977" t="n"/>
      <c r="H50" s="981">
        <f>C50+D50+E50+F50+G50</f>
        <v/>
      </c>
      <c r="I50" s="964">
        <f>#REF!+#REF!+#REF!+#REF!+#REF!</f>
        <v/>
      </c>
      <c r="J50" s="982">
        <f>I50-H50</f>
        <v/>
      </c>
      <c r="K50" s="977" t="n"/>
      <c r="L50" s="977" t="n"/>
      <c r="M50" s="977" t="n"/>
      <c r="N50" s="977" t="n"/>
      <c r="O50" s="977" t="n"/>
      <c r="P50" s="977" t="n"/>
      <c r="Q50" s="977" t="n"/>
      <c r="R50" s="977" t="n"/>
      <c r="S50" s="977" t="n"/>
      <c r="T50" s="977" t="n"/>
      <c r="U50" s="977" t="n"/>
      <c r="V50" s="977" t="n"/>
      <c r="W50" s="977" t="n"/>
      <c r="X50" s="977" t="n"/>
      <c r="Y50" s="977" t="n"/>
      <c r="Z50" s="977" t="n"/>
      <c r="AA50" s="977" t="n"/>
      <c r="AB50" s="977" t="n"/>
      <c r="AC50" s="977" t="n"/>
      <c r="AD50" s="977" t="n"/>
      <c r="AE50" s="977" t="n"/>
      <c r="AF50" s="977" t="n"/>
      <c r="AG50" s="977" t="n"/>
      <c r="AH50" s="977" t="n"/>
      <c r="AI50" s="977" t="n"/>
      <c r="AJ50" s="977" t="n"/>
      <c r="AK50" s="977" t="n"/>
      <c r="AL50" s="659">
        <f>K50+AF50+AD50+AH50+AJ50</f>
        <v/>
      </c>
      <c r="AM50" s="964">
        <f>AB50+AE50+AG50+AI50+AK50</f>
        <v/>
      </c>
      <c r="AN50" s="982">
        <f>AM50-AL50</f>
        <v/>
      </c>
      <c r="AO50" s="977" t="n"/>
      <c r="AP50" s="977" t="n"/>
      <c r="AQ50" s="977" t="n"/>
      <c r="AR50" s="977" t="n"/>
      <c r="AS50" s="977" t="n"/>
      <c r="AT50" s="977" t="n"/>
      <c r="AU50" s="977" t="n"/>
      <c r="AV50" s="977" t="n"/>
      <c r="AW50" s="977" t="n"/>
      <c r="AX50" s="977" t="n"/>
      <c r="AY50" s="954">
        <f>AO50+AQ50+AS50+AU50+AW50</f>
        <v/>
      </c>
      <c r="AZ50" s="954">
        <f>AP50+AR50+AT50+AV50+AX50</f>
        <v/>
      </c>
      <c r="BA50" s="983">
        <f>AZ50-AY50</f>
        <v/>
      </c>
      <c r="BB50" s="977" t="n"/>
      <c r="BC50" s="977" t="n"/>
      <c r="BD50" s="977" t="n"/>
      <c r="BE50" s="977" t="n"/>
      <c r="BF50" s="977" t="n"/>
      <c r="BG50" s="977" t="n"/>
      <c r="BH50" s="977" t="n"/>
      <c r="BI50" s="977" t="n"/>
      <c r="BJ50" s="977" t="n"/>
      <c r="BK50" s="977" t="n"/>
      <c r="BL50" s="954">
        <f>BB50+BD50+BF50+BH50+BJ50</f>
        <v/>
      </c>
      <c r="BM50" s="954">
        <f>BC50+BE50+BG50+BI50+BK50</f>
        <v/>
      </c>
      <c r="BN50" s="599">
        <f>BM50-BL50</f>
        <v/>
      </c>
      <c r="BO50" s="656" t="n">
        <v>-1198352</v>
      </c>
      <c r="BP50" s="977" t="n"/>
      <c r="BQ50" s="977" t="n"/>
      <c r="BR50" s="977" t="n"/>
      <c r="BS50" s="977" t="n"/>
      <c r="BT50" s="977" t="n"/>
      <c r="BU50" s="656">
        <f>-915358-1770150</f>
        <v/>
      </c>
      <c r="BV50" s="977" t="n"/>
      <c r="BW50" s="977" t="n"/>
      <c r="BX50" s="977" t="n"/>
      <c r="BY50" s="977" t="n"/>
      <c r="BZ50" s="977" t="n"/>
      <c r="CA50" s="977" t="n"/>
      <c r="CB50" s="977" t="n"/>
      <c r="CC50" s="980">
        <f>BO50+BQ50+BS50+BU50+BW50+BY50+CA50</f>
        <v/>
      </c>
      <c r="CD50" s="967">
        <f>BP50+BR50+BT50+BV50+BX50+BZ50+CB50</f>
        <v/>
      </c>
      <c r="CE50" s="958">
        <f>CD50-CC50</f>
        <v/>
      </c>
      <c r="CF50" s="984">
        <f>AL50+AY50+BL50+CC50+H50</f>
        <v/>
      </c>
      <c r="CG50" s="985">
        <f>AM50+AZ50+BM50+CD50+I50</f>
        <v/>
      </c>
      <c r="CH50" s="970">
        <f>CF50-CG50</f>
        <v/>
      </c>
    </row>
    <row r="51">
      <c r="A51" s="924" t="inlineStr">
        <is>
          <t>Расходы по реализации Разные(Логистика)</t>
        </is>
      </c>
      <c r="B51" s="917" t="inlineStr">
        <is>
          <t>Расход</t>
        </is>
      </c>
      <c r="C51" s="977" t="n"/>
      <c r="D51" s="977" t="n"/>
      <c r="E51" s="977" t="n"/>
      <c r="F51" s="656" t="n">
        <v>-2000000</v>
      </c>
      <c r="G51" s="977" t="n"/>
      <c r="H51" s="981">
        <f>C51+D51+E51+F51+G51</f>
        <v/>
      </c>
      <c r="I51" s="964">
        <f>#REF!+#REF!+#REF!+#REF!+#REF!</f>
        <v/>
      </c>
      <c r="J51" s="982">
        <f>I51-H51</f>
        <v/>
      </c>
      <c r="K51" s="977" t="n"/>
      <c r="L51" s="977" t="n"/>
      <c r="M51" s="977" t="n"/>
      <c r="N51" s="977" t="n"/>
      <c r="O51" s="977" t="n"/>
      <c r="P51" s="977" t="n"/>
      <c r="Q51" s="977" t="n"/>
      <c r="R51" s="977" t="n"/>
      <c r="S51" s="977" t="n"/>
      <c r="T51" s="977" t="n"/>
      <c r="U51" s="977" t="n"/>
      <c r="V51" s="977" t="n"/>
      <c r="W51" s="977" t="n"/>
      <c r="X51" s="977" t="n"/>
      <c r="Y51" s="977" t="n"/>
      <c r="Z51" s="977" t="n"/>
      <c r="AA51" s="977" t="n"/>
      <c r="AB51" s="977" t="n"/>
      <c r="AC51" s="977" t="n"/>
      <c r="AD51" s="977" t="n"/>
      <c r="AE51" s="977" t="n"/>
      <c r="AF51" s="977" t="n"/>
      <c r="AG51" s="977" t="n"/>
      <c r="AH51" s="977" t="n"/>
      <c r="AI51" s="977" t="n"/>
      <c r="AJ51" s="656" t="n">
        <v>-2725000</v>
      </c>
      <c r="AK51" s="977" t="n"/>
      <c r="AL51" s="659">
        <f>K51+AF51+AD51+AH51+AJ51</f>
        <v/>
      </c>
      <c r="AM51" s="964">
        <f>AB51+AE51+AG51+AI51+AK51</f>
        <v/>
      </c>
      <c r="AN51" s="982">
        <f>AM51-AL51</f>
        <v/>
      </c>
      <c r="AO51" s="977" t="n"/>
      <c r="AP51" s="977" t="n"/>
      <c r="AQ51" s="977" t="n"/>
      <c r="AR51" s="977" t="n"/>
      <c r="AS51" s="977" t="n"/>
      <c r="AT51" s="977" t="n"/>
      <c r="AU51" s="977" t="n"/>
      <c r="AV51" s="977" t="n"/>
      <c r="AW51" s="656" t="n">
        <v>-1500000</v>
      </c>
      <c r="AX51" s="977" t="n"/>
      <c r="AY51" s="954">
        <f>AO51+AQ51+AS51+AU51+AW51</f>
        <v/>
      </c>
      <c r="AZ51" s="954">
        <f>AP51+AR51+AT51+AV51+AX51</f>
        <v/>
      </c>
      <c r="BA51" s="983">
        <f>AZ51-AY51</f>
        <v/>
      </c>
      <c r="BB51" s="977" t="n"/>
      <c r="BC51" s="977" t="n"/>
      <c r="BD51" s="977" t="n"/>
      <c r="BE51" s="977" t="n"/>
      <c r="BF51" s="977" t="n"/>
      <c r="BG51" s="977" t="n"/>
      <c r="BH51" s="977" t="n"/>
      <c r="BI51" s="977" t="n"/>
      <c r="BJ51" s="656" t="n">
        <v>-2000000</v>
      </c>
      <c r="BK51" s="977" t="n"/>
      <c r="BL51" s="954">
        <f>BB51+BD51+BF51+BH51+BJ51</f>
        <v/>
      </c>
      <c r="BM51" s="954">
        <f>BC51+BE51+BG51+BI51+BK51</f>
        <v/>
      </c>
      <c r="BN51" s="599">
        <f>BM51-BL51</f>
        <v/>
      </c>
      <c r="BO51" s="977" t="n"/>
      <c r="BP51" s="977" t="n"/>
      <c r="BQ51" s="977" t="n"/>
      <c r="BR51" s="977" t="n"/>
      <c r="BS51" s="977" t="n"/>
      <c r="BT51" s="977" t="n"/>
      <c r="BU51" s="977" t="n"/>
      <c r="BV51" s="977" t="n"/>
      <c r="BW51" s="977" t="n"/>
      <c r="BX51" s="977" t="n"/>
      <c r="BY51" s="977" t="n"/>
      <c r="BZ51" s="977" t="n"/>
      <c r="CA51" s="977" t="n"/>
      <c r="CB51" s="977" t="n"/>
      <c r="CC51" s="980">
        <f>BO51+BQ51+BS51+BU51+BW51+BY51+CA51</f>
        <v/>
      </c>
      <c r="CD51" s="967">
        <f>BP51+BR51+BT51+BV51+BX51+BZ51+CB51</f>
        <v/>
      </c>
      <c r="CE51" s="958">
        <f>CD51-CC51</f>
        <v/>
      </c>
      <c r="CF51" s="984">
        <f>AL51+AY51+BL51+CC51+H51</f>
        <v/>
      </c>
      <c r="CG51" s="985">
        <f>AM51+AZ51+BM51+CD51+I51</f>
        <v/>
      </c>
      <c r="CH51" s="970">
        <f>CF51-CG51</f>
        <v/>
      </c>
    </row>
    <row r="52">
      <c r="A52" s="924" t="inlineStr">
        <is>
          <t>Ремонт помещений</t>
        </is>
      </c>
      <c r="B52" s="917" t="inlineStr">
        <is>
          <t>Расход</t>
        </is>
      </c>
      <c r="C52" s="977" t="n"/>
      <c r="D52" s="977" t="n"/>
      <c r="E52" s="977" t="n"/>
      <c r="F52" s="977" t="n"/>
      <c r="G52" s="977" t="n"/>
      <c r="H52" s="981">
        <f>C52+D52+E52+F52+G52</f>
        <v/>
      </c>
      <c r="I52" s="964">
        <f>#REF!+#REF!+#REF!+#REF!+#REF!</f>
        <v/>
      </c>
      <c r="J52" s="982">
        <f>I52-H52</f>
        <v/>
      </c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977" t="n"/>
      <c r="AE52" s="977" t="n"/>
      <c r="AF52" s="977" t="n"/>
      <c r="AG52" s="977" t="n"/>
      <c r="AH52" s="977" t="n"/>
      <c r="AI52" s="977" t="n"/>
      <c r="AJ52" s="977" t="n"/>
      <c r="AK52" s="977" t="n"/>
      <c r="AL52" s="659">
        <f>K52+AF52+AD52+AH52+AJ52</f>
        <v/>
      </c>
      <c r="AM52" s="964">
        <f>AB52+AE52+AG52+AI52+AK52</f>
        <v/>
      </c>
      <c r="AN52" s="982">
        <f>AM52-AL52</f>
        <v/>
      </c>
      <c r="AO52" s="977" t="n"/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54">
        <f>AO52+AQ52+AS52+AU52+AW52</f>
        <v/>
      </c>
      <c r="AZ52" s="954">
        <f>AP52+AR52+AT52+AV52+AX52</f>
        <v/>
      </c>
      <c r="BA52" s="983">
        <f>AZ52-AY52</f>
        <v/>
      </c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54">
        <f>BB52+BD52+BF52+BH52+BJ52</f>
        <v/>
      </c>
      <c r="BM52" s="954">
        <f>BC52+BE52+BG52+BI52+BK52</f>
        <v/>
      </c>
      <c r="BN52" s="599">
        <f>BM52-BL52</f>
        <v/>
      </c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80">
        <f>BO52+BQ52+BS52+BU52+BW52+BY52+CA52</f>
        <v/>
      </c>
      <c r="CD52" s="967">
        <f>BP52+BR52+BT52+BV52+BX52+BZ52+CB52</f>
        <v/>
      </c>
      <c r="CE52" s="958">
        <f>CD52-CC52</f>
        <v/>
      </c>
      <c r="CF52" s="984">
        <f>AL52+AY52+BL52+CC52+H52</f>
        <v/>
      </c>
      <c r="CG52" s="985">
        <f>AM52+AZ52+BM52+CD52+I52</f>
        <v/>
      </c>
      <c r="CH52" s="970">
        <f>CF52-CG52</f>
        <v/>
      </c>
    </row>
    <row r="53">
      <c r="A53" s="924" t="inlineStr">
        <is>
          <t>Ремонт оборудования</t>
        </is>
      </c>
      <c r="B53" s="917" t="inlineStr">
        <is>
          <t>Расход</t>
        </is>
      </c>
      <c r="C53" s="977" t="n"/>
      <c r="D53" s="977" t="n"/>
      <c r="E53" s="977" t="n"/>
      <c r="F53" s="977" t="n"/>
      <c r="G53" s="977" t="n"/>
      <c r="H53" s="981">
        <f>C53+D53+E53+F53+G53</f>
        <v/>
      </c>
      <c r="I53" s="964">
        <f>#REF!+#REF!+#REF!+#REF!+#REF!</f>
        <v/>
      </c>
      <c r="J53" s="982">
        <f>I53-H53</f>
        <v/>
      </c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977" t="n"/>
      <c r="AE53" s="977" t="n"/>
      <c r="AF53" s="977" t="n"/>
      <c r="AG53" s="977" t="n"/>
      <c r="AH53" s="977" t="n"/>
      <c r="AI53" s="977" t="n"/>
      <c r="AJ53" s="977" t="n"/>
      <c r="AK53" s="977" t="n"/>
      <c r="AL53" s="659">
        <f>K53+AF53+AD53+AH53+AJ53</f>
        <v/>
      </c>
      <c r="AM53" s="964">
        <f>AB53+AE53+AG53+AI53+AK53</f>
        <v/>
      </c>
      <c r="AN53" s="982">
        <f>AM53-AL53</f>
        <v/>
      </c>
      <c r="AO53" s="977" t="n"/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54">
        <f>AO53+AQ53+AS53+AU53+AW53</f>
        <v/>
      </c>
      <c r="AZ53" s="954">
        <f>AP53+AR53+AT53+AV53+AX53</f>
        <v/>
      </c>
      <c r="BA53" s="983">
        <f>AZ53-AY53</f>
        <v/>
      </c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54">
        <f>BB53+BD53+BF53+BH53+BJ53</f>
        <v/>
      </c>
      <c r="BM53" s="954">
        <f>BC53+BE53+BG53+BI53+BK53</f>
        <v/>
      </c>
      <c r="BN53" s="599">
        <f>BM53-BL53</f>
        <v/>
      </c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80">
        <f>BO53+BQ53+BS53+BU53+BW53+BY53+CA53</f>
        <v/>
      </c>
      <c r="CD53" s="967">
        <f>BP53+BR53+BT53+BV53+BX53+BZ53+CB53</f>
        <v/>
      </c>
      <c r="CE53" s="958">
        <f>CD53-CC53</f>
        <v/>
      </c>
      <c r="CF53" s="984">
        <f>AL53+AY53+BL53+CC53+H53</f>
        <v/>
      </c>
      <c r="CG53" s="985">
        <f>AM53+AZ53+BM53+CD53+I53</f>
        <v/>
      </c>
      <c r="CH53" s="970">
        <f>CF53-CG53</f>
        <v/>
      </c>
    </row>
    <row r="54">
      <c r="A54" s="924" t="inlineStr">
        <is>
          <t>Приобретение основных средств</t>
        </is>
      </c>
      <c r="B54" s="917" t="inlineStr">
        <is>
          <t>Расход</t>
        </is>
      </c>
      <c r="C54" s="977" t="n"/>
      <c r="D54" s="977" t="n"/>
      <c r="E54" s="977" t="n"/>
      <c r="F54" s="977" t="n"/>
      <c r="G54" s="977" t="n"/>
      <c r="H54" s="981">
        <f>C54+D54+E54+F54+G54</f>
        <v/>
      </c>
      <c r="I54" s="964">
        <f>#REF!+#REF!+#REF!+#REF!+#REF!</f>
        <v/>
      </c>
      <c r="J54" s="982">
        <f>I54-H54</f>
        <v/>
      </c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977" t="n"/>
      <c r="AE54" s="977" t="n"/>
      <c r="AF54" s="977" t="n"/>
      <c r="AG54" s="977" t="n"/>
      <c r="AH54" s="977" t="n"/>
      <c r="AI54" s="977" t="n"/>
      <c r="AJ54" s="977" t="n"/>
      <c r="AK54" s="977" t="n"/>
      <c r="AL54" s="659">
        <f>K54+AF54+AD54+AH54+AJ54</f>
        <v/>
      </c>
      <c r="AM54" s="964">
        <f>AB54+AE54+AG54+AI54+AK54</f>
        <v/>
      </c>
      <c r="AN54" s="982">
        <f>AM54-AL54</f>
        <v/>
      </c>
      <c r="AO54" s="977" t="n"/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54">
        <f>AO54+AQ54+AS54+AU54+AW54</f>
        <v/>
      </c>
      <c r="AZ54" s="954">
        <f>AP54+AR54+AT54+AV54+AX54</f>
        <v/>
      </c>
      <c r="BA54" s="983">
        <f>AZ54-AY54</f>
        <v/>
      </c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54">
        <f>BB54+BD54+BF54+BH54+BJ54</f>
        <v/>
      </c>
      <c r="BM54" s="954">
        <f>BC54+BE54+BG54+BI54+BK54</f>
        <v/>
      </c>
      <c r="BN54" s="599">
        <f>BM54-BL54</f>
        <v/>
      </c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80">
        <f>BO54+BQ54+BS54+BU54+BW54+BY54+CA54</f>
        <v/>
      </c>
      <c r="CD54" s="967">
        <f>BP54+BR54+BT54+BV54+BX54+BZ54+CB54</f>
        <v/>
      </c>
      <c r="CE54" s="958">
        <f>CD54-CC54</f>
        <v/>
      </c>
      <c r="CF54" s="984">
        <f>AL54+AY54+BL54+CC54+H54</f>
        <v/>
      </c>
      <c r="CG54" s="985">
        <f>AM54+AZ54+BM54+CD54+I54</f>
        <v/>
      </c>
      <c r="CH54" s="970">
        <f>CF54-CG54</f>
        <v/>
      </c>
    </row>
    <row r="55">
      <c r="A55" s="924" t="inlineStr">
        <is>
          <t>Сырье Платежи поставщикам</t>
        </is>
      </c>
      <c r="B55" s="917" t="inlineStr">
        <is>
          <t>Расход</t>
        </is>
      </c>
      <c r="C55" s="977" t="n"/>
      <c r="D55" s="977" t="n"/>
      <c r="E55" s="977" t="n"/>
      <c r="F55" s="977" t="n"/>
      <c r="G55" s="656" t="n">
        <v>-14000000</v>
      </c>
      <c r="H55" s="981">
        <f>C55+D55+E55+F55+G55</f>
        <v/>
      </c>
      <c r="I55" s="964">
        <f>#REF!+#REF!+#REF!+#REF!+#REF!</f>
        <v/>
      </c>
      <c r="J55" s="982">
        <f>I55-H55</f>
        <v/>
      </c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656" t="n">
        <v>-4844150</v>
      </c>
      <c r="AC55" s="656" t="n"/>
      <c r="AD55" s="656" t="n">
        <v>-2000000</v>
      </c>
      <c r="AE55" s="656" t="n">
        <v>-4111835</v>
      </c>
      <c r="AF55" s="656" t="n">
        <v>-14000000</v>
      </c>
      <c r="AG55" s="977">
        <f>-699700-6755898</f>
        <v/>
      </c>
      <c r="AH55" s="977" t="n"/>
      <c r="AI55" s="977" t="n"/>
      <c r="AJ55" s="656" t="n">
        <v>-14000000</v>
      </c>
      <c r="AK55" s="977" t="n"/>
      <c r="AL55" s="659">
        <f>K55+AF55+AD55+AH55+AJ55</f>
        <v/>
      </c>
      <c r="AM55" s="964">
        <f>AB55+AE55+AG55+AI55+AK55</f>
        <v/>
      </c>
      <c r="AN55" s="982">
        <f>AM55-AL55</f>
        <v/>
      </c>
      <c r="AO55" s="977" t="n"/>
      <c r="AP55" s="977" t="n"/>
      <c r="AQ55" s="656" t="n">
        <v>-6000000</v>
      </c>
      <c r="AR55" s="977" t="n"/>
      <c r="AS55" s="656" t="n">
        <v>-10000000</v>
      </c>
      <c r="AT55" s="977" t="n"/>
      <c r="AU55" s="977" t="n"/>
      <c r="AV55" s="977" t="n"/>
      <c r="AW55" s="656" t="n">
        <v>-13000000</v>
      </c>
      <c r="AX55" s="977" t="n"/>
      <c r="AY55" s="954">
        <f>AO55+AQ55+AS55+AU55+AW55</f>
        <v/>
      </c>
      <c r="AZ55" s="954">
        <f>AP55+AR55+AT55+AV55+AX55</f>
        <v/>
      </c>
      <c r="BA55" s="983">
        <f>AZ55-AY55</f>
        <v/>
      </c>
      <c r="BB55" s="977" t="n"/>
      <c r="BC55" s="977" t="n"/>
      <c r="BD55" s="656" t="n">
        <v>-12000000</v>
      </c>
      <c r="BE55" s="977" t="n"/>
      <c r="BF55" s="977" t="n"/>
      <c r="BG55" s="977" t="n"/>
      <c r="BH55" s="977" t="n"/>
      <c r="BI55" s="977" t="n"/>
      <c r="BJ55" s="656" t="n">
        <v>-12000000</v>
      </c>
      <c r="BK55" s="977" t="n"/>
      <c r="BL55" s="954">
        <f>BB55+BD55+BF55+BH55+BJ55</f>
        <v/>
      </c>
      <c r="BM55" s="954">
        <f>BC55+BE55+BG55+BI55+BK55</f>
        <v/>
      </c>
      <c r="BN55" s="599">
        <f>BM55-BL55</f>
        <v/>
      </c>
      <c r="BO55" s="656" t="n">
        <v>-30000000</v>
      </c>
      <c r="BP55" s="977" t="n"/>
      <c r="BQ55" s="656" t="n">
        <v>-10000000</v>
      </c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80">
        <f>BO55+BQ55+BS55+BU55+BW55+BY55+CA55</f>
        <v/>
      </c>
      <c r="CD55" s="967">
        <f>BP55+BR55+BT55+BV55+BX55+BZ55+CB55</f>
        <v/>
      </c>
      <c r="CE55" s="958">
        <f>CD55-CC55</f>
        <v/>
      </c>
      <c r="CF55" s="984">
        <f>AL55+AY55+BL55+CC55+H55</f>
        <v/>
      </c>
      <c r="CG55" s="985">
        <f>AM55+AZ55+BM55+CD55+I55</f>
        <v/>
      </c>
      <c r="CH55" s="970">
        <f>CF55-CG55</f>
        <v/>
      </c>
    </row>
    <row r="56">
      <c r="A56" s="924" t="inlineStr">
        <is>
          <t>Электроэнергия</t>
        </is>
      </c>
      <c r="B56" s="917" t="inlineStr">
        <is>
          <t>Расход</t>
        </is>
      </c>
      <c r="C56" s="977" t="n"/>
      <c r="D56" s="977" t="n"/>
      <c r="E56" s="977" t="n"/>
      <c r="F56" s="977" t="n"/>
      <c r="G56" s="977" t="n"/>
      <c r="H56" s="981">
        <f>C56+D56+E56+F56+G56</f>
        <v/>
      </c>
      <c r="I56" s="964">
        <f>#REF!+#REF!+#REF!+#REF!+#REF!</f>
        <v/>
      </c>
      <c r="J56" s="982">
        <f>I56-H56</f>
        <v/>
      </c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977" t="n"/>
      <c r="AE56" s="977" t="n"/>
      <c r="AF56" s="977" t="n"/>
      <c r="AG56" s="977" t="n"/>
      <c r="AH56" s="977" t="n"/>
      <c r="AI56" s="977" t="n"/>
      <c r="AJ56" s="977" t="n"/>
      <c r="AK56" s="977" t="n"/>
      <c r="AL56" s="659">
        <f>K56+AF56+AD56+AH56+AJ56</f>
        <v/>
      </c>
      <c r="AM56" s="964">
        <f>AB56+AE56+AG56+AI56+AK56</f>
        <v/>
      </c>
      <c r="AN56" s="982">
        <f>AM56-AL56</f>
        <v/>
      </c>
      <c r="AO56" s="977" t="n"/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54">
        <f>AO56+AQ56+AS56+AU56+AW56</f>
        <v/>
      </c>
      <c r="AZ56" s="954">
        <f>AP56+AR56+AT56+AV56+AX56</f>
        <v/>
      </c>
      <c r="BA56" s="983">
        <f>AZ56-AY56</f>
        <v/>
      </c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54">
        <f>BB56+BD56+BF56+BH56+BJ56</f>
        <v/>
      </c>
      <c r="BM56" s="954">
        <f>BC56+BE56+BG56+BI56+BK56</f>
        <v/>
      </c>
      <c r="BN56" s="599">
        <f>BM56-BL56</f>
        <v/>
      </c>
      <c r="BO56" s="954" t="n">
        <v>-6100000</v>
      </c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80">
        <f>BO56+BQ56+BS56+BU56+BW56+BY56+CA56</f>
        <v/>
      </c>
      <c r="CD56" s="967">
        <f>BP56+BR56+BT56+BV56+BX56+BZ56+CB56</f>
        <v/>
      </c>
      <c r="CE56" s="958">
        <f>CD56-CC56</f>
        <v/>
      </c>
      <c r="CF56" s="984">
        <f>AL56+AY56+BL56+CC56+H56</f>
        <v/>
      </c>
      <c r="CG56" s="985">
        <f>AM56+AZ56+BM56+CD56+I56</f>
        <v/>
      </c>
      <c r="CH56" s="970">
        <f>CF56-CG56</f>
        <v/>
      </c>
    </row>
    <row r="57">
      <c r="A57" s="926" t="inlineStr">
        <is>
          <t>Итого по банку</t>
        </is>
      </c>
      <c r="B57" s="917" t="inlineStr">
        <is>
          <t>Расход</t>
        </is>
      </c>
      <c r="C57" s="920" t="n">
        <v>0</v>
      </c>
      <c r="D57" s="920">
        <f>SUM(D32:D56)</f>
        <v/>
      </c>
      <c r="E57" s="920">
        <f>SUM(E32:E56)</f>
        <v/>
      </c>
      <c r="F57" s="920">
        <f>SUM(F32:F56)</f>
        <v/>
      </c>
      <c r="G57" s="920">
        <f>SUM(G32:G56)</f>
        <v/>
      </c>
      <c r="H57" s="974">
        <f>SUM(H32:H56)</f>
        <v/>
      </c>
      <c r="I57" s="974">
        <f>SUM(I32:I56)</f>
        <v/>
      </c>
      <c r="J57" s="953">
        <f>I57-H57</f>
        <v/>
      </c>
      <c r="K57" s="920">
        <f>SUM(K32:K56)</f>
        <v/>
      </c>
      <c r="L57" s="920" t="n"/>
      <c r="M57" s="920" t="n"/>
      <c r="N57" s="920" t="n"/>
      <c r="O57" s="920" t="n"/>
      <c r="P57" s="920" t="n"/>
      <c r="Q57" s="920" t="n"/>
      <c r="R57" s="920" t="n"/>
      <c r="S57" s="920" t="n"/>
      <c r="T57" s="920" t="n"/>
      <c r="U57" s="920" t="n"/>
      <c r="V57" s="920" t="n"/>
      <c r="W57" s="920" t="n"/>
      <c r="X57" s="920" t="n"/>
      <c r="Y57" s="920" t="n"/>
      <c r="Z57" s="920" t="n"/>
      <c r="AA57" s="920" t="n"/>
      <c r="AB57" s="920">
        <f>SUM(AB32:AB56)</f>
        <v/>
      </c>
      <c r="AC57" s="920" t="n"/>
      <c r="AD57" s="920">
        <f>SUM(AD32:AD56)</f>
        <v/>
      </c>
      <c r="AE57" s="920">
        <f>SUM(AE32:AE56)</f>
        <v/>
      </c>
      <c r="AF57" s="920">
        <f>SUM(AF32:AF56)</f>
        <v/>
      </c>
      <c r="AG57" s="920">
        <f>SUM(AG32:AG56)</f>
        <v/>
      </c>
      <c r="AH57" s="920">
        <f>SUM(AH32:AH56)</f>
        <v/>
      </c>
      <c r="AI57" s="920">
        <f>SUM(AI32:AI56)</f>
        <v/>
      </c>
      <c r="AJ57" s="920">
        <f>SUM(AJ32:AJ56)</f>
        <v/>
      </c>
      <c r="AK57" s="920">
        <f>SUM(AK32:AK56)</f>
        <v/>
      </c>
      <c r="AL57" s="974">
        <f>SUM(AL32:AL56)</f>
        <v/>
      </c>
      <c r="AM57" s="974">
        <f>SUM(AM32:AM56)</f>
        <v/>
      </c>
      <c r="AN57" s="953">
        <f>AM57-AL57</f>
        <v/>
      </c>
      <c r="AO57" s="920">
        <f>SUM(AO32:AO56)</f>
        <v/>
      </c>
      <c r="AP57" s="920">
        <f>SUM(AP32:AP56)</f>
        <v/>
      </c>
      <c r="AQ57" s="920">
        <f>SUM(AQ32:AQ56)</f>
        <v/>
      </c>
      <c r="AR57" s="920">
        <f>SUM(AR32:AR56)</f>
        <v/>
      </c>
      <c r="AS57" s="920">
        <f>SUM(AS32:AS56)</f>
        <v/>
      </c>
      <c r="AT57" s="920">
        <f>SUM(AT32:AT56)</f>
        <v/>
      </c>
      <c r="AU57" s="920">
        <f>SUM(AU32:AU56)</f>
        <v/>
      </c>
      <c r="AV57" s="920">
        <f>SUM(AV32:AV56)</f>
        <v/>
      </c>
      <c r="AW57" s="920">
        <f>SUM(AW32:AW56)</f>
        <v/>
      </c>
      <c r="AX57" s="920">
        <f>SUM(AX32:AX56)</f>
        <v/>
      </c>
      <c r="AY57" s="920">
        <f>SUM(AY32:AY56)</f>
        <v/>
      </c>
      <c r="AZ57" s="920">
        <f>SUM(AZ32:AZ56)</f>
        <v/>
      </c>
      <c r="BA57" s="956">
        <f>AZ57-AY57</f>
        <v/>
      </c>
      <c r="BB57" s="920">
        <f>SUM(BB32:BB56)</f>
        <v/>
      </c>
      <c r="BC57" s="920">
        <f>SUM(BC32:BC56)</f>
        <v/>
      </c>
      <c r="BD57" s="920">
        <f>SUM(BD32:BD56)</f>
        <v/>
      </c>
      <c r="BE57" s="920">
        <f>SUM(BE32:BE56)</f>
        <v/>
      </c>
      <c r="BF57" s="920">
        <f>SUM(BF32:BF56)</f>
        <v/>
      </c>
      <c r="BG57" s="920">
        <f>SUM(BG32:BG56)</f>
        <v/>
      </c>
      <c r="BH57" s="920">
        <f>SUM(BH32:BH56)</f>
        <v/>
      </c>
      <c r="BI57" s="920">
        <f>SUM(BI32:BI56)</f>
        <v/>
      </c>
      <c r="BJ57" s="920">
        <f>SUM(BJ32:BJ56)</f>
        <v/>
      </c>
      <c r="BK57" s="920">
        <f>SUM(BK32:BK56)</f>
        <v/>
      </c>
      <c r="BL57" s="920">
        <f>SUM(BL32:BL56)</f>
        <v/>
      </c>
      <c r="BM57" s="920">
        <f>SUM(BM32:BM56)</f>
        <v/>
      </c>
      <c r="BN57" s="599">
        <f>BM57-BL57</f>
        <v/>
      </c>
      <c r="BO57" s="920">
        <f>SUM(BO32:BO56)</f>
        <v/>
      </c>
      <c r="BP57" s="920">
        <f>SUM(BP32:BP56)</f>
        <v/>
      </c>
      <c r="BQ57" s="920">
        <f>SUM(BQ32:BQ56)</f>
        <v/>
      </c>
      <c r="BR57" s="920">
        <f>SUM(BR32:BR56)</f>
        <v/>
      </c>
      <c r="BS57" s="920">
        <f>SUM(BS32:BS56)</f>
        <v/>
      </c>
      <c r="BT57" s="920">
        <f>SUM(BT32:BT56)</f>
        <v/>
      </c>
      <c r="BU57" s="920">
        <f>SUM(BU32:BU56)</f>
        <v/>
      </c>
      <c r="BV57" s="920">
        <f>SUM(BV32:BV56)</f>
        <v/>
      </c>
      <c r="BW57" s="920">
        <f>SUM(BW32:BW56)</f>
        <v/>
      </c>
      <c r="BX57" s="920">
        <f>SUM(BX32:BX56)</f>
        <v/>
      </c>
      <c r="BY57" s="920">
        <f>SUM(BY32:BY56)</f>
        <v/>
      </c>
      <c r="BZ57" s="920">
        <f>SUM(BZ32:BZ56)</f>
        <v/>
      </c>
      <c r="CA57" s="920">
        <f>SUM(CA32:CA56)</f>
        <v/>
      </c>
      <c r="CB57" s="920">
        <f>SUM(CB32:CB56)</f>
        <v/>
      </c>
      <c r="CC57" s="920">
        <f>SUM(CC32:CC56)</f>
        <v/>
      </c>
      <c r="CD57" s="920">
        <f>SUM(CD32:CD56)</f>
        <v/>
      </c>
      <c r="CE57" s="958">
        <f>CD57-CC57</f>
        <v/>
      </c>
      <c r="CF57" s="975">
        <f>SUM(CF32:CF56)</f>
        <v/>
      </c>
      <c r="CG57" s="976">
        <f>SUM(CG32:CG56)</f>
        <v/>
      </c>
      <c r="CH57" s="970">
        <f>CF57-CG57</f>
        <v/>
      </c>
    </row>
    <row r="58">
      <c r="A58" s="924" t="inlineStr">
        <is>
          <t>Подотчет (Рынок сырье, Рынок ТМЦ)</t>
        </is>
      </c>
      <c r="B58" s="917" t="inlineStr">
        <is>
          <t>Расход</t>
        </is>
      </c>
      <c r="C58" s="977" t="n"/>
      <c r="D58" s="977" t="n"/>
      <c r="E58" s="977" t="n"/>
      <c r="F58" s="656" t="n">
        <v>-500000</v>
      </c>
      <c r="G58" s="656" t="n">
        <v>-500000</v>
      </c>
      <c r="H58" s="981">
        <f>C58+D58+E58+F58+G58</f>
        <v/>
      </c>
      <c r="I58" s="964">
        <f>#REF!+#REF!+#REF!+#REF!+#REF!</f>
        <v/>
      </c>
      <c r="J58" s="982">
        <f>I58-H58</f>
        <v/>
      </c>
      <c r="K58" s="656" t="n">
        <v>-300000</v>
      </c>
      <c r="L58" s="656" t="n"/>
      <c r="M58" s="656" t="n"/>
      <c r="N58" s="656" t="n"/>
      <c r="O58" s="656" t="n"/>
      <c r="P58" s="656" t="n"/>
      <c r="Q58" s="656" t="n"/>
      <c r="R58" s="656" t="n"/>
      <c r="S58" s="656" t="n"/>
      <c r="T58" s="656" t="n"/>
      <c r="U58" s="656" t="n"/>
      <c r="V58" s="656" t="n"/>
      <c r="W58" s="656" t="n"/>
      <c r="X58" s="656" t="n"/>
      <c r="Y58" s="656" t="n"/>
      <c r="Z58" s="656" t="n"/>
      <c r="AA58" s="656" t="n"/>
      <c r="AB58" s="977" t="n"/>
      <c r="AC58" s="977" t="n"/>
      <c r="AD58" s="656" t="n">
        <v>-500000</v>
      </c>
      <c r="AE58" s="977" t="n"/>
      <c r="AF58" s="656" t="n">
        <v>-600000</v>
      </c>
      <c r="AG58" s="977" t="n">
        <v>-500000</v>
      </c>
      <c r="AH58" s="656" t="n">
        <v>-500000</v>
      </c>
      <c r="AI58" s="977" t="n"/>
      <c r="AJ58" s="656" t="n">
        <v>-500000</v>
      </c>
      <c r="AK58" s="977" t="n"/>
      <c r="AL58" s="659">
        <f>K58+AF58+AD58+AH58+AJ58</f>
        <v/>
      </c>
      <c r="AM58" s="964">
        <f>AB58+AE58+AG58+AI58+AK58</f>
        <v/>
      </c>
      <c r="AN58" s="982">
        <f>AM58-AL58</f>
        <v/>
      </c>
      <c r="AO58" s="656" t="n">
        <v>-500000</v>
      </c>
      <c r="AP58" s="977" t="n"/>
      <c r="AQ58" s="656" t="n">
        <v>-100000</v>
      </c>
      <c r="AR58" s="977" t="n"/>
      <c r="AS58" s="656" t="n">
        <v>-600000</v>
      </c>
      <c r="AT58" s="977" t="n"/>
      <c r="AU58" s="656" t="n">
        <v>-600000</v>
      </c>
      <c r="AV58" s="977" t="n"/>
      <c r="AW58" s="656" t="n">
        <v>-500000</v>
      </c>
      <c r="AX58" s="977" t="n"/>
      <c r="AY58" s="954">
        <f>AO58+AQ58+AS58+AU58+AW58</f>
        <v/>
      </c>
      <c r="AZ58" s="954">
        <f>AP58+AR58+AT58+AV58+AX58</f>
        <v/>
      </c>
      <c r="BA58" s="983">
        <f>AZ58-AY58</f>
        <v/>
      </c>
      <c r="BB58" s="977" t="n"/>
      <c r="BC58" s="977" t="n"/>
      <c r="BD58" s="656" t="n">
        <v>-600000</v>
      </c>
      <c r="BE58" s="977" t="n"/>
      <c r="BF58" s="656" t="n">
        <v>-600000</v>
      </c>
      <c r="BG58" s="977" t="n"/>
      <c r="BH58" s="656" t="n">
        <v>-1000000</v>
      </c>
      <c r="BI58" s="977" t="n"/>
      <c r="BJ58" s="977" t="n"/>
      <c r="BK58" s="977" t="n"/>
      <c r="BL58" s="954">
        <f>BB58+BD58+BF58+BH58+BJ58</f>
        <v/>
      </c>
      <c r="BM58" s="954">
        <f>BC58+BE58+BG58+BI58+BK58</f>
        <v/>
      </c>
      <c r="BN58" s="599">
        <f>BM58-BL58</f>
        <v/>
      </c>
      <c r="BO58" s="656" t="n">
        <v>-600000</v>
      </c>
      <c r="BP58" s="977" t="n"/>
      <c r="BQ58" s="656" t="n">
        <v>-600000</v>
      </c>
      <c r="BR58" s="977" t="n"/>
      <c r="BS58" s="656" t="n">
        <v>-500000</v>
      </c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80">
        <f>BO58+BQ58+BS58+BU58+BW58+BY58+CA58</f>
        <v/>
      </c>
      <c r="CD58" s="967">
        <f>BP58+BR58+BT58+BV79+BX58+BZ58+CB58</f>
        <v/>
      </c>
      <c r="CE58" s="958">
        <f>CD58-CC58</f>
        <v/>
      </c>
      <c r="CF58" s="984">
        <f>AL58+AY58+BL58+CC58+H58</f>
        <v/>
      </c>
      <c r="CG58" s="985">
        <f>AM58+AZ58+BM58+CD58+I58</f>
        <v/>
      </c>
      <c r="CH58" s="970">
        <f>CF58-CG58</f>
        <v/>
      </c>
    </row>
    <row r="59">
      <c r="A59" s="924" t="inlineStr">
        <is>
          <t>Административные расходы</t>
        </is>
      </c>
      <c r="B59" s="917" t="inlineStr">
        <is>
          <t>Расход</t>
        </is>
      </c>
      <c r="C59" s="977" t="n"/>
      <c r="D59" s="977" t="n"/>
      <c r="E59" s="977" t="n"/>
      <c r="F59" s="980" t="n">
        <v>-109000</v>
      </c>
      <c r="G59" s="656" t="n">
        <v>-15000</v>
      </c>
      <c r="H59" s="981">
        <f>C59+D59+E59+F59+G59</f>
        <v/>
      </c>
      <c r="I59" s="964">
        <f>#REF!+#REF!+#REF!+#REF!+#REF!</f>
        <v/>
      </c>
      <c r="J59" s="982">
        <f>I59-H59</f>
        <v/>
      </c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656" t="n">
        <v>-70000</v>
      </c>
      <c r="AC59" s="656" t="n"/>
      <c r="AD59" s="977" t="n"/>
      <c r="AE59" s="977">
        <f>-28500-3530</f>
        <v/>
      </c>
      <c r="AF59" s="977" t="n"/>
      <c r="AG59" s="977" t="n"/>
      <c r="AH59" s="977" t="n"/>
      <c r="AI59" s="977" t="n"/>
      <c r="AJ59" s="656" t="n">
        <v>-15000</v>
      </c>
      <c r="AK59" s="977" t="n"/>
      <c r="AL59" s="659">
        <f>K59+AF59+AD59+AH59+AJ59</f>
        <v/>
      </c>
      <c r="AM59" s="964">
        <f>AB59+AE59+AG59+AI59+AK59</f>
        <v/>
      </c>
      <c r="AN59" s="982">
        <f>AM59-AL59</f>
        <v/>
      </c>
      <c r="AO59" s="977" t="n"/>
      <c r="AP59" s="977" t="n"/>
      <c r="AQ59" s="977" t="n"/>
      <c r="AR59" s="977" t="n"/>
      <c r="AS59" s="977" t="n"/>
      <c r="AT59" s="977" t="n"/>
      <c r="AU59" s="977" t="n"/>
      <c r="AV59" s="977" t="n"/>
      <c r="AW59" s="656" t="n">
        <v>-15000</v>
      </c>
      <c r="AX59" s="977" t="n"/>
      <c r="AY59" s="954">
        <f>AO59+AQ59+AS59+AU59+AW59</f>
        <v/>
      </c>
      <c r="AZ59" s="954">
        <f>AP59+AR59+AT59+AV59+AX59</f>
        <v/>
      </c>
      <c r="BA59" s="983">
        <f>AZ59-AY59</f>
        <v/>
      </c>
      <c r="BB59" s="656" t="n">
        <v>-3000</v>
      </c>
      <c r="BC59" s="977" t="n"/>
      <c r="BD59" s="977" t="n"/>
      <c r="BE59" s="977" t="n"/>
      <c r="BF59" s="977" t="n"/>
      <c r="BG59" s="977" t="n"/>
      <c r="BH59" s="656" t="n">
        <v>-38000</v>
      </c>
      <c r="BI59" s="977" t="n"/>
      <c r="BJ59" s="656" t="n">
        <v>-15000</v>
      </c>
      <c r="BK59" s="977" t="n"/>
      <c r="BL59" s="954">
        <f>BB59+BD59+BF59+BH59+BJ59</f>
        <v/>
      </c>
      <c r="BM59" s="954">
        <f>BC59+BE59+BG59+BI59+BK59</f>
        <v/>
      </c>
      <c r="BN59" s="599">
        <f>BM59-BL59</f>
        <v/>
      </c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80">
        <f>BO59+BQ59+BS59+BU59+BW59+BY59+CA59</f>
        <v/>
      </c>
      <c r="CD59" s="967">
        <f>BP59+BR59+BT59+BV59+BX59+BZ59+CB59</f>
        <v/>
      </c>
      <c r="CE59" s="958">
        <f>CD59-CC59</f>
        <v/>
      </c>
      <c r="CF59" s="984">
        <f>AL59+AY59+BL59+CC59+H59</f>
        <v/>
      </c>
      <c r="CG59" s="985">
        <f>AM59+AZ59+BM59+CD59+I59</f>
        <v/>
      </c>
      <c r="CH59" s="970">
        <f>CF59-CG59</f>
        <v/>
      </c>
    </row>
    <row r="60">
      <c r="A60" s="924" t="inlineStr">
        <is>
          <t>Представительские расходы</t>
        </is>
      </c>
      <c r="B60" s="917" t="inlineStr">
        <is>
          <t>Расход</t>
        </is>
      </c>
      <c r="C60" s="977" t="n"/>
      <c r="D60" s="977" t="n"/>
      <c r="E60" s="977" t="n"/>
      <c r="F60" s="977" t="n"/>
      <c r="G60" s="656" t="n">
        <v>-60329</v>
      </c>
      <c r="H60" s="981">
        <f>C60+D60+E60+F60+G60</f>
        <v/>
      </c>
      <c r="I60" s="964">
        <f>#REF!+#REF!+#REF!+#REF!+#REF!</f>
        <v/>
      </c>
      <c r="J60" s="982">
        <f>I60-H60</f>
        <v/>
      </c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977" t="n"/>
      <c r="AE60" s="977" t="n"/>
      <c r="AF60" s="977" t="n"/>
      <c r="AG60" s="977" t="n"/>
      <c r="AH60" s="977" t="n"/>
      <c r="AI60" s="977" t="n"/>
      <c r="AJ60" s="977" t="n"/>
      <c r="AK60" s="977" t="n"/>
      <c r="AL60" s="659">
        <f>K60+AF60+AD60+AH60+AJ60</f>
        <v/>
      </c>
      <c r="AM60" s="964">
        <f>AB60+AE60+AG60+AI60+AK60</f>
        <v/>
      </c>
      <c r="AN60" s="982">
        <f>AM60-AL60</f>
        <v/>
      </c>
      <c r="AO60" s="977" t="n"/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54">
        <f>AO60+AQ60+AS60+AU60+AW60</f>
        <v/>
      </c>
      <c r="AZ60" s="954">
        <f>AP60+AR60+AT60+AV60+AX60</f>
        <v/>
      </c>
      <c r="BA60" s="983">
        <f>AZ60-AY60</f>
        <v/>
      </c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54">
        <f>BB60+BD60+BF60+BH60+BJ60</f>
        <v/>
      </c>
      <c r="BM60" s="954">
        <f>BC60+BE60+BG60+BI60+BK60</f>
        <v/>
      </c>
      <c r="BN60" s="599">
        <f>BM60-BL60</f>
        <v/>
      </c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80">
        <f>BO60+BQ60+BS60+BU60+BW60+BY60+CA60</f>
        <v/>
      </c>
      <c r="CD60" s="967">
        <f>BP60+BR60+BT60+BV60+BX60+BZ60+CB60</f>
        <v/>
      </c>
      <c r="CE60" s="958">
        <f>CD60-CC60</f>
        <v/>
      </c>
      <c r="CF60" s="984">
        <f>AL60+AY60+BL60+CC60+H60</f>
        <v/>
      </c>
      <c r="CG60" s="985">
        <f>AM60+AZ60+BM60+CD60+I60</f>
        <v/>
      </c>
      <c r="CH60" s="970">
        <f>CF60-CG60</f>
        <v/>
      </c>
    </row>
    <row r="61">
      <c r="A61" s="924" t="inlineStr">
        <is>
          <t>Аренда квартир</t>
        </is>
      </c>
      <c r="B61" s="917" t="inlineStr">
        <is>
          <t>Расход</t>
        </is>
      </c>
      <c r="C61" s="977" t="n"/>
      <c r="D61" s="977" t="n"/>
      <c r="E61" s="977" t="n"/>
      <c r="F61" s="977" t="n"/>
      <c r="G61" s="977" t="n"/>
      <c r="H61" s="981">
        <f>C61+D61+E61+F61+G61</f>
        <v/>
      </c>
      <c r="I61" s="964">
        <f>#REF!+#REF!+#REF!+#REF!+#REF!</f>
        <v/>
      </c>
      <c r="J61" s="982">
        <f>I61-H61</f>
        <v/>
      </c>
      <c r="K61" s="977" t="n"/>
      <c r="L61" s="977" t="n"/>
      <c r="M61" s="977" t="n"/>
      <c r="N61" s="977" t="n"/>
      <c r="O61" s="977" t="n"/>
      <c r="P61" s="977" t="n"/>
      <c r="Q61" s="977" t="n"/>
      <c r="R61" s="977" t="n"/>
      <c r="S61" s="977" t="n"/>
      <c r="T61" s="977" t="n"/>
      <c r="U61" s="977" t="n"/>
      <c r="V61" s="977" t="n"/>
      <c r="W61" s="977" t="n"/>
      <c r="X61" s="977" t="n"/>
      <c r="Y61" s="977" t="n"/>
      <c r="Z61" s="977" t="n"/>
      <c r="AA61" s="977" t="n"/>
      <c r="AB61" s="977" t="n"/>
      <c r="AC61" s="977" t="n"/>
      <c r="AD61" s="977" t="n"/>
      <c r="AE61" s="977" t="n"/>
      <c r="AF61" s="977" t="n"/>
      <c r="AG61" s="977" t="n"/>
      <c r="AH61" s="977" t="n"/>
      <c r="AI61" s="977" t="n"/>
      <c r="AJ61" s="977" t="n"/>
      <c r="AK61" s="977" t="n"/>
      <c r="AL61" s="659">
        <f>K61+AF61+AD61+AH61+AJ61</f>
        <v/>
      </c>
      <c r="AM61" s="964">
        <f>AB61+AE61+AG61+AI61+AK61</f>
        <v/>
      </c>
      <c r="AN61" s="982">
        <f>AM61-AL61</f>
        <v/>
      </c>
      <c r="AO61" s="954">
        <f>-175000-300000</f>
        <v/>
      </c>
      <c r="AP61" s="977" t="n"/>
      <c r="AQ61" s="977" t="n"/>
      <c r="AR61" s="977" t="n"/>
      <c r="AS61" s="977" t="n"/>
      <c r="AT61" s="977" t="n"/>
      <c r="AU61" s="977" t="n"/>
      <c r="AV61" s="977" t="n"/>
      <c r="AW61" s="977" t="n"/>
      <c r="AX61" s="977" t="n"/>
      <c r="AY61" s="954">
        <f>AO61+AQ61+AS61+AU61+AW61</f>
        <v/>
      </c>
      <c r="AZ61" s="954">
        <f>AP61+AR61+AT61+AV61+AX61</f>
        <v/>
      </c>
      <c r="BA61" s="983">
        <f>AZ61-AY61</f>
        <v/>
      </c>
      <c r="BB61" s="977" t="n"/>
      <c r="BC61" s="977" t="n"/>
      <c r="BD61" s="977" t="n"/>
      <c r="BE61" s="977" t="n"/>
      <c r="BF61" s="977" t="n"/>
      <c r="BG61" s="977" t="n"/>
      <c r="BH61" s="954" t="n">
        <v>-350149</v>
      </c>
      <c r="BI61" s="977" t="n"/>
      <c r="BJ61" s="977" t="n"/>
      <c r="BK61" s="977" t="n"/>
      <c r="BL61" s="954">
        <f>BB61+BD61+BF61+BH61+BJ61</f>
        <v/>
      </c>
      <c r="BM61" s="954">
        <f>BC61+BE61+BG61+BI61+BK61</f>
        <v/>
      </c>
      <c r="BN61" s="599">
        <f>BM61-BL61</f>
        <v/>
      </c>
      <c r="BO61" s="977" t="n"/>
      <c r="BP61" s="977" t="n"/>
      <c r="BQ61" s="977" t="n"/>
      <c r="BR61" s="977" t="n"/>
      <c r="BS61" s="977" t="n"/>
      <c r="BT61" s="977" t="n"/>
      <c r="BU61" s="977" t="n"/>
      <c r="BV61" s="977" t="n"/>
      <c r="BW61" s="977" t="n"/>
      <c r="BX61" s="977" t="n"/>
      <c r="BY61" s="977" t="n"/>
      <c r="BZ61" s="977" t="n"/>
      <c r="CA61" s="977" t="n"/>
      <c r="CB61" s="977" t="n"/>
      <c r="CC61" s="980">
        <f>BO61+BQ61+BS61+BU61+BW61+BY61+CA61</f>
        <v/>
      </c>
      <c r="CD61" s="967">
        <f>BP61+BR61+BT61+BV61+BX61+BZ61+CB61</f>
        <v/>
      </c>
      <c r="CE61" s="958">
        <f>CD61-CC61</f>
        <v/>
      </c>
      <c r="CF61" s="984">
        <f>AL61+AY61+BL61+CC61+H61</f>
        <v/>
      </c>
      <c r="CG61" s="985">
        <f>AM61+AZ61+BM61+CD61+I61</f>
        <v/>
      </c>
      <c r="CH61" s="970">
        <f>CF61-CG61</f>
        <v/>
      </c>
    </row>
    <row r="62">
      <c r="A62" s="924" t="inlineStr">
        <is>
          <t>Налоги и другие платежи в бюджет</t>
        </is>
      </c>
      <c r="B62" s="917" t="inlineStr">
        <is>
          <t>Расход</t>
        </is>
      </c>
      <c r="C62" s="977" t="n"/>
      <c r="D62" s="977" t="n"/>
      <c r="E62" s="977" t="n"/>
      <c r="F62" s="977" t="n"/>
      <c r="G62" s="977" t="n"/>
      <c r="H62" s="981">
        <f>C62+D62+E62+F62+G62</f>
        <v/>
      </c>
      <c r="I62" s="964">
        <f>#REF!+#REF!+#REF!+#REF!+#REF!</f>
        <v/>
      </c>
      <c r="J62" s="982">
        <f>I62-H62</f>
        <v/>
      </c>
      <c r="K62" s="977" t="n"/>
      <c r="L62" s="977" t="n"/>
      <c r="M62" s="977" t="n"/>
      <c r="N62" s="977" t="n"/>
      <c r="O62" s="977" t="n"/>
      <c r="P62" s="977" t="n"/>
      <c r="Q62" s="977" t="n"/>
      <c r="R62" s="977" t="n"/>
      <c r="S62" s="977" t="n"/>
      <c r="T62" s="977" t="n"/>
      <c r="U62" s="977" t="n"/>
      <c r="V62" s="977" t="n"/>
      <c r="W62" s="977" t="n"/>
      <c r="X62" s="977" t="n"/>
      <c r="Y62" s="977" t="n"/>
      <c r="Z62" s="977" t="n"/>
      <c r="AA62" s="977" t="n"/>
      <c r="AB62" s="977" t="n"/>
      <c r="AC62" s="977" t="n"/>
      <c r="AD62" s="977" t="n"/>
      <c r="AE62" s="977" t="n"/>
      <c r="AF62" s="977" t="n"/>
      <c r="AG62" s="977" t="n"/>
      <c r="AH62" s="977" t="n"/>
      <c r="AI62" s="977" t="n"/>
      <c r="AJ62" s="977" t="n"/>
      <c r="AK62" s="977" t="n"/>
      <c r="AL62" s="659">
        <f>K62+AF62+AD62+AH62+AJ62</f>
        <v/>
      </c>
      <c r="AM62" s="964">
        <f>AB62+AE62+AG62+AI62+AK62</f>
        <v/>
      </c>
      <c r="AN62" s="982">
        <f>AM62-AL62</f>
        <v/>
      </c>
      <c r="AO62" s="977" t="n"/>
      <c r="AP62" s="977" t="n"/>
      <c r="AQ62" s="977" t="n"/>
      <c r="AR62" s="977" t="n"/>
      <c r="AS62" s="977" t="n"/>
      <c r="AT62" s="977" t="n"/>
      <c r="AU62" s="977" t="n"/>
      <c r="AV62" s="977" t="n"/>
      <c r="AW62" s="977" t="n"/>
      <c r="AX62" s="977" t="n"/>
      <c r="AY62" s="954">
        <f>AO62+AQ62+AS62+AU62+AW62</f>
        <v/>
      </c>
      <c r="AZ62" s="954">
        <f>AP62+AR62+AT62+AV62+AX62</f>
        <v/>
      </c>
      <c r="BA62" s="983">
        <f>AZ62-AY62</f>
        <v/>
      </c>
      <c r="BB62" s="977" t="n"/>
      <c r="BC62" s="977" t="n"/>
      <c r="BD62" s="977" t="n"/>
      <c r="BE62" s="977" t="n"/>
      <c r="BF62" s="977" t="n"/>
      <c r="BG62" s="977" t="n"/>
      <c r="BH62" s="977" t="n"/>
      <c r="BI62" s="977" t="n"/>
      <c r="BJ62" s="977" t="n"/>
      <c r="BK62" s="977" t="n"/>
      <c r="BL62" s="954">
        <f>BB62+BD62+BF62+BH62+BJ62</f>
        <v/>
      </c>
      <c r="BM62" s="954">
        <f>BC62+BE62+BG62+BI62+BK62</f>
        <v/>
      </c>
      <c r="BN62" s="599">
        <f>BM62-BL62</f>
        <v/>
      </c>
      <c r="BO62" s="977" t="n"/>
      <c r="BP62" s="977" t="n"/>
      <c r="BQ62" s="977" t="n"/>
      <c r="BR62" s="977" t="n"/>
      <c r="BS62" s="977" t="n"/>
      <c r="BT62" s="977" t="n"/>
      <c r="BU62" s="977" t="n"/>
      <c r="BV62" s="977" t="n"/>
      <c r="BW62" s="977" t="n"/>
      <c r="BX62" s="977" t="n"/>
      <c r="BY62" s="977" t="n"/>
      <c r="BZ62" s="977" t="n"/>
      <c r="CA62" s="977" t="n"/>
      <c r="CB62" s="977" t="n"/>
      <c r="CC62" s="980">
        <f>BO62+BQ62+BS62+BU62+BW62+BY62+CA62</f>
        <v/>
      </c>
      <c r="CD62" s="967">
        <f>BP62+BR62+BT62+BV62+BX62+BZ62+CB62</f>
        <v/>
      </c>
      <c r="CE62" s="958">
        <f>CD62-CC62</f>
        <v/>
      </c>
      <c r="CF62" s="984">
        <f>AL62+AY62+BL62+CC62+H62</f>
        <v/>
      </c>
      <c r="CG62" s="985">
        <f>AM62+AZ62+BM62+CD62+I62</f>
        <v/>
      </c>
      <c r="CH62" s="970">
        <f>CF62-CG62</f>
        <v/>
      </c>
    </row>
    <row r="63">
      <c r="A63" s="924" t="inlineStr">
        <is>
          <t>Маркетинг</t>
        </is>
      </c>
      <c r="B63" s="917" t="inlineStr">
        <is>
          <t>Расход</t>
        </is>
      </c>
      <c r="C63" s="977" t="n"/>
      <c r="D63" s="977" t="n"/>
      <c r="E63" s="977" t="n"/>
      <c r="F63" s="977" t="n"/>
      <c r="G63" s="977" t="n"/>
      <c r="H63" s="981">
        <f>C63+D63+E63+F63+G63</f>
        <v/>
      </c>
      <c r="I63" s="964">
        <f>#REF!+#REF!+#REF!+#REF!+#REF!</f>
        <v/>
      </c>
      <c r="J63" s="982">
        <f>I63-H63</f>
        <v/>
      </c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977" t="n"/>
      <c r="AE63" s="977" t="n"/>
      <c r="AF63" s="977" t="n"/>
      <c r="AG63" s="977" t="n"/>
      <c r="AH63" s="656" t="n">
        <v>-450000</v>
      </c>
      <c r="AI63" s="977" t="n"/>
      <c r="AJ63" s="977" t="n"/>
      <c r="AK63" s="977" t="n"/>
      <c r="AL63" s="659">
        <f>K63+AF63+AD63+AH63+AJ63</f>
        <v/>
      </c>
      <c r="AM63" s="964">
        <f>AB63+AE63+AG63+AI63+AK63</f>
        <v/>
      </c>
      <c r="AN63" s="982">
        <f>AM63-AL63</f>
        <v/>
      </c>
      <c r="AO63" s="977" t="n"/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54">
        <f>AO63+AQ63+AS63+AU63+AW63</f>
        <v/>
      </c>
      <c r="AZ63" s="954">
        <f>AP63+AR63+AT63+AV63+AX63</f>
        <v/>
      </c>
      <c r="BA63" s="983">
        <f>AZ63-AY63</f>
        <v/>
      </c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54">
        <f>BB63+BD63+BF63+BH63+BJ63</f>
        <v/>
      </c>
      <c r="BM63" s="954">
        <f>BC63+BE63+BG63+BI63+BK63</f>
        <v/>
      </c>
      <c r="BN63" s="599">
        <f>BM63-BL63</f>
        <v/>
      </c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80">
        <f>BO63+BQ63+BS63+BU63+BW63+BY63+CA63</f>
        <v/>
      </c>
      <c r="CD63" s="967">
        <f>BP63+BR63+BT63+BV63+BX63+BZ63+CB63</f>
        <v/>
      </c>
      <c r="CE63" s="958">
        <f>CD63-CC63</f>
        <v/>
      </c>
      <c r="CF63" s="984">
        <f>AL63+AY63+BL63+CC63+H63</f>
        <v/>
      </c>
      <c r="CG63" s="985">
        <f>AM63+AZ63+BM63+CD63+I63</f>
        <v/>
      </c>
      <c r="CH63" s="970">
        <f>CF63-CG63</f>
        <v/>
      </c>
    </row>
    <row r="64">
      <c r="A64" s="924" t="inlineStr">
        <is>
          <t>Оплата труда</t>
        </is>
      </c>
      <c r="B64" s="917" t="inlineStr">
        <is>
          <t>Расход</t>
        </is>
      </c>
      <c r="C64" s="977" t="n"/>
      <c r="D64" s="977" t="n"/>
      <c r="E64" s="977" t="n"/>
      <c r="F64" s="977" t="n"/>
      <c r="G64" s="656" t="n">
        <v>-2500000</v>
      </c>
      <c r="H64" s="981">
        <f>C64+D64+E64+F64+G64</f>
        <v/>
      </c>
      <c r="I64" s="964">
        <f>#REF!+#REF!+#REF!+#REF!+#REF!</f>
        <v/>
      </c>
      <c r="J64" s="982">
        <f>I64-H64</f>
        <v/>
      </c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656" t="n">
        <v>-1000000</v>
      </c>
      <c r="AE64" s="977" t="n">
        <v>-2481189</v>
      </c>
      <c r="AF64" s="656" t="n">
        <v>-2000000</v>
      </c>
      <c r="AG64" s="977" t="n">
        <v>-2346182</v>
      </c>
      <c r="AH64" s="659" t="n">
        <v>-2000000</v>
      </c>
      <c r="AI64" s="977" t="n"/>
      <c r="AJ64" s="656" t="n">
        <v>-1500000</v>
      </c>
      <c r="AK64" s="977" t="n"/>
      <c r="AL64" s="659">
        <f>K64+AF64+AD64+AH64+AJ64</f>
        <v/>
      </c>
      <c r="AM64" s="964">
        <f>AB64+AE64+AG64+AI64+AK64</f>
        <v/>
      </c>
      <c r="AN64" s="982">
        <f>AM64-AL64</f>
        <v/>
      </c>
      <c r="AO64" s="980" t="n">
        <v>-650000</v>
      </c>
      <c r="AP64" s="977" t="n"/>
      <c r="AQ64" s="977" t="n"/>
      <c r="AR64" s="977" t="n"/>
      <c r="AS64" s="656" t="n">
        <v>-12500000</v>
      </c>
      <c r="AT64" s="977" t="n"/>
      <c r="AU64" s="954" t="n">
        <v>-8000000</v>
      </c>
      <c r="AV64" s="977" t="n"/>
      <c r="AW64" s="656" t="n">
        <v>-7000000</v>
      </c>
      <c r="AX64" s="977" t="n"/>
      <c r="AY64" s="954">
        <f>AO64+AQ64+AS64+AU64+AW64</f>
        <v/>
      </c>
      <c r="AZ64" s="954">
        <f>AP64+AR64+AT64+AV64+AX64</f>
        <v/>
      </c>
      <c r="BA64" s="983">
        <f>AZ64-AY64</f>
        <v/>
      </c>
      <c r="BB64" s="977" t="n"/>
      <c r="BC64" s="977" t="n"/>
      <c r="BD64" s="977" t="n"/>
      <c r="BE64" s="977" t="n"/>
      <c r="BF64" s="977" t="n"/>
      <c r="BG64" s="977" t="n"/>
      <c r="BH64" s="954">
        <f>-6000000</f>
        <v/>
      </c>
      <c r="BI64" s="977" t="n"/>
      <c r="BJ64" s="656" t="n">
        <v>-7000000</v>
      </c>
      <c r="BK64" s="977" t="n"/>
      <c r="BL64" s="954">
        <f>BB64+BD64+BF64+BH64+BJ64</f>
        <v/>
      </c>
      <c r="BM64" s="954">
        <f>BC64+BE64+BG64+BI64+BK64</f>
        <v/>
      </c>
      <c r="BN64" s="599">
        <f>BM64-BL64</f>
        <v/>
      </c>
      <c r="BO64" s="656" t="n">
        <v>-5000000</v>
      </c>
      <c r="BP64" s="977" t="n"/>
      <c r="BQ64" s="656" t="n">
        <v>-2000000</v>
      </c>
      <c r="BR64" s="977" t="n"/>
      <c r="BS64" s="977" t="n"/>
      <c r="BT64" s="977" t="n"/>
      <c r="BU64" s="980" t="n">
        <v>-2000000</v>
      </c>
      <c r="BV64" s="977" t="n"/>
      <c r="BW64" s="977" t="n"/>
      <c r="BX64" s="977" t="n"/>
      <c r="BY64" s="977" t="n"/>
      <c r="BZ64" s="977" t="n"/>
      <c r="CA64" s="977" t="n"/>
      <c r="CB64" s="977" t="n"/>
      <c r="CC64" s="980">
        <f>BO64+BQ64+BS64+BU64+BW64+BY64+CA64</f>
        <v/>
      </c>
      <c r="CD64" s="967">
        <f>BP64+BR64+BT64+BV64+BX64+BZ64+CB64</f>
        <v/>
      </c>
      <c r="CE64" s="958">
        <f>CD64-CC64</f>
        <v/>
      </c>
      <c r="CF64" s="984">
        <f>AL64+AY64+BL64+CC64+H64</f>
        <v/>
      </c>
      <c r="CG64" s="985">
        <f>AM64+AZ64+BM64+CD64+I64</f>
        <v/>
      </c>
      <c r="CH64" s="970">
        <f>CF64-CG64</f>
        <v/>
      </c>
    </row>
    <row r="65">
      <c r="A65" s="924" t="inlineStr">
        <is>
          <t>Платежи поставщикам Прочее</t>
        </is>
      </c>
      <c r="B65" s="917" t="inlineStr">
        <is>
          <t>Расход</t>
        </is>
      </c>
      <c r="C65" s="977" t="n"/>
      <c r="D65" s="977" t="n"/>
      <c r="E65" s="977" t="n"/>
      <c r="F65" s="977" t="n"/>
      <c r="G65" s="977" t="n"/>
      <c r="H65" s="981">
        <f>C65+D65+E65+F65+G65</f>
        <v/>
      </c>
      <c r="I65" s="964">
        <f>#REF!+#REF!+#REF!+#REF!+#REF!</f>
        <v/>
      </c>
      <c r="J65" s="982">
        <f>I65-H65</f>
        <v/>
      </c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977" t="n"/>
      <c r="AE65" s="977" t="n"/>
      <c r="AF65" s="977" t="n"/>
      <c r="AG65" s="977" t="n"/>
      <c r="AH65" s="977" t="n"/>
      <c r="AI65" s="977" t="n"/>
      <c r="AJ65" s="977" t="n"/>
      <c r="AK65" s="977" t="n"/>
      <c r="AL65" s="659">
        <f>K65+AF65+AD65+AH65+AJ65</f>
        <v/>
      </c>
      <c r="AM65" s="964">
        <f>AB65+AE65+AG65+AI65+AK65</f>
        <v/>
      </c>
      <c r="AN65" s="982">
        <f>AM65-AL65</f>
        <v/>
      </c>
      <c r="AO65" s="977" t="n"/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54">
        <f>AO65+AQ65+AS65+AU65+AW65</f>
        <v/>
      </c>
      <c r="AZ65" s="954">
        <f>AP65+AR65+AT65+AV65+AX65</f>
        <v/>
      </c>
      <c r="BA65" s="983">
        <f>AZ65-AY65</f>
        <v/>
      </c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54">
        <f>BB65+BD65+BF65+BH65+BJ65</f>
        <v/>
      </c>
      <c r="BM65" s="954">
        <f>BC65+BE65+BG65+BI65+BK65</f>
        <v/>
      </c>
      <c r="BN65" s="599">
        <f>BM65-BL65</f>
        <v/>
      </c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80">
        <f>BO65+BQ65+BS65+BU65+BW65+BY65+CA65</f>
        <v/>
      </c>
      <c r="CD65" s="967">
        <f>BP65+BR65+BT65+BV65+BX65+BZ65+CB65</f>
        <v/>
      </c>
      <c r="CE65" s="958">
        <f>CD65-CC65</f>
        <v/>
      </c>
      <c r="CF65" s="984">
        <f>AL65+AY65+BL65+CC65+H65</f>
        <v/>
      </c>
      <c r="CG65" s="985">
        <f>AM65+AZ65+BM65+CD65+I65</f>
        <v/>
      </c>
      <c r="CH65" s="970">
        <f>CF65-CG65</f>
        <v/>
      </c>
    </row>
    <row r="66">
      <c r="A66" s="924" t="inlineStr">
        <is>
          <t xml:space="preserve">Производственные расходы </t>
        </is>
      </c>
      <c r="B66" s="917" t="inlineStr">
        <is>
          <t>Расход</t>
        </is>
      </c>
      <c r="C66" s="977" t="n"/>
      <c r="D66" s="977" t="n"/>
      <c r="E66" s="977" t="n"/>
      <c r="F66" s="656" t="n">
        <v>-48000</v>
      </c>
      <c r="G66" s="977" t="n"/>
      <c r="H66" s="981">
        <f>C66+D66+E66+F66+G66</f>
        <v/>
      </c>
      <c r="I66" s="964">
        <f>#REF!+#REF!+#REF!+#REF!+#REF!</f>
        <v/>
      </c>
      <c r="J66" s="982">
        <f>I66-H66</f>
        <v/>
      </c>
      <c r="K66" s="658" t="n">
        <v>-48000</v>
      </c>
      <c r="L66" s="658" t="n"/>
      <c r="M66" s="658" t="n"/>
      <c r="N66" s="658" t="n"/>
      <c r="O66" s="658" t="n"/>
      <c r="P66" s="658" t="n"/>
      <c r="Q66" s="658" t="n"/>
      <c r="R66" s="658" t="n"/>
      <c r="S66" s="658" t="n"/>
      <c r="T66" s="658" t="n"/>
      <c r="U66" s="658" t="n"/>
      <c r="V66" s="658" t="n"/>
      <c r="W66" s="658" t="n"/>
      <c r="X66" s="658" t="n"/>
      <c r="Y66" s="658" t="n"/>
      <c r="Z66" s="658" t="n"/>
      <c r="AA66" s="658" t="n"/>
      <c r="AB66" s="656" t="n">
        <v>-48000</v>
      </c>
      <c r="AC66" s="656" t="n"/>
      <c r="AD66" s="977" t="n"/>
      <c r="AE66" s="977">
        <f>-30000</f>
        <v/>
      </c>
      <c r="AF66" s="977" t="n"/>
      <c r="AG66" s="977" t="n"/>
      <c r="AH66" s="659" t="n">
        <v>-48000</v>
      </c>
      <c r="AI66" s="977" t="n"/>
      <c r="AJ66" s="977" t="n"/>
      <c r="AK66" s="977" t="n"/>
      <c r="AL66" s="659">
        <f>K66+AF66+AD66+AH66+AJ66</f>
        <v/>
      </c>
      <c r="AM66" s="964">
        <f>AB66+AE66+AG66+AI66+AK66</f>
        <v/>
      </c>
      <c r="AN66" s="982">
        <f>AM66-AL66</f>
        <v/>
      </c>
      <c r="AO66" s="954" t="n">
        <v>-42000</v>
      </c>
      <c r="AP66" s="977" t="n"/>
      <c r="AQ66" s="954" t="n">
        <v>-42000</v>
      </c>
      <c r="AR66" s="977" t="n"/>
      <c r="AS66" s="977" t="n"/>
      <c r="AT66" s="977" t="n"/>
      <c r="AU66" s="977" t="n"/>
      <c r="AV66" s="977" t="n"/>
      <c r="AW66" s="977" t="n"/>
      <c r="AX66" s="977" t="n"/>
      <c r="AY66" s="954">
        <f>AO66+AQ66+AS66+AU66+AW66</f>
        <v/>
      </c>
      <c r="AZ66" s="954">
        <f>AP66+AR66+AT66+AV66+AX66</f>
        <v/>
      </c>
      <c r="BA66" s="983">
        <f>AZ66-AY66</f>
        <v/>
      </c>
      <c r="BB66" s="977" t="n"/>
      <c r="BC66" s="977" t="n"/>
      <c r="BD66" s="954" t="n">
        <v>-48000</v>
      </c>
      <c r="BE66" s="977" t="n"/>
      <c r="BF66" s="977" t="n"/>
      <c r="BG66" s="977" t="n"/>
      <c r="BH66" s="954" t="n">
        <v>-48000</v>
      </c>
      <c r="BI66" s="977" t="n"/>
      <c r="BJ66" s="977" t="n"/>
      <c r="BK66" s="977" t="n"/>
      <c r="BL66" s="954">
        <f>BB66+BD66+BF66+BH66+BJ66</f>
        <v/>
      </c>
      <c r="BM66" s="954">
        <f>BC66+BE66+BG66+BI66+BK66</f>
        <v/>
      </c>
      <c r="BN66" s="599">
        <f>BM66-BL66</f>
        <v/>
      </c>
      <c r="BO66" s="977" t="n"/>
      <c r="BP66" s="977" t="n"/>
      <c r="BQ66" s="656" t="n">
        <v>-48000</v>
      </c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80">
        <f>BO66+BQ66+BS66+BU66+BW66+BY66+CA66</f>
        <v/>
      </c>
      <c r="CD66" s="967">
        <f>BP66+BR66+BT66+BV66+BX66+BZ66+CB66</f>
        <v/>
      </c>
      <c r="CE66" s="958">
        <f>CD66-CC66</f>
        <v/>
      </c>
      <c r="CF66" s="984">
        <f>AL66+AY66+BL66+CC66+H66</f>
        <v/>
      </c>
      <c r="CG66" s="985">
        <f>AM66+AZ66+BM66+CD66+I66</f>
        <v/>
      </c>
      <c r="CH66" s="970">
        <f>CF66-CG66</f>
        <v/>
      </c>
    </row>
    <row r="67">
      <c r="A67" s="924" t="inlineStr">
        <is>
          <t>Инвентарь</t>
        </is>
      </c>
      <c r="B67" s="917" t="inlineStr">
        <is>
          <t>Расход</t>
        </is>
      </c>
      <c r="C67" s="977" t="n"/>
      <c r="D67" s="977" t="n"/>
      <c r="E67" s="977" t="n"/>
      <c r="F67" s="656">
        <f>-15000-69000</f>
        <v/>
      </c>
      <c r="G67" s="656" t="n">
        <v>-144600</v>
      </c>
      <c r="H67" s="981">
        <f>C67+D67+E67+F67+G67</f>
        <v/>
      </c>
      <c r="I67" s="964">
        <f>#REF!+#REF!+#REF!+#REF!+#REF!</f>
        <v/>
      </c>
      <c r="J67" s="982">
        <f>I67-H67</f>
        <v/>
      </c>
      <c r="K67" s="656">
        <f>-15000-27000</f>
        <v/>
      </c>
      <c r="L67" s="656" t="n"/>
      <c r="M67" s="656" t="n"/>
      <c r="N67" s="656" t="n"/>
      <c r="O67" s="656" t="n"/>
      <c r="P67" s="656" t="n"/>
      <c r="Q67" s="656" t="n"/>
      <c r="R67" s="656" t="n"/>
      <c r="S67" s="656" t="n"/>
      <c r="T67" s="656" t="n"/>
      <c r="U67" s="656" t="n"/>
      <c r="V67" s="656" t="n"/>
      <c r="W67" s="656" t="n"/>
      <c r="X67" s="656" t="n"/>
      <c r="Y67" s="656" t="n"/>
      <c r="Z67" s="656" t="n"/>
      <c r="AA67" s="656" t="n"/>
      <c r="AB67" s="977" t="n"/>
      <c r="AC67" s="977" t="n"/>
      <c r="AD67" s="656" t="n">
        <v>-40000</v>
      </c>
      <c r="AE67" s="977" t="n"/>
      <c r="AF67" s="977" t="n"/>
      <c r="AG67" s="977" t="n"/>
      <c r="AH67" s="977" t="n"/>
      <c r="AI67" s="977" t="n"/>
      <c r="AJ67" s="977" t="n"/>
      <c r="AK67" s="977" t="n"/>
      <c r="AL67" s="659">
        <f>K67+AF67+AD67+AH67+AJ67</f>
        <v/>
      </c>
      <c r="AM67" s="964">
        <f>AB67+AE67+AG67+AI67+AK67</f>
        <v/>
      </c>
      <c r="AN67" s="982">
        <f>AM67-AL67</f>
        <v/>
      </c>
      <c r="AO67" s="977" t="n"/>
      <c r="AP67" s="977" t="n"/>
      <c r="AQ67" s="656">
        <f>-116000-19100</f>
        <v/>
      </c>
      <c r="AR67" s="977" t="n"/>
      <c r="AS67" s="977" t="n"/>
      <c r="AT67" s="977" t="n"/>
      <c r="AU67" s="977" t="n"/>
      <c r="AV67" s="977" t="n"/>
      <c r="AW67" s="977" t="n"/>
      <c r="AX67" s="977" t="n"/>
      <c r="AY67" s="954">
        <f>AO67+AQ67+AS67+AU67+AW67</f>
        <v/>
      </c>
      <c r="AZ67" s="954">
        <f>AP67+AR67+AT67+AV67+AX67</f>
        <v/>
      </c>
      <c r="BA67" s="983">
        <f>AZ67-AY67</f>
        <v/>
      </c>
      <c r="BB67" s="977" t="n"/>
      <c r="BC67" s="977" t="n"/>
      <c r="BD67" s="954" t="n">
        <v>-32000</v>
      </c>
      <c r="BE67" s="977" t="n"/>
      <c r="BF67" s="656" t="n">
        <v>-35000</v>
      </c>
      <c r="BG67" s="977" t="n"/>
      <c r="BH67" s="977" t="n"/>
      <c r="BI67" s="977" t="n"/>
      <c r="BJ67" s="977" t="n"/>
      <c r="BK67" s="977" t="n"/>
      <c r="BL67" s="954">
        <f>BB67+BD67+BF67+BH67+BJ67</f>
        <v/>
      </c>
      <c r="BM67" s="954">
        <f>BC67+BE67+BG67+BI67+BK67</f>
        <v/>
      </c>
      <c r="BN67" s="599">
        <f>BM67-BL67</f>
        <v/>
      </c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80">
        <f>BO67+BQ67+BS67+BU67+BW67+BY67+CA67</f>
        <v/>
      </c>
      <c r="CD67" s="967">
        <f>BP67+BR67+BT67+BV67+BX67+BZ67+CB67</f>
        <v/>
      </c>
      <c r="CE67" s="958">
        <f>CD67-CC67</f>
        <v/>
      </c>
      <c r="CF67" s="984">
        <f>AL67+AY67+BL67+CC67+H67</f>
        <v/>
      </c>
      <c r="CG67" s="985">
        <f>AM67+AZ67+BM67+CD67+I67</f>
        <v/>
      </c>
      <c r="CH67" s="970">
        <f>CF67-CG67</f>
        <v/>
      </c>
    </row>
    <row r="68">
      <c r="A68" s="924" t="inlineStr">
        <is>
          <t>Погашение кредита и %%</t>
        </is>
      </c>
      <c r="B68" s="917" t="inlineStr">
        <is>
          <t>Расход</t>
        </is>
      </c>
      <c r="C68" s="977" t="n"/>
      <c r="D68" s="977" t="n"/>
      <c r="E68" s="977" t="n"/>
      <c r="F68" s="977" t="n"/>
      <c r="G68" s="977" t="n"/>
      <c r="H68" s="981">
        <f>C68+D68+E68+F68+G68</f>
        <v/>
      </c>
      <c r="I68" s="964">
        <f>#REF!+#REF!+#REF!+#REF!+#REF!</f>
        <v/>
      </c>
      <c r="J68" s="982">
        <f>I68-H68</f>
        <v/>
      </c>
      <c r="K68" s="977" t="n"/>
      <c r="L68" s="977" t="n"/>
      <c r="M68" s="977" t="n"/>
      <c r="N68" s="977" t="n"/>
      <c r="O68" s="977" t="n"/>
      <c r="P68" s="977" t="n"/>
      <c r="Q68" s="977" t="n"/>
      <c r="R68" s="977" t="n"/>
      <c r="S68" s="977" t="n"/>
      <c r="T68" s="977" t="n"/>
      <c r="U68" s="977" t="n"/>
      <c r="V68" s="977" t="n"/>
      <c r="W68" s="977" t="n"/>
      <c r="X68" s="977" t="n"/>
      <c r="Y68" s="977" t="n"/>
      <c r="Z68" s="977" t="n"/>
      <c r="AA68" s="977" t="n"/>
      <c r="AB68" s="977" t="n"/>
      <c r="AC68" s="977" t="n"/>
      <c r="AD68" s="977" t="n"/>
      <c r="AE68" s="977" t="n"/>
      <c r="AF68" s="977" t="n"/>
      <c r="AG68" s="977" t="n"/>
      <c r="AH68" s="977" t="n"/>
      <c r="AI68" s="977" t="n"/>
      <c r="AJ68" s="977" t="n"/>
      <c r="AK68" s="977" t="n"/>
      <c r="AL68" s="659">
        <f>K68+AF68+AD68+AH68+AJ68</f>
        <v/>
      </c>
      <c r="AM68" s="964">
        <f>AB68+AE68+AG68+AI68+AK68</f>
        <v/>
      </c>
      <c r="AN68" s="982">
        <f>AM68-AL68</f>
        <v/>
      </c>
      <c r="AO68" s="977" t="n"/>
      <c r="AP68" s="977" t="n"/>
      <c r="AQ68" s="977" t="n"/>
      <c r="AR68" s="977" t="n"/>
      <c r="AS68" s="977" t="n"/>
      <c r="AT68" s="977" t="n"/>
      <c r="AU68" s="977" t="n"/>
      <c r="AV68" s="977" t="n"/>
      <c r="AW68" s="977" t="n"/>
      <c r="AX68" s="977" t="n"/>
      <c r="AY68" s="954">
        <f>AO68+AQ68+AS68+AU68+AW68</f>
        <v/>
      </c>
      <c r="AZ68" s="954">
        <f>AP68+AR68+AT68+AV68+AX68</f>
        <v/>
      </c>
      <c r="BA68" s="983">
        <f>AZ68-AY68</f>
        <v/>
      </c>
      <c r="BB68" s="977" t="n"/>
      <c r="BC68" s="977" t="n"/>
      <c r="BD68" s="977" t="n"/>
      <c r="BE68" s="977" t="n"/>
      <c r="BF68" s="977" t="n"/>
      <c r="BG68" s="977" t="n"/>
      <c r="BH68" s="977" t="n"/>
      <c r="BI68" s="977" t="n"/>
      <c r="BJ68" s="977" t="n"/>
      <c r="BK68" s="977" t="n"/>
      <c r="BL68" s="954">
        <f>BB68+BD68+BF68+BH68+BJ68</f>
        <v/>
      </c>
      <c r="BM68" s="954">
        <f>BC68+BE68+BG68+BI68+BK68</f>
        <v/>
      </c>
      <c r="BN68" s="599">
        <f>BM68-BL68</f>
        <v/>
      </c>
      <c r="BO68" s="977" t="n"/>
      <c r="BP68" s="977" t="n"/>
      <c r="BQ68" s="977" t="n"/>
      <c r="BR68" s="977" t="n"/>
      <c r="BS68" s="977" t="n"/>
      <c r="BT68" s="977" t="n"/>
      <c r="BU68" s="977" t="n"/>
      <c r="BV68" s="977" t="n"/>
      <c r="BW68" s="977" t="n"/>
      <c r="BX68" s="977" t="n"/>
      <c r="BY68" s="977" t="n"/>
      <c r="BZ68" s="977" t="n"/>
      <c r="CA68" s="977" t="n"/>
      <c r="CB68" s="977" t="n"/>
      <c r="CC68" s="980">
        <f>BO68+BQ68+BS68+BU68+BW68+BY68+CA68</f>
        <v/>
      </c>
      <c r="CD68" s="967">
        <f>BP68+BR68+BT68+BV68+BX68+BZ68+CB68</f>
        <v/>
      </c>
      <c r="CE68" s="958">
        <f>CD68-CC68</f>
        <v/>
      </c>
      <c r="CF68" s="984">
        <f>AL68+AY68+BL68+CC68+H68</f>
        <v/>
      </c>
      <c r="CG68" s="985">
        <f>AM68+AZ68+BM68+CD68+I68</f>
        <v/>
      </c>
      <c r="CH68" s="970">
        <f>CF68-CG68</f>
        <v/>
      </c>
    </row>
    <row r="69">
      <c r="A69" s="924" t="inlineStr">
        <is>
          <t>Хоз.товара</t>
        </is>
      </c>
      <c r="B69" s="917" t="inlineStr">
        <is>
          <t>Расход</t>
        </is>
      </c>
      <c r="C69" s="977" t="n"/>
      <c r="D69" s="977" t="n"/>
      <c r="E69" s="977" t="n"/>
      <c r="F69" s="977" t="n"/>
      <c r="G69" s="977" t="n"/>
      <c r="H69" s="981">
        <f>C69+D69+E69+F69+G69</f>
        <v/>
      </c>
      <c r="I69" s="964">
        <f>#REF!+#REF!+#REF!+#REF!+#REF!</f>
        <v/>
      </c>
      <c r="J69" s="982">
        <f>I69-H69</f>
        <v/>
      </c>
      <c r="K69" s="977" t="n"/>
      <c r="L69" s="977" t="n"/>
      <c r="M69" s="977" t="n"/>
      <c r="N69" s="977" t="n"/>
      <c r="O69" s="977" t="n"/>
      <c r="P69" s="977" t="n"/>
      <c r="Q69" s="977" t="n"/>
      <c r="R69" s="977" t="n"/>
      <c r="S69" s="977" t="n"/>
      <c r="T69" s="977" t="n"/>
      <c r="U69" s="977" t="n"/>
      <c r="V69" s="977" t="n"/>
      <c r="W69" s="977" t="n"/>
      <c r="X69" s="977" t="n"/>
      <c r="Y69" s="977" t="n"/>
      <c r="Z69" s="977" t="n"/>
      <c r="AA69" s="977" t="n"/>
      <c r="AB69" s="977" t="n"/>
      <c r="AC69" s="977" t="n"/>
      <c r="AD69" s="977" t="n"/>
      <c r="AE69" s="977" t="n"/>
      <c r="AF69" s="977" t="n"/>
      <c r="AG69" s="977" t="n"/>
      <c r="AH69" s="977" t="n"/>
      <c r="AI69" s="977" t="n"/>
      <c r="AJ69" s="977" t="n"/>
      <c r="AK69" s="977" t="n"/>
      <c r="AL69" s="659">
        <f>K69+AF69+AD69+AH69+AJ69</f>
        <v/>
      </c>
      <c r="AM69" s="964">
        <f>AB69+AE69+AG69+AI69+AK69</f>
        <v/>
      </c>
      <c r="AN69" s="982">
        <f>AM69-AL69</f>
        <v/>
      </c>
      <c r="AO69" s="977" t="n"/>
      <c r="AP69" s="977" t="n"/>
      <c r="AQ69" s="977" t="n"/>
      <c r="AR69" s="977" t="n"/>
      <c r="AS69" s="977" t="n"/>
      <c r="AT69" s="977" t="n"/>
      <c r="AU69" s="977" t="n"/>
      <c r="AV69" s="977" t="n"/>
      <c r="AW69" s="977" t="n"/>
      <c r="AX69" s="977" t="n"/>
      <c r="AY69" s="954">
        <f>AO69+AQ69+AS69+AU69+AW69</f>
        <v/>
      </c>
      <c r="AZ69" s="954">
        <f>AP69+AR69+AT69+AV69+AX69</f>
        <v/>
      </c>
      <c r="BA69" s="983">
        <f>AZ69-AY69</f>
        <v/>
      </c>
      <c r="BB69" s="977" t="n"/>
      <c r="BC69" s="977" t="n"/>
      <c r="BD69" s="977" t="n"/>
      <c r="BE69" s="977" t="n"/>
      <c r="BF69" s="977" t="n"/>
      <c r="BG69" s="977" t="n"/>
      <c r="BH69" s="977" t="n"/>
      <c r="BI69" s="977" t="n"/>
      <c r="BJ69" s="977" t="n"/>
      <c r="BK69" s="977" t="n"/>
      <c r="BL69" s="954">
        <f>BB69+BD69+BF69+BH69+BJ69</f>
        <v/>
      </c>
      <c r="BM69" s="954">
        <f>BC69+BE69+BG69+BI69+BK69</f>
        <v/>
      </c>
      <c r="BN69" s="599">
        <f>BM69-BL69</f>
        <v/>
      </c>
      <c r="BO69" s="977" t="n"/>
      <c r="BP69" s="977" t="n"/>
      <c r="BQ69" s="977" t="n"/>
      <c r="BR69" s="977" t="n"/>
      <c r="BS69" s="977" t="n"/>
      <c r="BT69" s="977" t="n"/>
      <c r="BU69" s="977" t="n"/>
      <c r="BV69" s="977" t="n"/>
      <c r="BW69" s="977" t="n"/>
      <c r="BX69" s="977" t="n"/>
      <c r="BY69" s="977" t="n"/>
      <c r="BZ69" s="977" t="n"/>
      <c r="CA69" s="977" t="n"/>
      <c r="CB69" s="977" t="n"/>
      <c r="CC69" s="980">
        <f>BO69+BQ69+BS69+BU69+BW69+BY69+CA69</f>
        <v/>
      </c>
      <c r="CD69" s="967">
        <f>BP69+BR69+BT69+BV69+BX69+BZ69+CB69</f>
        <v/>
      </c>
      <c r="CE69" s="958">
        <f>CD69-CC69</f>
        <v/>
      </c>
      <c r="CF69" s="984">
        <f>AL69+AY69+BL69+CC69+H69</f>
        <v/>
      </c>
      <c r="CG69" s="985">
        <f>AM69+AZ69+BM69+CD69+I69</f>
        <v/>
      </c>
      <c r="CH69" s="970">
        <f>CF69-CG69</f>
        <v/>
      </c>
    </row>
    <row r="70">
      <c r="A70" s="924" t="inlineStr">
        <is>
          <t>Канц.товары</t>
        </is>
      </c>
      <c r="B70" s="917" t="inlineStr">
        <is>
          <t>Расход</t>
        </is>
      </c>
      <c r="C70" s="977" t="n"/>
      <c r="D70" s="977" t="n"/>
      <c r="E70" s="977" t="n"/>
      <c r="F70" s="977" t="n"/>
      <c r="G70" s="977" t="n"/>
      <c r="H70" s="981">
        <f>C70+D70+E70+F70+G70</f>
        <v/>
      </c>
      <c r="I70" s="964">
        <f>#REF!+#REF!+#REF!+#REF!+#REF!</f>
        <v/>
      </c>
      <c r="J70" s="982">
        <f>I70-H70</f>
        <v/>
      </c>
      <c r="K70" s="977" t="n"/>
      <c r="L70" s="977" t="n"/>
      <c r="M70" s="977" t="n"/>
      <c r="N70" s="977" t="n"/>
      <c r="O70" s="977" t="n"/>
      <c r="P70" s="977" t="n"/>
      <c r="Q70" s="977" t="n"/>
      <c r="R70" s="977" t="n"/>
      <c r="S70" s="977" t="n"/>
      <c r="T70" s="977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977" t="n"/>
      <c r="AE70" s="977" t="n"/>
      <c r="AF70" s="977" t="n"/>
      <c r="AG70" s="977" t="n"/>
      <c r="AH70" s="977" t="n"/>
      <c r="AI70" s="977" t="n"/>
      <c r="AJ70" s="977" t="n"/>
      <c r="AK70" s="977" t="n"/>
      <c r="AL70" s="659">
        <f>K70+AF70+AD70+AH70+AJ70</f>
        <v/>
      </c>
      <c r="AM70" s="964">
        <f>AB70+AE70+AG70+AI70+AK70</f>
        <v/>
      </c>
      <c r="AN70" s="982">
        <f>AM70-AL70</f>
        <v/>
      </c>
      <c r="AO70" s="977" t="n"/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54">
        <f>AO70+AQ70+AS70+AU70+AW70</f>
        <v/>
      </c>
      <c r="AZ70" s="954">
        <f>AP70+AR70+AT70+AV70+AX70</f>
        <v/>
      </c>
      <c r="BA70" s="983">
        <f>AZ70-AY70</f>
        <v/>
      </c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54">
        <f>BB70+BD70+BF70+BH70+BJ70</f>
        <v/>
      </c>
      <c r="BM70" s="954">
        <f>BC70+BE70+BG70+BI70+BK70</f>
        <v/>
      </c>
      <c r="BN70" s="599">
        <f>BM70-BL70</f>
        <v/>
      </c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80">
        <f>BO70+BQ70+BS70+BU70+BW70+BY70+CA70</f>
        <v/>
      </c>
      <c r="CD70" s="967">
        <f>BP70+BR70+BT70+BV70+BX70+BZ70+CB70</f>
        <v/>
      </c>
      <c r="CE70" s="958">
        <f>CD70-CC70</f>
        <v/>
      </c>
      <c r="CF70" s="984">
        <f>AL70+AY70+BL70+CC70+H70</f>
        <v/>
      </c>
      <c r="CG70" s="985">
        <f>AM70+AZ70+BM70+CD70+I70</f>
        <v/>
      </c>
      <c r="CH70" s="970">
        <f>CF70-CG70</f>
        <v/>
      </c>
    </row>
    <row r="71">
      <c r="A71" s="924" t="inlineStr">
        <is>
          <t>Расходы по реализации Разные</t>
        </is>
      </c>
      <c r="B71" s="917" t="inlineStr">
        <is>
          <t>Расход</t>
        </is>
      </c>
      <c r="C71" s="977" t="n"/>
      <c r="D71" s="977" t="n"/>
      <c r="E71" s="977" t="n"/>
      <c r="F71" s="977" t="n"/>
      <c r="G71" s="977" t="n"/>
      <c r="H71" s="981">
        <f>C71+D71+E71+F71+G71</f>
        <v/>
      </c>
      <c r="I71" s="964">
        <f>#REF!+#REF!+#REF!+#REF!+#REF!</f>
        <v/>
      </c>
      <c r="J71" s="982">
        <f>I71-H71</f>
        <v/>
      </c>
      <c r="K71" s="977" t="n"/>
      <c r="L71" s="977" t="n"/>
      <c r="M71" s="977" t="n"/>
      <c r="N71" s="977" t="n"/>
      <c r="O71" s="977" t="n"/>
      <c r="P71" s="977" t="n"/>
      <c r="Q71" s="977" t="n"/>
      <c r="R71" s="977" t="n"/>
      <c r="S71" s="977" t="n"/>
      <c r="T71" s="977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977" t="n"/>
      <c r="AE71" s="977" t="n"/>
      <c r="AF71" s="977" t="n"/>
      <c r="AG71" s="977" t="n"/>
      <c r="AH71" s="977" t="n"/>
      <c r="AI71" s="977" t="n"/>
      <c r="AJ71" s="977" t="n"/>
      <c r="AK71" s="977" t="n"/>
      <c r="AL71" s="659">
        <f>K71+AF71+AD71+AH71+AJ71</f>
        <v/>
      </c>
      <c r="AM71" s="964">
        <f>AB71+AE71+AG71+AI71+AK71</f>
        <v/>
      </c>
      <c r="AN71" s="982">
        <f>AM71-AL71</f>
        <v/>
      </c>
      <c r="AO71" s="977" t="n"/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54">
        <f>AO71+AQ71+AS71+AU71+AW71</f>
        <v/>
      </c>
      <c r="AZ71" s="954">
        <f>AP71+AR71+AT71+AV71+AX71</f>
        <v/>
      </c>
      <c r="BA71" s="983">
        <f>AZ71-AY71</f>
        <v/>
      </c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54">
        <f>BB71+BD71+BF71+BH71+BJ71</f>
        <v/>
      </c>
      <c r="BM71" s="954">
        <f>BC71+BE71+BG71+BI71+BK71</f>
        <v/>
      </c>
      <c r="BN71" s="599">
        <f>BM71-BL71</f>
        <v/>
      </c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80">
        <f>BO71+BQ71+BS71+BU71+BW71+BY71+CA71</f>
        <v/>
      </c>
      <c r="CD71" s="967">
        <f>BP71+BR71+BT71+BV71+BX71+BZ71+CB71</f>
        <v/>
      </c>
      <c r="CE71" s="958">
        <f>CD71-CC71</f>
        <v/>
      </c>
      <c r="CF71" s="984">
        <f>AL71+AY71+BL71+CC71+H71</f>
        <v/>
      </c>
      <c r="CG71" s="985">
        <f>AM71+AZ71+BM71+CD71+I71</f>
        <v/>
      </c>
      <c r="CH71" s="970">
        <f>CF71-CG71</f>
        <v/>
      </c>
    </row>
    <row r="72">
      <c r="A72" s="924" t="inlineStr">
        <is>
          <t>Ремонт помещений</t>
        </is>
      </c>
      <c r="B72" s="917" t="inlineStr">
        <is>
          <t>Расход</t>
        </is>
      </c>
      <c r="C72" s="977" t="n"/>
      <c r="D72" s="977" t="n"/>
      <c r="E72" s="977" t="n"/>
      <c r="F72" s="977" t="n"/>
      <c r="G72" s="977" t="n"/>
      <c r="H72" s="981">
        <f>C72+D72+E72+F72+G72</f>
        <v/>
      </c>
      <c r="I72" s="964">
        <f>#REF!+#REF!+#REF!+#REF!+#REF!</f>
        <v/>
      </c>
      <c r="J72" s="982">
        <f>I72-H72</f>
        <v/>
      </c>
      <c r="K72" s="977" t="n"/>
      <c r="L72" s="977" t="n"/>
      <c r="M72" s="977" t="n"/>
      <c r="N72" s="977" t="n"/>
      <c r="O72" s="977" t="n"/>
      <c r="P72" s="977" t="n"/>
      <c r="Q72" s="977" t="n"/>
      <c r="R72" s="977" t="n"/>
      <c r="S72" s="977" t="n"/>
      <c r="T72" s="977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977" t="n"/>
      <c r="AE72" s="977" t="n"/>
      <c r="AF72" s="977" t="n"/>
      <c r="AG72" s="977" t="n"/>
      <c r="AH72" s="977" t="n"/>
      <c r="AI72" s="977" t="n"/>
      <c r="AJ72" s="977" t="n"/>
      <c r="AK72" s="977" t="n"/>
      <c r="AL72" s="659">
        <f>K72+AF72+AD72+AH72+AJ72</f>
        <v/>
      </c>
      <c r="AM72" s="964">
        <f>AB72+AE72+AG72+AI72+AK72</f>
        <v/>
      </c>
      <c r="AN72" s="982">
        <f>AM72-AL72</f>
        <v/>
      </c>
      <c r="AO72" s="977" t="n"/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54">
        <f>AO72+AQ72+AS72+AU72+AW72</f>
        <v/>
      </c>
      <c r="AZ72" s="954">
        <f>AP72+AR72+AT72+AV72+AX72</f>
        <v/>
      </c>
      <c r="BA72" s="983">
        <f>AZ72-AY72</f>
        <v/>
      </c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54">
        <f>BB72+BD72+BF72+BH72+BJ72</f>
        <v/>
      </c>
      <c r="BM72" s="954">
        <f>BC72+BE72+BG72+BI72+BK72</f>
        <v/>
      </c>
      <c r="BN72" s="599">
        <f>BM72-BL72</f>
        <v/>
      </c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80">
        <f>BO72+BQ72+BS72+BU72+BW72+BY72+CA72</f>
        <v/>
      </c>
      <c r="CD72" s="967">
        <f>BP72+BR72+BT72+BV72+BX72+BZ72+CB72</f>
        <v/>
      </c>
      <c r="CE72" s="958">
        <f>CD72-CC72</f>
        <v/>
      </c>
      <c r="CF72" s="984">
        <f>AL72+AY72+BL72+CC72+H72</f>
        <v/>
      </c>
      <c r="CG72" s="985">
        <f>AM72+AZ72+BM72+CD72+I72</f>
        <v/>
      </c>
      <c r="CH72" s="970">
        <f>CF72-CG72</f>
        <v/>
      </c>
    </row>
    <row r="73">
      <c r="A73" s="924" t="inlineStr">
        <is>
          <t>Ремонт оборудования</t>
        </is>
      </c>
      <c r="B73" s="917" t="inlineStr">
        <is>
          <t>Расход</t>
        </is>
      </c>
      <c r="C73" s="977" t="n"/>
      <c r="D73" s="977" t="n"/>
      <c r="E73" s="977" t="n"/>
      <c r="F73" s="656" t="n">
        <v>-171500</v>
      </c>
      <c r="G73" s="977" t="n"/>
      <c r="H73" s="981">
        <f>C73+D73+E73+F73+G73</f>
        <v/>
      </c>
      <c r="I73" s="964">
        <f>#REF!+#REF!+#REF!+#REF!+#REF!</f>
        <v/>
      </c>
      <c r="J73" s="982">
        <f>I73-H73</f>
        <v/>
      </c>
      <c r="K73" s="977" t="n"/>
      <c r="L73" s="977" t="n"/>
      <c r="M73" s="977" t="n"/>
      <c r="N73" s="977" t="n"/>
      <c r="O73" s="977" t="n"/>
      <c r="P73" s="977" t="n"/>
      <c r="Q73" s="977" t="n"/>
      <c r="R73" s="977" t="n"/>
      <c r="S73" s="977" t="n"/>
      <c r="T73" s="977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656" t="n">
        <v>-212000</v>
      </c>
      <c r="AE73" s="977" t="n"/>
      <c r="AF73" s="977" t="n"/>
      <c r="AG73" s="977" t="n"/>
      <c r="AH73" s="977" t="n"/>
      <c r="AI73" s="977" t="n"/>
      <c r="AJ73" s="977" t="n"/>
      <c r="AK73" s="977" t="n"/>
      <c r="AL73" s="659">
        <f>K73+AF73+AD73+AH73+AJ73</f>
        <v/>
      </c>
      <c r="AM73" s="964">
        <f>AB73+AE73+AG73+AI73+AK73</f>
        <v/>
      </c>
      <c r="AN73" s="982">
        <f>AM73-AL73</f>
        <v/>
      </c>
      <c r="AO73" s="977" t="n"/>
      <c r="AP73" s="977" t="n"/>
      <c r="AQ73" s="954" t="n">
        <v>-148000</v>
      </c>
      <c r="AR73" s="977" t="n"/>
      <c r="AS73" s="977" t="n"/>
      <c r="AT73" s="977" t="n"/>
      <c r="AU73" s="977" t="n"/>
      <c r="AV73" s="977" t="n"/>
      <c r="AW73" s="977" t="n"/>
      <c r="AX73" s="977" t="n"/>
      <c r="AY73" s="954">
        <f>AO73+AQ73+AS73+AU73+AW73</f>
        <v/>
      </c>
      <c r="AZ73" s="954">
        <f>AP73+AR73+AT73+AV73+AX73</f>
        <v/>
      </c>
      <c r="BA73" s="983">
        <f>AZ73-AY73</f>
        <v/>
      </c>
      <c r="BB73" s="977" t="n"/>
      <c r="BC73" s="977" t="n"/>
      <c r="BD73" s="977" t="n"/>
      <c r="BE73" s="977" t="n"/>
      <c r="BF73" s="656" t="n">
        <v>-187500</v>
      </c>
      <c r="BG73" s="977" t="n"/>
      <c r="BH73" s="977" t="n"/>
      <c r="BI73" s="977" t="n"/>
      <c r="BJ73" s="977" t="n"/>
      <c r="BK73" s="977" t="n"/>
      <c r="BL73" s="954">
        <f>BB73+BD73+BF73+BH73+BJ73</f>
        <v/>
      </c>
      <c r="BM73" s="954">
        <f>BC73+BE73+BG73+BI73+BK73</f>
        <v/>
      </c>
      <c r="BN73" s="599">
        <f>BM73-BL73</f>
        <v/>
      </c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80">
        <f>BO73+BQ73+BS73+BU73+BW73+BY73+CA73</f>
        <v/>
      </c>
      <c r="CD73" s="967">
        <f>BP73+BR73+BT73+BV73+BX73+BZ73+CB73</f>
        <v/>
      </c>
      <c r="CE73" s="958">
        <f>CD73-CC73</f>
        <v/>
      </c>
      <c r="CF73" s="984">
        <f>AL73+AY73+BL73+CC73+H73</f>
        <v/>
      </c>
      <c r="CG73" s="985">
        <f>AM73+AZ73+BM73+CD73+I73</f>
        <v/>
      </c>
      <c r="CH73" s="970">
        <f>CF73-CG73</f>
        <v/>
      </c>
    </row>
    <row r="74">
      <c r="A74" s="924" t="inlineStr">
        <is>
          <t>Приобретение основных средств</t>
        </is>
      </c>
      <c r="B74" s="917" t="inlineStr">
        <is>
          <t>Расход</t>
        </is>
      </c>
      <c r="C74" s="977" t="n"/>
      <c r="D74" s="977" t="n"/>
      <c r="E74" s="977" t="n"/>
      <c r="F74" s="977" t="n"/>
      <c r="G74" s="977" t="n"/>
      <c r="H74" s="981">
        <f>C74+D74+E74+F74+G74</f>
        <v/>
      </c>
      <c r="I74" s="964">
        <f>#REF!+#REF!+#REF!+#REF!+#REF!</f>
        <v/>
      </c>
      <c r="J74" s="982">
        <f>I74-H74</f>
        <v/>
      </c>
      <c r="K74" s="977" t="n"/>
      <c r="L74" s="977" t="n"/>
      <c r="M74" s="977" t="n"/>
      <c r="N74" s="977" t="n"/>
      <c r="O74" s="977" t="n"/>
      <c r="P74" s="977" t="n"/>
      <c r="Q74" s="977" t="n"/>
      <c r="R74" s="977" t="n"/>
      <c r="S74" s="977" t="n"/>
      <c r="T74" s="977" t="n"/>
      <c r="U74" s="977" t="n"/>
      <c r="V74" s="977" t="n"/>
      <c r="W74" s="977" t="n"/>
      <c r="X74" s="977" t="n"/>
      <c r="Y74" s="977" t="n"/>
      <c r="Z74" s="977" t="n"/>
      <c r="AA74" s="977" t="n"/>
      <c r="AB74" s="977" t="n"/>
      <c r="AC74" s="977" t="n"/>
      <c r="AD74" s="977" t="n"/>
      <c r="AE74" s="977" t="n"/>
      <c r="AF74" s="977" t="n"/>
      <c r="AG74" s="977" t="n"/>
      <c r="AH74" s="977" t="n"/>
      <c r="AI74" s="977" t="n"/>
      <c r="AJ74" s="977" t="n"/>
      <c r="AK74" s="977" t="n"/>
      <c r="AL74" s="659">
        <f>K74+AF74+AD74+AH74+AJ74</f>
        <v/>
      </c>
      <c r="AM74" s="964">
        <f>AB74+AE74+AG74+AI74+AK74</f>
        <v/>
      </c>
      <c r="AN74" s="982">
        <f>AM74-AL74</f>
        <v/>
      </c>
      <c r="AO74" s="977" t="n"/>
      <c r="AP74" s="977" t="n"/>
      <c r="AQ74" s="977" t="n"/>
      <c r="AR74" s="977" t="n"/>
      <c r="AS74" s="977" t="n"/>
      <c r="AT74" s="977" t="n"/>
      <c r="AU74" s="977" t="n"/>
      <c r="AV74" s="977" t="n"/>
      <c r="AW74" s="977" t="n"/>
      <c r="AX74" s="977" t="n"/>
      <c r="AY74" s="954">
        <f>AO74+AQ74+AS74+AU74+AW74</f>
        <v/>
      </c>
      <c r="AZ74" s="954">
        <f>AP74+AR74+AT74+AV74+AX74</f>
        <v/>
      </c>
      <c r="BA74" s="983">
        <f>AZ74-AY74</f>
        <v/>
      </c>
      <c r="BB74" s="977" t="n"/>
      <c r="BC74" s="977" t="n"/>
      <c r="BD74" s="977" t="n"/>
      <c r="BE74" s="977" t="n"/>
      <c r="BF74" s="977" t="n"/>
      <c r="BG74" s="977" t="n"/>
      <c r="BH74" s="977" t="n"/>
      <c r="BI74" s="977" t="n"/>
      <c r="BJ74" s="977" t="n"/>
      <c r="BK74" s="977" t="n"/>
      <c r="BL74" s="954">
        <f>BB74+BD74+BF74+BH74+BJ74</f>
        <v/>
      </c>
      <c r="BM74" s="954">
        <f>BC74+BE74+BG74+BI74+BK74</f>
        <v/>
      </c>
      <c r="BN74" s="599">
        <f>BM74-BL74</f>
        <v/>
      </c>
      <c r="BO74" s="977" t="n"/>
      <c r="BP74" s="977" t="n"/>
      <c r="BQ74" s="977" t="n"/>
      <c r="BR74" s="977" t="n"/>
      <c r="BS74" s="977" t="n"/>
      <c r="BT74" s="977" t="n"/>
      <c r="BU74" s="977" t="n"/>
      <c r="BV74" s="977" t="n"/>
      <c r="BW74" s="977" t="n"/>
      <c r="BX74" s="977" t="n"/>
      <c r="BY74" s="977" t="n"/>
      <c r="BZ74" s="977" t="n"/>
      <c r="CA74" s="977" t="n"/>
      <c r="CB74" s="977" t="n"/>
      <c r="CC74" s="980">
        <f>BO74+BQ74+BS74+BU74+BW74+BY74+CA74</f>
        <v/>
      </c>
      <c r="CD74" s="967">
        <f>BP74+BR74+BT74+BV74+BX74+BZ74+CB74</f>
        <v/>
      </c>
      <c r="CE74" s="958">
        <f>CD74-CC74</f>
        <v/>
      </c>
      <c r="CF74" s="984">
        <f>AL74+AY74+BL74+CC74+H74</f>
        <v/>
      </c>
      <c r="CG74" s="985">
        <f>AM74+AZ74+BM74+CD74+I74</f>
        <v/>
      </c>
      <c r="CH74" s="970">
        <f>CF74-CG74</f>
        <v/>
      </c>
    </row>
    <row r="75">
      <c r="A75" s="924" t="inlineStr">
        <is>
          <t>Сырье Платежи поставщикам</t>
        </is>
      </c>
      <c r="B75" s="917" t="inlineStr">
        <is>
          <t>Расход</t>
        </is>
      </c>
      <c r="C75" s="977" t="n"/>
      <c r="D75" s="977" t="n"/>
      <c r="E75" s="977" t="n"/>
      <c r="F75" s="977" t="n"/>
      <c r="G75" s="977" t="n"/>
      <c r="H75" s="981">
        <f>C75+D75+E75+F75+G75</f>
        <v/>
      </c>
      <c r="I75" s="964">
        <f>#REF!+#REF!+#REF!+#REF!+#REF!</f>
        <v/>
      </c>
      <c r="J75" s="982">
        <f>I75-H75</f>
        <v/>
      </c>
      <c r="K75" s="977" t="n"/>
      <c r="L75" s="977" t="n"/>
      <c r="M75" s="977" t="n"/>
      <c r="N75" s="977" t="n"/>
      <c r="O75" s="977" t="n"/>
      <c r="P75" s="977" t="n"/>
      <c r="Q75" s="977" t="n"/>
      <c r="R75" s="977" t="n"/>
      <c r="S75" s="977" t="n"/>
      <c r="T75" s="977" t="n"/>
      <c r="U75" s="977" t="n"/>
      <c r="V75" s="977" t="n"/>
      <c r="W75" s="977" t="n"/>
      <c r="X75" s="977" t="n"/>
      <c r="Y75" s="977" t="n"/>
      <c r="Z75" s="977" t="n"/>
      <c r="AA75" s="977" t="n"/>
      <c r="AB75" s="656" t="n">
        <v>-12600</v>
      </c>
      <c r="AC75" s="656" t="n"/>
      <c r="AD75" s="977" t="n"/>
      <c r="AE75" s="977">
        <f>-500000</f>
        <v/>
      </c>
      <c r="AF75" s="977" t="n"/>
      <c r="AG75" s="977" t="n">
        <v>-84000</v>
      </c>
      <c r="AH75" s="977" t="n"/>
      <c r="AI75" s="977" t="n"/>
      <c r="AJ75" s="977" t="n"/>
      <c r="AK75" s="977" t="n"/>
      <c r="AL75" s="659">
        <f>K75+AF75+AD75+AH75+AJ75</f>
        <v/>
      </c>
      <c r="AM75" s="964">
        <f>AB75+AE75+AG75+AI75+AK75</f>
        <v/>
      </c>
      <c r="AN75" s="982">
        <f>AM75-AL75</f>
        <v/>
      </c>
      <c r="AO75" s="977" t="n"/>
      <c r="AP75" s="977" t="n"/>
      <c r="AQ75" s="977" t="n"/>
      <c r="AR75" s="977" t="n"/>
      <c r="AS75" s="977" t="n"/>
      <c r="AT75" s="977" t="n"/>
      <c r="AU75" s="977" t="n"/>
      <c r="AV75" s="977" t="n"/>
      <c r="AW75" s="977" t="n"/>
      <c r="AX75" s="977" t="n"/>
      <c r="AY75" s="954">
        <f>AO75+AQ75+AS75+AU75+AW75</f>
        <v/>
      </c>
      <c r="AZ75" s="954">
        <f>AP75+AR75+AT75+AV75+AX75</f>
        <v/>
      </c>
      <c r="BA75" s="983">
        <f>AZ75-AY75</f>
        <v/>
      </c>
      <c r="BB75" s="977" t="n"/>
      <c r="BC75" s="977" t="n"/>
      <c r="BD75" s="977" t="n"/>
      <c r="BE75" s="977" t="n"/>
      <c r="BF75" s="977" t="n"/>
      <c r="BG75" s="977" t="n"/>
      <c r="BH75" s="977" t="n"/>
      <c r="BI75" s="977" t="n"/>
      <c r="BJ75" s="977" t="n"/>
      <c r="BK75" s="977" t="n"/>
      <c r="BL75" s="954">
        <f>BB75+BD75+BF75+BH75+BJ75</f>
        <v/>
      </c>
      <c r="BM75" s="954">
        <f>BC75+BE75+BG75+BI75+BK75</f>
        <v/>
      </c>
      <c r="BN75" s="599">
        <f>BM75-BL75</f>
        <v/>
      </c>
      <c r="BO75" s="977" t="n"/>
      <c r="BP75" s="977" t="n"/>
      <c r="BQ75" s="977" t="n"/>
      <c r="BR75" s="977" t="n"/>
      <c r="BS75" s="977" t="n"/>
      <c r="BT75" s="1006" t="n"/>
      <c r="BU75" s="977" t="n"/>
      <c r="BV75" s="977" t="n"/>
      <c r="BW75" s="977" t="n"/>
      <c r="BX75" s="977" t="n"/>
      <c r="BY75" s="977" t="n"/>
      <c r="BZ75" s="977" t="n"/>
      <c r="CA75" s="977" t="n"/>
      <c r="CB75" s="977" t="n"/>
      <c r="CC75" s="980">
        <f>BO75+BQ75+BS75+BU75+BW75+BY75+CA75</f>
        <v/>
      </c>
      <c r="CD75" s="967">
        <f>BP75+BR75+BT75+BV75+BX75+BZ75+CB75</f>
        <v/>
      </c>
      <c r="CE75" s="958">
        <f>CD75-CC75</f>
        <v/>
      </c>
      <c r="CF75" s="984">
        <f>AL75+AY75+BL75+CC75+H75</f>
        <v/>
      </c>
      <c r="CG75" s="985">
        <f>AM75+AZ75+BM75+CD75+I75</f>
        <v/>
      </c>
      <c r="CH75" s="970">
        <f>CF75-CG75</f>
        <v/>
      </c>
    </row>
    <row r="76">
      <c r="A76" s="927" t="inlineStr">
        <is>
          <t>Итого по кассе</t>
        </is>
      </c>
      <c r="B76" s="928" t="inlineStr">
        <is>
          <t>Расход</t>
        </is>
      </c>
      <c r="C76" s="929" t="n">
        <v>0</v>
      </c>
      <c r="D76" s="929">
        <f>SUM(D58:D75)</f>
        <v/>
      </c>
      <c r="E76" s="929">
        <f>SUM(E58:E75)</f>
        <v/>
      </c>
      <c r="F76" s="929">
        <f>SUM(F58:F75)</f>
        <v/>
      </c>
      <c r="G76" s="929">
        <f>SUM(G58:G75)</f>
        <v/>
      </c>
      <c r="H76" s="987">
        <f>SUM(H58:H75)</f>
        <v/>
      </c>
      <c r="I76" s="987">
        <f>SUM(I58:I75)</f>
        <v/>
      </c>
      <c r="J76" s="953">
        <f>I76-H76</f>
        <v/>
      </c>
      <c r="K76" s="929">
        <f>SUM(K58:K75)</f>
        <v/>
      </c>
      <c r="L76" s="929" t="n"/>
      <c r="M76" s="929" t="n"/>
      <c r="N76" s="929" t="n"/>
      <c r="O76" s="929" t="n"/>
      <c r="P76" s="929" t="n"/>
      <c r="Q76" s="929" t="n"/>
      <c r="R76" s="929" t="n"/>
      <c r="S76" s="929" t="n"/>
      <c r="T76" s="929" t="n"/>
      <c r="U76" s="929" t="n"/>
      <c r="V76" s="929" t="n"/>
      <c r="W76" s="929" t="n"/>
      <c r="X76" s="929" t="n"/>
      <c r="Y76" s="929" t="n"/>
      <c r="Z76" s="929" t="n"/>
      <c r="AA76" s="929" t="n"/>
      <c r="AB76" s="929">
        <f>SUM(AB58:AB75)</f>
        <v/>
      </c>
      <c r="AC76" s="929" t="n"/>
      <c r="AD76" s="929">
        <f>SUM(AD58:AD75)</f>
        <v/>
      </c>
      <c r="AE76" s="929">
        <f>SUM(AE58:AE75)</f>
        <v/>
      </c>
      <c r="AF76" s="929">
        <f>SUM(AF58:AF75)</f>
        <v/>
      </c>
      <c r="AG76" s="929">
        <f>SUM(AG58:AG75)</f>
        <v/>
      </c>
      <c r="AH76" s="929">
        <f>SUM(AH58:AH75)</f>
        <v/>
      </c>
      <c r="AI76" s="929">
        <f>SUM(AI58:AI75)</f>
        <v/>
      </c>
      <c r="AJ76" s="929">
        <f>SUM(AJ58:AJ75)</f>
        <v/>
      </c>
      <c r="AK76" s="929">
        <f>SUM(AK58:AK75)</f>
        <v/>
      </c>
      <c r="AL76" s="987">
        <f>SUM(AL58:AL75)</f>
        <v/>
      </c>
      <c r="AM76" s="987">
        <f>SUM(AM58:AM75)</f>
        <v/>
      </c>
      <c r="AN76" s="953">
        <f>AM76-AL76</f>
        <v/>
      </c>
      <c r="AO76" s="929">
        <f>SUM(AO58:AO75)</f>
        <v/>
      </c>
      <c r="AP76" s="929">
        <f>SUM(AP58:AP75)</f>
        <v/>
      </c>
      <c r="AQ76" s="929">
        <f>SUM(AQ58:AQ75)</f>
        <v/>
      </c>
      <c r="AR76" s="929">
        <f>SUM(AR58:AR75)</f>
        <v/>
      </c>
      <c r="AS76" s="929">
        <f>SUM(AS58:AS75)</f>
        <v/>
      </c>
      <c r="AT76" s="929">
        <f>SUM(AT58:AT75)</f>
        <v/>
      </c>
      <c r="AU76" s="929">
        <f>SUM(AU58:AU75)</f>
        <v/>
      </c>
      <c r="AV76" s="929">
        <f>SUM(AV58:AV75)</f>
        <v/>
      </c>
      <c r="AW76" s="929">
        <f>SUM(AW58:AW75)</f>
        <v/>
      </c>
      <c r="AX76" s="929">
        <f>SUM(AX58:AX75)</f>
        <v/>
      </c>
      <c r="AY76" s="929">
        <f>SUM(AY58:AY75)</f>
        <v/>
      </c>
      <c r="AZ76" s="929">
        <f>SUM(AZ58:AZ75)</f>
        <v/>
      </c>
      <c r="BA76" s="956">
        <f>AZ76-AY76</f>
        <v/>
      </c>
      <c r="BB76" s="929">
        <f>SUM(BB58:BB75)</f>
        <v/>
      </c>
      <c r="BC76" s="929">
        <f>SUM(BC58:BC75)</f>
        <v/>
      </c>
      <c r="BD76" s="929">
        <f>SUM(BD58:BD75)</f>
        <v/>
      </c>
      <c r="BE76" s="929">
        <f>SUM(BE58:BE75)</f>
        <v/>
      </c>
      <c r="BF76" s="929">
        <f>SUM(BF58:BF75)</f>
        <v/>
      </c>
      <c r="BG76" s="929">
        <f>SUM(BG58:BG75)</f>
        <v/>
      </c>
      <c r="BH76" s="929">
        <f>SUM(BH58:BH75)</f>
        <v/>
      </c>
      <c r="BI76" s="929">
        <f>SUM(BI58:BI75)</f>
        <v/>
      </c>
      <c r="BJ76" s="929">
        <f>SUM(BJ58:BJ75)</f>
        <v/>
      </c>
      <c r="BK76" s="929">
        <f>SUM(BK58:BK75)</f>
        <v/>
      </c>
      <c r="BL76" s="929">
        <f>SUM(BL58:BL75)</f>
        <v/>
      </c>
      <c r="BM76" s="929">
        <f>SUM(BM58:BM75)</f>
        <v/>
      </c>
      <c r="BN76" s="599">
        <f>BM76-BL76</f>
        <v/>
      </c>
      <c r="BO76" s="929">
        <f>SUM(BO58:BO75)</f>
        <v/>
      </c>
      <c r="BP76" s="929">
        <f>SUM(BP58:BP75)</f>
        <v/>
      </c>
      <c r="BQ76" s="929">
        <f>SUM(BQ58:BQ75)</f>
        <v/>
      </c>
      <c r="BR76" s="929">
        <f>SUM(BR58:BR75)</f>
        <v/>
      </c>
      <c r="BS76" s="929">
        <f>SUM(BS58:BS75)</f>
        <v/>
      </c>
      <c r="BT76" s="929">
        <f>SUM(BT58:BT75)</f>
        <v/>
      </c>
      <c r="BU76" s="929">
        <f>SUM(BU58:BU75)</f>
        <v/>
      </c>
      <c r="BV76" s="929">
        <f>SUM(BV58:BV75)</f>
        <v/>
      </c>
      <c r="BW76" s="929">
        <f>SUM(BW58:BW75)</f>
        <v/>
      </c>
      <c r="BX76" s="929">
        <f>SUM(BX58:BX75)</f>
        <v/>
      </c>
      <c r="BY76" s="929">
        <f>SUM(BY58:BY75)</f>
        <v/>
      </c>
      <c r="BZ76" s="929">
        <f>SUM(BZ58:BZ75)</f>
        <v/>
      </c>
      <c r="CA76" s="929">
        <f>SUM(CA58:CA75)</f>
        <v/>
      </c>
      <c r="CB76" s="929">
        <f>SUM(CB58:CB75)</f>
        <v/>
      </c>
      <c r="CC76" s="929">
        <f>SUM(CC58:CC75)</f>
        <v/>
      </c>
      <c r="CD76" s="929">
        <f>SUM(CD58:CD75)</f>
        <v/>
      </c>
      <c r="CE76" s="958">
        <f>CD76-CC76</f>
        <v/>
      </c>
      <c r="CF76" s="988">
        <f>SUM(CF58:CF75)</f>
        <v/>
      </c>
      <c r="CG76" s="989">
        <f>SUM(CG58:CG75)</f>
        <v/>
      </c>
      <c r="CH76" s="970">
        <f>CF76-CG76</f>
        <v/>
      </c>
    </row>
    <row r="77">
      <c r="A77" s="930" t="inlineStr">
        <is>
          <t>ИТОГО РАСХОДЫ</t>
        </is>
      </c>
      <c r="B77" s="931" t="n"/>
      <c r="C77" s="932" t="n">
        <v>0</v>
      </c>
      <c r="D77" s="932">
        <f>D57+D76</f>
        <v/>
      </c>
      <c r="E77" s="932">
        <f>E57+E76</f>
        <v/>
      </c>
      <c r="F77" s="932">
        <f>F57+F76</f>
        <v/>
      </c>
      <c r="G77" s="932">
        <f>G57+G76</f>
        <v/>
      </c>
      <c r="H77" s="932">
        <f>H57+H76</f>
        <v/>
      </c>
      <c r="I77" s="932">
        <f>I57+I76</f>
        <v/>
      </c>
      <c r="J77" s="932">
        <f>J57+J76</f>
        <v/>
      </c>
      <c r="K77" s="932">
        <f>K57+K76</f>
        <v/>
      </c>
      <c r="L77" s="932" t="n"/>
      <c r="M77" s="932" t="n"/>
      <c r="N77" s="932" t="n"/>
      <c r="O77" s="932" t="n"/>
      <c r="P77" s="932" t="n"/>
      <c r="Q77" s="932" t="n"/>
      <c r="R77" s="932" t="n"/>
      <c r="S77" s="932" t="n"/>
      <c r="T77" s="932" t="n"/>
      <c r="U77" s="932" t="n"/>
      <c r="V77" s="932" t="n"/>
      <c r="W77" s="932" t="n"/>
      <c r="X77" s="932" t="n"/>
      <c r="Y77" s="932" t="n"/>
      <c r="Z77" s="932" t="n"/>
      <c r="AA77" s="932" t="n"/>
      <c r="AB77" s="932">
        <f>AB57+AB76</f>
        <v/>
      </c>
      <c r="AC77" s="932" t="n"/>
      <c r="AD77" s="932">
        <f>AD57+AD76</f>
        <v/>
      </c>
      <c r="AE77" s="932">
        <f>AE57+AE76</f>
        <v/>
      </c>
      <c r="AF77" s="932">
        <f>AF57+AF76</f>
        <v/>
      </c>
      <c r="AG77" s="932">
        <f>AG57+AG76</f>
        <v/>
      </c>
      <c r="AH77" s="932">
        <f>AH57+AH76</f>
        <v/>
      </c>
      <c r="AI77" s="932">
        <f>AI57+AI76</f>
        <v/>
      </c>
      <c r="AJ77" s="932">
        <f>AJ57+AJ76</f>
        <v/>
      </c>
      <c r="AK77" s="932">
        <f>AK57+AK76</f>
        <v/>
      </c>
      <c r="AL77" s="932">
        <f>AL57+AL76</f>
        <v/>
      </c>
      <c r="AM77" s="932">
        <f>AM57+AM76</f>
        <v/>
      </c>
      <c r="AN77" s="932">
        <f>AN57+AN76</f>
        <v/>
      </c>
      <c r="AO77" s="932">
        <f>AO57+AO76</f>
        <v/>
      </c>
      <c r="AP77" s="932">
        <f>AP57+AP76</f>
        <v/>
      </c>
      <c r="AQ77" s="932">
        <f>AQ57+AQ76</f>
        <v/>
      </c>
      <c r="AR77" s="932">
        <f>AR57+AR76</f>
        <v/>
      </c>
      <c r="AS77" s="932">
        <f>AS57+AS76</f>
        <v/>
      </c>
      <c r="AT77" s="932">
        <f>AT57+AT76</f>
        <v/>
      </c>
      <c r="AU77" s="932">
        <f>AU57+AU76</f>
        <v/>
      </c>
      <c r="AV77" s="932">
        <f>AV57+AV76</f>
        <v/>
      </c>
      <c r="AW77" s="932">
        <f>AW57+AW76</f>
        <v/>
      </c>
      <c r="AX77" s="932">
        <f>AX57+AX76</f>
        <v/>
      </c>
      <c r="AY77" s="932">
        <f>AY57+AY76</f>
        <v/>
      </c>
      <c r="AZ77" s="932">
        <f>AZ57+AZ76</f>
        <v/>
      </c>
      <c r="BA77" s="932">
        <f>BA57+BA76</f>
        <v/>
      </c>
      <c r="BB77" s="932">
        <f>BB57+BB76</f>
        <v/>
      </c>
      <c r="BC77" s="932">
        <f>BC57+BC76</f>
        <v/>
      </c>
      <c r="BD77" s="932">
        <f>BD57+BD76</f>
        <v/>
      </c>
      <c r="BE77" s="932">
        <f>BE57+BE76</f>
        <v/>
      </c>
      <c r="BF77" s="932">
        <f>BF57+BF76</f>
        <v/>
      </c>
      <c r="BG77" s="932">
        <f>BG57+BG76</f>
        <v/>
      </c>
      <c r="BH77" s="932">
        <f>BH57+BH76</f>
        <v/>
      </c>
      <c r="BI77" s="932">
        <f>BI57+BI76</f>
        <v/>
      </c>
      <c r="BJ77" s="932">
        <f>BJ57+BJ76</f>
        <v/>
      </c>
      <c r="BK77" s="932">
        <f>BK57+BK76</f>
        <v/>
      </c>
      <c r="BL77" s="932">
        <f>BL57+BL76</f>
        <v/>
      </c>
      <c r="BM77" s="932">
        <f>BM57+BM76</f>
        <v/>
      </c>
      <c r="BN77" s="977" t="n"/>
      <c r="BO77" s="932">
        <f>BO57+BO76</f>
        <v/>
      </c>
      <c r="BP77" s="932">
        <f>BP57+BP76</f>
        <v/>
      </c>
      <c r="BQ77" s="932">
        <f>BQ57+BQ76</f>
        <v/>
      </c>
      <c r="BR77" s="932">
        <f>BR57+BR76</f>
        <v/>
      </c>
      <c r="BS77" s="932">
        <f>BS57+BS76</f>
        <v/>
      </c>
      <c r="BT77" s="932">
        <f>BT57+BT76</f>
        <v/>
      </c>
      <c r="BU77" s="932">
        <f>BU57+BU76</f>
        <v/>
      </c>
      <c r="BV77" s="932">
        <f>BV57+BV76</f>
        <v/>
      </c>
      <c r="BW77" s="932">
        <f>BW57+BW76</f>
        <v/>
      </c>
      <c r="BX77" s="932">
        <f>BX57+BX76</f>
        <v/>
      </c>
      <c r="BY77" s="932">
        <f>BY57+BY76</f>
        <v/>
      </c>
      <c r="BZ77" s="932">
        <f>BZ57+BZ76</f>
        <v/>
      </c>
      <c r="CA77" s="932">
        <f>CA57+CA76</f>
        <v/>
      </c>
      <c r="CB77" s="932">
        <f>CB57+CB76</f>
        <v/>
      </c>
      <c r="CC77" s="932">
        <f>CC57+CC76</f>
        <v/>
      </c>
      <c r="CD77" s="932">
        <f>CD57+CD76</f>
        <v/>
      </c>
      <c r="CE77" s="932">
        <f>CE57+CE76</f>
        <v/>
      </c>
      <c r="CF77" s="932">
        <f>CF57+CF76</f>
        <v/>
      </c>
      <c r="CG77" s="932">
        <f>CG57+CG76</f>
        <v/>
      </c>
      <c r="CH77" s="970">
        <f>CF77-CG77</f>
        <v/>
      </c>
    </row>
    <row r="78">
      <c r="A78" s="933" t="inlineStr">
        <is>
          <t>Операционная деятельность</t>
        </is>
      </c>
      <c r="B78" s="934" t="n"/>
      <c r="C78" s="935" t="n">
        <v>0</v>
      </c>
      <c r="D78" s="935">
        <f>D31-(-D57-D76)</f>
        <v/>
      </c>
      <c r="E78" s="935">
        <f>E31-(-E57-E76)</f>
        <v/>
      </c>
      <c r="F78" s="935">
        <f>F31-(-F57-F76)</f>
        <v/>
      </c>
      <c r="G78" s="935">
        <f>G31-(-G57-G76)</f>
        <v/>
      </c>
      <c r="H78" s="990">
        <f>H31-(-H57-H76)</f>
        <v/>
      </c>
      <c r="I78" s="990">
        <f>I31-(-I57-I76)</f>
        <v/>
      </c>
      <c r="J78" s="953">
        <f>I78-H78</f>
        <v/>
      </c>
      <c r="K78" s="935">
        <f>K31-(-K57-K76)</f>
        <v/>
      </c>
      <c r="L78" s="935" t="n"/>
      <c r="M78" s="935" t="n"/>
      <c r="N78" s="935" t="n"/>
      <c r="O78" s="935" t="n"/>
      <c r="P78" s="935" t="n"/>
      <c r="Q78" s="935" t="n"/>
      <c r="R78" s="935" t="n"/>
      <c r="S78" s="935" t="n"/>
      <c r="T78" s="935" t="n"/>
      <c r="U78" s="935" t="n"/>
      <c r="V78" s="935" t="n"/>
      <c r="W78" s="935" t="n"/>
      <c r="X78" s="935" t="n"/>
      <c r="Y78" s="935" t="n"/>
      <c r="Z78" s="935" t="n"/>
      <c r="AA78" s="935" t="n"/>
      <c r="AB78" s="991" t="n"/>
      <c r="AC78" s="991" t="n"/>
      <c r="AD78" s="935">
        <f>AD31-(-AD57-AD76)</f>
        <v/>
      </c>
      <c r="AE78" s="935">
        <f>AE31-(-AE57-AE76)</f>
        <v/>
      </c>
      <c r="AF78" s="935">
        <f>AF31-(-AF57-AF76)</f>
        <v/>
      </c>
      <c r="AG78" s="935">
        <f>AG31-(-AG57-AG76)</f>
        <v/>
      </c>
      <c r="AH78" s="935">
        <f>AH31-(-AH57-AH76)</f>
        <v/>
      </c>
      <c r="AI78" s="935">
        <f>AI31-(-AI57-AI76)</f>
        <v/>
      </c>
      <c r="AJ78" s="935">
        <f>AJ31-(-AJ57-AJ76)</f>
        <v/>
      </c>
      <c r="AK78" s="935">
        <f>AK31-(-AK57-AK76)</f>
        <v/>
      </c>
      <c r="AL78" s="990">
        <f>AL31-(-AL57-AL76)</f>
        <v/>
      </c>
      <c r="AM78" s="990">
        <f>AM31-(-AM57-AM76)</f>
        <v/>
      </c>
      <c r="AN78" s="953">
        <f>AM78-AL78</f>
        <v/>
      </c>
      <c r="AO78" s="935">
        <f>AO31-(-AO57-AO76)</f>
        <v/>
      </c>
      <c r="AP78" s="935">
        <f>AP31-(-AP57-AP76)</f>
        <v/>
      </c>
      <c r="AQ78" s="935">
        <f>AQ31-(-AQ57-AQ76)</f>
        <v/>
      </c>
      <c r="AR78" s="935">
        <f>AR31-(-AR57-AR76)</f>
        <v/>
      </c>
      <c r="AS78" s="935">
        <f>AS31-(-AS57-AS76)</f>
        <v/>
      </c>
      <c r="AT78" s="935">
        <f>AT31-(-AT57-AT76)</f>
        <v/>
      </c>
      <c r="AU78" s="935">
        <f>AU31-(-AU57-AU76)</f>
        <v/>
      </c>
      <c r="AV78" s="935">
        <f>AV31-(-AV57-AV76)</f>
        <v/>
      </c>
      <c r="AW78" s="991" t="n"/>
      <c r="AX78" s="991" t="n"/>
      <c r="AY78" s="990">
        <f>AY31-(-AY57-AY76)</f>
        <v/>
      </c>
      <c r="AZ78" s="990">
        <f>AZ31-(-AZ57-AZ76)</f>
        <v/>
      </c>
      <c r="BA78" s="956">
        <f>AZ78-AY78</f>
        <v/>
      </c>
      <c r="BB78" s="935">
        <f>BB31-(-BB57-BB76)</f>
        <v/>
      </c>
      <c r="BC78" s="935">
        <f>BC31-(-BC57-BC76)</f>
        <v/>
      </c>
      <c r="BD78" s="935">
        <f>BD31-(-BD57-BD76)</f>
        <v/>
      </c>
      <c r="BE78" s="935">
        <f>BE31-(-BE57-BE76)</f>
        <v/>
      </c>
      <c r="BF78" s="935">
        <f>BF31-(-BG58-BF76)</f>
        <v/>
      </c>
      <c r="BG78" s="935">
        <f>BG31-(-BG57-BG76)</f>
        <v/>
      </c>
      <c r="BH78" s="935">
        <f>BH31-(-BH76)</f>
        <v/>
      </c>
      <c r="BI78" s="935">
        <f>BI31-(-BI57-BI76)</f>
        <v/>
      </c>
      <c r="BJ78" s="935">
        <f>BJ31-(-BK58-BJ76)</f>
        <v/>
      </c>
      <c r="BK78" s="935">
        <f>BK31-(-BK57-BK76)</f>
        <v/>
      </c>
      <c r="BL78" s="935">
        <f>BL31-(-BL57-BL76)</f>
        <v/>
      </c>
      <c r="BM78" s="935">
        <f>BM31-(-BM57-BM76)</f>
        <v/>
      </c>
      <c r="BN78" s="599">
        <f>BM78-BL78</f>
        <v/>
      </c>
      <c r="BO78" s="935">
        <f>BO31-(-BO57-BO76)</f>
        <v/>
      </c>
      <c r="BP78" s="935">
        <f>BP31-(-BP57-BP76)</f>
        <v/>
      </c>
      <c r="BQ78" s="935">
        <f>BQ31-(-BQ57-BQ76)</f>
        <v/>
      </c>
      <c r="BR78" s="935">
        <f>BR31-(-BR57-BR76)</f>
        <v/>
      </c>
      <c r="BS78" s="935">
        <f>BS31-(-BS57-BS76)</f>
        <v/>
      </c>
      <c r="BT78" s="935">
        <f>BT31-(-BT57-BT76)</f>
        <v/>
      </c>
      <c r="BU78" s="935">
        <f>BU31-(-BU57-BU76)</f>
        <v/>
      </c>
      <c r="BV78" s="935">
        <f>BV31-(-BV57-BV76)</f>
        <v/>
      </c>
      <c r="BW78" s="935">
        <f>BW31-(-BW57-BW76)</f>
        <v/>
      </c>
      <c r="BX78" s="935">
        <f>BX31-(-BX57-BX76)</f>
        <v/>
      </c>
      <c r="BY78" s="935">
        <f>BY31-(-BY57-BY76)</f>
        <v/>
      </c>
      <c r="BZ78" s="935">
        <f>BZ31-(-BZ57-BZ76)</f>
        <v/>
      </c>
      <c r="CA78" s="935">
        <f>CA31-(-CA57-CA76)</f>
        <v/>
      </c>
      <c r="CB78" s="935">
        <f>CB31-(-CB57-CB76)</f>
        <v/>
      </c>
      <c r="CC78" s="935">
        <f>CC31-(-CC57-CC76)</f>
        <v/>
      </c>
      <c r="CD78" s="935">
        <f>CD31-(-CD57-CD76)</f>
        <v/>
      </c>
      <c r="CE78" s="958">
        <f>CD78-CC78</f>
        <v/>
      </c>
      <c r="CF78" s="992">
        <f>CF31-(-CF57-CF76)</f>
        <v/>
      </c>
      <c r="CG78" s="993">
        <f>CG31-(-CG57-CG76)</f>
        <v/>
      </c>
      <c r="CH78" s="994" t="n"/>
    </row>
    <row r="79">
      <c r="A79" s="1255" t="inlineStr">
        <is>
          <t>ВФП Учредители поступление (НАЛ)</t>
        </is>
      </c>
      <c r="B79" s="937" t="inlineStr">
        <is>
          <t>Приход</t>
        </is>
      </c>
      <c r="C79" s="998" t="n"/>
      <c r="D79" s="998" t="n"/>
      <c r="E79" s="998" t="n"/>
      <c r="F79" s="998" t="n"/>
      <c r="G79" s="998" t="n"/>
      <c r="H79" s="963">
        <f>C79+D79+E79+F79+G79</f>
        <v/>
      </c>
      <c r="I79" s="964">
        <f>#REF!+#REF!+#REF!+#REF!+#REF!</f>
        <v/>
      </c>
      <c r="J79" s="982">
        <f>I79-H79</f>
        <v/>
      </c>
      <c r="K79" s="998" t="n"/>
      <c r="L79" s="998" t="n"/>
      <c r="M79" s="998" t="n"/>
      <c r="N79" s="998" t="n"/>
      <c r="O79" s="998" t="n"/>
      <c r="P79" s="998" t="n"/>
      <c r="Q79" s="998" t="n"/>
      <c r="R79" s="998" t="n"/>
      <c r="S79" s="998" t="n"/>
      <c r="T79" s="998" t="n"/>
      <c r="U79" s="998" t="n"/>
      <c r="V79" s="998" t="n"/>
      <c r="W79" s="998" t="n"/>
      <c r="X79" s="998" t="n"/>
      <c r="Y79" s="998" t="n"/>
      <c r="Z79" s="998" t="n"/>
      <c r="AA79" s="998" t="n"/>
      <c r="AB79" s="998" t="n"/>
      <c r="AC79" s="998" t="n"/>
      <c r="AD79" s="998" t="n"/>
      <c r="AE79" s="998" t="n"/>
      <c r="AF79" s="998" t="n"/>
      <c r="AG79" s="998" t="n"/>
      <c r="AH79" s="998" t="n"/>
      <c r="AI79" s="998" t="n"/>
      <c r="AJ79" s="998" t="n"/>
      <c r="AK79" s="998" t="n"/>
      <c r="AL79" s="659">
        <f>K79+AF79+AD79+AH79+AJ79</f>
        <v/>
      </c>
      <c r="AM79" s="964">
        <f>AB79+AE79+AG79+AI79+AK79</f>
        <v/>
      </c>
      <c r="AN79" s="982">
        <f>AM79-AL79</f>
        <v/>
      </c>
      <c r="AO79" s="998" t="n"/>
      <c r="AP79" s="998" t="n"/>
      <c r="AQ79" s="998" t="n"/>
      <c r="AR79" s="998" t="n"/>
      <c r="AS79" s="998" t="n"/>
      <c r="AT79" s="998" t="n"/>
      <c r="AU79" s="998" t="n"/>
      <c r="AV79" s="998" t="n"/>
      <c r="AW79" s="998" t="n"/>
      <c r="AX79" s="998" t="n"/>
      <c r="AY79" s="954">
        <f>AO79+AQ79+AS79+AU79+AW79</f>
        <v/>
      </c>
      <c r="AZ79" s="954">
        <f>AP79+AR79+AT79+AV79+AX79</f>
        <v/>
      </c>
      <c r="BA79" s="983">
        <f>AZ79-AY79</f>
        <v/>
      </c>
      <c r="BB79" s="998" t="n"/>
      <c r="BC79" s="998" t="n"/>
      <c r="BD79" s="998" t="n"/>
      <c r="BE79" s="998" t="n"/>
      <c r="BF79" s="998" t="n"/>
      <c r="BG79" s="998" t="n"/>
      <c r="BH79" s="998" t="n"/>
      <c r="BI79" s="998" t="n"/>
      <c r="BJ79" s="998" t="n"/>
      <c r="BK79" s="998" t="n"/>
      <c r="BL79" s="954">
        <f>BB79+BD79+BF79+BH79+BJ79</f>
        <v/>
      </c>
      <c r="BM79" s="954">
        <f>BC79+BE79+BG79+BI79+BK79</f>
        <v/>
      </c>
      <c r="BN79" s="599">
        <f>BM79-BL79</f>
        <v/>
      </c>
      <c r="BO79" s="998" t="n"/>
      <c r="BP79" s="998" t="n"/>
      <c r="BQ79" s="998" t="n"/>
      <c r="BR79" s="998" t="n"/>
      <c r="BS79" s="998" t="n"/>
      <c r="BT79" s="998" t="n"/>
      <c r="BU79" s="998" t="n"/>
      <c r="BV79" s="998" t="n"/>
      <c r="BW79" s="998" t="n"/>
      <c r="BX79" s="998" t="n"/>
      <c r="BY79" s="998" t="n"/>
      <c r="BZ79" s="998" t="n"/>
      <c r="CA79" s="998" t="n"/>
      <c r="CB79" s="998" t="n"/>
      <c r="CC79" s="980">
        <f>BO79+BQ79+BS79+BU79+BW79+BY79+CA79</f>
        <v/>
      </c>
      <c r="CD79" s="967">
        <f>BP79+BR79+BT79+BV79+BX79+BZ79+CB79</f>
        <v/>
      </c>
      <c r="CE79" s="958">
        <f>CD79-CC79</f>
        <v/>
      </c>
      <c r="CF79" s="995">
        <f>AL79+AY79+BL79+CC79</f>
        <v/>
      </c>
      <c r="CG79" s="996">
        <f>I79+AM79+AZ79+BM79+CD79</f>
        <v/>
      </c>
      <c r="CH79" s="994" t="n"/>
    </row>
    <row r="80">
      <c r="A80" s="1219" t="n"/>
      <c r="B80" s="917" t="inlineStr">
        <is>
          <t>Расход</t>
        </is>
      </c>
      <c r="C80" s="977" t="n"/>
      <c r="D80" s="977" t="n"/>
      <c r="E80" s="977" t="n"/>
      <c r="F80" s="977" t="n"/>
      <c r="G80" s="977" t="n"/>
      <c r="H80" s="963">
        <f>C80+D80+E80+F80+G80</f>
        <v/>
      </c>
      <c r="I80" s="964">
        <f>#REF!+#REF!+#REF!+#REF!+#REF!</f>
        <v/>
      </c>
      <c r="J80" s="982">
        <f>I80-H80</f>
        <v/>
      </c>
      <c r="K80" s="977" t="n"/>
      <c r="L80" s="998" t="n"/>
      <c r="M80" s="998" t="n"/>
      <c r="N80" s="998" t="n"/>
      <c r="O80" s="998" t="n"/>
      <c r="P80" s="998" t="n"/>
      <c r="Q80" s="998" t="n"/>
      <c r="R80" s="998" t="n"/>
      <c r="S80" s="998" t="n"/>
      <c r="T80" s="998" t="n"/>
      <c r="U80" s="998" t="n"/>
      <c r="V80" s="998" t="n"/>
      <c r="W80" s="998" t="n"/>
      <c r="X80" s="998" t="n"/>
      <c r="Y80" s="998" t="n"/>
      <c r="Z80" s="998" t="n"/>
      <c r="AA80" s="998" t="n"/>
      <c r="AB80" s="998" t="n"/>
      <c r="AC80" s="998" t="n"/>
      <c r="AD80" s="977" t="n"/>
      <c r="AE80" s="977" t="n"/>
      <c r="AF80" s="977" t="n"/>
      <c r="AG80" s="998" t="n"/>
      <c r="AH80" s="977" t="n"/>
      <c r="AI80" s="977" t="n"/>
      <c r="AJ80" s="977" t="n"/>
      <c r="AK80" s="977" t="n"/>
      <c r="AL80" s="659">
        <f>K80+AF80+AD80+AH80+AJ80</f>
        <v/>
      </c>
      <c r="AM80" s="964">
        <f>AB80+AE80+AG80+AI80+AK80</f>
        <v/>
      </c>
      <c r="AN80" s="982">
        <f>AM80-AL80</f>
        <v/>
      </c>
      <c r="AO80" s="998" t="n"/>
      <c r="AP80" s="998" t="n"/>
      <c r="AQ80" s="998" t="n"/>
      <c r="AR80" s="998" t="n"/>
      <c r="AS80" s="998" t="n"/>
      <c r="AT80" s="998" t="n"/>
      <c r="AU80" s="998" t="n"/>
      <c r="AV80" s="998" t="n"/>
      <c r="AW80" s="998" t="n"/>
      <c r="AX80" s="998" t="n"/>
      <c r="AY80" s="954">
        <f>AO80+AQ80+AS80+AU80+AW80</f>
        <v/>
      </c>
      <c r="AZ80" s="954">
        <f>AP80+AR80+AT80+AV80+AX80</f>
        <v/>
      </c>
      <c r="BA80" s="983">
        <f>AZ80-AY80</f>
        <v/>
      </c>
      <c r="BB80" s="998" t="n"/>
      <c r="BC80" s="998" t="n"/>
      <c r="BD80" s="998" t="n"/>
      <c r="BE80" s="998" t="n"/>
      <c r="BF80" s="998" t="n"/>
      <c r="BG80" s="998" t="n"/>
      <c r="BH80" s="998" t="n"/>
      <c r="BI80" s="998" t="n"/>
      <c r="BJ80" s="998" t="n"/>
      <c r="BK80" s="998" t="n"/>
      <c r="BL80" s="954">
        <f>BB80+BD80+BF80+BH80+BJ80</f>
        <v/>
      </c>
      <c r="BM80" s="954">
        <f>BC80+BE80+BG80+BI80+BK80</f>
        <v/>
      </c>
      <c r="BN80" s="599">
        <f>BM80-BL80</f>
        <v/>
      </c>
      <c r="BO80" s="998" t="n"/>
      <c r="BP80" s="998" t="n"/>
      <c r="BQ80" s="998" t="n"/>
      <c r="BR80" s="998" t="n"/>
      <c r="BS80" s="998" t="n"/>
      <c r="BT80" s="998" t="n"/>
      <c r="BU80" s="998" t="n"/>
      <c r="BV80" s="998" t="n"/>
      <c r="BW80" s="998" t="n"/>
      <c r="BX80" s="998" t="n"/>
      <c r="BY80" s="998" t="n"/>
      <c r="BZ80" s="998" t="n"/>
      <c r="CA80" s="998" t="n"/>
      <c r="CB80" s="998" t="n"/>
      <c r="CC80" s="980">
        <f>BO80+BQ80+BS80+BU80+BW80+BY80+CA80</f>
        <v/>
      </c>
      <c r="CD80" s="967">
        <f>BP80+BR80+BT80+BV80+BX80+BZ80+CB80</f>
        <v/>
      </c>
      <c r="CE80" s="958">
        <f>CD80-CC80</f>
        <v/>
      </c>
      <c r="CF80" s="995">
        <f>AL80+AY80+BL80+CC80</f>
        <v/>
      </c>
      <c r="CG80" s="996">
        <f>I80+AM80+AZ80+BM80+CD80</f>
        <v/>
      </c>
      <c r="CH80" s="994" t="n"/>
    </row>
    <row r="81">
      <c r="A81" s="1180" t="inlineStr">
        <is>
          <t>Касса взаиморасчета банк</t>
        </is>
      </c>
      <c r="B81" s="917" t="inlineStr">
        <is>
          <t>Расход</t>
        </is>
      </c>
      <c r="C81" s="938" t="n">
        <v>4000000</v>
      </c>
      <c r="D81" s="938" t="n">
        <v>500000</v>
      </c>
      <c r="E81" s="938" t="n">
        <v>2000000</v>
      </c>
      <c r="F81" s="977" t="n"/>
      <c r="G81" s="977" t="n"/>
      <c r="H81" s="963">
        <f>C81+D81+E81+F81+G81</f>
        <v/>
      </c>
      <c r="I81" s="964">
        <f>#REF!+#REF!+#REF!+#REF!+#REF!</f>
        <v/>
      </c>
      <c r="J81" s="982">
        <f>I81-H81</f>
        <v/>
      </c>
      <c r="K81" s="977" t="n"/>
      <c r="L81" s="998" t="n"/>
      <c r="M81" s="998" t="n"/>
      <c r="N81" s="998" t="n"/>
      <c r="O81" s="998" t="n"/>
      <c r="P81" s="998" t="n"/>
      <c r="Q81" s="998" t="n"/>
      <c r="R81" s="998" t="n"/>
      <c r="S81" s="998" t="n"/>
      <c r="T81" s="998" t="n"/>
      <c r="U81" s="998" t="n"/>
      <c r="V81" s="998" t="n"/>
      <c r="W81" s="998" t="n"/>
      <c r="X81" s="998" t="n"/>
      <c r="Y81" s="998" t="n"/>
      <c r="Z81" s="998" t="n"/>
      <c r="AA81" s="998" t="n"/>
      <c r="AB81" s="997" t="n">
        <v>65000</v>
      </c>
      <c r="AC81" s="997" t="n"/>
      <c r="AD81" s="977" t="n"/>
      <c r="AE81" s="998" t="n">
        <v>2888500</v>
      </c>
      <c r="AF81" s="977" t="n"/>
      <c r="AG81" s="998" t="n">
        <v>-90000</v>
      </c>
      <c r="AH81" s="977" t="n"/>
      <c r="AI81" s="998" t="n"/>
      <c r="AJ81" s="977" t="n"/>
      <c r="AK81" s="998" t="n"/>
      <c r="AL81" s="659">
        <f>K81+AF81+AD81+AH81+AJ81</f>
        <v/>
      </c>
      <c r="AM81" s="964">
        <f>AB81+AE81+AG81+AI81+AK81</f>
        <v/>
      </c>
      <c r="AN81" s="982">
        <f>AM81-AL81</f>
        <v/>
      </c>
      <c r="AO81" s="977" t="n"/>
      <c r="AP81" s="998" t="n"/>
      <c r="AQ81" s="977" t="n"/>
      <c r="AR81" s="998" t="n"/>
      <c r="AS81" s="977" t="n"/>
      <c r="AT81" s="998" t="n"/>
      <c r="AU81" s="977" t="n"/>
      <c r="AV81" s="998" t="n"/>
      <c r="AW81" s="977" t="n"/>
      <c r="AX81" s="998" t="n"/>
      <c r="AY81" s="954">
        <f>AO81+AQ81+AS81+AU81+AW81</f>
        <v/>
      </c>
      <c r="AZ81" s="954">
        <f>AP81+AR81+AT81+AV81+AX81</f>
        <v/>
      </c>
      <c r="BA81" s="983">
        <f>AZ81-AY81</f>
        <v/>
      </c>
      <c r="BB81" s="977" t="n"/>
      <c r="BC81" s="998" t="n"/>
      <c r="BD81" s="977" t="n"/>
      <c r="BE81" s="998" t="n"/>
      <c r="BF81" s="977" t="n"/>
      <c r="BG81" s="998" t="n"/>
      <c r="BH81" s="977" t="n"/>
      <c r="BI81" s="998" t="n"/>
      <c r="BJ81" s="977" t="n"/>
      <c r="BK81" s="998" t="n"/>
      <c r="BL81" s="954">
        <f>BB81+BD81+BF81+BH81+BJ81</f>
        <v/>
      </c>
      <c r="BM81" s="954">
        <f>BC81+BE81+BG81+BI81+BK81</f>
        <v/>
      </c>
      <c r="BN81" s="599">
        <f>BM81-BL81</f>
        <v/>
      </c>
      <c r="BO81" s="998" t="n"/>
      <c r="BP81" s="998" t="n"/>
      <c r="BQ81" s="998" t="n"/>
      <c r="BR81" s="998" t="n"/>
      <c r="BS81" s="998" t="n"/>
      <c r="BT81" s="998" t="n"/>
      <c r="BU81" s="998" t="n"/>
      <c r="BV81" s="998" t="n"/>
      <c r="BW81" s="998" t="n"/>
      <c r="BX81" s="998" t="n"/>
      <c r="BY81" s="998" t="n"/>
      <c r="BZ81" s="998" t="n"/>
      <c r="CA81" s="998" t="n"/>
      <c r="CB81" s="998" t="n"/>
      <c r="CC81" s="980">
        <f>BO81+BQ81+BS81+BU81+BW81+BY81+CA81</f>
        <v/>
      </c>
      <c r="CD81" s="967">
        <f>BP81+BR81+BT81+BV81+BX81+BZ81+CB81</f>
        <v/>
      </c>
      <c r="CE81" s="958">
        <f>CD81-CC81</f>
        <v/>
      </c>
      <c r="CF81" s="995">
        <f>AL81+AY81+BL81+CC81+H81</f>
        <v/>
      </c>
      <c r="CG81" s="996">
        <f>I81+AM81+AZ81+BM81+CD81</f>
        <v/>
      </c>
      <c r="CH81" s="994" t="n"/>
    </row>
    <row r="82">
      <c r="A82" s="1180" t="inlineStr">
        <is>
          <t>Касса взаиморасчета касса</t>
        </is>
      </c>
      <c r="B82" s="937" t="inlineStr">
        <is>
          <t>Приход</t>
        </is>
      </c>
      <c r="C82" s="938" t="n">
        <v>4000000</v>
      </c>
      <c r="D82" s="938" t="n">
        <v>500000</v>
      </c>
      <c r="E82" s="938" t="n">
        <v>2000000</v>
      </c>
      <c r="F82" s="977" t="n"/>
      <c r="G82" s="977" t="n"/>
      <c r="H82" s="963">
        <f>C82+D82+E82+F82+G82</f>
        <v/>
      </c>
      <c r="I82" s="964">
        <f>#REF!+#REF!+#REF!+#REF!+#REF!</f>
        <v/>
      </c>
      <c r="J82" s="982">
        <f>I82-H82</f>
        <v/>
      </c>
      <c r="K82" s="977" t="n"/>
      <c r="L82" s="998" t="n"/>
      <c r="M82" s="998" t="n"/>
      <c r="N82" s="998" t="n"/>
      <c r="O82" s="998" t="n"/>
      <c r="P82" s="998" t="n"/>
      <c r="Q82" s="998" t="n"/>
      <c r="R82" s="998" t="n"/>
      <c r="S82" s="998" t="n"/>
      <c r="T82" s="998" t="n"/>
      <c r="U82" s="998" t="n"/>
      <c r="V82" s="998" t="n"/>
      <c r="W82" s="998" t="n"/>
      <c r="X82" s="998" t="n"/>
      <c r="Y82" s="998" t="n"/>
      <c r="Z82" s="998" t="n"/>
      <c r="AA82" s="998" t="n"/>
      <c r="AB82" s="997" t="n">
        <v>65000</v>
      </c>
      <c r="AC82" s="997" t="n"/>
      <c r="AD82" s="977" t="n"/>
      <c r="AE82" s="977" t="n">
        <v>8028500</v>
      </c>
      <c r="AF82" s="977" t="n"/>
      <c r="AG82" s="998" t="n">
        <v>-500</v>
      </c>
      <c r="AH82" s="977" t="n"/>
      <c r="AI82" s="998" t="n"/>
      <c r="AJ82" s="977" t="n"/>
      <c r="AK82" s="998" t="n"/>
      <c r="AL82" s="659">
        <f>K82+AF82+AD82+AH82+AJ82</f>
        <v/>
      </c>
      <c r="AM82" s="964">
        <f>AB82+AE82+AG82+AI82+AK82</f>
        <v/>
      </c>
      <c r="AN82" s="982">
        <f>AM82-AL82</f>
        <v/>
      </c>
      <c r="AO82" s="977" t="n"/>
      <c r="AP82" s="998" t="n"/>
      <c r="AQ82" s="977" t="n"/>
      <c r="AR82" s="998" t="n"/>
      <c r="AS82" s="977" t="n"/>
      <c r="AT82" s="998" t="n"/>
      <c r="AU82" s="977" t="n"/>
      <c r="AV82" s="998" t="n"/>
      <c r="AW82" s="977" t="n"/>
      <c r="AX82" s="998" t="n"/>
      <c r="AY82" s="954">
        <f>AO82+AQ82+AS82+AU82+AW82</f>
        <v/>
      </c>
      <c r="AZ82" s="954">
        <f>AP82+AR82+AT82+AV82+AX82</f>
        <v/>
      </c>
      <c r="BA82" s="983">
        <f>AZ82-AY82</f>
        <v/>
      </c>
      <c r="BB82" s="977" t="n"/>
      <c r="BC82" s="998" t="n"/>
      <c r="BD82" s="977" t="n"/>
      <c r="BE82" s="998" t="n"/>
      <c r="BF82" s="977" t="n"/>
      <c r="BG82" s="998" t="n"/>
      <c r="BH82" s="977" t="n"/>
      <c r="BI82" s="998" t="n"/>
      <c r="BJ82" s="977" t="n"/>
      <c r="BK82" s="998" t="n"/>
      <c r="BL82" s="954">
        <f>BB82+BD82+BF82+BH82+BJ82</f>
        <v/>
      </c>
      <c r="BM82" s="954">
        <f>BC82+BE82+BG82+BI82+BK82</f>
        <v/>
      </c>
      <c r="BN82" s="599">
        <f>BM82-BL82</f>
        <v/>
      </c>
      <c r="BO82" s="998" t="n"/>
      <c r="BP82" s="998" t="n"/>
      <c r="BQ82" s="998" t="n"/>
      <c r="BR82" s="998" t="n"/>
      <c r="BS82" s="998" t="n"/>
      <c r="BT82" s="998" t="n"/>
      <c r="BU82" s="998" t="n"/>
      <c r="BV82" s="998" t="n"/>
      <c r="BW82" s="998" t="n"/>
      <c r="BX82" s="998" t="n"/>
      <c r="BY82" s="998" t="n"/>
      <c r="BZ82" s="998" t="n"/>
      <c r="CA82" s="998" t="n"/>
      <c r="CB82" s="998" t="n"/>
      <c r="CC82" s="980">
        <f>BO82+BQ82+BS82+BU82+BW82+BY82+CA82</f>
        <v/>
      </c>
      <c r="CD82" s="967">
        <f>BP82+BR82+BT82+BV82+BX82+BZ82+CB82</f>
        <v/>
      </c>
      <c r="CE82" s="958">
        <f>CD82-CC82</f>
        <v/>
      </c>
      <c r="CF82" s="995">
        <f>AL82+AY82+BL82+CC82+H82</f>
        <v/>
      </c>
      <c r="CG82" s="996">
        <f>I82+AM82+AZ82+BM82+CD82</f>
        <v/>
      </c>
      <c r="CH82" s="994" t="n"/>
    </row>
    <row r="83">
      <c r="A83" s="926" t="inlineStr">
        <is>
          <t>Остаток на конец ПО БАНКУ</t>
        </is>
      </c>
      <c r="B83" s="914" t="n"/>
      <c r="C83" s="939" t="n">
        <v>-859672</v>
      </c>
      <c r="D83" s="939">
        <f>D4+D20-(-D57)-D81</f>
        <v/>
      </c>
      <c r="E83" s="939">
        <f>E4+E20-(-E57)-E81</f>
        <v/>
      </c>
      <c r="F83" s="939">
        <f>F4+F20-(-F57)-F81</f>
        <v/>
      </c>
      <c r="G83" s="939">
        <f>G4+G20-(-G57)-G81</f>
        <v/>
      </c>
      <c r="H83" s="999">
        <f>H4+H20-(-H57)-H81</f>
        <v/>
      </c>
      <c r="I83" s="999">
        <f>#REF!</f>
        <v/>
      </c>
      <c r="J83" s="953">
        <f>I83-H83</f>
        <v/>
      </c>
      <c r="K83" s="939">
        <f>K4+K20-(-K57)-K81</f>
        <v/>
      </c>
      <c r="L83" s="939" t="n"/>
      <c r="M83" s="939" t="n"/>
      <c r="N83" s="939" t="n"/>
      <c r="O83" s="939" t="n"/>
      <c r="P83" s="939" t="n"/>
      <c r="Q83" s="939" t="n"/>
      <c r="R83" s="939" t="n"/>
      <c r="S83" s="939" t="n"/>
      <c r="T83" s="939" t="n"/>
      <c r="U83" s="939" t="n"/>
      <c r="V83" s="939" t="n"/>
      <c r="W83" s="939" t="n"/>
      <c r="X83" s="939" t="n"/>
      <c r="Y83" s="939" t="n"/>
      <c r="Z83" s="939" t="n"/>
      <c r="AA83" s="939" t="n"/>
      <c r="AB83" s="939">
        <f>AB4+AB20-(-AB57)-AB81</f>
        <v/>
      </c>
      <c r="AC83" s="939" t="n"/>
      <c r="AD83" s="939">
        <f>AD4+AD20-(-AD57)-AD81</f>
        <v/>
      </c>
      <c r="AE83" s="939">
        <f>AE4+AE20-(-AE57)-AE81</f>
        <v/>
      </c>
      <c r="AF83" s="939">
        <f>AF4+AF20-(-AF57)-AF81</f>
        <v/>
      </c>
      <c r="AG83" s="939">
        <f>AG4+AG20-(-AG57)-AG81</f>
        <v/>
      </c>
      <c r="AH83" s="939">
        <f>AH4+AH20-(-AH57)-AH81</f>
        <v/>
      </c>
      <c r="AI83" s="939">
        <f>AI4+AI20-(-AI57)-AI81</f>
        <v/>
      </c>
      <c r="AJ83" s="939">
        <f>AJ4+AJ20-(-AJ57)-AJ81</f>
        <v/>
      </c>
      <c r="AK83" s="939">
        <f>AK4+AK20-(-AK57)-AK81+AK79</f>
        <v/>
      </c>
      <c r="AL83" s="999">
        <f>AL4+AL20-(-AL57)-AL81</f>
        <v/>
      </c>
      <c r="AM83" s="999">
        <f>AK83</f>
        <v/>
      </c>
      <c r="AN83" s="953">
        <f>AM83-AL83</f>
        <v/>
      </c>
      <c r="AO83" s="999">
        <f>AO4+AO20-(-AO57)-AO81</f>
        <v/>
      </c>
      <c r="AP83" s="999">
        <f>AP4+AP20+AP57-AP81+AP79</f>
        <v/>
      </c>
      <c r="AQ83" s="999">
        <f>AQ4+AQ20-(-AQ57)-AQ81</f>
        <v/>
      </c>
      <c r="AR83" s="999">
        <f>AR4+AR20+AR57-AR81</f>
        <v/>
      </c>
      <c r="AS83" s="999">
        <f>AS4+AS20-(-AS57)-AS81</f>
        <v/>
      </c>
      <c r="AT83" s="999">
        <f>AT4+AT20-(-AT57)+AT79-AT81</f>
        <v/>
      </c>
      <c r="AU83" s="999">
        <f>AU4+AU20-(-AU57)-AU81</f>
        <v/>
      </c>
      <c r="AV83" s="999">
        <f>AV4+AV20-(-AV57)-AV81</f>
        <v/>
      </c>
      <c r="AW83" s="999">
        <f>AW4+AW20-(-AW57)-AW81</f>
        <v/>
      </c>
      <c r="AX83" s="999">
        <f>AX4+AX20-(-AX57)-AX81+AX79</f>
        <v/>
      </c>
      <c r="AY83" s="999">
        <f>AY4+AY20-(-AY57)-AY81</f>
        <v/>
      </c>
      <c r="AZ83" s="999">
        <f>AZ4+AZ20-(-AZ57)-AZ81+AZ79</f>
        <v/>
      </c>
      <c r="BA83" s="1000">
        <f>AZ83-AY83</f>
        <v/>
      </c>
      <c r="BB83" s="999">
        <f>BB4+BB20-(-BB57)-BB81</f>
        <v/>
      </c>
      <c r="BC83" s="999">
        <f>BC4+BC20-(-BC57)-BC81</f>
        <v/>
      </c>
      <c r="BD83" s="999">
        <f>BD4+BD20-(-BD57)-BD81</f>
        <v/>
      </c>
      <c r="BE83" s="999">
        <f>BE4+BE20-(-BE57)-BE81</f>
        <v/>
      </c>
      <c r="BF83" s="999">
        <f>BF4+BF20-(-BF57)-BF81</f>
        <v/>
      </c>
      <c r="BG83" s="999">
        <f>BG4+BG20-(-BG57)-BG81</f>
        <v/>
      </c>
      <c r="BH83" s="999">
        <f>BH4+BH20-(-BH57)-BH81</f>
        <v/>
      </c>
      <c r="BI83" s="999">
        <f>BI4+BI20-(-BI57)-BI81+BI79</f>
        <v/>
      </c>
      <c r="BJ83" s="999">
        <f>BJ4+BJ20-(-BJ57)-BJ81</f>
        <v/>
      </c>
      <c r="BK83" s="999">
        <f>BK4+BK20-(-BK57)-BK81+BK79-BK80</f>
        <v/>
      </c>
      <c r="BL83" s="999">
        <f>BL4+BL20-(-BL57)-BL81</f>
        <v/>
      </c>
      <c r="BM83" s="999">
        <f>BM4+BM20-(-BM57)-BM81+BM79</f>
        <v/>
      </c>
      <c r="BN83" s="953">
        <f>BM83-BL83</f>
        <v/>
      </c>
      <c r="BO83" s="999">
        <f>BO4+BO20-(-BO57)-BO81</f>
        <v/>
      </c>
      <c r="BP83" s="999">
        <f>BP4+BP20-(-BP57)-BP81</f>
        <v/>
      </c>
      <c r="BQ83" s="999">
        <f>BQ4+BQ20-(-BQ57)-BQ81</f>
        <v/>
      </c>
      <c r="BR83" s="999">
        <f>BR4+BR20-(-BR57)-BR81</f>
        <v/>
      </c>
      <c r="BS83" s="999">
        <f>BS4+BS20-(-BS57)-BS81</f>
        <v/>
      </c>
      <c r="BT83" s="999">
        <f>BT4+BT20-(-BT57)-BT81</f>
        <v/>
      </c>
      <c r="BU83" s="999">
        <f>BU4+BU20-(-BU57)-BU81+BU79-BU80</f>
        <v/>
      </c>
      <c r="BV83" s="999">
        <f>BV4+BV20-(-BV57)-BV81</f>
        <v/>
      </c>
      <c r="BW83" s="999">
        <f>BW4+BW20-(-BW57)-BW81</f>
        <v/>
      </c>
      <c r="BX83" s="999">
        <f>BX4+BX20-(-BX57)-BX81</f>
        <v/>
      </c>
      <c r="BY83" s="999">
        <f>BY4+BY20-(-BY57)-BY81</f>
        <v/>
      </c>
      <c r="BZ83" s="999">
        <f>BZ4+BZ20-(-BZ57)-BZ81</f>
        <v/>
      </c>
      <c r="CA83" s="999">
        <f>CA4+CA20-(-CA57)-CA81</f>
        <v/>
      </c>
      <c r="CB83" s="999">
        <f>CB4+CB20-(-CB57)-CB81</f>
        <v/>
      </c>
      <c r="CC83" s="999">
        <f>CC4+CC20-(-CC57)-CC81</f>
        <v/>
      </c>
      <c r="CD83" s="999">
        <f>CD4+CD20-(-CD57)-CD81</f>
        <v/>
      </c>
      <c r="CE83" s="999">
        <f>CE4+CE20-(-CE57)-CE81</f>
        <v/>
      </c>
      <c r="CF83" s="959">
        <f>CF4+CF20-(-CF57)-CF81</f>
        <v/>
      </c>
      <c r="CG83" s="959">
        <f>CG4+CG20-(-CG57)-CG81</f>
        <v/>
      </c>
      <c r="CH83" s="994" t="n"/>
    </row>
    <row r="84">
      <c r="A84" s="926" t="inlineStr">
        <is>
          <t>Остаток на конец ПО КАССЕ</t>
        </is>
      </c>
      <c r="B84" s="914" t="n"/>
      <c r="C84" s="939" t="n">
        <v>4917728</v>
      </c>
      <c r="D84" s="939">
        <f>D5+D30-(-D76)+D79-D80+D82</f>
        <v/>
      </c>
      <c r="E84" s="939">
        <f>E5+E30-(-E76)+E79-E80+E82</f>
        <v/>
      </c>
      <c r="F84" s="939">
        <f>F5+F30-(-F76)+F79-F80+F82</f>
        <v/>
      </c>
      <c r="G84" s="939">
        <f>G5+G30-(-G76)+G79-G80+G82</f>
        <v/>
      </c>
      <c r="H84" s="999">
        <f>H5+H30-(-H76)+H79-H80+H82</f>
        <v/>
      </c>
      <c r="I84" s="999">
        <f>#REF!</f>
        <v/>
      </c>
      <c r="J84" s="953">
        <f>I84-H84</f>
        <v/>
      </c>
      <c r="K84" s="939">
        <f>K5+K30-(-K76)+K79-K80+K82</f>
        <v/>
      </c>
      <c r="L84" s="939" t="n"/>
      <c r="M84" s="939" t="n"/>
      <c r="N84" s="939" t="n"/>
      <c r="O84" s="939" t="n"/>
      <c r="P84" s="939" t="n"/>
      <c r="Q84" s="939" t="n"/>
      <c r="R84" s="939" t="n"/>
      <c r="S84" s="939" t="n"/>
      <c r="T84" s="939" t="n"/>
      <c r="U84" s="939" t="n"/>
      <c r="V84" s="939" t="n"/>
      <c r="W84" s="939" t="n"/>
      <c r="X84" s="939" t="n"/>
      <c r="Y84" s="939" t="n"/>
      <c r="Z84" s="939" t="n"/>
      <c r="AA84" s="939" t="n"/>
      <c r="AB84" s="939">
        <f>AB5+AB30-(-AB76)+AB79-AB80+AB82</f>
        <v/>
      </c>
      <c r="AC84" s="939" t="n"/>
      <c r="AD84" s="939">
        <f>AD5+AD30-(-AD76)+AD79-AD80+AD82</f>
        <v/>
      </c>
      <c r="AE84" s="939">
        <f>AE5+AE30-(-AE76)+AE79-AE80+AE82</f>
        <v/>
      </c>
      <c r="AF84" s="939">
        <f>AF5+AF30-(-AF76)+AF79-AF80+AF82</f>
        <v/>
      </c>
      <c r="AG84" s="939">
        <f>AG5+AG30-(-AG76)+AG79-AG80+AG82</f>
        <v/>
      </c>
      <c r="AH84" s="939">
        <f>AH5+AH30-(-AH76)+AH79-AH80+AH82</f>
        <v/>
      </c>
      <c r="AI84" s="939">
        <f>AI5+AI30-(-AI76)+AI79-AI80+AI82</f>
        <v/>
      </c>
      <c r="AJ84" s="939">
        <f>AJ5+AJ30-(-AJ76)+AJ79-AJ80+AJ82</f>
        <v/>
      </c>
      <c r="AK84" s="939">
        <f>AK5+AK30-(-AK76)-AK80+AK82</f>
        <v/>
      </c>
      <c r="AL84" s="999">
        <f>AL5+AL30-(-AL76)+AL79-AL80+AL82</f>
        <v/>
      </c>
      <c r="AM84" s="999">
        <f>AK84</f>
        <v/>
      </c>
      <c r="AN84" s="953">
        <f>AM84-AL84</f>
        <v/>
      </c>
      <c r="AO84" s="999">
        <f>AO5+AO30-(-AO76)+AO79-AO80+AO82</f>
        <v/>
      </c>
      <c r="AP84" s="999">
        <f>AP5+AP30-(-AP76)+AP82</f>
        <v/>
      </c>
      <c r="AQ84" s="999">
        <f>AQ5+AQ30-(-AQ76)+AQ79-AQ80+AQ82</f>
        <v/>
      </c>
      <c r="AR84" s="999">
        <f>AR5+AR30-(-AR76)+AR79-AR80+AR82</f>
        <v/>
      </c>
      <c r="AS84" s="999">
        <f>AS5+AS30-(-AS76)+AS79-AS80+AS82</f>
        <v/>
      </c>
      <c r="AT84" s="999">
        <f>AT5+AT30-(-AT76)+AT82</f>
        <v/>
      </c>
      <c r="AU84" s="999">
        <f>AU5+AU30-(-AU76)+AU79-AU80+AU82</f>
        <v/>
      </c>
      <c r="AV84" s="999">
        <f>AV5+AV30-(-AV76)+AV79-AV80+AV82</f>
        <v/>
      </c>
      <c r="AW84" s="999">
        <f>AW5+AW30-(-AW76)+AW79-AW80+AW82</f>
        <v/>
      </c>
      <c r="AX84" s="999">
        <f>AX5+AX30-(-AX76)+AX82</f>
        <v/>
      </c>
      <c r="AY84" s="999">
        <f>AY5+AY30-(-AY76)+AY79-AY80+AY82</f>
        <v/>
      </c>
      <c r="AZ84" s="999">
        <f>AZ5+AZ30-(-AZ76)+AZ82</f>
        <v/>
      </c>
      <c r="BA84" s="1000">
        <f>AZ84-AY84</f>
        <v/>
      </c>
      <c r="BB84" s="999">
        <f>BB5+BB30-(-BB76)+BB79-BB80+BB82</f>
        <v/>
      </c>
      <c r="BC84" s="999">
        <f>BC5+BC30-(-BC76)+BC79-BC80+BC82</f>
        <v/>
      </c>
      <c r="BD84" s="999">
        <f>BD5+BD30-(-BD76)+BD79-BD80+BD82</f>
        <v/>
      </c>
      <c r="BE84" s="999">
        <f>BE5+BE30-(-BE76)+BE79-BE80+BE82</f>
        <v/>
      </c>
      <c r="BF84" s="999">
        <f>BF5+BF30-(-BF76)+BF79-BF80+BF82</f>
        <v/>
      </c>
      <c r="BG84" s="999">
        <f>BG5+BG30-(-BG76)+BG79-BG80+BG82</f>
        <v/>
      </c>
      <c r="BH84" s="999">
        <f>BH5+BH30-(-BH76)+BH79-BH80+BH82</f>
        <v/>
      </c>
      <c r="BI84" s="999">
        <f>BI5+BI30-(-BI76)-BI80+BI82</f>
        <v/>
      </c>
      <c r="BJ84" s="999">
        <f>BJ5+BJ30-(-BJ76)+BJ79-BJ80+BJ82</f>
        <v/>
      </c>
      <c r="BK84" s="999">
        <f>BK5+BK30-(-BK76)+BK82</f>
        <v/>
      </c>
      <c r="BL84" s="999">
        <f>BL5+BL30-(-BL76)+BL79-BL80+BL82</f>
        <v/>
      </c>
      <c r="BM84" s="999">
        <f>BM5+BM30-(-BM76)+BM82</f>
        <v/>
      </c>
      <c r="BN84" s="953">
        <f>BM84-BL84</f>
        <v/>
      </c>
      <c r="BO84" s="999">
        <f>BO5+BO30-(-BO76)+BO79-BO80+BO82</f>
        <v/>
      </c>
      <c r="BP84" s="999">
        <f>BP5+BP30-(-BP76)+BP79-BP80+BP82</f>
        <v/>
      </c>
      <c r="BQ84" s="999">
        <f>BQ5+BQ30-(-BQ76)+BQ79-BQ80+BQ82</f>
        <v/>
      </c>
      <c r="BR84" s="999">
        <f>BR5+BR30-(-BR76)+BR79+BR82</f>
        <v/>
      </c>
      <c r="BS84" s="999">
        <f>BS5+BS30-(-BS76)+BS79-BS80+BS82</f>
        <v/>
      </c>
      <c r="BT84" s="999">
        <f>BT5+BT30-(-BT76)+BT79-BT80+BT82</f>
        <v/>
      </c>
      <c r="BU84" s="999">
        <f>BU5+BU30-(-BU76)+BU82</f>
        <v/>
      </c>
      <c r="BV84" s="999">
        <f>BV5+BV30-(-BV76)+BV79-BV80+BV82</f>
        <v/>
      </c>
      <c r="BW84" s="999">
        <f>BW5+BW30-(-BW76)+BW79-BW80+BW82</f>
        <v/>
      </c>
      <c r="BX84" s="999">
        <f>BX5+BX30-(-BX76)+BX79-BX80+BX82</f>
        <v/>
      </c>
      <c r="BY84" s="999">
        <f>BY5+BY30-(-BY76)+BY79-BY80+BY82</f>
        <v/>
      </c>
      <c r="BZ84" s="999">
        <f>BZ5+BZ30-(-BZ76)+BZ79-BZ80+BZ82</f>
        <v/>
      </c>
      <c r="CA84" s="999">
        <f>CA5+CA30-(-CA76)+CA79-CA80+CA82</f>
        <v/>
      </c>
      <c r="CB84" s="999">
        <f>CB5+CB30-(-CB76)+CB79-CB80+CB82</f>
        <v/>
      </c>
      <c r="CC84" s="999">
        <f>CC5+CC30-(-CC76)+CC79-CC80+CC82</f>
        <v/>
      </c>
      <c r="CD84" s="999">
        <f>CD5+CD30-(-CD76)+CD79-CD80+CD82</f>
        <v/>
      </c>
      <c r="CE84" s="999">
        <f>CE5+CE30-(-CE76)+CE79-CE80+CE82</f>
        <v/>
      </c>
      <c r="CF84" s="959">
        <f>CF5+CF30-(-CF76)+CF79-CF80+CF82</f>
        <v/>
      </c>
      <c r="CG84" s="959">
        <f>CG5+CG30-(-CG76)+CG79-CG80+CG82</f>
        <v/>
      </c>
      <c r="CH84" s="994" t="n"/>
    </row>
    <row r="85">
      <c r="A85" s="940" t="inlineStr">
        <is>
          <t>Итого</t>
        </is>
      </c>
      <c r="B85" s="914" t="n"/>
      <c r="C85" s="941" t="n">
        <v>4058056</v>
      </c>
      <c r="D85" s="941">
        <f>D83+D84</f>
        <v/>
      </c>
      <c r="E85" s="941">
        <f>E83+E84</f>
        <v/>
      </c>
      <c r="F85" s="941">
        <f>F83+F84</f>
        <v/>
      </c>
      <c r="G85" s="941">
        <f>G83+G84</f>
        <v/>
      </c>
      <c r="H85" s="941">
        <f>H83+H84</f>
        <v/>
      </c>
      <c r="I85" s="941">
        <f>I83+I84</f>
        <v/>
      </c>
      <c r="J85" s="1006" t="n"/>
      <c r="K85" s="941">
        <f>K83+K84</f>
        <v/>
      </c>
      <c r="L85" s="941" t="n"/>
      <c r="M85" s="941" t="n"/>
      <c r="N85" s="941" t="n"/>
      <c r="O85" s="941" t="n"/>
      <c r="P85" s="941" t="n"/>
      <c r="Q85" s="941" t="n"/>
      <c r="R85" s="941" t="n"/>
      <c r="S85" s="941" t="n"/>
      <c r="T85" s="941" t="n"/>
      <c r="U85" s="941" t="n"/>
      <c r="V85" s="941" t="n"/>
      <c r="W85" s="941" t="n"/>
      <c r="X85" s="941" t="n"/>
      <c r="Y85" s="941" t="n"/>
      <c r="Z85" s="941" t="n"/>
      <c r="AA85" s="941" t="n"/>
      <c r="AB85" s="941">
        <f>AB83+AB84</f>
        <v/>
      </c>
      <c r="AC85" s="941" t="n"/>
      <c r="AD85" s="941">
        <f>AD83+AD84</f>
        <v/>
      </c>
      <c r="AE85" s="941">
        <f>AE83+AE84</f>
        <v/>
      </c>
      <c r="AF85" s="941">
        <f>AF83+AF84</f>
        <v/>
      </c>
      <c r="AG85" s="941">
        <f>AG83+AG84</f>
        <v/>
      </c>
      <c r="AH85" s="941">
        <f>AH83+AH84</f>
        <v/>
      </c>
      <c r="AI85" s="941">
        <f>AI83+AI84</f>
        <v/>
      </c>
      <c r="AJ85" s="941">
        <f>AJ83+AJ84</f>
        <v/>
      </c>
      <c r="AK85" s="941">
        <f>AK83+AK84</f>
        <v/>
      </c>
      <c r="AL85" s="941">
        <f>AL83+AL84</f>
        <v/>
      </c>
      <c r="AM85" s="941">
        <f>AM83+AM84</f>
        <v/>
      </c>
      <c r="AN85" s="1006" t="n"/>
      <c r="AO85" s="941">
        <f>AO83+AO84</f>
        <v/>
      </c>
      <c r="AP85" s="941">
        <f>AP83+AP84</f>
        <v/>
      </c>
      <c r="AQ85" s="941">
        <f>AQ83+AQ84</f>
        <v/>
      </c>
      <c r="AR85" s="941">
        <f>AR83+AR84</f>
        <v/>
      </c>
      <c r="AS85" s="941">
        <f>AS83+AS84</f>
        <v/>
      </c>
      <c r="AT85" s="941">
        <f>AT83+AT84</f>
        <v/>
      </c>
      <c r="AU85" s="941">
        <f>AU83+AU84</f>
        <v/>
      </c>
      <c r="AV85" s="941">
        <f>AV83+AV84</f>
        <v/>
      </c>
      <c r="AW85" s="941">
        <f>AW83+AW84</f>
        <v/>
      </c>
      <c r="AX85" s="941">
        <f>AX83+AX84</f>
        <v/>
      </c>
      <c r="AY85" s="941">
        <f>AY83+AY84</f>
        <v/>
      </c>
      <c r="AZ85" s="941">
        <f>AZ83+AZ84</f>
        <v/>
      </c>
      <c r="BA85" s="1001" t="n"/>
      <c r="BB85" s="941">
        <f>BB83+BB84</f>
        <v/>
      </c>
      <c r="BC85" s="941">
        <f>BC83+BC84</f>
        <v/>
      </c>
      <c r="BD85" s="941">
        <f>BD83+BD84</f>
        <v/>
      </c>
      <c r="BE85" s="941">
        <f>BE83+BE84</f>
        <v/>
      </c>
      <c r="BF85" s="941">
        <f>BF83+BF84</f>
        <v/>
      </c>
      <c r="BG85" s="941">
        <f>BG83+BG84</f>
        <v/>
      </c>
      <c r="BH85" s="941">
        <f>BH83+BH84</f>
        <v/>
      </c>
      <c r="BI85" s="941">
        <f>BI83+BI84</f>
        <v/>
      </c>
      <c r="BJ85" s="941">
        <f>BJ83+BJ84</f>
        <v/>
      </c>
      <c r="BK85" s="941">
        <f>BK83+BK84</f>
        <v/>
      </c>
      <c r="BL85" s="941">
        <f>BL83+BL84</f>
        <v/>
      </c>
      <c r="BM85" s="941">
        <f>BM83+BM84</f>
        <v/>
      </c>
      <c r="BN85" s="1001" t="n"/>
      <c r="BO85" s="941">
        <f>BO83+BO84</f>
        <v/>
      </c>
      <c r="BP85" s="941">
        <f>BP83+BP84</f>
        <v/>
      </c>
      <c r="BQ85" s="941">
        <f>BQ83+BQ84</f>
        <v/>
      </c>
      <c r="BR85" s="941">
        <f>BR83+BR84</f>
        <v/>
      </c>
      <c r="BS85" s="941">
        <f>BS83+BS84</f>
        <v/>
      </c>
      <c r="BT85" s="941">
        <f>BT83+BT84</f>
        <v/>
      </c>
      <c r="BU85" s="941">
        <f>BU83+BU84</f>
        <v/>
      </c>
      <c r="BV85" s="941">
        <f>BV83+BV84</f>
        <v/>
      </c>
      <c r="BW85" s="941">
        <f>BW83+BW84</f>
        <v/>
      </c>
      <c r="BX85" s="941">
        <f>BX83+BX84</f>
        <v/>
      </c>
      <c r="BY85" s="941">
        <f>BY83+BY84</f>
        <v/>
      </c>
      <c r="BZ85" s="941">
        <f>BZ83+BZ84</f>
        <v/>
      </c>
      <c r="CA85" s="941">
        <f>CA83+CA84</f>
        <v/>
      </c>
      <c r="CB85" s="1002" t="n"/>
      <c r="CC85" s="941">
        <f>CC83+CC84</f>
        <v/>
      </c>
      <c r="CD85" s="941">
        <f>CD83+CD84</f>
        <v/>
      </c>
      <c r="CE85" s="1003" t="n"/>
      <c r="CF85" s="941">
        <f>CF83+CF84</f>
        <v/>
      </c>
      <c r="CG85" s="941">
        <f>CG83+CG84</f>
        <v/>
      </c>
      <c r="CH85" s="1004" t="n"/>
    </row>
    <row r="86">
      <c r="A86" s="1005" t="n"/>
      <c r="B86" s="1006" t="n"/>
      <c r="C86" s="1006" t="n"/>
      <c r="D86" s="1006" t="n"/>
      <c r="E86" s="1007" t="n"/>
      <c r="F86" s="943" t="n"/>
      <c r="G86" s="1008" t="n"/>
      <c r="H86" s="1008" t="n"/>
      <c r="I86" s="1008" t="n"/>
      <c r="J86" s="1009" t="n"/>
      <c r="K86" s="943" t="n"/>
      <c r="L86" s="943" t="n"/>
      <c r="M86" s="943" t="n"/>
      <c r="N86" s="943" t="n"/>
      <c r="O86" s="943" t="n"/>
      <c r="P86" s="943" t="n"/>
      <c r="Q86" s="943" t="n"/>
      <c r="R86" s="943" t="n"/>
      <c r="S86" s="943" t="n"/>
      <c r="T86" s="943" t="n"/>
      <c r="U86" s="943" t="n"/>
      <c r="V86" s="943" t="n"/>
      <c r="W86" s="943" t="n"/>
      <c r="X86" s="943" t="n"/>
      <c r="Y86" s="943" t="n"/>
      <c r="Z86" s="943" t="n"/>
      <c r="AA86" s="943" t="n"/>
      <c r="AB86" s="943" t="n"/>
      <c r="AC86" s="943" t="n"/>
      <c r="AD86" s="943" t="n"/>
      <c r="AE86" s="943">
        <f>AE84-7060118</f>
        <v/>
      </c>
      <c r="AF86" s="943" t="n"/>
      <c r="AG86" s="943" t="n"/>
      <c r="AH86" s="943" t="n"/>
      <c r="AI86" s="943" t="n"/>
      <c r="AJ86" s="943" t="n"/>
      <c r="AK86" s="943" t="n"/>
      <c r="AL86" s="943" t="n"/>
      <c r="AM86" s="943" t="n"/>
      <c r="AN86" s="946" t="n"/>
      <c r="AO86" s="943" t="n"/>
      <c r="AP86" s="943" t="n"/>
      <c r="AQ86" s="943" t="n"/>
      <c r="AR86" s="943" t="n"/>
      <c r="AS86" s="943" t="n"/>
      <c r="AT86" s="943" t="n"/>
      <c r="AU86" s="943" t="n"/>
      <c r="AV86" s="943" t="n"/>
      <c r="AW86" s="943" t="n"/>
      <c r="AX86" s="943" t="n"/>
      <c r="AY86" s="943" t="n"/>
      <c r="AZ86" s="943" t="n"/>
      <c r="BA86" s="948" t="n"/>
      <c r="BB86" s="943" t="n"/>
      <c r="BC86" s="943" t="n"/>
      <c r="BD86" s="943" t="n"/>
      <c r="BE86" s="943" t="n"/>
      <c r="BF86" s="943" t="n"/>
      <c r="BG86" s="943" t="n"/>
      <c r="BH86" s="943" t="n"/>
      <c r="BI86" s="943" t="n"/>
      <c r="BJ86" s="943" t="n"/>
      <c r="BK86" s="943" t="n"/>
      <c r="BL86" s="943" t="n"/>
      <c r="BM86" s="943" t="n"/>
      <c r="BN86" s="948" t="n"/>
      <c r="BO86" s="943" t="n"/>
      <c r="BP86" s="943" t="n"/>
      <c r="BQ86" s="943" t="n"/>
      <c r="BR86" s="943" t="n"/>
      <c r="BS86" s="943" t="n"/>
      <c r="BT86" s="943" t="n"/>
      <c r="BU86" s="943" t="n"/>
      <c r="BV86" s="943" t="n"/>
      <c r="BW86" s="943" t="n"/>
      <c r="BX86" s="943" t="n"/>
      <c r="BY86" s="943" t="n"/>
      <c r="BZ86" s="943" t="n"/>
      <c r="CA86" s="943" t="n"/>
      <c r="CB86" s="943" t="n"/>
      <c r="CC86" s="943" t="n"/>
      <c r="CD86" s="943" t="n"/>
      <c r="CE86" s="943" t="n"/>
      <c r="CF86" s="1263" t="inlineStr">
        <is>
          <t>Итого апрель</t>
        </is>
      </c>
      <c r="CH86" s="1010" t="n"/>
    </row>
    <row r="87">
      <c r="A87" s="1011" t="n"/>
      <c r="B87" s="943" t="n"/>
      <c r="C87" s="943" t="n"/>
      <c r="D87" s="943" t="n"/>
      <c r="E87" s="943" t="n"/>
      <c r="F87" s="943" t="n"/>
      <c r="G87" s="544" t="n"/>
      <c r="H87" s="1012" t="inlineStr">
        <is>
          <t>план</t>
        </is>
      </c>
      <c r="I87" s="1012" t="inlineStr">
        <is>
          <t>факт</t>
        </is>
      </c>
      <c r="J87" s="1013" t="inlineStr">
        <is>
          <t>отклонение</t>
        </is>
      </c>
      <c r="K87" s="1014" t="n"/>
      <c r="L87" s="1014" t="n"/>
      <c r="M87" s="1014" t="n"/>
      <c r="N87" s="1014" t="n"/>
      <c r="O87" s="1014" t="n"/>
      <c r="P87" s="1014" t="n"/>
      <c r="Q87" s="1014" t="n"/>
      <c r="R87" s="1014" t="n"/>
      <c r="S87" s="1014" t="n"/>
      <c r="T87" s="1014" t="n"/>
      <c r="U87" s="1014" t="n"/>
      <c r="V87" s="1014" t="n"/>
      <c r="W87" s="1014" t="n"/>
      <c r="X87" s="1014" t="n"/>
      <c r="Y87" s="1014" t="n"/>
      <c r="Z87" s="1014" t="n"/>
      <c r="AA87" s="1014" t="n"/>
      <c r="AB87" s="943" t="n"/>
      <c r="AC87" s="943" t="n"/>
      <c r="AD87" s="943" t="n"/>
      <c r="AE87" s="943" t="n"/>
      <c r="AF87" s="943" t="n"/>
      <c r="AG87" s="943" t="n"/>
      <c r="AH87" s="943" t="n"/>
      <c r="AI87" s="943" t="n"/>
      <c r="AJ87" s="544" t="n"/>
      <c r="AK87" s="544" t="n"/>
      <c r="AL87" s="1012" t="inlineStr">
        <is>
          <t>план</t>
        </is>
      </c>
      <c r="AM87" s="1012" t="inlineStr">
        <is>
          <t>факт</t>
        </is>
      </c>
      <c r="AN87" s="1013" t="inlineStr">
        <is>
          <t>отклонение</t>
        </is>
      </c>
      <c r="AO87" s="943" t="n"/>
      <c r="AP87" s="943" t="n"/>
      <c r="AQ87" s="943" t="n"/>
      <c r="AR87" s="943" t="n"/>
      <c r="AS87" s="943" t="n"/>
      <c r="AT87" s="943" t="n"/>
      <c r="AU87" s="943" t="n"/>
      <c r="AV87" s="943" t="n"/>
      <c r="AW87" s="544" t="n"/>
      <c r="AX87" s="544" t="n"/>
      <c r="AY87" s="1012" t="inlineStr">
        <is>
          <t>план</t>
        </is>
      </c>
      <c r="AZ87" s="1012" t="inlineStr">
        <is>
          <t>факт</t>
        </is>
      </c>
      <c r="BA87" s="1013" t="inlineStr">
        <is>
          <t>отклонение</t>
        </is>
      </c>
      <c r="BB87" s="943" t="n"/>
      <c r="BC87" s="943" t="n"/>
      <c r="BD87" s="943" t="n"/>
      <c r="BE87" s="943" t="n"/>
      <c r="BF87" s="943" t="n"/>
      <c r="BG87" s="943" t="n"/>
      <c r="BH87" s="943" t="n"/>
      <c r="BI87" s="943" t="n"/>
      <c r="BJ87" s="544" t="n"/>
      <c r="BK87" s="544" t="n"/>
      <c r="BL87" s="1012" t="inlineStr">
        <is>
          <t>план</t>
        </is>
      </c>
      <c r="BM87" s="1012" t="inlineStr">
        <is>
          <t>факт</t>
        </is>
      </c>
      <c r="BN87" s="1013" t="inlineStr">
        <is>
          <t>отклонение</t>
        </is>
      </c>
      <c r="BO87" s="943" t="n"/>
      <c r="BP87" s="943" t="n"/>
      <c r="BQ87" s="943" t="n"/>
      <c r="BR87" s="943" t="n"/>
      <c r="BS87" s="943" t="n"/>
      <c r="BT87" s="943" t="n"/>
      <c r="BU87" s="943" t="n"/>
      <c r="BV87" s="943" t="n"/>
      <c r="BW87" s="943" t="n"/>
      <c r="BX87" s="943" t="n"/>
      <c r="BY87" s="943" t="n"/>
      <c r="BZ87" s="943" t="n"/>
      <c r="CA87" s="943" t="n"/>
      <c r="CB87" s="943" t="n"/>
      <c r="CC87" s="944" t="n"/>
      <c r="CD87" s="944" t="n"/>
      <c r="CE87" s="944" t="n"/>
      <c r="CF87" s="1015" t="inlineStr">
        <is>
          <t>План</t>
        </is>
      </c>
      <c r="CG87" s="1015" t="inlineStr">
        <is>
          <t>Факт</t>
        </is>
      </c>
      <c r="CH87" s="1016" t="inlineStr">
        <is>
          <t>Отклонение</t>
        </is>
      </c>
    </row>
    <row r="88">
      <c r="A88" s="1011" t="n"/>
      <c r="B88" s="943" t="n"/>
      <c r="C88" s="943" t="n"/>
      <c r="D88" s="943" t="n"/>
      <c r="E88" s="943" t="n"/>
      <c r="F88" s="943" t="n"/>
      <c r="G88" s="1012" t="inlineStr">
        <is>
          <t>Выплата поставщикам</t>
        </is>
      </c>
      <c r="H88" s="1013">
        <f>H33+H44+H48+H49+H55+H58+H75+H65</f>
        <v/>
      </c>
      <c r="I88" s="1013">
        <f>I33+I48+I49+I55+I75+I58+I65+I44</f>
        <v/>
      </c>
      <c r="J88" s="1017">
        <f>H88-I88</f>
        <v/>
      </c>
      <c r="K88" s="1014" t="n"/>
      <c r="L88" s="1014" t="n"/>
      <c r="M88" s="1014" t="n"/>
      <c r="N88" s="1014" t="n"/>
      <c r="O88" s="1014" t="n"/>
      <c r="P88" s="1014" t="n"/>
      <c r="Q88" s="1014" t="n"/>
      <c r="R88" s="1014" t="n"/>
      <c r="S88" s="1014" t="n"/>
      <c r="T88" s="1014" t="n"/>
      <c r="U88" s="1014" t="n"/>
      <c r="V88" s="1014" t="n"/>
      <c r="W88" s="1014" t="n"/>
      <c r="X88" s="1014" t="n"/>
      <c r="Y88" s="1014" t="n"/>
      <c r="Z88" s="1014" t="n"/>
      <c r="AA88" s="1014" t="n"/>
      <c r="AB88" s="943" t="n"/>
      <c r="AC88" s="943" t="n"/>
      <c r="AD88" s="943" t="n"/>
      <c r="AE88" s="943" t="n"/>
      <c r="AF88" s="943" t="n"/>
      <c r="AG88" s="943" t="n"/>
      <c r="AH88" s="943" t="n"/>
      <c r="AI88" s="943" t="n"/>
      <c r="AJ88" s="1012" t="inlineStr">
        <is>
          <t>Выплата поставщикам</t>
        </is>
      </c>
      <c r="AK88" s="544" t="n"/>
      <c r="AL88" s="1013">
        <f>AL33+AL44+AL48+AL49+AL55+AL58+AL75+AL65</f>
        <v/>
      </c>
      <c r="AM88" s="1013">
        <f>AM33+AM48+AM49+AM55+AM75+AM58+AM65</f>
        <v/>
      </c>
      <c r="AN88" s="1017">
        <f>AL88-AM88</f>
        <v/>
      </c>
      <c r="AO88" s="943" t="n"/>
      <c r="AP88" s="943" t="n"/>
      <c r="AQ88" s="943" t="n"/>
      <c r="AR88" s="943" t="n"/>
      <c r="AS88" s="943" t="n"/>
      <c r="AT88" s="943" t="n"/>
      <c r="AU88" s="943" t="n"/>
      <c r="AV88" s="943" t="n"/>
      <c r="AW88" s="1012" t="inlineStr">
        <is>
          <t>Выплата поставщикам</t>
        </is>
      </c>
      <c r="AX88" s="544" t="n"/>
      <c r="AY88" s="1013">
        <f>AY33+AY44+AY48+AY49+AY55+AY58+AY75+AY65</f>
        <v/>
      </c>
      <c r="AZ88" s="1013">
        <f>AZ33+AZ48+AZ49+AZ55+AZ75+AZ58+AZ65</f>
        <v/>
      </c>
      <c r="BA88" s="1017">
        <f>AY88-AZ88</f>
        <v/>
      </c>
      <c r="BB88" s="943" t="n"/>
      <c r="BC88" s="943" t="n"/>
      <c r="BD88" s="943" t="n"/>
      <c r="BE88" s="943" t="n"/>
      <c r="BF88" s="943" t="n"/>
      <c r="BG88" s="943" t="n"/>
      <c r="BH88" s="943" t="n"/>
      <c r="BI88" s="943" t="n"/>
      <c r="BJ88" s="1012" t="inlineStr">
        <is>
          <t>Выплата поставщикам</t>
        </is>
      </c>
      <c r="BK88" s="544" t="n"/>
      <c r="BL88" s="1013">
        <f>BL33+BL44+BL48+BL49+BL55+BL58+BL75+BL65</f>
        <v/>
      </c>
      <c r="BM88" s="1013">
        <f>BM33+BM48+BM49+BM55+BM75+BM58+BM65</f>
        <v/>
      </c>
      <c r="BN88" s="1017">
        <f>BL88-BM88</f>
        <v/>
      </c>
      <c r="BO88" s="943" t="n"/>
      <c r="BP88" s="943" t="n"/>
      <c r="BQ88" s="943" t="n"/>
      <c r="BR88" s="943" t="n"/>
      <c r="BS88" s="943" t="n"/>
      <c r="BT88" s="943" t="n"/>
      <c r="BU88" s="943" t="n"/>
      <c r="BV88" s="943" t="n"/>
      <c r="BW88" s="943" t="n"/>
      <c r="BX88" s="943" t="n"/>
      <c r="BY88" s="943" t="n"/>
      <c r="BZ88" s="943" t="n"/>
      <c r="CA88" s="943" t="n"/>
      <c r="CB88" s="1018" t="n"/>
      <c r="CC88" s="1012" t="inlineStr">
        <is>
          <t>Выплата поставщикам</t>
        </is>
      </c>
      <c r="CD88" s="544" t="n"/>
      <c r="CE88" s="544" t="n"/>
      <c r="CF88" s="1013">
        <f>CF33+CF48+CF49+CF55+CF75+CF58</f>
        <v/>
      </c>
      <c r="CG88" s="1013">
        <f>CG33+CG48+CG49+CG55+CG75+CG58</f>
        <v/>
      </c>
      <c r="CH88" s="1019">
        <f>CF88-CG88</f>
        <v/>
      </c>
    </row>
    <row r="89">
      <c r="A89" s="1011" t="n"/>
      <c r="B89" s="943" t="n"/>
      <c r="C89" s="943" t="n"/>
      <c r="D89" s="943" t="n"/>
      <c r="E89" s="943" t="n"/>
      <c r="F89" s="943" t="n"/>
      <c r="G89" s="1012" t="inlineStr">
        <is>
          <t>Налоги</t>
        </is>
      </c>
      <c r="H89" s="1013">
        <f>H41</f>
        <v/>
      </c>
      <c r="I89" s="1013">
        <f>I62+I41</f>
        <v/>
      </c>
      <c r="J89" s="1017">
        <f>H89-I89</f>
        <v/>
      </c>
      <c r="K89" s="1014" t="n"/>
      <c r="L89" s="1014" t="n"/>
      <c r="M89" s="1014" t="n"/>
      <c r="N89" s="1014" t="n"/>
      <c r="O89" s="1014" t="n"/>
      <c r="P89" s="1014" t="n"/>
      <c r="Q89" s="1014" t="n"/>
      <c r="R89" s="1014" t="n"/>
      <c r="S89" s="1014" t="n"/>
      <c r="T89" s="1014" t="n"/>
      <c r="U89" s="1014" t="n"/>
      <c r="V89" s="1014" t="n"/>
      <c r="W89" s="1014" t="n"/>
      <c r="X89" s="1014" t="n"/>
      <c r="Y89" s="1014" t="n"/>
      <c r="Z89" s="1014" t="n"/>
      <c r="AA89" s="1014" t="n"/>
      <c r="AB89" s="943" t="n"/>
      <c r="AC89" s="943" t="n"/>
      <c r="AD89" s="943" t="n"/>
      <c r="AE89" s="943" t="n"/>
      <c r="AF89" s="943" t="n"/>
      <c r="AG89" s="943" t="n"/>
      <c r="AH89" s="943" t="n"/>
      <c r="AI89" s="943" t="n"/>
      <c r="AJ89" s="1012" t="inlineStr">
        <is>
          <t>Налоги</t>
        </is>
      </c>
      <c r="AK89" s="544" t="n"/>
      <c r="AL89" s="1013">
        <f>AL41</f>
        <v/>
      </c>
      <c r="AM89" s="1013">
        <f>AM41</f>
        <v/>
      </c>
      <c r="AN89" s="1017">
        <f>AL89-AM89</f>
        <v/>
      </c>
      <c r="AO89" s="943" t="n"/>
      <c r="AP89" s="943" t="n"/>
      <c r="AQ89" s="943" t="n"/>
      <c r="AR89" s="943" t="n"/>
      <c r="AS89" s="943" t="n"/>
      <c r="AT89" s="943" t="n"/>
      <c r="AU89" s="943" t="n"/>
      <c r="AV89" s="943" t="n"/>
      <c r="AW89" s="1012" t="inlineStr">
        <is>
          <t>Налоги</t>
        </is>
      </c>
      <c r="AX89" s="544" t="n"/>
      <c r="AY89" s="1013">
        <f>AY41</f>
        <v/>
      </c>
      <c r="AZ89" s="1013">
        <f>AZ41</f>
        <v/>
      </c>
      <c r="BA89" s="1017">
        <f>AY89-AZ89</f>
        <v/>
      </c>
      <c r="BB89" s="943" t="n"/>
      <c r="BC89" s="943" t="n"/>
      <c r="BD89" s="943" t="n"/>
      <c r="BE89" s="943" t="n"/>
      <c r="BF89" s="943" t="n"/>
      <c r="BG89" s="943" t="n"/>
      <c r="BH89" s="943" t="n"/>
      <c r="BI89" s="943" t="n"/>
      <c r="BJ89" s="1012" t="inlineStr">
        <is>
          <t>Налоги</t>
        </is>
      </c>
      <c r="BK89" s="544" t="n"/>
      <c r="BL89" s="1013">
        <f>BL41</f>
        <v/>
      </c>
      <c r="BM89" s="1013">
        <f>BM41+BM62</f>
        <v/>
      </c>
      <c r="BN89" s="1017">
        <f>BL89-BM89</f>
        <v/>
      </c>
      <c r="BO89" s="943" t="n"/>
      <c r="BP89" s="943" t="n"/>
      <c r="BQ89" s="943" t="n"/>
      <c r="BR89" s="943" t="n"/>
      <c r="BS89" s="943" t="n"/>
      <c r="BT89" s="943" t="n"/>
      <c r="BU89" s="943" t="n"/>
      <c r="BV89" s="943" t="n"/>
      <c r="BW89" s="943" t="n"/>
      <c r="BX89" s="943" t="n"/>
      <c r="BY89" s="943" t="n"/>
      <c r="BZ89" s="943" t="n"/>
      <c r="CA89" s="943" t="n"/>
      <c r="CB89" s="1018" t="n"/>
      <c r="CC89" s="1012" t="inlineStr">
        <is>
          <t>Налоги</t>
        </is>
      </c>
      <c r="CD89" s="544" t="n"/>
      <c r="CE89" s="544" t="n"/>
      <c r="CF89" s="1013">
        <f>CF41</f>
        <v/>
      </c>
      <c r="CG89" s="1013">
        <f>CG41</f>
        <v/>
      </c>
      <c r="CH89" s="1019">
        <f>CF89-CG89</f>
        <v/>
      </c>
    </row>
    <row r="90">
      <c r="A90" s="1011" t="n"/>
      <c r="B90" s="943" t="n"/>
      <c r="C90" s="943" t="n"/>
      <c r="D90" s="943" t="n"/>
      <c r="E90" s="943" t="n"/>
      <c r="F90" s="943" t="n"/>
      <c r="G90" s="1012" t="inlineStr">
        <is>
          <t>Оплата труда</t>
        </is>
      </c>
      <c r="H90" s="1013">
        <f>H42+H64</f>
        <v/>
      </c>
      <c r="I90" s="1013">
        <f>I42+I64</f>
        <v/>
      </c>
      <c r="J90" s="1017">
        <f>H90-I90</f>
        <v/>
      </c>
      <c r="K90" s="1014" t="n"/>
      <c r="L90" s="1014" t="n"/>
      <c r="M90" s="1014" t="n"/>
      <c r="N90" s="1014" t="n"/>
      <c r="O90" s="1014" t="n"/>
      <c r="P90" s="1014" t="n"/>
      <c r="Q90" s="1014" t="n"/>
      <c r="R90" s="1014" t="n"/>
      <c r="S90" s="1014" t="n"/>
      <c r="T90" s="1014" t="n"/>
      <c r="U90" s="1014" t="n"/>
      <c r="V90" s="1014" t="n"/>
      <c r="W90" s="1014" t="n"/>
      <c r="X90" s="1014" t="n"/>
      <c r="Y90" s="1014" t="n"/>
      <c r="Z90" s="1014" t="n"/>
      <c r="AA90" s="1014" t="n"/>
      <c r="AB90" s="943" t="n"/>
      <c r="AC90" s="943" t="n"/>
      <c r="AD90" s="943" t="n"/>
      <c r="AE90" s="943" t="n"/>
      <c r="AF90" s="943" t="n"/>
      <c r="AG90" s="943" t="n"/>
      <c r="AH90" s="943" t="n"/>
      <c r="AI90" s="943" t="n"/>
      <c r="AJ90" s="1012" t="inlineStr">
        <is>
          <t>Оплата труда</t>
        </is>
      </c>
      <c r="AK90" s="544" t="n"/>
      <c r="AL90" s="1013">
        <f>AL42+AL64</f>
        <v/>
      </c>
      <c r="AM90" s="1013">
        <f>AM42+AM64</f>
        <v/>
      </c>
      <c r="AN90" s="1017">
        <f>AL90-AM90</f>
        <v/>
      </c>
      <c r="AO90" s="943" t="n"/>
      <c r="AP90" s="943" t="n"/>
      <c r="AQ90" s="943" t="n"/>
      <c r="AR90" s="943" t="n"/>
      <c r="AS90" s="943" t="n"/>
      <c r="AT90" s="943" t="n"/>
      <c r="AU90" s="943" t="n"/>
      <c r="AV90" s="943" t="n"/>
      <c r="AW90" s="1012" t="inlineStr">
        <is>
          <t>Оплата труда</t>
        </is>
      </c>
      <c r="AX90" s="544" t="n"/>
      <c r="AY90" s="1013">
        <f>AY42+AY64</f>
        <v/>
      </c>
      <c r="AZ90" s="1013">
        <f>AZ42+AZ64</f>
        <v/>
      </c>
      <c r="BA90" s="1017">
        <f>AY90-AZ90</f>
        <v/>
      </c>
      <c r="BB90" s="943" t="n"/>
      <c r="BC90" s="943" t="n"/>
      <c r="BD90" s="943" t="n"/>
      <c r="BE90" s="943" t="n"/>
      <c r="BF90" s="943" t="n"/>
      <c r="BG90" s="943" t="n"/>
      <c r="BH90" s="943" t="n"/>
      <c r="BI90" s="943" t="n"/>
      <c r="BJ90" s="1012" t="inlineStr">
        <is>
          <t>Оплата труда</t>
        </is>
      </c>
      <c r="BK90" s="544" t="n"/>
      <c r="BL90" s="1013">
        <f>BL42+BL64</f>
        <v/>
      </c>
      <c r="BM90" s="1013">
        <f>BM42+BM64</f>
        <v/>
      </c>
      <c r="BN90" s="1017">
        <f>BL90-BM90</f>
        <v/>
      </c>
      <c r="BO90" s="943" t="n"/>
      <c r="BP90" s="943" t="n"/>
      <c r="BQ90" s="943" t="n"/>
      <c r="BR90" s="943" t="n"/>
      <c r="BS90" s="943" t="n"/>
      <c r="BT90" s="943" t="n"/>
      <c r="BU90" s="943" t="n"/>
      <c r="BV90" s="943" t="n"/>
      <c r="BW90" s="943" t="n"/>
      <c r="BX90" s="943" t="n"/>
      <c r="BY90" s="943" t="n"/>
      <c r="BZ90" s="943" t="n"/>
      <c r="CA90" s="943" t="n"/>
      <c r="CB90" s="1018" t="n"/>
      <c r="CC90" s="1012" t="inlineStr">
        <is>
          <t>Оплата труда</t>
        </is>
      </c>
      <c r="CD90" s="544" t="n"/>
      <c r="CE90" s="544" t="n"/>
      <c r="CF90" s="1013">
        <f>CF42+CF64</f>
        <v/>
      </c>
      <c r="CG90" s="1013">
        <f>CG42+CG64</f>
        <v/>
      </c>
      <c r="CH90" s="1019">
        <f>CF90-CG90</f>
        <v/>
      </c>
    </row>
    <row r="91">
      <c r="A91" s="1011" t="n"/>
      <c r="B91" s="943" t="n"/>
      <c r="C91" s="943" t="n"/>
      <c r="D91" s="943" t="n"/>
      <c r="E91" s="943" t="n"/>
      <c r="F91" s="943" t="n"/>
      <c r="G91" s="1012" t="inlineStr">
        <is>
          <t>Ремонт</t>
        </is>
      </c>
      <c r="H91" s="1013">
        <f>H53+H52+H73+H72</f>
        <v/>
      </c>
      <c r="I91" s="1013">
        <f>I53+I52+I72+I73</f>
        <v/>
      </c>
      <c r="J91" s="1017">
        <f>H91-I91</f>
        <v/>
      </c>
      <c r="K91" s="1014" t="n"/>
      <c r="L91" s="1014" t="n"/>
      <c r="M91" s="1014" t="n"/>
      <c r="N91" s="1014" t="n"/>
      <c r="O91" s="1014" t="n"/>
      <c r="P91" s="1014" t="n"/>
      <c r="Q91" s="1014" t="n"/>
      <c r="R91" s="1014" t="n"/>
      <c r="S91" s="1014" t="n"/>
      <c r="T91" s="1014" t="n"/>
      <c r="U91" s="1014" t="n"/>
      <c r="V91" s="1014" t="n"/>
      <c r="W91" s="1014" t="n"/>
      <c r="X91" s="1014" t="n"/>
      <c r="Y91" s="1014" t="n"/>
      <c r="Z91" s="1014" t="n"/>
      <c r="AA91" s="1014" t="n"/>
      <c r="AB91" s="943" t="n"/>
      <c r="AC91" s="943" t="n"/>
      <c r="AD91" s="943" t="n"/>
      <c r="AE91" s="943" t="n"/>
      <c r="AF91" s="943" t="n"/>
      <c r="AG91" s="943" t="n"/>
      <c r="AH91" s="943" t="n"/>
      <c r="AI91" s="943" t="n"/>
      <c r="AJ91" s="1012" t="inlineStr">
        <is>
          <t>Ремонт</t>
        </is>
      </c>
      <c r="AK91" s="544" t="n"/>
      <c r="AL91" s="1013">
        <f>AL53+AL52+AL73+AL72</f>
        <v/>
      </c>
      <c r="AM91" s="1013">
        <f>AM53+AM52+AM72+AM73</f>
        <v/>
      </c>
      <c r="AN91" s="1017">
        <f>AL91-AM91</f>
        <v/>
      </c>
      <c r="AO91" s="943" t="n"/>
      <c r="AP91" s="943" t="n"/>
      <c r="AQ91" s="943" t="n"/>
      <c r="AR91" s="943" t="n"/>
      <c r="AS91" s="943" t="n"/>
      <c r="AT91" s="943" t="n"/>
      <c r="AU91" s="943" t="n"/>
      <c r="AV91" s="943" t="n"/>
      <c r="AW91" s="1012" t="inlineStr">
        <is>
          <t>Ремонт</t>
        </is>
      </c>
      <c r="AX91" s="544" t="n"/>
      <c r="AY91" s="1013">
        <f>AY53+AY52+AY73+AY72</f>
        <v/>
      </c>
      <c r="AZ91" s="1013">
        <f>AZ53+AZ52+AZ72+AZ73</f>
        <v/>
      </c>
      <c r="BA91" s="1017">
        <f>AY91-AZ91</f>
        <v/>
      </c>
      <c r="BB91" s="943" t="n"/>
      <c r="BC91" s="943" t="n"/>
      <c r="BD91" s="943" t="n"/>
      <c r="BE91" s="943" t="n"/>
      <c r="BF91" s="943" t="n"/>
      <c r="BG91" s="943" t="n"/>
      <c r="BH91" s="943" t="n"/>
      <c r="BI91" s="943" t="n"/>
      <c r="BJ91" s="1012" t="inlineStr">
        <is>
          <t>Ремонт</t>
        </is>
      </c>
      <c r="BK91" s="544" t="n"/>
      <c r="BL91" s="1013">
        <f>BL53+BL52+BL73+BL72</f>
        <v/>
      </c>
      <c r="BM91" s="1013">
        <f>BM53+BM52+BM72+BM73</f>
        <v/>
      </c>
      <c r="BN91" s="1017">
        <f>BL91-BM91</f>
        <v/>
      </c>
      <c r="BO91" s="943" t="n"/>
      <c r="BP91" s="943" t="n"/>
      <c r="BQ91" s="943" t="n"/>
      <c r="BR91" s="943" t="n"/>
      <c r="BS91" s="943" t="n"/>
      <c r="BT91" s="943" t="n"/>
      <c r="BU91" s="943" t="n"/>
      <c r="BV91" s="943" t="n"/>
      <c r="BW91" s="943" t="n"/>
      <c r="BX91" s="943" t="n"/>
      <c r="BY91" s="943" t="n"/>
      <c r="BZ91" s="943" t="n"/>
      <c r="CA91" s="943" t="n"/>
      <c r="CB91" s="1018" t="n"/>
      <c r="CC91" s="1012" t="inlineStr">
        <is>
          <t>Ремонт</t>
        </is>
      </c>
      <c r="CD91" s="544" t="n"/>
      <c r="CE91" s="544" t="n"/>
      <c r="CF91" s="1013">
        <f>CF52+CF53+CF72+CF73</f>
        <v/>
      </c>
      <c r="CG91" s="1013">
        <f>CG53+CG52+CG72+CG73</f>
        <v/>
      </c>
      <c r="CH91" s="1019">
        <f>CF91-CG91</f>
        <v/>
      </c>
    </row>
    <row r="92">
      <c r="A92" s="1011" t="n"/>
      <c r="B92" s="943" t="n"/>
      <c r="C92" s="943" t="n"/>
      <c r="D92" s="943" t="n"/>
      <c r="E92" s="943" t="n"/>
      <c r="F92" s="943" t="n"/>
      <c r="G92" s="1012" t="inlineStr">
        <is>
          <t>ОС</t>
        </is>
      </c>
      <c r="H92" s="1013">
        <f>H54+H74</f>
        <v/>
      </c>
      <c r="I92" s="1013">
        <f>I54+I74</f>
        <v/>
      </c>
      <c r="J92" s="1017">
        <f>H92-I92</f>
        <v/>
      </c>
      <c r="K92" s="1014" t="n"/>
      <c r="L92" s="1014" t="n"/>
      <c r="M92" s="1014" t="n"/>
      <c r="N92" s="1014" t="n"/>
      <c r="O92" s="1014" t="n"/>
      <c r="P92" s="1014" t="n"/>
      <c r="Q92" s="1014" t="n"/>
      <c r="R92" s="1014" t="n"/>
      <c r="S92" s="1014" t="n"/>
      <c r="T92" s="1014" t="n"/>
      <c r="U92" s="1014" t="n"/>
      <c r="V92" s="1014" t="n"/>
      <c r="W92" s="1014" t="n"/>
      <c r="X92" s="1014" t="n"/>
      <c r="Y92" s="1014" t="n"/>
      <c r="Z92" s="1014" t="n"/>
      <c r="AA92" s="1014" t="n"/>
      <c r="AB92" s="943" t="n"/>
      <c r="AC92" s="943" t="n"/>
      <c r="AD92" s="943" t="n"/>
      <c r="AE92" s="943" t="n"/>
      <c r="AF92" s="943" t="n"/>
      <c r="AG92" s="943" t="n"/>
      <c r="AH92" s="943" t="n"/>
      <c r="AI92" s="943" t="n"/>
      <c r="AJ92" s="1012" t="inlineStr">
        <is>
          <t>ОС</t>
        </is>
      </c>
      <c r="AK92" s="544" t="n"/>
      <c r="AL92" s="1013">
        <f>AL54+AL74</f>
        <v/>
      </c>
      <c r="AM92" s="1013">
        <f>AM54+AM74</f>
        <v/>
      </c>
      <c r="AN92" s="1017">
        <f>AL92-AM92</f>
        <v/>
      </c>
      <c r="AO92" s="943" t="n"/>
      <c r="AP92" s="943" t="n"/>
      <c r="AQ92" s="943" t="n"/>
      <c r="AR92" s="943" t="n"/>
      <c r="AS92" s="943" t="n"/>
      <c r="AT92" s="943" t="n"/>
      <c r="AU92" s="943" t="n"/>
      <c r="AV92" s="943" t="n"/>
      <c r="AW92" s="1012" t="inlineStr">
        <is>
          <t>ОС</t>
        </is>
      </c>
      <c r="AX92" s="544" t="n"/>
      <c r="AY92" s="1013">
        <f>AY54+AY74</f>
        <v/>
      </c>
      <c r="AZ92" s="1013">
        <f>AZ54+AZ74</f>
        <v/>
      </c>
      <c r="BA92" s="1017">
        <f>AY92-AZ92</f>
        <v/>
      </c>
      <c r="BB92" s="943" t="n"/>
      <c r="BC92" s="943" t="n"/>
      <c r="BD92" s="943" t="n"/>
      <c r="BE92" s="943" t="n"/>
      <c r="BF92" s="943" t="n"/>
      <c r="BG92" s="943" t="n"/>
      <c r="BH92" s="943" t="n"/>
      <c r="BI92" s="943" t="n"/>
      <c r="BJ92" s="1012" t="inlineStr">
        <is>
          <t>ОС</t>
        </is>
      </c>
      <c r="BK92" s="544" t="n"/>
      <c r="BL92" s="1013">
        <f>BL54+BL74</f>
        <v/>
      </c>
      <c r="BM92" s="1013">
        <f>BM54+BM74</f>
        <v/>
      </c>
      <c r="BN92" s="1017">
        <f>BL92-BM92</f>
        <v/>
      </c>
      <c r="BO92" s="943" t="n"/>
      <c r="BP92" s="943" t="n"/>
      <c r="BQ92" s="943" t="n"/>
      <c r="BR92" s="943" t="n"/>
      <c r="BS92" s="943" t="n"/>
      <c r="BT92" s="943" t="n"/>
      <c r="BU92" s="943" t="n"/>
      <c r="BV92" s="943" t="n"/>
      <c r="BW92" s="943" t="n"/>
      <c r="BX92" s="943" t="n"/>
      <c r="BY92" s="943" t="n"/>
      <c r="BZ92" s="943" t="n"/>
      <c r="CA92" s="943" t="n"/>
      <c r="CB92" s="1018" t="n"/>
      <c r="CC92" s="1012" t="inlineStr">
        <is>
          <t>ОС</t>
        </is>
      </c>
      <c r="CD92" s="544" t="n"/>
      <c r="CE92" s="544" t="n"/>
      <c r="CF92" s="1013">
        <f>CF54+CF74</f>
        <v/>
      </c>
      <c r="CG92" s="1013">
        <f>CG54+CG74</f>
        <v/>
      </c>
      <c r="CH92" s="1019">
        <f>CF92-CG92</f>
        <v/>
      </c>
    </row>
    <row r="93">
      <c r="A93" s="1020" t="n"/>
      <c r="B93" s="772" t="n"/>
      <c r="C93" s="772" t="n"/>
      <c r="D93" s="772" t="n"/>
      <c r="E93" s="772" t="n"/>
      <c r="F93" s="772" t="n"/>
      <c r="G93" s="772" t="n"/>
      <c r="H93" s="772" t="n"/>
      <c r="I93" s="772" t="n"/>
      <c r="J93" s="772" t="n"/>
      <c r="K93" s="772" t="n"/>
      <c r="L93" s="772" t="n"/>
      <c r="M93" s="772" t="n"/>
      <c r="N93" s="772" t="n"/>
      <c r="O93" s="772" t="n"/>
      <c r="P93" s="772" t="n"/>
      <c r="Q93" s="772" t="n"/>
      <c r="R93" s="772" t="n"/>
      <c r="S93" s="772" t="n"/>
      <c r="T93" s="772" t="n"/>
      <c r="U93" s="772" t="n"/>
      <c r="V93" s="772" t="n"/>
      <c r="W93" s="772" t="n"/>
      <c r="X93" s="772" t="n"/>
      <c r="Y93" s="772" t="n"/>
      <c r="Z93" s="772" t="n"/>
      <c r="AA93" s="772" t="n"/>
      <c r="AB93" s="772" t="n"/>
      <c r="AC93" s="772" t="n"/>
      <c r="AD93" s="772" t="n"/>
      <c r="AE93" s="772" t="n"/>
      <c r="AF93" s="772" t="n"/>
      <c r="AG93" s="772" t="n"/>
      <c r="AH93" s="772" t="n"/>
      <c r="AI93" s="772" t="n"/>
      <c r="AJ93" s="772" t="n"/>
      <c r="AK93" s="772" t="n"/>
      <c r="AL93" s="772" t="n"/>
      <c r="AM93" s="772" t="n"/>
      <c r="AN93" s="772" t="n"/>
      <c r="AO93" s="772" t="n"/>
      <c r="AP93" s="772" t="n"/>
      <c r="AQ93" s="772" t="n"/>
      <c r="AR93" s="772" t="n"/>
      <c r="AS93" s="772" t="n"/>
      <c r="AT93" s="772" t="n"/>
      <c r="AU93" s="772" t="n"/>
      <c r="AV93" s="772" t="n"/>
      <c r="AW93" s="772" t="n"/>
      <c r="AX93" s="772" t="n"/>
      <c r="AY93" s="772" t="n"/>
      <c r="AZ93" s="772" t="n"/>
      <c r="BA93" s="772" t="n"/>
      <c r="BB93" s="772" t="n"/>
      <c r="BC93" s="772" t="n"/>
      <c r="BD93" s="772" t="n"/>
      <c r="BE93" s="772" t="n"/>
      <c r="BF93" s="772" t="n"/>
      <c r="BG93" s="772" t="n"/>
      <c r="BH93" s="772" t="n"/>
      <c r="BI93" s="772" t="n"/>
      <c r="BJ93" s="772" t="n"/>
      <c r="BK93" s="772" t="n"/>
      <c r="BL93" s="772" t="n"/>
      <c r="BM93" s="772" t="n"/>
      <c r="BN93" s="772" t="n"/>
      <c r="BO93" s="772" t="n"/>
      <c r="BP93" s="772" t="n"/>
      <c r="BQ93" s="772" t="n"/>
      <c r="BR93" s="772" t="n"/>
      <c r="BS93" s="772" t="n"/>
      <c r="BT93" s="772" t="n"/>
      <c r="BU93" s="772" t="n"/>
      <c r="BV93" s="772" t="n"/>
      <c r="BW93" s="772" t="n"/>
      <c r="BX93" s="772" t="n"/>
      <c r="BY93" s="772" t="n"/>
      <c r="BZ93" s="772" t="n"/>
      <c r="CA93" s="772" t="n"/>
      <c r="CB93" s="772" t="n"/>
      <c r="CC93" s="772" t="n"/>
      <c r="CD93" s="772" t="n"/>
      <c r="CE93" s="772" t="n"/>
      <c r="CF93" s="772" t="n"/>
      <c r="CG93" s="772" t="n"/>
      <c r="CH93" s="772" t="n"/>
    </row>
    <row r="94">
      <c r="A94" s="1020" t="n"/>
      <c r="B94" s="772" t="n"/>
      <c r="C94" s="772" t="n"/>
      <c r="D94" s="772" t="n"/>
      <c r="E94" s="772" t="n"/>
      <c r="F94" s="772" t="n"/>
      <c r="G94" s="772" t="n"/>
      <c r="H94" s="772" t="n"/>
      <c r="I94" s="772" t="n"/>
      <c r="J94" s="772" t="n"/>
      <c r="K94" s="772" t="n"/>
      <c r="L94" s="772" t="n"/>
      <c r="M94" s="772" t="n"/>
      <c r="N94" s="772" t="n"/>
      <c r="O94" s="772" t="n"/>
      <c r="P94" s="772" t="n"/>
      <c r="Q94" s="772" t="n"/>
      <c r="R94" s="772" t="n"/>
      <c r="S94" s="772" t="n"/>
      <c r="T94" s="772" t="n"/>
      <c r="U94" s="772" t="n"/>
      <c r="V94" s="772" t="n"/>
      <c r="W94" s="772" t="n"/>
      <c r="X94" s="772" t="n"/>
      <c r="Y94" s="772" t="n"/>
      <c r="Z94" s="772" t="n"/>
      <c r="AA94" s="772" t="n"/>
      <c r="AB94" s="772" t="n"/>
      <c r="AC94" s="772" t="n"/>
      <c r="AD94" s="772" t="n"/>
      <c r="AE94" s="772" t="n"/>
      <c r="AF94" s="772" t="n"/>
      <c r="AG94" s="772" t="n"/>
      <c r="AH94" s="772" t="n"/>
      <c r="AI94" s="772" t="n"/>
      <c r="AJ94" s="772" t="n"/>
      <c r="AK94" s="772" t="n"/>
      <c r="AL94" s="772" t="n"/>
      <c r="AM94" s="772" t="n"/>
      <c r="AN94" s="772" t="n"/>
      <c r="AO94" s="772" t="n"/>
      <c r="AP94" s="772" t="n"/>
      <c r="AQ94" s="772" t="n"/>
      <c r="AR94" s="772" t="n"/>
      <c r="AS94" s="772" t="n"/>
      <c r="AT94" s="772" t="n"/>
      <c r="AU94" s="772" t="n"/>
      <c r="AV94" s="772" t="n"/>
      <c r="AW94" s="772" t="n"/>
      <c r="AX94" s="772" t="n"/>
      <c r="AY94" s="772" t="n"/>
      <c r="AZ94" s="772" t="n"/>
      <c r="BA94" s="772" t="n"/>
      <c r="BB94" s="772" t="n"/>
      <c r="BC94" s="772" t="n"/>
      <c r="BD94" s="772" t="n"/>
      <c r="BE94" s="772" t="n"/>
      <c r="BF94" s="772" t="n"/>
      <c r="BG94" s="772" t="n"/>
      <c r="BH94" s="772" t="n"/>
      <c r="BI94" s="772" t="n"/>
      <c r="BJ94" s="772" t="n"/>
      <c r="BK94" s="772" t="n"/>
      <c r="BL94" s="772" t="n"/>
      <c r="BM94" s="772" t="n"/>
      <c r="BN94" s="772" t="n"/>
      <c r="BO94" s="772" t="n"/>
      <c r="BP94" s="772" t="n"/>
      <c r="BQ94" s="772" t="n"/>
      <c r="BR94" s="772" t="n"/>
      <c r="BS94" s="772" t="n"/>
      <c r="BT94" s="772" t="n"/>
      <c r="BU94" s="772" t="n"/>
      <c r="BV94" s="772" t="n"/>
      <c r="BW94" s="772" t="n"/>
      <c r="BX94" s="772" t="n"/>
      <c r="BY94" s="772" t="n"/>
      <c r="BZ94" s="772" t="n"/>
      <c r="CA94" s="772" t="n"/>
      <c r="CB94" s="772" t="n"/>
      <c r="CC94" s="772" t="n"/>
      <c r="CD94" s="772" t="n"/>
      <c r="CE94" s="772" t="n"/>
      <c r="CF94" s="772" t="n"/>
      <c r="CG94" s="772" t="n"/>
      <c r="CH94" s="772" t="n"/>
    </row>
    <row r="95">
      <c r="A95" s="1020" t="n"/>
      <c r="B95" s="772" t="n"/>
      <c r="C95" s="772" t="n"/>
      <c r="D95" s="772" t="n"/>
      <c r="E95" s="772" t="n"/>
      <c r="F95" s="772" t="n"/>
      <c r="G95" s="772" t="n"/>
      <c r="H95" s="772" t="n"/>
      <c r="I95" s="772" t="n"/>
      <c r="J95" s="772" t="n"/>
      <c r="K95" s="772" t="n"/>
      <c r="L95" s="772" t="n"/>
      <c r="M95" s="772" t="n"/>
      <c r="N95" s="772" t="n"/>
      <c r="O95" s="772" t="n"/>
      <c r="P95" s="772" t="n"/>
      <c r="Q95" s="772" t="n"/>
      <c r="R95" s="772" t="n"/>
      <c r="S95" s="772" t="n"/>
      <c r="T95" s="772" t="n"/>
      <c r="U95" s="772" t="n"/>
      <c r="V95" s="772" t="n"/>
      <c r="W95" s="772" t="n"/>
      <c r="X95" s="772" t="n"/>
      <c r="Y95" s="772" t="n"/>
      <c r="Z95" s="772" t="n"/>
      <c r="AA95" s="772" t="n"/>
      <c r="AB95" s="772" t="n"/>
      <c r="AC95" s="772" t="n"/>
      <c r="AD95" s="772" t="n"/>
      <c r="AE95" s="772" t="n"/>
      <c r="AF95" s="772" t="n"/>
      <c r="AG95" s="772" t="n"/>
      <c r="AH95" s="772" t="n"/>
      <c r="AI95" s="772" t="n"/>
      <c r="AJ95" s="772" t="n"/>
      <c r="AK95" s="772" t="n"/>
      <c r="AL95" s="772" t="n"/>
      <c r="AM95" s="772" t="n"/>
      <c r="AN95" s="772" t="n"/>
      <c r="AO95" s="772" t="n"/>
      <c r="AP95" s="772" t="n"/>
      <c r="AQ95" s="772" t="n"/>
      <c r="AR95" s="772" t="n"/>
      <c r="AS95" s="772" t="n"/>
      <c r="AT95" s="772" t="n"/>
      <c r="AU95" s="772" t="n"/>
      <c r="AV95" s="772" t="n"/>
      <c r="AW95" s="772" t="n"/>
      <c r="AX95" s="772" t="n"/>
      <c r="AY95" s="772" t="n"/>
      <c r="AZ95" s="772" t="n"/>
      <c r="BA95" s="772" t="n"/>
      <c r="BB95" s="772" t="n"/>
      <c r="BC95" s="772" t="n"/>
      <c r="BD95" s="772" t="n"/>
      <c r="BE95" s="772" t="n"/>
      <c r="BF95" s="772" t="n"/>
      <c r="BG95" s="772" t="n"/>
      <c r="BH95" s="772" t="n"/>
      <c r="BI95" s="772" t="n"/>
      <c r="BJ95" s="772" t="n"/>
      <c r="BK95" s="772" t="n"/>
      <c r="BL95" s="772" t="n"/>
      <c r="BM95" s="772" t="n"/>
      <c r="BN95" s="772" t="n"/>
      <c r="BO95" s="772" t="n"/>
      <c r="BP95" s="772" t="n"/>
      <c r="BQ95" s="772" t="n"/>
      <c r="BR95" s="772" t="n"/>
      <c r="BS95" s="772" t="n"/>
      <c r="BT95" s="772" t="n"/>
      <c r="BU95" s="772" t="n"/>
      <c r="BV95" s="772" t="n"/>
      <c r="BW95" s="772" t="n"/>
      <c r="BX95" s="772" t="n"/>
      <c r="BY95" s="772" t="n"/>
      <c r="BZ95" s="772" t="n"/>
      <c r="CA95" s="772" t="n"/>
      <c r="CB95" s="772" t="n"/>
      <c r="CC95" s="772" t="n"/>
      <c r="CD95" s="772" t="n"/>
      <c r="CE95" s="772" t="n"/>
      <c r="CF95" s="772" t="n"/>
      <c r="CG95" s="772" t="n"/>
      <c r="CH95" s="772" t="n"/>
    </row>
    <row r="96">
      <c r="A96" s="1020" t="n"/>
      <c r="B96" s="772" t="n"/>
      <c r="C96" s="772" t="n"/>
      <c r="D96" s="772" t="n"/>
      <c r="E96" s="772" t="n"/>
      <c r="F96" s="772" t="n"/>
      <c r="G96" s="772" t="n"/>
      <c r="H96" s="772" t="n"/>
      <c r="I96" s="772" t="n"/>
      <c r="J96" s="772" t="n"/>
      <c r="K96" s="772" t="n"/>
      <c r="L96" s="772" t="n"/>
      <c r="M96" s="772" t="n"/>
      <c r="N96" s="772" t="n"/>
      <c r="O96" s="772" t="n"/>
      <c r="P96" s="772" t="n"/>
      <c r="Q96" s="772" t="n"/>
      <c r="R96" s="772" t="n"/>
      <c r="S96" s="772" t="n"/>
      <c r="T96" s="772" t="n"/>
      <c r="U96" s="772" t="n"/>
      <c r="V96" s="772" t="n"/>
      <c r="W96" s="772" t="n"/>
      <c r="X96" s="772" t="n"/>
      <c r="Y96" s="772" t="n"/>
      <c r="Z96" s="772" t="n"/>
      <c r="AA96" s="772" t="n"/>
      <c r="AB96" s="772" t="n"/>
      <c r="AC96" s="772" t="n"/>
      <c r="AD96" s="772" t="n"/>
      <c r="AE96" s="772" t="n"/>
      <c r="AF96" s="772" t="n"/>
      <c r="AG96" s="772" t="n"/>
      <c r="AH96" s="772" t="n"/>
      <c r="AI96" s="772" t="n"/>
      <c r="AJ96" s="772" t="n"/>
      <c r="AK96" s="772" t="n"/>
      <c r="AL96" s="772" t="n"/>
      <c r="AM96" s="772" t="n"/>
      <c r="AN96" s="772" t="n"/>
      <c r="AO96" s="772" t="n"/>
      <c r="AP96" s="772" t="n"/>
      <c r="AQ96" s="772" t="n"/>
      <c r="AR96" s="772" t="n"/>
      <c r="AS96" s="772" t="n"/>
      <c r="AT96" s="772" t="n"/>
      <c r="AU96" s="772" t="n"/>
      <c r="AV96" s="772" t="n"/>
      <c r="AW96" s="772" t="n"/>
      <c r="AX96" s="772" t="n"/>
      <c r="AY96" s="772" t="n"/>
      <c r="AZ96" s="772" t="n"/>
      <c r="BA96" s="772" t="n"/>
      <c r="BB96" s="772" t="n"/>
      <c r="BC96" s="772" t="n"/>
      <c r="BD96" s="772" t="n"/>
      <c r="BE96" s="772" t="n"/>
      <c r="BF96" s="772" t="n"/>
      <c r="BG96" s="772" t="n"/>
      <c r="BH96" s="772" t="n"/>
      <c r="BI96" s="772" t="n"/>
      <c r="BJ96" s="772" t="n"/>
      <c r="BK96" s="772" t="n"/>
      <c r="BL96" s="772" t="n"/>
      <c r="BM96" s="772" t="n"/>
      <c r="BN96" s="772" t="n"/>
      <c r="BO96" s="772" t="n"/>
      <c r="BP96" s="772" t="n"/>
      <c r="BQ96" s="772" t="n"/>
      <c r="BR96" s="772" t="n"/>
      <c r="BS96" s="772" t="n"/>
      <c r="BT96" s="772" t="n"/>
      <c r="BU96" s="772" t="n"/>
      <c r="BV96" s="772" t="n"/>
      <c r="BW96" s="772" t="n"/>
      <c r="BX96" s="772" t="n"/>
      <c r="BY96" s="772" t="n"/>
      <c r="BZ96" s="772" t="n"/>
      <c r="CA96" s="772" t="n"/>
      <c r="CB96" s="772" t="n"/>
      <c r="CC96" s="772" t="n"/>
      <c r="CD96" s="772" t="n"/>
      <c r="CE96" s="772" t="n"/>
      <c r="CF96" s="772" t="n"/>
      <c r="CG96" s="772" t="n"/>
      <c r="CH96" s="772" t="n"/>
    </row>
    <row r="97">
      <c r="A97" s="1020" t="n"/>
      <c r="B97" s="772" t="n"/>
      <c r="C97" s="772" t="n"/>
      <c r="D97" s="772" t="n"/>
      <c r="E97" s="772" t="n"/>
      <c r="F97" s="772" t="n"/>
      <c r="G97" s="772" t="n"/>
      <c r="H97" s="772" t="n"/>
      <c r="I97" s="772" t="n"/>
      <c r="J97" s="772" t="n"/>
      <c r="K97" s="772" t="n"/>
      <c r="L97" s="772" t="n"/>
      <c r="M97" s="772" t="n"/>
      <c r="N97" s="772" t="n"/>
      <c r="O97" s="772" t="n"/>
      <c r="P97" s="772" t="n"/>
      <c r="Q97" s="772" t="n"/>
      <c r="R97" s="772" t="n"/>
      <c r="S97" s="772" t="n"/>
      <c r="T97" s="772" t="n"/>
      <c r="U97" s="772" t="n"/>
      <c r="V97" s="772" t="n"/>
      <c r="W97" s="772" t="n"/>
      <c r="X97" s="772" t="n"/>
      <c r="Y97" s="772" t="n"/>
      <c r="Z97" s="772" t="n"/>
      <c r="AA97" s="772" t="n"/>
      <c r="AB97" s="772" t="n"/>
      <c r="AC97" s="772" t="n"/>
      <c r="AD97" s="772" t="n"/>
      <c r="AE97" s="772" t="n"/>
      <c r="AF97" s="772" t="n"/>
      <c r="AG97" s="772" t="n"/>
      <c r="AH97" s="772" t="n"/>
      <c r="AI97" s="772" t="n"/>
      <c r="AJ97" s="772" t="n"/>
      <c r="AK97" s="772" t="n"/>
      <c r="AL97" s="772" t="n"/>
      <c r="AM97" s="772" t="n"/>
      <c r="AN97" s="772" t="n"/>
      <c r="AO97" s="772" t="n"/>
      <c r="AP97" s="772" t="n"/>
      <c r="AQ97" s="772" t="n"/>
      <c r="AR97" s="772" t="n"/>
      <c r="AS97" s="772" t="n"/>
      <c r="AT97" s="772" t="n"/>
      <c r="AU97" s="772" t="n"/>
      <c r="AV97" s="772" t="n"/>
      <c r="AW97" s="772" t="n"/>
      <c r="AX97" s="772" t="n"/>
      <c r="AY97" s="772" t="n"/>
      <c r="AZ97" s="772" t="n"/>
      <c r="BA97" s="772" t="n"/>
      <c r="BB97" s="772" t="n"/>
      <c r="BC97" s="772" t="n"/>
      <c r="BD97" s="772" t="n"/>
      <c r="BE97" s="772" t="n"/>
      <c r="BF97" s="772" t="n"/>
      <c r="BG97" s="772" t="n"/>
      <c r="BH97" s="772" t="n"/>
      <c r="BI97" s="772" t="n"/>
      <c r="BJ97" s="772" t="n"/>
      <c r="BK97" s="772" t="n"/>
      <c r="BL97" s="772" t="n"/>
      <c r="BM97" s="772" t="n"/>
      <c r="BN97" s="772" t="n"/>
      <c r="BO97" s="772" t="n"/>
      <c r="BP97" s="772" t="n"/>
      <c r="BQ97" s="772" t="n"/>
      <c r="BR97" s="772" t="n"/>
      <c r="BS97" s="772" t="n"/>
      <c r="BT97" s="772" t="n"/>
      <c r="BU97" s="772" t="n"/>
      <c r="BV97" s="772" t="n"/>
      <c r="BW97" s="772" t="n"/>
      <c r="BX97" s="772" t="n"/>
      <c r="BY97" s="772" t="n"/>
      <c r="BZ97" s="772" t="n"/>
      <c r="CA97" s="772" t="n"/>
      <c r="CB97" s="772" t="n"/>
      <c r="CC97" s="772" t="n"/>
      <c r="CD97" s="772" t="n"/>
      <c r="CE97" s="772" t="n"/>
      <c r="CF97" s="772" t="n"/>
      <c r="CG97" s="772" t="n"/>
      <c r="CH97" s="772" t="n"/>
    </row>
    <row r="98">
      <c r="A98" s="1020" t="n"/>
      <c r="B98" s="772" t="n"/>
      <c r="C98" s="772" t="n"/>
      <c r="D98" s="772" t="n"/>
      <c r="E98" s="772" t="n"/>
      <c r="F98" s="772" t="n"/>
      <c r="G98" s="772" t="n"/>
      <c r="H98" s="772" t="n"/>
      <c r="I98" s="772" t="n"/>
      <c r="J98" s="772" t="n"/>
      <c r="K98" s="772" t="n"/>
      <c r="L98" s="772" t="n"/>
      <c r="M98" s="772" t="n"/>
      <c r="N98" s="772" t="n"/>
      <c r="O98" s="772" t="n"/>
      <c r="P98" s="772" t="n"/>
      <c r="Q98" s="772" t="n"/>
      <c r="R98" s="772" t="n"/>
      <c r="S98" s="772" t="n"/>
      <c r="T98" s="772" t="n"/>
      <c r="U98" s="772" t="n"/>
      <c r="V98" s="772" t="n"/>
      <c r="W98" s="772" t="n"/>
      <c r="X98" s="772" t="n"/>
      <c r="Y98" s="772" t="n"/>
      <c r="Z98" s="772" t="n"/>
      <c r="AA98" s="772" t="n"/>
      <c r="AB98" s="772" t="n"/>
      <c r="AC98" s="772" t="n"/>
      <c r="AD98" s="772" t="n"/>
      <c r="AE98" s="772" t="n"/>
      <c r="AF98" s="772" t="n"/>
      <c r="AG98" s="772" t="n"/>
      <c r="AH98" s="772" t="n"/>
      <c r="AI98" s="772" t="n"/>
      <c r="AJ98" s="772" t="n"/>
      <c r="AK98" s="772" t="n"/>
      <c r="AL98" s="772" t="n"/>
      <c r="AM98" s="772" t="n"/>
      <c r="AN98" s="772" t="n"/>
      <c r="AO98" s="772" t="n"/>
      <c r="AP98" s="772" t="n"/>
      <c r="AQ98" s="772" t="n"/>
      <c r="AR98" s="772" t="n"/>
      <c r="AS98" s="772" t="n"/>
      <c r="AT98" s="772" t="n"/>
      <c r="AU98" s="772" t="n"/>
      <c r="AV98" s="772" t="n"/>
      <c r="AW98" s="772" t="n"/>
      <c r="AX98" s="772" t="n"/>
      <c r="AY98" s="772" t="n"/>
      <c r="AZ98" s="772" t="n"/>
      <c r="BA98" s="772" t="n"/>
      <c r="BB98" s="772" t="n"/>
      <c r="BC98" s="772" t="n"/>
      <c r="BD98" s="772" t="n"/>
      <c r="BE98" s="772" t="n"/>
      <c r="BF98" s="772" t="n"/>
      <c r="BG98" s="772" t="n"/>
      <c r="BH98" s="772" t="n"/>
      <c r="BI98" s="772" t="n"/>
      <c r="BJ98" s="772" t="n"/>
      <c r="BK98" s="772" t="n"/>
      <c r="BL98" s="772" t="n"/>
      <c r="BM98" s="772" t="n"/>
      <c r="BN98" s="772" t="n"/>
      <c r="BO98" s="772" t="n"/>
      <c r="BP98" s="772" t="n"/>
      <c r="BQ98" s="772" t="n"/>
      <c r="BR98" s="772" t="n"/>
      <c r="BS98" s="772" t="n"/>
      <c r="BT98" s="772" t="n"/>
      <c r="BU98" s="772" t="n"/>
      <c r="BV98" s="772" t="n"/>
      <c r="BW98" s="772" t="n"/>
      <c r="BX98" s="772" t="n"/>
      <c r="BY98" s="772" t="n"/>
      <c r="BZ98" s="772" t="n"/>
      <c r="CA98" s="772" t="n"/>
      <c r="CB98" s="772" t="n"/>
      <c r="CC98" s="772" t="n"/>
      <c r="CD98" s="772" t="n"/>
      <c r="CE98" s="772" t="n"/>
      <c r="CF98" s="772" t="n"/>
      <c r="CG98" s="772" t="n"/>
      <c r="CH98" s="772" t="n"/>
    </row>
    <row r="99">
      <c r="A99" s="1020" t="n"/>
      <c r="B99" s="772" t="n"/>
      <c r="C99" s="772" t="n"/>
      <c r="D99" s="772" t="n"/>
      <c r="E99" s="772" t="n"/>
      <c r="F99" s="772" t="n"/>
      <c r="G99" s="772" t="n"/>
      <c r="H99" s="772" t="n"/>
      <c r="I99" s="772" t="n"/>
      <c r="J99" s="772" t="n"/>
      <c r="K99" s="772" t="n"/>
      <c r="L99" s="772" t="n"/>
      <c r="M99" s="772" t="n"/>
      <c r="N99" s="772" t="n"/>
      <c r="O99" s="772" t="n"/>
      <c r="P99" s="772" t="n"/>
      <c r="Q99" s="772" t="n"/>
      <c r="R99" s="772" t="n"/>
      <c r="S99" s="772" t="n"/>
      <c r="T99" s="772" t="n"/>
      <c r="U99" s="772" t="n"/>
      <c r="V99" s="772" t="n"/>
      <c r="W99" s="772" t="n"/>
      <c r="X99" s="772" t="n"/>
      <c r="Y99" s="772" t="n"/>
      <c r="Z99" s="772" t="n"/>
      <c r="AA99" s="772" t="n"/>
      <c r="AB99" s="772" t="n"/>
      <c r="AC99" s="772" t="n"/>
      <c r="AD99" s="772" t="n"/>
      <c r="AE99" s="772" t="n"/>
      <c r="AF99" s="772" t="n"/>
      <c r="AG99" s="772" t="n"/>
      <c r="AH99" s="772" t="n"/>
      <c r="AI99" s="772" t="n"/>
      <c r="AJ99" s="772" t="n"/>
      <c r="AK99" s="772" t="n"/>
      <c r="AL99" s="772" t="n"/>
      <c r="AM99" s="772" t="n"/>
      <c r="AN99" s="772" t="n"/>
      <c r="AO99" s="772" t="n"/>
      <c r="AP99" s="772" t="n"/>
      <c r="AQ99" s="772" t="n"/>
      <c r="AR99" s="772" t="n"/>
      <c r="AS99" s="772" t="n"/>
      <c r="AT99" s="772" t="n"/>
      <c r="AU99" s="772" t="n"/>
      <c r="AV99" s="772" t="n"/>
      <c r="AW99" s="772" t="n"/>
      <c r="AX99" s="772" t="n"/>
      <c r="AY99" s="772" t="n"/>
      <c r="AZ99" s="772" t="n"/>
      <c r="BA99" s="772" t="n"/>
      <c r="BB99" s="772" t="n"/>
      <c r="BC99" s="772" t="n"/>
      <c r="BD99" s="772" t="n"/>
      <c r="BE99" s="772" t="n"/>
      <c r="BF99" s="772" t="n"/>
      <c r="BG99" s="772" t="n"/>
      <c r="BH99" s="772" t="n"/>
      <c r="BI99" s="772" t="n"/>
      <c r="BJ99" s="772" t="n"/>
      <c r="BK99" s="772" t="n"/>
      <c r="BL99" s="772" t="n"/>
      <c r="BM99" s="772" t="n"/>
      <c r="BN99" s="772" t="n"/>
      <c r="BO99" s="772" t="n"/>
      <c r="BP99" s="772" t="n"/>
      <c r="BQ99" s="772" t="n"/>
      <c r="BR99" s="772" t="n"/>
      <c r="BS99" s="772" t="n"/>
      <c r="BT99" s="772" t="n"/>
      <c r="BU99" s="772" t="n"/>
      <c r="BV99" s="772" t="n"/>
      <c r="BW99" s="772" t="n"/>
      <c r="BX99" s="772" t="n"/>
      <c r="BY99" s="772" t="n"/>
      <c r="BZ99" s="772" t="n"/>
      <c r="CA99" s="772" t="n"/>
      <c r="CB99" s="772" t="n"/>
      <c r="CC99" s="772" t="n"/>
      <c r="CD99" s="772" t="n"/>
      <c r="CE99" s="772" t="n"/>
      <c r="CF99" s="772" t="n"/>
      <c r="CG99" s="772" t="n"/>
      <c r="CH99" s="772" t="n"/>
    </row>
    <row r="100">
      <c r="A100" s="1020" t="n"/>
      <c r="B100" s="772" t="n"/>
      <c r="C100" s="772" t="n"/>
      <c r="D100" s="772" t="n"/>
      <c r="E100" s="772" t="n"/>
      <c r="F100" s="772" t="n"/>
      <c r="G100" s="772" t="n"/>
      <c r="H100" s="772" t="n"/>
      <c r="I100" s="772" t="n"/>
      <c r="J100" s="772" t="n"/>
      <c r="K100" s="772" t="n"/>
      <c r="L100" s="772" t="n"/>
      <c r="M100" s="772" t="n"/>
      <c r="N100" s="772" t="n"/>
      <c r="O100" s="772" t="n"/>
      <c r="P100" s="772" t="n"/>
      <c r="Q100" s="772" t="n"/>
      <c r="R100" s="772" t="n"/>
      <c r="S100" s="772" t="n"/>
      <c r="T100" s="772" t="n"/>
      <c r="U100" s="772" t="n"/>
      <c r="V100" s="772" t="n"/>
      <c r="W100" s="772" t="n"/>
      <c r="X100" s="772" t="n"/>
      <c r="Y100" s="772" t="n"/>
      <c r="Z100" s="772" t="n"/>
      <c r="AA100" s="772" t="n"/>
      <c r="AB100" s="772" t="n"/>
      <c r="AC100" s="772" t="n"/>
      <c r="AD100" s="772" t="n"/>
      <c r="AE100" s="772" t="n"/>
      <c r="AF100" s="772" t="n"/>
      <c r="AG100" s="772" t="n"/>
      <c r="AH100" s="772" t="n"/>
      <c r="AI100" s="772" t="n"/>
      <c r="AJ100" s="772" t="n"/>
      <c r="AK100" s="772" t="n"/>
      <c r="AL100" s="772" t="n"/>
      <c r="AM100" s="772" t="n"/>
      <c r="AN100" s="772" t="n"/>
      <c r="AO100" s="772" t="n"/>
      <c r="AP100" s="772" t="n"/>
      <c r="AQ100" s="772" t="n"/>
      <c r="AR100" s="772" t="n"/>
      <c r="AS100" s="772" t="n"/>
      <c r="AT100" s="772" t="n"/>
      <c r="AU100" s="772" t="n"/>
      <c r="AV100" s="772" t="n"/>
      <c r="AW100" s="772" t="n"/>
      <c r="AX100" s="772" t="n"/>
      <c r="AY100" s="772" t="n"/>
      <c r="AZ100" s="772" t="n"/>
      <c r="BA100" s="772" t="n"/>
      <c r="BB100" s="772" t="n"/>
      <c r="BC100" s="772" t="n"/>
      <c r="BD100" s="772" t="n"/>
      <c r="BE100" s="772" t="n"/>
      <c r="BF100" s="772" t="n"/>
      <c r="BG100" s="772" t="n"/>
      <c r="BH100" s="772" t="n"/>
      <c r="BI100" s="772" t="n"/>
      <c r="BJ100" s="772" t="n"/>
      <c r="BK100" s="772" t="n"/>
      <c r="BL100" s="772" t="n"/>
      <c r="BM100" s="772" t="n"/>
      <c r="BN100" s="772" t="n"/>
      <c r="BO100" s="772" t="n"/>
      <c r="BP100" s="772" t="n"/>
      <c r="BQ100" s="772" t="n"/>
      <c r="BR100" s="772" t="n"/>
      <c r="BS100" s="772" t="n"/>
      <c r="BT100" s="772" t="n"/>
      <c r="BU100" s="772" t="n"/>
      <c r="BV100" s="772" t="n"/>
      <c r="BW100" s="772" t="n"/>
      <c r="BX100" s="772" t="n"/>
      <c r="BY100" s="772" t="n"/>
      <c r="BZ100" s="772" t="n"/>
      <c r="CA100" s="772" t="n"/>
      <c r="CB100" s="772" t="n"/>
      <c r="CC100" s="772" t="n"/>
      <c r="CD100" s="772" t="n"/>
      <c r="CE100" s="772" t="n"/>
      <c r="CF100" s="772" t="n"/>
      <c r="CG100" s="772" t="n"/>
      <c r="CH100" s="772" t="n"/>
    </row>
    <row r="101">
      <c r="A101" s="1020" t="n"/>
      <c r="B101" s="772" t="n"/>
      <c r="C101" s="772" t="n"/>
      <c r="D101" s="772" t="n"/>
      <c r="E101" s="772" t="n"/>
      <c r="F101" s="772" t="n"/>
      <c r="G101" s="772" t="n"/>
      <c r="H101" s="772" t="n"/>
      <c r="I101" s="772" t="n"/>
      <c r="J101" s="772" t="n"/>
      <c r="K101" s="772" t="n"/>
      <c r="L101" s="772" t="n"/>
      <c r="M101" s="772" t="n"/>
      <c r="N101" s="772" t="n"/>
      <c r="O101" s="772" t="n"/>
      <c r="P101" s="772" t="n"/>
      <c r="Q101" s="772" t="n"/>
      <c r="R101" s="772" t="n"/>
      <c r="S101" s="772" t="n"/>
      <c r="T101" s="772" t="n"/>
      <c r="U101" s="772" t="n"/>
      <c r="V101" s="772" t="n"/>
      <c r="W101" s="772" t="n"/>
      <c r="X101" s="772" t="n"/>
      <c r="Y101" s="772" t="n"/>
      <c r="Z101" s="772" t="n"/>
      <c r="AA101" s="772" t="n"/>
      <c r="AB101" s="772" t="n"/>
      <c r="AC101" s="772" t="n"/>
      <c r="AD101" s="772" t="n"/>
      <c r="AE101" s="772" t="n"/>
      <c r="AF101" s="772" t="n"/>
      <c r="AG101" s="772" t="n"/>
      <c r="AH101" s="772" t="n"/>
      <c r="AI101" s="772" t="n"/>
      <c r="AJ101" s="772" t="n"/>
      <c r="AK101" s="772" t="n"/>
      <c r="AL101" s="772" t="n"/>
      <c r="AM101" s="772" t="n"/>
      <c r="AN101" s="772" t="n"/>
      <c r="AO101" s="772" t="n"/>
      <c r="AP101" s="772" t="n"/>
      <c r="AQ101" s="772" t="n"/>
      <c r="AR101" s="772" t="n"/>
      <c r="AS101" s="772" t="n"/>
      <c r="AT101" s="772" t="n"/>
      <c r="AU101" s="772" t="n"/>
      <c r="AV101" s="772" t="n"/>
      <c r="AW101" s="772" t="n"/>
      <c r="AX101" s="772" t="n"/>
      <c r="AY101" s="772" t="n"/>
      <c r="AZ101" s="772" t="n"/>
      <c r="BA101" s="772" t="n"/>
      <c r="BB101" s="772" t="n"/>
      <c r="BC101" s="772" t="n"/>
      <c r="BD101" s="772" t="n"/>
      <c r="BE101" s="772" t="n"/>
      <c r="BF101" s="772" t="n"/>
      <c r="BG101" s="772" t="n"/>
      <c r="BH101" s="772" t="n"/>
      <c r="BI101" s="772" t="n"/>
      <c r="BJ101" s="772" t="n"/>
      <c r="BK101" s="772" t="n"/>
      <c r="BL101" s="772" t="n"/>
      <c r="BM101" s="772" t="n"/>
      <c r="BN101" s="772" t="n"/>
      <c r="BO101" s="772" t="n"/>
      <c r="BP101" s="772" t="n"/>
      <c r="BQ101" s="772" t="n"/>
      <c r="BR101" s="772" t="n"/>
      <c r="BS101" s="772" t="n"/>
      <c r="BT101" s="772" t="n"/>
      <c r="BU101" s="772" t="n"/>
      <c r="BV101" s="772" t="n"/>
      <c r="BW101" s="772" t="n"/>
      <c r="BX101" s="772" t="n"/>
      <c r="BY101" s="772" t="n"/>
      <c r="BZ101" s="772" t="n"/>
      <c r="CA101" s="772" t="n"/>
      <c r="CB101" s="772" t="n"/>
      <c r="CC101" s="772" t="n"/>
      <c r="CD101" s="772" t="n"/>
      <c r="CE101" s="772" t="n"/>
      <c r="CF101" s="772" t="n"/>
      <c r="CG101" s="772" t="n"/>
      <c r="CH101" s="772" t="n"/>
    </row>
    <row r="102">
      <c r="A102" s="1020" t="n"/>
      <c r="B102" s="772" t="n"/>
      <c r="C102" s="772" t="n"/>
      <c r="D102" s="772" t="n"/>
      <c r="E102" s="772" t="n"/>
      <c r="F102" s="772" t="n"/>
      <c r="G102" s="772" t="n"/>
      <c r="H102" s="772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2" t="n"/>
      <c r="W102" s="772" t="n"/>
      <c r="X102" s="772" t="n"/>
      <c r="Y102" s="772" t="n"/>
      <c r="Z102" s="772" t="n"/>
      <c r="AA102" s="772" t="n"/>
      <c r="AB102" s="772" t="n"/>
      <c r="AC102" s="772" t="n"/>
      <c r="AD102" s="772" t="n"/>
      <c r="AE102" s="772" t="n"/>
      <c r="AF102" s="772" t="n"/>
      <c r="AG102" s="772" t="n"/>
      <c r="AH102" s="772" t="n"/>
      <c r="AI102" s="772" t="n"/>
      <c r="AJ102" s="772" t="n"/>
      <c r="AK102" s="772" t="n"/>
      <c r="AL102" s="772" t="n"/>
      <c r="AM102" s="772" t="n"/>
      <c r="AN102" s="772" t="n"/>
      <c r="AO102" s="772" t="n"/>
      <c r="AP102" s="772" t="n"/>
      <c r="AQ102" s="772" t="n"/>
      <c r="AR102" s="772" t="n"/>
      <c r="AS102" s="772" t="n"/>
      <c r="AT102" s="772" t="n"/>
      <c r="AU102" s="772" t="n"/>
      <c r="AV102" s="772" t="n"/>
      <c r="AW102" s="772" t="n"/>
      <c r="AX102" s="772" t="n"/>
      <c r="AY102" s="772" t="n"/>
      <c r="AZ102" s="772" t="n"/>
      <c r="BA102" s="772" t="n"/>
      <c r="BB102" s="772" t="n"/>
      <c r="BC102" s="772" t="n"/>
      <c r="BD102" s="772" t="n"/>
      <c r="BE102" s="772" t="n"/>
      <c r="BF102" s="772" t="n"/>
      <c r="BG102" s="772" t="n"/>
      <c r="BH102" s="772" t="n"/>
      <c r="BI102" s="772" t="n"/>
      <c r="BJ102" s="772" t="n"/>
      <c r="BK102" s="772" t="n"/>
      <c r="BL102" s="772" t="n"/>
      <c r="BM102" s="772" t="n"/>
      <c r="BN102" s="772" t="n"/>
      <c r="BO102" s="772" t="n"/>
      <c r="BP102" s="772" t="n"/>
      <c r="BQ102" s="772" t="n"/>
      <c r="BR102" s="772" t="n"/>
      <c r="BS102" s="772" t="n"/>
      <c r="BT102" s="772" t="n"/>
      <c r="BU102" s="772" t="n"/>
      <c r="BV102" s="772" t="n"/>
      <c r="BW102" s="772" t="n"/>
      <c r="BX102" s="772" t="n"/>
      <c r="BY102" s="772" t="n"/>
      <c r="BZ102" s="772" t="n"/>
      <c r="CA102" s="772" t="n"/>
      <c r="CB102" s="772" t="n"/>
      <c r="CC102" s="772" t="n"/>
      <c r="CD102" s="772" t="n"/>
      <c r="CE102" s="772" t="n"/>
      <c r="CF102" s="772" t="n"/>
      <c r="CG102" s="772" t="n"/>
      <c r="CH102" s="772" t="n"/>
    </row>
    <row r="103">
      <c r="A103" s="1020" t="n"/>
      <c r="B103" s="772" t="n"/>
      <c r="C103" s="772" t="n"/>
      <c r="D103" s="772" t="n"/>
      <c r="E103" s="772" t="n"/>
      <c r="F103" s="772" t="n"/>
      <c r="G103" s="772" t="n"/>
      <c r="H103" s="772" t="n"/>
      <c r="I103" s="772" t="n"/>
      <c r="J103" s="772" t="n"/>
      <c r="K103" s="772" t="n"/>
      <c r="L103" s="772" t="n"/>
      <c r="M103" s="772" t="n"/>
      <c r="N103" s="772" t="n"/>
      <c r="O103" s="772" t="n"/>
      <c r="P103" s="772" t="n"/>
      <c r="Q103" s="772" t="n"/>
      <c r="R103" s="772" t="n"/>
      <c r="S103" s="772" t="n"/>
      <c r="T103" s="772" t="n"/>
      <c r="U103" s="772" t="n"/>
      <c r="V103" s="772" t="n"/>
      <c r="W103" s="772" t="n"/>
      <c r="X103" s="772" t="n"/>
      <c r="Y103" s="772" t="n"/>
      <c r="Z103" s="772" t="n"/>
      <c r="AA103" s="772" t="n"/>
      <c r="AB103" s="772" t="n"/>
      <c r="AC103" s="772" t="n"/>
      <c r="AD103" s="772" t="n"/>
      <c r="AE103" s="772" t="n"/>
      <c r="AF103" s="772" t="n"/>
      <c r="AG103" s="772" t="n"/>
      <c r="AH103" s="772" t="n"/>
      <c r="AI103" s="772" t="n"/>
      <c r="AJ103" s="772" t="n"/>
      <c r="AK103" s="772" t="n"/>
      <c r="AL103" s="772" t="n"/>
      <c r="AM103" s="772" t="n"/>
      <c r="AN103" s="772" t="n"/>
      <c r="AO103" s="772" t="n"/>
      <c r="AP103" s="772" t="n"/>
      <c r="AQ103" s="772" t="n"/>
      <c r="AR103" s="772" t="n"/>
      <c r="AS103" s="772" t="n"/>
      <c r="AT103" s="772" t="n"/>
      <c r="AU103" s="772" t="n"/>
      <c r="AV103" s="772" t="n"/>
      <c r="AW103" s="772" t="n"/>
      <c r="AX103" s="772" t="n"/>
      <c r="AY103" s="772" t="n"/>
      <c r="AZ103" s="772" t="n"/>
      <c r="BA103" s="772" t="n"/>
      <c r="BB103" s="772" t="n"/>
      <c r="BC103" s="772" t="n"/>
      <c r="BD103" s="772" t="n"/>
      <c r="BE103" s="772" t="n"/>
      <c r="BF103" s="772" t="n"/>
      <c r="BG103" s="772" t="n"/>
      <c r="BH103" s="772" t="n"/>
      <c r="BI103" s="772" t="n"/>
      <c r="BJ103" s="772" t="n"/>
      <c r="BK103" s="772" t="n"/>
      <c r="BL103" s="772" t="n"/>
      <c r="BM103" s="772" t="n"/>
      <c r="BN103" s="772" t="n"/>
      <c r="BO103" s="772" t="n"/>
      <c r="BP103" s="772" t="n"/>
      <c r="BQ103" s="772" t="n"/>
      <c r="BR103" s="772" t="n"/>
      <c r="BS103" s="772" t="n"/>
      <c r="BT103" s="772" t="n"/>
      <c r="BU103" s="772" t="n"/>
      <c r="BV103" s="772" t="n"/>
      <c r="BW103" s="772" t="n"/>
      <c r="BX103" s="772" t="n"/>
      <c r="BY103" s="772" t="n"/>
      <c r="BZ103" s="772" t="n"/>
      <c r="CA103" s="772" t="n"/>
      <c r="CB103" s="772" t="n"/>
      <c r="CC103" s="772" t="n"/>
      <c r="CD103" s="772" t="n"/>
      <c r="CE103" s="772" t="n"/>
      <c r="CF103" s="772" t="n"/>
      <c r="CG103" s="772" t="n"/>
      <c r="CH103" s="772" t="n"/>
    </row>
    <row r="104">
      <c r="A104" s="1020" t="n"/>
      <c r="B104" s="772" t="n"/>
      <c r="C104" s="772" t="n"/>
      <c r="D104" s="772" t="n"/>
      <c r="E104" s="772" t="n"/>
      <c r="F104" s="772" t="n"/>
      <c r="G104" s="772" t="n"/>
      <c r="H104" s="772" t="n"/>
      <c r="I104" s="772" t="n"/>
      <c r="J104" s="772" t="n"/>
      <c r="K104" s="772" t="n"/>
      <c r="L104" s="772" t="n"/>
      <c r="M104" s="772" t="n"/>
      <c r="N104" s="772" t="n"/>
      <c r="O104" s="772" t="n"/>
      <c r="P104" s="772" t="n"/>
      <c r="Q104" s="772" t="n"/>
      <c r="R104" s="772" t="n"/>
      <c r="S104" s="772" t="n"/>
      <c r="T104" s="772" t="n"/>
      <c r="U104" s="772" t="n"/>
      <c r="V104" s="772" t="n"/>
      <c r="W104" s="772" t="n"/>
      <c r="X104" s="772" t="n"/>
      <c r="Y104" s="772" t="n"/>
      <c r="Z104" s="772" t="n"/>
      <c r="AA104" s="772" t="n"/>
      <c r="AB104" s="772" t="n"/>
      <c r="AC104" s="772" t="n"/>
      <c r="AD104" s="772" t="n"/>
      <c r="AE104" s="772" t="n"/>
      <c r="AF104" s="772" t="n"/>
      <c r="AG104" s="772" t="n"/>
      <c r="AH104" s="772" t="n"/>
      <c r="AI104" s="772" t="n"/>
      <c r="AJ104" s="772" t="n"/>
      <c r="AK104" s="772" t="n"/>
      <c r="AL104" s="772" t="n"/>
      <c r="AM104" s="772" t="n"/>
      <c r="AN104" s="772" t="n"/>
      <c r="AO104" s="772" t="n"/>
      <c r="AP104" s="772" t="n"/>
      <c r="AQ104" s="772" t="n"/>
      <c r="AR104" s="772" t="n"/>
      <c r="AS104" s="772" t="n"/>
      <c r="AT104" s="772" t="n"/>
      <c r="AU104" s="772" t="n"/>
      <c r="AV104" s="772" t="n"/>
      <c r="AW104" s="772" t="n"/>
      <c r="AX104" s="772" t="n"/>
      <c r="AY104" s="772" t="n"/>
      <c r="AZ104" s="772" t="n"/>
      <c r="BA104" s="772" t="n"/>
      <c r="BB104" s="772" t="n"/>
      <c r="BC104" s="772" t="n"/>
      <c r="BD104" s="772" t="n"/>
      <c r="BE104" s="772" t="n"/>
      <c r="BF104" s="772" t="n"/>
      <c r="BG104" s="772" t="n"/>
      <c r="BH104" s="772" t="n"/>
      <c r="BI104" s="772" t="n"/>
      <c r="BJ104" s="772" t="n"/>
      <c r="BK104" s="772" t="n"/>
      <c r="BL104" s="772" t="n"/>
      <c r="BM104" s="772" t="n"/>
      <c r="BN104" s="772" t="n"/>
      <c r="BO104" s="772" t="n"/>
      <c r="BP104" s="772" t="n"/>
      <c r="BQ104" s="772" t="n"/>
      <c r="BR104" s="772" t="n"/>
      <c r="BS104" s="772" t="n"/>
      <c r="BT104" s="772" t="n"/>
      <c r="BU104" s="772" t="n"/>
      <c r="BV104" s="772" t="n"/>
      <c r="BW104" s="772" t="n"/>
      <c r="BX104" s="772" t="n"/>
      <c r="BY104" s="772" t="n"/>
      <c r="BZ104" s="772" t="n"/>
      <c r="CA104" s="772" t="n"/>
      <c r="CB104" s="772" t="n"/>
      <c r="CC104" s="772" t="n"/>
      <c r="CD104" s="772" t="n"/>
      <c r="CE104" s="772" t="n"/>
      <c r="CF104" s="772" t="n"/>
      <c r="CG104" s="772" t="n"/>
      <c r="CH104" s="772" t="n"/>
    </row>
    <row r="105">
      <c r="A105" s="1020" t="n"/>
      <c r="B105" s="772" t="n"/>
      <c r="C105" s="772" t="n"/>
      <c r="D105" s="772" t="n"/>
      <c r="E105" s="772" t="n"/>
      <c r="F105" s="772" t="n"/>
      <c r="G105" s="772" t="n"/>
      <c r="H105" s="772" t="n"/>
      <c r="I105" s="772" t="n"/>
      <c r="J105" s="772" t="n"/>
      <c r="K105" s="772" t="n"/>
      <c r="L105" s="772" t="n"/>
      <c r="M105" s="772" t="n"/>
      <c r="N105" s="772" t="n"/>
      <c r="O105" s="772" t="n"/>
      <c r="P105" s="772" t="n"/>
      <c r="Q105" s="772" t="n"/>
      <c r="R105" s="772" t="n"/>
      <c r="S105" s="772" t="n"/>
      <c r="T105" s="772" t="n"/>
      <c r="U105" s="772" t="n"/>
      <c r="V105" s="772" t="n"/>
      <c r="W105" s="772" t="n"/>
      <c r="X105" s="772" t="n"/>
      <c r="Y105" s="772" t="n"/>
      <c r="Z105" s="772" t="n"/>
      <c r="AA105" s="772" t="n"/>
      <c r="AB105" s="772" t="n"/>
      <c r="AC105" s="772" t="n"/>
      <c r="AD105" s="772" t="n"/>
      <c r="AE105" s="772" t="n"/>
      <c r="AF105" s="772" t="n"/>
      <c r="AG105" s="772" t="n"/>
      <c r="AH105" s="772" t="n"/>
      <c r="AI105" s="772" t="n"/>
      <c r="AJ105" s="772" t="n"/>
      <c r="AK105" s="772" t="n"/>
      <c r="AL105" s="772" t="n"/>
      <c r="AM105" s="772" t="n"/>
      <c r="AN105" s="772" t="n"/>
      <c r="AO105" s="772" t="n"/>
      <c r="AP105" s="772" t="n"/>
      <c r="AQ105" s="772" t="n"/>
      <c r="AR105" s="772" t="n"/>
      <c r="AS105" s="772" t="n"/>
      <c r="AT105" s="772" t="n"/>
      <c r="AU105" s="772" t="n"/>
      <c r="AV105" s="772" t="n"/>
      <c r="AW105" s="772" t="n"/>
      <c r="AX105" s="772" t="n"/>
      <c r="AY105" s="772" t="n"/>
      <c r="AZ105" s="772" t="n"/>
      <c r="BA105" s="772" t="n"/>
      <c r="BB105" s="772" t="n"/>
      <c r="BC105" s="772" t="n"/>
      <c r="BD105" s="772" t="n"/>
      <c r="BE105" s="772" t="n"/>
      <c r="BF105" s="772" t="n"/>
      <c r="BG105" s="772" t="n"/>
      <c r="BH105" s="772" t="n"/>
      <c r="BI105" s="772" t="n"/>
      <c r="BJ105" s="772" t="n"/>
      <c r="BK105" s="772" t="n"/>
      <c r="BL105" s="772" t="n"/>
      <c r="BM105" s="772" t="n"/>
      <c r="BN105" s="772" t="n"/>
      <c r="BO105" s="772" t="n"/>
      <c r="BP105" s="772" t="n"/>
      <c r="BQ105" s="772" t="n"/>
      <c r="BR105" s="772" t="n"/>
      <c r="BS105" s="772" t="n"/>
      <c r="BT105" s="772" t="n"/>
      <c r="BU105" s="772" t="n"/>
      <c r="BV105" s="772" t="n"/>
      <c r="BW105" s="772" t="n"/>
      <c r="BX105" s="772" t="n"/>
      <c r="BY105" s="772" t="n"/>
      <c r="BZ105" s="772" t="n"/>
      <c r="CA105" s="772" t="n"/>
      <c r="CB105" s="772" t="n"/>
      <c r="CC105" s="772" t="n"/>
      <c r="CD105" s="772" t="n"/>
      <c r="CE105" s="772" t="n"/>
      <c r="CF105" s="772" t="n"/>
      <c r="CG105" s="772" t="n"/>
      <c r="CH105" s="772" t="n"/>
    </row>
    <row r="106">
      <c r="A106" s="1020" t="n"/>
      <c r="B106" s="772" t="n"/>
      <c r="C106" s="772" t="n"/>
      <c r="D106" s="772" t="n"/>
      <c r="E106" s="772" t="n"/>
      <c r="F106" s="772" t="n"/>
      <c r="G106" s="772" t="n"/>
      <c r="H106" s="772" t="n"/>
      <c r="I106" s="772" t="n"/>
      <c r="J106" s="772" t="n"/>
      <c r="K106" s="772" t="n"/>
      <c r="L106" s="772" t="n"/>
      <c r="M106" s="772" t="n"/>
      <c r="N106" s="772" t="n"/>
      <c r="O106" s="772" t="n"/>
      <c r="P106" s="772" t="n"/>
      <c r="Q106" s="772" t="n"/>
      <c r="R106" s="772" t="n"/>
      <c r="S106" s="772" t="n"/>
      <c r="T106" s="772" t="n"/>
      <c r="U106" s="772" t="n"/>
      <c r="V106" s="772" t="n"/>
      <c r="W106" s="772" t="n"/>
      <c r="X106" s="772" t="n"/>
      <c r="Y106" s="772" t="n"/>
      <c r="Z106" s="772" t="n"/>
      <c r="AA106" s="772" t="n"/>
      <c r="AB106" s="772" t="n"/>
      <c r="AC106" s="772" t="n"/>
      <c r="AD106" s="772" t="n"/>
      <c r="AE106" s="772" t="n"/>
      <c r="AF106" s="772" t="n"/>
      <c r="AG106" s="772" t="n"/>
      <c r="AH106" s="772" t="n"/>
      <c r="AI106" s="772" t="n"/>
      <c r="AJ106" s="772" t="n"/>
      <c r="AK106" s="772" t="n"/>
      <c r="AL106" s="772" t="n"/>
      <c r="AM106" s="772" t="n"/>
      <c r="AN106" s="772" t="n"/>
      <c r="AO106" s="772" t="n"/>
      <c r="AP106" s="772" t="n"/>
      <c r="AQ106" s="772" t="n"/>
      <c r="AR106" s="772" t="n"/>
      <c r="AS106" s="772" t="n"/>
      <c r="AT106" s="772" t="n"/>
      <c r="AU106" s="772" t="n"/>
      <c r="AV106" s="772" t="n"/>
      <c r="AW106" s="772" t="n"/>
      <c r="AX106" s="772" t="n"/>
      <c r="AY106" s="772" t="n"/>
      <c r="AZ106" s="772" t="n"/>
      <c r="BA106" s="772" t="n"/>
      <c r="BB106" s="772" t="n"/>
      <c r="BC106" s="772" t="n"/>
      <c r="BD106" s="772" t="n"/>
      <c r="BE106" s="772" t="n"/>
      <c r="BF106" s="772" t="n"/>
      <c r="BG106" s="772" t="n"/>
      <c r="BH106" s="772" t="n"/>
      <c r="BI106" s="772" t="n"/>
      <c r="BJ106" s="772" t="n"/>
      <c r="BK106" s="772" t="n"/>
      <c r="BL106" s="772" t="n"/>
      <c r="BM106" s="772" t="n"/>
      <c r="BN106" s="772" t="n"/>
      <c r="BO106" s="772" t="n"/>
      <c r="BP106" s="772" t="n"/>
      <c r="BQ106" s="772" t="n"/>
      <c r="BR106" s="772" t="n"/>
      <c r="BS106" s="772" t="n"/>
      <c r="BT106" s="772" t="n"/>
      <c r="BU106" s="772" t="n"/>
      <c r="BV106" s="772" t="n"/>
      <c r="BW106" s="772" t="n"/>
      <c r="BX106" s="772" t="n"/>
      <c r="BY106" s="772" t="n"/>
      <c r="BZ106" s="772" t="n"/>
      <c r="CA106" s="772" t="n"/>
      <c r="CB106" s="772" t="n"/>
      <c r="CC106" s="772" t="n"/>
      <c r="CD106" s="772" t="n"/>
      <c r="CE106" s="772" t="n"/>
      <c r="CF106" s="772" t="n"/>
      <c r="CG106" s="772" t="n"/>
      <c r="CH106" s="772" t="n"/>
    </row>
    <row r="107">
      <c r="A107" s="1020" t="n"/>
      <c r="B107" s="772" t="n"/>
      <c r="C107" s="772" t="n"/>
      <c r="D107" s="772" t="n"/>
      <c r="E107" s="772" t="n"/>
      <c r="F107" s="772" t="n"/>
      <c r="G107" s="772" t="n"/>
      <c r="H107" s="772" t="n"/>
      <c r="I107" s="772" t="n"/>
      <c r="J107" s="772" t="n"/>
      <c r="K107" s="772" t="n"/>
      <c r="L107" s="772" t="n"/>
      <c r="M107" s="772" t="n"/>
      <c r="N107" s="772" t="n"/>
      <c r="O107" s="772" t="n"/>
      <c r="P107" s="772" t="n"/>
      <c r="Q107" s="772" t="n"/>
      <c r="R107" s="772" t="n"/>
      <c r="S107" s="772" t="n"/>
      <c r="T107" s="772" t="n"/>
      <c r="U107" s="772" t="n"/>
      <c r="V107" s="772" t="n"/>
      <c r="W107" s="772" t="n"/>
      <c r="X107" s="772" t="n"/>
      <c r="Y107" s="772" t="n"/>
      <c r="Z107" s="772" t="n"/>
      <c r="AA107" s="772" t="n"/>
      <c r="AB107" s="772" t="n"/>
      <c r="AC107" s="772" t="n"/>
      <c r="AD107" s="772" t="n"/>
      <c r="AE107" s="772" t="n"/>
      <c r="AF107" s="772" t="n"/>
      <c r="AG107" s="772" t="n"/>
      <c r="AH107" s="772" t="n"/>
      <c r="AI107" s="772" t="n"/>
      <c r="AJ107" s="772" t="n"/>
      <c r="AK107" s="772" t="n"/>
      <c r="AL107" s="772" t="n"/>
      <c r="AM107" s="772" t="n"/>
      <c r="AN107" s="772" t="n"/>
      <c r="AO107" s="772" t="n"/>
      <c r="AP107" s="772" t="n"/>
      <c r="AQ107" s="772" t="n"/>
      <c r="AR107" s="772" t="n"/>
      <c r="AS107" s="772" t="n"/>
      <c r="AT107" s="772" t="n"/>
      <c r="AU107" s="772" t="n"/>
      <c r="AV107" s="772" t="n"/>
      <c r="AW107" s="772" t="n"/>
      <c r="AX107" s="772" t="n"/>
      <c r="AY107" s="772" t="n"/>
      <c r="AZ107" s="772" t="n"/>
      <c r="BA107" s="772" t="n"/>
      <c r="BB107" s="772" t="n"/>
      <c r="BC107" s="772" t="n"/>
      <c r="BD107" s="772" t="n"/>
      <c r="BE107" s="772" t="n"/>
      <c r="BF107" s="772" t="n"/>
      <c r="BG107" s="772" t="n"/>
      <c r="BH107" s="772" t="n"/>
      <c r="BI107" s="772" t="n"/>
      <c r="BJ107" s="772" t="n"/>
      <c r="BK107" s="772" t="n"/>
      <c r="BL107" s="772" t="n"/>
      <c r="BM107" s="772" t="n"/>
      <c r="BN107" s="772" t="n"/>
      <c r="BO107" s="772" t="n"/>
      <c r="BP107" s="772" t="n"/>
      <c r="BQ107" s="772" t="n"/>
      <c r="BR107" s="772" t="n"/>
      <c r="BS107" s="772" t="n"/>
      <c r="BT107" s="772" t="n"/>
      <c r="BU107" s="772" t="n"/>
      <c r="BV107" s="772" t="n"/>
      <c r="BW107" s="772" t="n"/>
      <c r="BX107" s="772" t="n"/>
      <c r="BY107" s="772" t="n"/>
      <c r="BZ107" s="772" t="n"/>
      <c r="CA107" s="772" t="n"/>
      <c r="CB107" s="772" t="n"/>
      <c r="CC107" s="772" t="n"/>
      <c r="CD107" s="772" t="n"/>
      <c r="CE107" s="772" t="n"/>
      <c r="CF107" s="772" t="n"/>
      <c r="CG107" s="772" t="n"/>
      <c r="CH107" s="772" t="n"/>
    </row>
    <row r="108">
      <c r="A108" s="1020" t="n"/>
      <c r="B108" s="772" t="n"/>
      <c r="C108" s="772" t="n"/>
      <c r="D108" s="772" t="n"/>
      <c r="E108" s="772" t="n"/>
      <c r="F108" s="772" t="n"/>
      <c r="G108" s="772" t="n"/>
      <c r="H108" s="772" t="n"/>
      <c r="I108" s="772" t="n"/>
      <c r="J108" s="772" t="n"/>
      <c r="K108" s="772" t="n"/>
      <c r="L108" s="772" t="n"/>
      <c r="M108" s="772" t="n"/>
      <c r="N108" s="772" t="n"/>
      <c r="O108" s="772" t="n"/>
      <c r="P108" s="772" t="n"/>
      <c r="Q108" s="772" t="n"/>
      <c r="R108" s="772" t="n"/>
      <c r="S108" s="772" t="n"/>
      <c r="T108" s="772" t="n"/>
      <c r="U108" s="772" t="n"/>
      <c r="V108" s="772" t="n"/>
      <c r="W108" s="772" t="n"/>
      <c r="X108" s="772" t="n"/>
      <c r="Y108" s="772" t="n"/>
      <c r="Z108" s="772" t="n"/>
      <c r="AA108" s="772" t="n"/>
      <c r="AB108" s="772" t="n"/>
      <c r="AC108" s="772" t="n"/>
      <c r="AD108" s="772" t="n"/>
      <c r="AE108" s="772" t="n"/>
      <c r="AF108" s="772" t="n"/>
      <c r="AG108" s="772" t="n"/>
      <c r="AH108" s="772" t="n"/>
      <c r="AI108" s="772" t="n"/>
      <c r="AJ108" s="772" t="n"/>
      <c r="AK108" s="772" t="n"/>
      <c r="AL108" s="772" t="n"/>
      <c r="AM108" s="772" t="n"/>
      <c r="AN108" s="772" t="n"/>
      <c r="AO108" s="772" t="n"/>
      <c r="AP108" s="772" t="n"/>
      <c r="AQ108" s="772" t="n"/>
      <c r="AR108" s="772" t="n"/>
      <c r="AS108" s="772" t="n"/>
      <c r="AT108" s="772" t="n"/>
      <c r="AU108" s="772" t="n"/>
      <c r="AV108" s="772" t="n"/>
      <c r="AW108" s="772" t="n"/>
      <c r="AX108" s="772" t="n"/>
      <c r="AY108" s="772" t="n"/>
      <c r="AZ108" s="772" t="n"/>
      <c r="BA108" s="772" t="n"/>
      <c r="BB108" s="772" t="n"/>
      <c r="BC108" s="772" t="n"/>
      <c r="BD108" s="772" t="n"/>
      <c r="BE108" s="772" t="n"/>
      <c r="BF108" s="772" t="n"/>
      <c r="BG108" s="772" t="n"/>
      <c r="BH108" s="772" t="n"/>
      <c r="BI108" s="772" t="n"/>
      <c r="BJ108" s="772" t="n"/>
      <c r="BK108" s="772" t="n"/>
      <c r="BL108" s="772" t="n"/>
      <c r="BM108" s="772" t="n"/>
      <c r="BN108" s="772" t="n"/>
      <c r="BO108" s="772" t="n"/>
      <c r="BP108" s="772" t="n"/>
      <c r="BQ108" s="772" t="n"/>
      <c r="BR108" s="772" t="n"/>
      <c r="BS108" s="772" t="n"/>
      <c r="BT108" s="772" t="n"/>
      <c r="BU108" s="772" t="n"/>
      <c r="BV108" s="772" t="n"/>
      <c r="BW108" s="772" t="n"/>
      <c r="BX108" s="772" t="n"/>
      <c r="BY108" s="772" t="n"/>
      <c r="BZ108" s="772" t="n"/>
      <c r="CA108" s="772" t="n"/>
      <c r="CB108" s="772" t="n"/>
      <c r="CC108" s="772" t="n"/>
      <c r="CD108" s="772" t="n"/>
      <c r="CE108" s="772" t="n"/>
      <c r="CF108" s="772" t="n"/>
      <c r="CG108" s="772" t="n"/>
      <c r="CH108" s="772" t="n"/>
    </row>
    <row r="109">
      <c r="A109" s="1020" t="n"/>
      <c r="B109" s="772" t="n"/>
      <c r="C109" s="772" t="n"/>
      <c r="D109" s="772" t="n"/>
      <c r="E109" s="772" t="n"/>
      <c r="F109" s="772" t="n"/>
      <c r="G109" s="772" t="n"/>
      <c r="H109" s="772" t="n"/>
      <c r="I109" s="772" t="n"/>
      <c r="J109" s="772" t="n"/>
      <c r="K109" s="772" t="n"/>
      <c r="L109" s="772" t="n"/>
      <c r="M109" s="772" t="n"/>
      <c r="N109" s="772" t="n"/>
      <c r="O109" s="772" t="n"/>
      <c r="P109" s="772" t="n"/>
      <c r="Q109" s="772" t="n"/>
      <c r="R109" s="772" t="n"/>
      <c r="S109" s="772" t="n"/>
      <c r="T109" s="772" t="n"/>
      <c r="U109" s="772" t="n"/>
      <c r="V109" s="772" t="n"/>
      <c r="W109" s="772" t="n"/>
      <c r="X109" s="772" t="n"/>
      <c r="Y109" s="772" t="n"/>
      <c r="Z109" s="772" t="n"/>
      <c r="AA109" s="772" t="n"/>
      <c r="AB109" s="772" t="n"/>
      <c r="AC109" s="772" t="n"/>
      <c r="AD109" s="772" t="n"/>
      <c r="AE109" s="772" t="n"/>
      <c r="AF109" s="772" t="n"/>
      <c r="AG109" s="772" t="n"/>
      <c r="AH109" s="772" t="n"/>
      <c r="AI109" s="772" t="n"/>
      <c r="AJ109" s="772" t="n"/>
      <c r="AK109" s="772" t="n"/>
      <c r="AL109" s="772" t="n"/>
      <c r="AM109" s="772" t="n"/>
      <c r="AN109" s="772" t="n"/>
      <c r="AO109" s="772" t="n"/>
      <c r="AP109" s="772" t="n"/>
      <c r="AQ109" s="772" t="n"/>
      <c r="AR109" s="772" t="n"/>
      <c r="AS109" s="772" t="n"/>
      <c r="AT109" s="772" t="n"/>
      <c r="AU109" s="772" t="n"/>
      <c r="AV109" s="772" t="n"/>
      <c r="AW109" s="772" t="n"/>
      <c r="AX109" s="772" t="n"/>
      <c r="AY109" s="772" t="n"/>
      <c r="AZ109" s="772" t="n"/>
      <c r="BA109" s="772" t="n"/>
      <c r="BB109" s="772" t="n"/>
      <c r="BC109" s="772" t="n"/>
      <c r="BD109" s="772" t="n"/>
      <c r="BE109" s="772" t="n"/>
      <c r="BF109" s="772" t="n"/>
      <c r="BG109" s="772" t="n"/>
      <c r="BH109" s="772" t="n"/>
      <c r="BI109" s="772" t="n"/>
      <c r="BJ109" s="772" t="n"/>
      <c r="BK109" s="772" t="n"/>
      <c r="BL109" s="772" t="n"/>
      <c r="BM109" s="772" t="n"/>
      <c r="BN109" s="772" t="n"/>
      <c r="BO109" s="772" t="n"/>
      <c r="BP109" s="772" t="n"/>
      <c r="BQ109" s="772" t="n"/>
      <c r="BR109" s="772" t="n"/>
      <c r="BS109" s="772" t="n"/>
      <c r="BT109" s="772" t="n"/>
      <c r="BU109" s="772" t="n"/>
      <c r="BV109" s="772" t="n"/>
      <c r="BW109" s="772" t="n"/>
      <c r="BX109" s="772" t="n"/>
      <c r="BY109" s="772" t="n"/>
      <c r="BZ109" s="772" t="n"/>
      <c r="CA109" s="772" t="n"/>
      <c r="CB109" s="772" t="n"/>
      <c r="CC109" s="772" t="n"/>
      <c r="CD109" s="772" t="n"/>
      <c r="CE109" s="772" t="n"/>
      <c r="CF109" s="772" t="n"/>
      <c r="CG109" s="772" t="n"/>
      <c r="CH109" s="772" t="n"/>
    </row>
    <row r="110">
      <c r="A110" s="1020" t="n"/>
      <c r="B110" s="772" t="n"/>
      <c r="C110" s="772" t="n"/>
      <c r="D110" s="772" t="n"/>
      <c r="E110" s="772" t="n"/>
      <c r="F110" s="772" t="n"/>
      <c r="G110" s="772" t="n"/>
      <c r="H110" s="772" t="n"/>
      <c r="I110" s="772" t="n"/>
      <c r="J110" s="772" t="n"/>
      <c r="K110" s="772" t="n"/>
      <c r="L110" s="772" t="n"/>
      <c r="M110" s="772" t="n"/>
      <c r="N110" s="772" t="n"/>
      <c r="O110" s="772" t="n"/>
      <c r="P110" s="772" t="n"/>
      <c r="Q110" s="772" t="n"/>
      <c r="R110" s="772" t="n"/>
      <c r="S110" s="772" t="n"/>
      <c r="T110" s="772" t="n"/>
      <c r="U110" s="772" t="n"/>
      <c r="V110" s="772" t="n"/>
      <c r="W110" s="772" t="n"/>
      <c r="X110" s="772" t="n"/>
      <c r="Y110" s="772" t="n"/>
      <c r="Z110" s="772" t="n"/>
      <c r="AA110" s="772" t="n"/>
      <c r="AB110" s="772" t="n"/>
      <c r="AC110" s="772" t="n"/>
      <c r="AD110" s="772" t="n"/>
      <c r="AE110" s="772" t="n"/>
      <c r="AF110" s="772" t="n"/>
      <c r="AG110" s="772" t="n"/>
      <c r="AH110" s="772" t="n"/>
      <c r="AI110" s="772" t="n"/>
      <c r="AJ110" s="772" t="n"/>
      <c r="AK110" s="772" t="n"/>
      <c r="AL110" s="772" t="n"/>
      <c r="AM110" s="772" t="n"/>
      <c r="AN110" s="772" t="n"/>
      <c r="AO110" s="772" t="n"/>
      <c r="AP110" s="772" t="n"/>
      <c r="AQ110" s="772" t="n"/>
      <c r="AR110" s="772" t="n"/>
      <c r="AS110" s="772" t="n"/>
      <c r="AT110" s="772" t="n"/>
      <c r="AU110" s="772" t="n"/>
      <c r="AV110" s="772" t="n"/>
      <c r="AW110" s="772" t="n"/>
      <c r="AX110" s="772" t="n"/>
      <c r="AY110" s="772" t="n"/>
      <c r="AZ110" s="772" t="n"/>
      <c r="BA110" s="772" t="n"/>
      <c r="BB110" s="772" t="n"/>
      <c r="BC110" s="772" t="n"/>
      <c r="BD110" s="772" t="n"/>
      <c r="BE110" s="772" t="n"/>
      <c r="BF110" s="772" t="n"/>
      <c r="BG110" s="772" t="n"/>
      <c r="BH110" s="772" t="n"/>
      <c r="BI110" s="772" t="n"/>
      <c r="BJ110" s="772" t="n"/>
      <c r="BK110" s="772" t="n"/>
      <c r="BL110" s="772" t="n"/>
      <c r="BM110" s="772" t="n"/>
      <c r="BN110" s="772" t="n"/>
      <c r="BO110" s="772" t="n"/>
      <c r="BP110" s="772" t="n"/>
      <c r="BQ110" s="772" t="n"/>
      <c r="BR110" s="772" t="n"/>
      <c r="BS110" s="772" t="n"/>
      <c r="BT110" s="772" t="n"/>
      <c r="BU110" s="772" t="n"/>
      <c r="BV110" s="772" t="n"/>
      <c r="BW110" s="772" t="n"/>
      <c r="BX110" s="772" t="n"/>
      <c r="BY110" s="772" t="n"/>
      <c r="BZ110" s="772" t="n"/>
      <c r="CA110" s="772" t="n"/>
      <c r="CB110" s="772" t="n"/>
      <c r="CC110" s="772" t="n"/>
      <c r="CD110" s="772" t="n"/>
      <c r="CE110" s="772" t="n"/>
      <c r="CF110" s="772" t="n"/>
      <c r="CG110" s="772" t="n"/>
      <c r="CH110" s="772" t="n"/>
    </row>
    <row r="111">
      <c r="A111" s="1020" t="n"/>
      <c r="B111" s="772" t="n"/>
      <c r="C111" s="772" t="n"/>
      <c r="D111" s="772" t="n"/>
      <c r="E111" s="772" t="n"/>
      <c r="F111" s="772" t="n"/>
      <c r="G111" s="772" t="n"/>
      <c r="H111" s="772" t="n"/>
      <c r="I111" s="772" t="n"/>
      <c r="J111" s="772" t="n"/>
      <c r="K111" s="772" t="n"/>
      <c r="L111" s="772" t="n"/>
      <c r="M111" s="772" t="n"/>
      <c r="N111" s="772" t="n"/>
      <c r="O111" s="772" t="n"/>
      <c r="P111" s="772" t="n"/>
      <c r="Q111" s="772" t="n"/>
      <c r="R111" s="772" t="n"/>
      <c r="S111" s="772" t="n"/>
      <c r="T111" s="772" t="n"/>
      <c r="U111" s="772" t="n"/>
      <c r="V111" s="772" t="n"/>
      <c r="W111" s="772" t="n"/>
      <c r="X111" s="772" t="n"/>
      <c r="Y111" s="772" t="n"/>
      <c r="Z111" s="772" t="n"/>
      <c r="AA111" s="772" t="n"/>
      <c r="AB111" s="772" t="n"/>
      <c r="AC111" s="772" t="n"/>
      <c r="AD111" s="772" t="n"/>
      <c r="AE111" s="772" t="n"/>
      <c r="AF111" s="772" t="n"/>
      <c r="AG111" s="772" t="n"/>
      <c r="AH111" s="772" t="n"/>
      <c r="AI111" s="772" t="n"/>
      <c r="AJ111" s="772" t="n"/>
      <c r="AK111" s="772" t="n"/>
      <c r="AL111" s="772" t="n"/>
      <c r="AM111" s="772" t="n"/>
      <c r="AN111" s="772" t="n"/>
      <c r="AO111" s="772" t="n"/>
      <c r="AP111" s="772" t="n"/>
      <c r="AQ111" s="772" t="n"/>
      <c r="AR111" s="772" t="n"/>
      <c r="AS111" s="772" t="n"/>
      <c r="AT111" s="772" t="n"/>
      <c r="AU111" s="772" t="n"/>
      <c r="AV111" s="772" t="n"/>
      <c r="AW111" s="772" t="n"/>
      <c r="AX111" s="772" t="n"/>
      <c r="AY111" s="772" t="n"/>
      <c r="AZ111" s="772" t="n"/>
      <c r="BA111" s="772" t="n"/>
      <c r="BB111" s="772" t="n"/>
      <c r="BC111" s="772" t="n"/>
      <c r="BD111" s="772" t="n"/>
      <c r="BE111" s="772" t="n"/>
      <c r="BF111" s="772" t="n"/>
      <c r="BG111" s="772" t="n"/>
      <c r="BH111" s="772" t="n"/>
      <c r="BI111" s="772" t="n"/>
      <c r="BJ111" s="772" t="n"/>
      <c r="BK111" s="772" t="n"/>
      <c r="BL111" s="772" t="n"/>
      <c r="BM111" s="772" t="n"/>
      <c r="BN111" s="772" t="n"/>
      <c r="BO111" s="772" t="n"/>
      <c r="BP111" s="772" t="n"/>
      <c r="BQ111" s="772" t="n"/>
      <c r="BR111" s="772" t="n"/>
      <c r="BS111" s="772" t="n"/>
      <c r="BT111" s="772" t="n"/>
      <c r="BU111" s="772" t="n"/>
      <c r="BV111" s="772" t="n"/>
      <c r="BW111" s="772" t="n"/>
      <c r="BX111" s="772" t="n"/>
      <c r="BY111" s="772" t="n"/>
      <c r="BZ111" s="772" t="n"/>
      <c r="CA111" s="772" t="n"/>
      <c r="CB111" s="772" t="n"/>
      <c r="CC111" s="772" t="n"/>
      <c r="CD111" s="772" t="n"/>
      <c r="CE111" s="772" t="n"/>
      <c r="CF111" s="772" t="n"/>
      <c r="CG111" s="772" t="n"/>
      <c r="CH111" s="772" t="n"/>
    </row>
    <row r="112">
      <c r="A112" s="1020" t="n"/>
      <c r="B112" s="772" t="n"/>
      <c r="C112" s="772" t="n"/>
      <c r="D112" s="772" t="n"/>
      <c r="E112" s="772" t="n"/>
      <c r="F112" s="772" t="n"/>
      <c r="G112" s="772" t="n"/>
      <c r="H112" s="772" t="n"/>
      <c r="I112" s="772" t="n"/>
      <c r="J112" s="772" t="n"/>
      <c r="K112" s="772" t="n"/>
      <c r="L112" s="772" t="n"/>
      <c r="M112" s="772" t="n"/>
      <c r="N112" s="772" t="n"/>
      <c r="O112" s="772" t="n"/>
      <c r="P112" s="772" t="n"/>
      <c r="Q112" s="772" t="n"/>
      <c r="R112" s="772" t="n"/>
      <c r="S112" s="772" t="n"/>
      <c r="T112" s="772" t="n"/>
      <c r="U112" s="772" t="n"/>
      <c r="V112" s="772" t="n"/>
      <c r="W112" s="772" t="n"/>
      <c r="X112" s="772" t="n"/>
      <c r="Y112" s="772" t="n"/>
      <c r="Z112" s="772" t="n"/>
      <c r="AA112" s="772" t="n"/>
      <c r="AB112" s="772" t="n"/>
      <c r="AC112" s="772" t="n"/>
      <c r="AD112" s="772" t="n"/>
      <c r="AE112" s="772" t="n"/>
      <c r="AF112" s="772" t="n"/>
      <c r="AG112" s="772" t="n"/>
      <c r="AH112" s="772" t="n"/>
      <c r="AI112" s="772" t="n"/>
      <c r="AJ112" s="772" t="n"/>
      <c r="AK112" s="772" t="n"/>
      <c r="AL112" s="772" t="n"/>
      <c r="AM112" s="772" t="n"/>
      <c r="AN112" s="772" t="n"/>
      <c r="AO112" s="772" t="n"/>
      <c r="AP112" s="772" t="n"/>
      <c r="AQ112" s="772" t="n"/>
      <c r="AR112" s="772" t="n"/>
      <c r="AS112" s="772" t="n"/>
      <c r="AT112" s="772" t="n"/>
      <c r="AU112" s="772" t="n"/>
      <c r="AV112" s="772" t="n"/>
      <c r="AW112" s="772" t="n"/>
      <c r="AX112" s="772" t="n"/>
      <c r="AY112" s="772" t="n"/>
      <c r="AZ112" s="772" t="n"/>
      <c r="BA112" s="772" t="n"/>
      <c r="BB112" s="772" t="n"/>
      <c r="BC112" s="772" t="n"/>
      <c r="BD112" s="772" t="n"/>
      <c r="BE112" s="772" t="n"/>
      <c r="BF112" s="772" t="n"/>
      <c r="BG112" s="772" t="n"/>
      <c r="BH112" s="772" t="n"/>
      <c r="BI112" s="772" t="n"/>
      <c r="BJ112" s="772" t="n"/>
      <c r="BK112" s="772" t="n"/>
      <c r="BL112" s="772" t="n"/>
      <c r="BM112" s="772" t="n"/>
      <c r="BN112" s="772" t="n"/>
      <c r="BO112" s="772" t="n"/>
      <c r="BP112" s="772" t="n"/>
      <c r="BQ112" s="772" t="n"/>
      <c r="BR112" s="772" t="n"/>
      <c r="BS112" s="772" t="n"/>
      <c r="BT112" s="772" t="n"/>
      <c r="BU112" s="772" t="n"/>
      <c r="BV112" s="772" t="n"/>
      <c r="BW112" s="772" t="n"/>
      <c r="BX112" s="772" t="n"/>
      <c r="BY112" s="772" t="n"/>
      <c r="BZ112" s="772" t="n"/>
      <c r="CA112" s="772" t="n"/>
      <c r="CB112" s="772" t="n"/>
      <c r="CC112" s="772" t="n"/>
      <c r="CD112" s="772" t="n"/>
      <c r="CE112" s="772" t="n"/>
      <c r="CF112" s="772" t="n"/>
      <c r="CG112" s="772" t="n"/>
      <c r="CH112" s="772" t="n"/>
    </row>
    <row r="113">
      <c r="A113" s="1020" t="n"/>
      <c r="B113" s="772" t="n"/>
      <c r="C113" s="772" t="n"/>
      <c r="D113" s="772" t="n"/>
      <c r="E113" s="772" t="n"/>
      <c r="F113" s="772" t="n"/>
      <c r="G113" s="772" t="n"/>
      <c r="H113" s="772" t="n"/>
      <c r="I113" s="772" t="n"/>
      <c r="J113" s="772" t="n"/>
      <c r="K113" s="772" t="n"/>
      <c r="L113" s="772" t="n"/>
      <c r="M113" s="772" t="n"/>
      <c r="N113" s="772" t="n"/>
      <c r="O113" s="772" t="n"/>
      <c r="P113" s="772" t="n"/>
      <c r="Q113" s="772" t="n"/>
      <c r="R113" s="772" t="n"/>
      <c r="S113" s="772" t="n"/>
      <c r="T113" s="772" t="n"/>
      <c r="U113" s="772" t="n"/>
      <c r="V113" s="772" t="n"/>
      <c r="W113" s="772" t="n"/>
      <c r="X113" s="772" t="n"/>
      <c r="Y113" s="772" t="n"/>
      <c r="Z113" s="772" t="n"/>
      <c r="AA113" s="772" t="n"/>
      <c r="AB113" s="772" t="n"/>
      <c r="AC113" s="772" t="n"/>
      <c r="AD113" s="772" t="n"/>
      <c r="AE113" s="772" t="n"/>
      <c r="AF113" s="772" t="n"/>
      <c r="AG113" s="772" t="n"/>
      <c r="AH113" s="772" t="n"/>
      <c r="AI113" s="772" t="n"/>
      <c r="AJ113" s="772" t="n"/>
      <c r="AK113" s="772" t="n"/>
      <c r="AL113" s="772" t="n"/>
      <c r="AM113" s="772" t="n"/>
      <c r="AN113" s="772" t="n"/>
      <c r="AO113" s="772" t="n"/>
      <c r="AP113" s="772" t="n"/>
      <c r="AQ113" s="772" t="n"/>
      <c r="AR113" s="772" t="n"/>
      <c r="AS113" s="772" t="n"/>
      <c r="AT113" s="772" t="n"/>
      <c r="AU113" s="772" t="n"/>
      <c r="AV113" s="772" t="n"/>
      <c r="AW113" s="772" t="n"/>
      <c r="AX113" s="772" t="n"/>
      <c r="AY113" s="772" t="n"/>
      <c r="AZ113" s="772" t="n"/>
      <c r="BA113" s="772" t="n"/>
      <c r="BB113" s="772" t="n"/>
      <c r="BC113" s="772" t="n"/>
      <c r="BD113" s="772" t="n"/>
      <c r="BE113" s="772" t="n"/>
      <c r="BF113" s="772" t="n"/>
      <c r="BG113" s="772" t="n"/>
      <c r="BH113" s="772" t="n"/>
      <c r="BI113" s="772" t="n"/>
      <c r="BJ113" s="772" t="n"/>
      <c r="BK113" s="772" t="n"/>
      <c r="BL113" s="772" t="n"/>
      <c r="BM113" s="772" t="n"/>
      <c r="BN113" s="772" t="n"/>
      <c r="BO113" s="772" t="n"/>
      <c r="BP113" s="772" t="n"/>
      <c r="BQ113" s="772" t="n"/>
      <c r="BR113" s="772" t="n"/>
      <c r="BS113" s="772" t="n"/>
      <c r="BT113" s="772" t="n"/>
      <c r="BU113" s="772" t="n"/>
      <c r="BV113" s="772" t="n"/>
      <c r="BW113" s="772" t="n"/>
      <c r="BX113" s="772" t="n"/>
      <c r="BY113" s="772" t="n"/>
      <c r="BZ113" s="772" t="n"/>
      <c r="CA113" s="772" t="n"/>
      <c r="CB113" s="772" t="n"/>
      <c r="CC113" s="772" t="n"/>
      <c r="CD113" s="772" t="n"/>
      <c r="CE113" s="772" t="n"/>
      <c r="CF113" s="772" t="n"/>
      <c r="CG113" s="772" t="n"/>
      <c r="CH113" s="772" t="n"/>
    </row>
    <row r="114">
      <c r="A114" s="1020" t="n"/>
      <c r="B114" s="772" t="n"/>
      <c r="C114" s="772" t="n"/>
      <c r="D114" s="772" t="n"/>
      <c r="E114" s="772" t="n"/>
      <c r="F114" s="772" t="n"/>
      <c r="G114" s="772" t="n"/>
      <c r="H114" s="772" t="n"/>
      <c r="I114" s="772" t="n"/>
      <c r="J114" s="772" t="n"/>
      <c r="K114" s="772" t="n"/>
      <c r="L114" s="772" t="n"/>
      <c r="M114" s="772" t="n"/>
      <c r="N114" s="772" t="n"/>
      <c r="O114" s="772" t="n"/>
      <c r="P114" s="772" t="n"/>
      <c r="Q114" s="772" t="n"/>
      <c r="R114" s="772" t="n"/>
      <c r="S114" s="772" t="n"/>
      <c r="T114" s="772" t="n"/>
      <c r="U114" s="772" t="n"/>
      <c r="V114" s="772" t="n"/>
      <c r="W114" s="772" t="n"/>
      <c r="X114" s="772" t="n"/>
      <c r="Y114" s="772" t="n"/>
      <c r="Z114" s="772" t="n"/>
      <c r="AA114" s="772" t="n"/>
      <c r="AB114" s="772" t="n"/>
      <c r="AC114" s="772" t="n"/>
      <c r="AD114" s="772" t="n"/>
      <c r="AE114" s="772" t="n"/>
      <c r="AF114" s="772" t="n"/>
      <c r="AG114" s="772" t="n"/>
      <c r="AH114" s="772" t="n"/>
      <c r="AI114" s="772" t="n"/>
      <c r="AJ114" s="772" t="n"/>
      <c r="AK114" s="772" t="n"/>
      <c r="AL114" s="772" t="n"/>
      <c r="AM114" s="772" t="n"/>
      <c r="AN114" s="772" t="n"/>
      <c r="AO114" s="772" t="n"/>
      <c r="AP114" s="772" t="n"/>
      <c r="AQ114" s="772" t="n"/>
      <c r="AR114" s="772" t="n"/>
      <c r="AS114" s="772" t="n"/>
      <c r="AT114" s="772" t="n"/>
      <c r="AU114" s="772" t="n"/>
      <c r="AV114" s="772" t="n"/>
      <c r="AW114" s="772" t="n"/>
      <c r="AX114" s="772" t="n"/>
      <c r="AY114" s="772" t="n"/>
      <c r="AZ114" s="772" t="n"/>
      <c r="BA114" s="772" t="n"/>
      <c r="BB114" s="772" t="n"/>
      <c r="BC114" s="772" t="n"/>
      <c r="BD114" s="772" t="n"/>
      <c r="BE114" s="772" t="n"/>
      <c r="BF114" s="772" t="n"/>
      <c r="BG114" s="772" t="n"/>
      <c r="BH114" s="772" t="n"/>
      <c r="BI114" s="772" t="n"/>
      <c r="BJ114" s="772" t="n"/>
      <c r="BK114" s="772" t="n"/>
      <c r="BL114" s="772" t="n"/>
      <c r="BM114" s="772" t="n"/>
      <c r="BN114" s="772" t="n"/>
      <c r="BO114" s="772" t="n"/>
      <c r="BP114" s="772" t="n"/>
      <c r="BQ114" s="772" t="n"/>
      <c r="BR114" s="772" t="n"/>
      <c r="BS114" s="772" t="n"/>
      <c r="BT114" s="772" t="n"/>
      <c r="BU114" s="772" t="n"/>
      <c r="BV114" s="772" t="n"/>
      <c r="BW114" s="772" t="n"/>
      <c r="BX114" s="772" t="n"/>
      <c r="BY114" s="772" t="n"/>
      <c r="BZ114" s="772" t="n"/>
      <c r="CA114" s="772" t="n"/>
      <c r="CB114" s="772" t="n"/>
      <c r="CC114" s="772" t="n"/>
      <c r="CD114" s="772" t="n"/>
      <c r="CE114" s="772" t="n"/>
      <c r="CF114" s="772" t="n"/>
      <c r="CG114" s="772" t="n"/>
      <c r="CH114" s="772" t="n"/>
    </row>
    <row r="115">
      <c r="A115" s="1020" t="n"/>
      <c r="B115" s="772" t="n"/>
      <c r="C115" s="772" t="n"/>
      <c r="D115" s="772" t="n"/>
      <c r="E115" s="772" t="n"/>
      <c r="F115" s="772" t="n"/>
      <c r="G115" s="772" t="n"/>
      <c r="H115" s="772" t="n"/>
      <c r="I115" s="772" t="n"/>
      <c r="J115" s="772" t="n"/>
      <c r="K115" s="772" t="n"/>
      <c r="L115" s="772" t="n"/>
      <c r="M115" s="772" t="n"/>
      <c r="N115" s="772" t="n"/>
      <c r="O115" s="772" t="n"/>
      <c r="P115" s="772" t="n"/>
      <c r="Q115" s="772" t="n"/>
      <c r="R115" s="772" t="n"/>
      <c r="S115" s="772" t="n"/>
      <c r="T115" s="772" t="n"/>
      <c r="U115" s="772" t="n"/>
      <c r="V115" s="772" t="n"/>
      <c r="W115" s="772" t="n"/>
      <c r="X115" s="772" t="n"/>
      <c r="Y115" s="772" t="n"/>
      <c r="Z115" s="772" t="n"/>
      <c r="AA115" s="772" t="n"/>
      <c r="AB115" s="772" t="n"/>
      <c r="AC115" s="772" t="n"/>
      <c r="AD115" s="772" t="n"/>
      <c r="AE115" s="772" t="n"/>
      <c r="AF115" s="772" t="n"/>
      <c r="AG115" s="772" t="n"/>
      <c r="AH115" s="772" t="n"/>
      <c r="AI115" s="772" t="n"/>
      <c r="AJ115" s="772" t="n"/>
      <c r="AK115" s="772" t="n"/>
      <c r="AL115" s="772" t="n"/>
      <c r="AM115" s="772" t="n"/>
      <c r="AN115" s="772" t="n"/>
      <c r="AO115" s="772" t="n"/>
      <c r="AP115" s="772" t="n"/>
      <c r="AQ115" s="772" t="n"/>
      <c r="AR115" s="772" t="n"/>
      <c r="AS115" s="772" t="n"/>
      <c r="AT115" s="772" t="n"/>
      <c r="AU115" s="772" t="n"/>
      <c r="AV115" s="772" t="n"/>
      <c r="AW115" s="772" t="n"/>
      <c r="AX115" s="772" t="n"/>
      <c r="AY115" s="772" t="n"/>
      <c r="AZ115" s="772" t="n"/>
      <c r="BA115" s="772" t="n"/>
      <c r="BB115" s="772" t="n"/>
      <c r="BC115" s="772" t="n"/>
      <c r="BD115" s="772" t="n"/>
      <c r="BE115" s="772" t="n"/>
      <c r="BF115" s="772" t="n"/>
      <c r="BG115" s="772" t="n"/>
      <c r="BH115" s="772" t="n"/>
      <c r="BI115" s="772" t="n"/>
      <c r="BJ115" s="772" t="n"/>
      <c r="BK115" s="772" t="n"/>
      <c r="BL115" s="772" t="n"/>
      <c r="BM115" s="772" t="n"/>
      <c r="BN115" s="772" t="n"/>
      <c r="BO115" s="772" t="n"/>
      <c r="BP115" s="772" t="n"/>
      <c r="BQ115" s="772" t="n"/>
      <c r="BR115" s="772" t="n"/>
      <c r="BS115" s="772" t="n"/>
      <c r="BT115" s="772" t="n"/>
      <c r="BU115" s="772" t="n"/>
      <c r="BV115" s="772" t="n"/>
      <c r="BW115" s="772" t="n"/>
      <c r="BX115" s="772" t="n"/>
      <c r="BY115" s="772" t="n"/>
      <c r="BZ115" s="772" t="n"/>
      <c r="CA115" s="772" t="n"/>
      <c r="CB115" s="772" t="n"/>
      <c r="CC115" s="772" t="n"/>
      <c r="CD115" s="772" t="n"/>
      <c r="CE115" s="772" t="n"/>
      <c r="CF115" s="772" t="n"/>
      <c r="CG115" s="772" t="n"/>
      <c r="CH115" s="772" t="n"/>
    </row>
    <row r="116">
      <c r="A116" s="1020" t="n"/>
      <c r="B116" s="772" t="n"/>
      <c r="C116" s="772" t="n"/>
      <c r="D116" s="772" t="n"/>
      <c r="E116" s="772" t="n"/>
      <c r="F116" s="772" t="n"/>
      <c r="G116" s="772" t="n"/>
      <c r="H116" s="772" t="n"/>
      <c r="I116" s="772" t="n"/>
      <c r="J116" s="772" t="n"/>
      <c r="K116" s="772" t="n"/>
      <c r="L116" s="772" t="n"/>
      <c r="M116" s="772" t="n"/>
      <c r="N116" s="772" t="n"/>
      <c r="O116" s="772" t="n"/>
      <c r="P116" s="772" t="n"/>
      <c r="Q116" s="772" t="n"/>
      <c r="R116" s="772" t="n"/>
      <c r="S116" s="772" t="n"/>
      <c r="T116" s="772" t="n"/>
      <c r="U116" s="772" t="n"/>
      <c r="V116" s="772" t="n"/>
      <c r="W116" s="772" t="n"/>
      <c r="X116" s="772" t="n"/>
      <c r="Y116" s="772" t="n"/>
      <c r="Z116" s="772" t="n"/>
      <c r="AA116" s="772" t="n"/>
      <c r="AB116" s="772" t="n"/>
      <c r="AC116" s="772" t="n"/>
      <c r="AD116" s="772" t="n"/>
      <c r="AE116" s="772" t="n"/>
      <c r="AF116" s="772" t="n"/>
      <c r="AG116" s="772" t="n"/>
      <c r="AH116" s="772" t="n"/>
      <c r="AI116" s="772" t="n"/>
      <c r="AJ116" s="772" t="n"/>
      <c r="AK116" s="772" t="n"/>
      <c r="AL116" s="772" t="n"/>
      <c r="AM116" s="772" t="n"/>
      <c r="AN116" s="772" t="n"/>
      <c r="AO116" s="772" t="n"/>
      <c r="AP116" s="772" t="n"/>
      <c r="AQ116" s="772" t="n"/>
      <c r="AR116" s="772" t="n"/>
      <c r="AS116" s="772" t="n"/>
      <c r="AT116" s="772" t="n"/>
      <c r="AU116" s="772" t="n"/>
      <c r="AV116" s="772" t="n"/>
      <c r="AW116" s="772" t="n"/>
      <c r="AX116" s="772" t="n"/>
      <c r="AY116" s="772" t="n"/>
      <c r="AZ116" s="772" t="n"/>
      <c r="BA116" s="772" t="n"/>
      <c r="BB116" s="772" t="n"/>
      <c r="BC116" s="772" t="n"/>
      <c r="BD116" s="772" t="n"/>
      <c r="BE116" s="772" t="n"/>
      <c r="BF116" s="772" t="n"/>
      <c r="BG116" s="772" t="n"/>
      <c r="BH116" s="772" t="n"/>
      <c r="BI116" s="772" t="n"/>
      <c r="BJ116" s="772" t="n"/>
      <c r="BK116" s="772" t="n"/>
      <c r="BL116" s="772" t="n"/>
      <c r="BM116" s="772" t="n"/>
      <c r="BN116" s="772" t="n"/>
      <c r="BO116" s="772" t="n"/>
      <c r="BP116" s="772" t="n"/>
      <c r="BQ116" s="772" t="n"/>
      <c r="BR116" s="772" t="n"/>
      <c r="BS116" s="772" t="n"/>
      <c r="BT116" s="772" t="n"/>
      <c r="BU116" s="772" t="n"/>
      <c r="BV116" s="772" t="n"/>
      <c r="BW116" s="772" t="n"/>
      <c r="BX116" s="772" t="n"/>
      <c r="BY116" s="772" t="n"/>
      <c r="BZ116" s="772" t="n"/>
      <c r="CA116" s="772" t="n"/>
      <c r="CB116" s="772" t="n"/>
      <c r="CC116" s="772" t="n"/>
      <c r="CD116" s="772" t="n"/>
      <c r="CE116" s="772" t="n"/>
      <c r="CF116" s="772" t="n"/>
      <c r="CG116" s="772" t="n"/>
      <c r="CH116" s="772" t="n"/>
    </row>
    <row r="117">
      <c r="A117" s="1020" t="n"/>
      <c r="B117" s="772" t="n"/>
      <c r="C117" s="772" t="n"/>
      <c r="D117" s="772" t="n"/>
      <c r="E117" s="772" t="n"/>
      <c r="F117" s="772" t="n"/>
      <c r="G117" s="772" t="n"/>
      <c r="H117" s="772" t="n"/>
      <c r="I117" s="772" t="n"/>
      <c r="J117" s="772" t="n"/>
      <c r="K117" s="772" t="n"/>
      <c r="L117" s="772" t="n"/>
      <c r="M117" s="772" t="n"/>
      <c r="N117" s="772" t="n"/>
      <c r="O117" s="772" t="n"/>
      <c r="P117" s="772" t="n"/>
      <c r="Q117" s="772" t="n"/>
      <c r="R117" s="772" t="n"/>
      <c r="S117" s="772" t="n"/>
      <c r="T117" s="772" t="n"/>
      <c r="U117" s="772" t="n"/>
      <c r="V117" s="772" t="n"/>
      <c r="W117" s="772" t="n"/>
      <c r="X117" s="772" t="n"/>
      <c r="Y117" s="772" t="n"/>
      <c r="Z117" s="772" t="n"/>
      <c r="AA117" s="772" t="n"/>
      <c r="AB117" s="772" t="n"/>
      <c r="AC117" s="772" t="n"/>
      <c r="AD117" s="772" t="n"/>
      <c r="AE117" s="772" t="n"/>
      <c r="AF117" s="772" t="n"/>
      <c r="AG117" s="772" t="n"/>
      <c r="AH117" s="772" t="n"/>
      <c r="AI117" s="772" t="n"/>
      <c r="AJ117" s="772" t="n"/>
      <c r="AK117" s="772" t="n"/>
      <c r="AL117" s="772" t="n"/>
      <c r="AM117" s="772" t="n"/>
      <c r="AN117" s="772" t="n"/>
      <c r="AO117" s="772" t="n"/>
      <c r="AP117" s="772" t="n"/>
      <c r="AQ117" s="772" t="n"/>
      <c r="AR117" s="772" t="n"/>
      <c r="AS117" s="772" t="n"/>
      <c r="AT117" s="772" t="n"/>
      <c r="AU117" s="772" t="n"/>
      <c r="AV117" s="772" t="n"/>
      <c r="AW117" s="772" t="n"/>
      <c r="AX117" s="772" t="n"/>
      <c r="AY117" s="772" t="n"/>
      <c r="AZ117" s="772" t="n"/>
      <c r="BA117" s="772" t="n"/>
      <c r="BB117" s="772" t="n"/>
      <c r="BC117" s="772" t="n"/>
      <c r="BD117" s="772" t="n"/>
      <c r="BE117" s="772" t="n"/>
      <c r="BF117" s="772" t="n"/>
      <c r="BG117" s="772" t="n"/>
      <c r="BH117" s="772" t="n"/>
      <c r="BI117" s="772" t="n"/>
      <c r="BJ117" s="772" t="n"/>
      <c r="BK117" s="772" t="n"/>
      <c r="BL117" s="772" t="n"/>
      <c r="BM117" s="772" t="n"/>
      <c r="BN117" s="772" t="n"/>
      <c r="BO117" s="772" t="n"/>
      <c r="BP117" s="772" t="n"/>
      <c r="BQ117" s="772" t="n"/>
      <c r="BR117" s="772" t="n"/>
      <c r="BS117" s="772" t="n"/>
      <c r="BT117" s="772" t="n"/>
      <c r="BU117" s="772" t="n"/>
      <c r="BV117" s="772" t="n"/>
      <c r="BW117" s="772" t="n"/>
      <c r="BX117" s="772" t="n"/>
      <c r="BY117" s="772" t="n"/>
      <c r="BZ117" s="772" t="n"/>
      <c r="CA117" s="772" t="n"/>
      <c r="CB117" s="772" t="n"/>
      <c r="CC117" s="772" t="n"/>
      <c r="CD117" s="772" t="n"/>
      <c r="CE117" s="772" t="n"/>
      <c r="CF117" s="772" t="n"/>
      <c r="CG117" s="772" t="n"/>
      <c r="CH117" s="772" t="n"/>
    </row>
    <row r="118">
      <c r="A118" s="1020" t="n"/>
      <c r="B118" s="772" t="n"/>
      <c r="C118" s="772" t="n"/>
      <c r="D118" s="772" t="n"/>
      <c r="E118" s="772" t="n"/>
      <c r="F118" s="772" t="n"/>
      <c r="G118" s="772" t="n"/>
      <c r="H118" s="772" t="n"/>
      <c r="I118" s="772" t="n"/>
      <c r="J118" s="772" t="n"/>
      <c r="K118" s="772" t="n"/>
      <c r="L118" s="772" t="n"/>
      <c r="M118" s="772" t="n"/>
      <c r="N118" s="772" t="n"/>
      <c r="O118" s="772" t="n"/>
      <c r="P118" s="772" t="n"/>
      <c r="Q118" s="772" t="n"/>
      <c r="R118" s="772" t="n"/>
      <c r="S118" s="772" t="n"/>
      <c r="T118" s="772" t="n"/>
      <c r="U118" s="772" t="n"/>
      <c r="V118" s="772" t="n"/>
      <c r="W118" s="772" t="n"/>
      <c r="X118" s="772" t="n"/>
      <c r="Y118" s="772" t="n"/>
      <c r="Z118" s="772" t="n"/>
      <c r="AA118" s="772" t="n"/>
      <c r="AB118" s="772" t="n"/>
      <c r="AC118" s="772" t="n"/>
      <c r="AD118" s="772" t="n"/>
      <c r="AE118" s="772" t="n"/>
      <c r="AF118" s="772" t="n"/>
      <c r="AG118" s="772" t="n"/>
      <c r="AH118" s="772" t="n"/>
      <c r="AI118" s="772" t="n"/>
      <c r="AJ118" s="772" t="n"/>
      <c r="AK118" s="772" t="n"/>
      <c r="AL118" s="772" t="n"/>
      <c r="AM118" s="772" t="n"/>
      <c r="AN118" s="772" t="n"/>
      <c r="AO118" s="772" t="n"/>
      <c r="AP118" s="772" t="n"/>
      <c r="AQ118" s="772" t="n"/>
      <c r="AR118" s="772" t="n"/>
      <c r="AS118" s="772" t="n"/>
      <c r="AT118" s="772" t="n"/>
      <c r="AU118" s="772" t="n"/>
      <c r="AV118" s="772" t="n"/>
      <c r="AW118" s="772" t="n"/>
      <c r="AX118" s="772" t="n"/>
      <c r="AY118" s="772" t="n"/>
      <c r="AZ118" s="772" t="n"/>
      <c r="BA118" s="772" t="n"/>
      <c r="BB118" s="772" t="n"/>
      <c r="BC118" s="772" t="n"/>
      <c r="BD118" s="772" t="n"/>
      <c r="BE118" s="772" t="n"/>
      <c r="BF118" s="772" t="n"/>
      <c r="BG118" s="772" t="n"/>
      <c r="BH118" s="772" t="n"/>
      <c r="BI118" s="772" t="n"/>
      <c r="BJ118" s="772" t="n"/>
      <c r="BK118" s="772" t="n"/>
      <c r="BL118" s="772" t="n"/>
      <c r="BM118" s="772" t="n"/>
      <c r="BN118" s="772" t="n"/>
      <c r="BO118" s="772" t="n"/>
      <c r="BP118" s="772" t="n"/>
      <c r="BQ118" s="772" t="n"/>
      <c r="BR118" s="772" t="n"/>
      <c r="BS118" s="772" t="n"/>
      <c r="BT118" s="772" t="n"/>
      <c r="BU118" s="772" t="n"/>
      <c r="BV118" s="772" t="n"/>
      <c r="BW118" s="772" t="n"/>
      <c r="BX118" s="772" t="n"/>
      <c r="BY118" s="772" t="n"/>
      <c r="BZ118" s="772" t="n"/>
      <c r="CA118" s="772" t="n"/>
      <c r="CB118" s="772" t="n"/>
      <c r="CC118" s="772" t="n"/>
      <c r="CD118" s="772" t="n"/>
      <c r="CE118" s="772" t="n"/>
      <c r="CF118" s="772" t="n"/>
      <c r="CG118" s="772" t="n"/>
      <c r="CH118" s="772" t="n"/>
    </row>
    <row r="119">
      <c r="A119" s="1020" t="n"/>
      <c r="B119" s="772" t="n"/>
      <c r="C119" s="772" t="n"/>
      <c r="D119" s="772" t="n"/>
      <c r="E119" s="772" t="n"/>
      <c r="F119" s="772" t="n"/>
      <c r="G119" s="772" t="n"/>
      <c r="H119" s="772" t="n"/>
      <c r="I119" s="772" t="n"/>
      <c r="J119" s="772" t="n"/>
      <c r="K119" s="772" t="n"/>
      <c r="L119" s="772" t="n"/>
      <c r="M119" s="772" t="n"/>
      <c r="N119" s="772" t="n"/>
      <c r="O119" s="772" t="n"/>
      <c r="P119" s="772" t="n"/>
      <c r="Q119" s="772" t="n"/>
      <c r="R119" s="772" t="n"/>
      <c r="S119" s="772" t="n"/>
      <c r="T119" s="772" t="n"/>
      <c r="U119" s="772" t="n"/>
      <c r="V119" s="772" t="n"/>
      <c r="W119" s="772" t="n"/>
      <c r="X119" s="772" t="n"/>
      <c r="Y119" s="772" t="n"/>
      <c r="Z119" s="772" t="n"/>
      <c r="AA119" s="772" t="n"/>
      <c r="AB119" s="772" t="n"/>
      <c r="AC119" s="772" t="n"/>
      <c r="AD119" s="772" t="n"/>
      <c r="AE119" s="772" t="n"/>
      <c r="AF119" s="772" t="n"/>
      <c r="AG119" s="772" t="n"/>
      <c r="AH119" s="772" t="n"/>
      <c r="AI119" s="772" t="n"/>
      <c r="AJ119" s="772" t="n"/>
      <c r="AK119" s="772" t="n"/>
      <c r="AL119" s="772" t="n"/>
      <c r="AM119" s="772" t="n"/>
      <c r="AN119" s="772" t="n"/>
      <c r="AO119" s="772" t="n"/>
      <c r="AP119" s="772" t="n"/>
      <c r="AQ119" s="772" t="n"/>
      <c r="AR119" s="772" t="n"/>
      <c r="AS119" s="772" t="n"/>
      <c r="AT119" s="772" t="n"/>
      <c r="AU119" s="772" t="n"/>
      <c r="AV119" s="772" t="n"/>
      <c r="AW119" s="772" t="n"/>
      <c r="AX119" s="772" t="n"/>
      <c r="AY119" s="772" t="n"/>
      <c r="AZ119" s="772" t="n"/>
      <c r="BA119" s="772" t="n"/>
      <c r="BB119" s="772" t="n"/>
      <c r="BC119" s="772" t="n"/>
      <c r="BD119" s="772" t="n"/>
      <c r="BE119" s="772" t="n"/>
      <c r="BF119" s="772" t="n"/>
      <c r="BG119" s="772" t="n"/>
      <c r="BH119" s="772" t="n"/>
      <c r="BI119" s="772" t="n"/>
      <c r="BJ119" s="772" t="n"/>
      <c r="BK119" s="772" t="n"/>
      <c r="BL119" s="772" t="n"/>
      <c r="BM119" s="772" t="n"/>
      <c r="BN119" s="772" t="n"/>
      <c r="BO119" s="772" t="n"/>
      <c r="BP119" s="772" t="n"/>
      <c r="BQ119" s="772" t="n"/>
      <c r="BR119" s="772" t="n"/>
      <c r="BS119" s="772" t="n"/>
      <c r="BT119" s="772" t="n"/>
      <c r="BU119" s="772" t="n"/>
      <c r="BV119" s="772" t="n"/>
      <c r="BW119" s="772" t="n"/>
      <c r="BX119" s="772" t="n"/>
      <c r="BY119" s="772" t="n"/>
      <c r="BZ119" s="772" t="n"/>
      <c r="CA119" s="772" t="n"/>
      <c r="CB119" s="772" t="n"/>
      <c r="CC119" s="772" t="n"/>
      <c r="CD119" s="772" t="n"/>
      <c r="CE119" s="772" t="n"/>
      <c r="CF119" s="772" t="n"/>
      <c r="CG119" s="772" t="n"/>
      <c r="CH119" s="772" t="n"/>
    </row>
    <row r="120">
      <c r="A120" s="1020" t="n"/>
      <c r="B120" s="772" t="n"/>
      <c r="C120" s="772" t="n"/>
      <c r="D120" s="772" t="n"/>
      <c r="E120" s="772" t="n"/>
      <c r="F120" s="772" t="n"/>
      <c r="G120" s="772" t="n"/>
      <c r="H120" s="772" t="n"/>
      <c r="I120" s="772" t="n"/>
      <c r="J120" s="772" t="n"/>
      <c r="K120" s="772" t="n"/>
      <c r="L120" s="772" t="n"/>
      <c r="M120" s="772" t="n"/>
      <c r="N120" s="772" t="n"/>
      <c r="O120" s="772" t="n"/>
      <c r="P120" s="772" t="n"/>
      <c r="Q120" s="772" t="n"/>
      <c r="R120" s="772" t="n"/>
      <c r="S120" s="772" t="n"/>
      <c r="T120" s="772" t="n"/>
      <c r="U120" s="772" t="n"/>
      <c r="V120" s="772" t="n"/>
      <c r="W120" s="772" t="n"/>
      <c r="X120" s="772" t="n"/>
      <c r="Y120" s="772" t="n"/>
      <c r="Z120" s="772" t="n"/>
      <c r="AA120" s="772" t="n"/>
      <c r="AB120" s="772" t="n"/>
      <c r="AC120" s="772" t="n"/>
      <c r="AD120" s="772" t="n"/>
      <c r="AE120" s="772" t="n"/>
      <c r="AF120" s="772" t="n"/>
      <c r="AG120" s="772" t="n"/>
      <c r="AH120" s="772" t="n"/>
      <c r="AI120" s="772" t="n"/>
      <c r="AJ120" s="772" t="n"/>
      <c r="AK120" s="772" t="n"/>
      <c r="AL120" s="772" t="n"/>
      <c r="AM120" s="772" t="n"/>
      <c r="AN120" s="772" t="n"/>
      <c r="AO120" s="772" t="n"/>
      <c r="AP120" s="772" t="n"/>
      <c r="AQ120" s="772" t="n"/>
      <c r="AR120" s="772" t="n"/>
      <c r="AS120" s="772" t="n"/>
      <c r="AT120" s="772" t="n"/>
      <c r="AU120" s="772" t="n"/>
      <c r="AV120" s="772" t="n"/>
      <c r="AW120" s="772" t="n"/>
      <c r="AX120" s="772" t="n"/>
      <c r="AY120" s="772" t="n"/>
      <c r="AZ120" s="772" t="n"/>
      <c r="BA120" s="772" t="n"/>
      <c r="BB120" s="772" t="n"/>
      <c r="BC120" s="772" t="n"/>
      <c r="BD120" s="772" t="n"/>
      <c r="BE120" s="772" t="n"/>
      <c r="BF120" s="772" t="n"/>
      <c r="BG120" s="772" t="n"/>
      <c r="BH120" s="772" t="n"/>
      <c r="BI120" s="772" t="n"/>
      <c r="BJ120" s="772" t="n"/>
      <c r="BK120" s="772" t="n"/>
      <c r="BL120" s="772" t="n"/>
      <c r="BM120" s="772" t="n"/>
      <c r="BN120" s="772" t="n"/>
      <c r="BO120" s="772" t="n"/>
      <c r="BP120" s="772" t="n"/>
      <c r="BQ120" s="772" t="n"/>
      <c r="BR120" s="772" t="n"/>
      <c r="BS120" s="772" t="n"/>
      <c r="BT120" s="772" t="n"/>
      <c r="BU120" s="772" t="n"/>
      <c r="BV120" s="772" t="n"/>
      <c r="BW120" s="772" t="n"/>
      <c r="BX120" s="772" t="n"/>
      <c r="BY120" s="772" t="n"/>
      <c r="BZ120" s="772" t="n"/>
      <c r="CA120" s="772" t="n"/>
      <c r="CB120" s="772" t="n"/>
      <c r="CC120" s="772" t="n"/>
      <c r="CD120" s="772" t="n"/>
      <c r="CE120" s="772" t="n"/>
      <c r="CF120" s="772" t="n"/>
      <c r="CG120" s="772" t="n"/>
      <c r="CH120" s="772" t="n"/>
    </row>
    <row r="121">
      <c r="A121" s="1020" t="n"/>
      <c r="B121" s="772" t="n"/>
      <c r="C121" s="772" t="n"/>
      <c r="D121" s="772" t="n"/>
      <c r="E121" s="772" t="n"/>
      <c r="F121" s="772" t="n"/>
      <c r="G121" s="772" t="n"/>
      <c r="H121" s="772" t="n"/>
      <c r="I121" s="772" t="n"/>
      <c r="J121" s="772" t="n"/>
      <c r="K121" s="772" t="n"/>
      <c r="L121" s="772" t="n"/>
      <c r="M121" s="772" t="n"/>
      <c r="N121" s="772" t="n"/>
      <c r="O121" s="772" t="n"/>
      <c r="P121" s="772" t="n"/>
      <c r="Q121" s="772" t="n"/>
      <c r="R121" s="772" t="n"/>
      <c r="S121" s="772" t="n"/>
      <c r="T121" s="772" t="n"/>
      <c r="U121" s="772" t="n"/>
      <c r="V121" s="772" t="n"/>
      <c r="W121" s="772" t="n"/>
      <c r="X121" s="772" t="n"/>
      <c r="Y121" s="772" t="n"/>
      <c r="Z121" s="772" t="n"/>
      <c r="AA121" s="772" t="n"/>
      <c r="AB121" s="772" t="n"/>
      <c r="AC121" s="772" t="n"/>
      <c r="AD121" s="772" t="n"/>
      <c r="AE121" s="772" t="n"/>
      <c r="AF121" s="772" t="n"/>
      <c r="AG121" s="772" t="n"/>
      <c r="AH121" s="772" t="n"/>
      <c r="AI121" s="772" t="n"/>
      <c r="AJ121" s="772" t="n"/>
      <c r="AK121" s="772" t="n"/>
      <c r="AL121" s="772" t="n"/>
      <c r="AM121" s="772" t="n"/>
      <c r="AN121" s="772" t="n"/>
      <c r="AO121" s="772" t="n"/>
      <c r="AP121" s="772" t="n"/>
      <c r="AQ121" s="772" t="n"/>
      <c r="AR121" s="772" t="n"/>
      <c r="AS121" s="772" t="n"/>
      <c r="AT121" s="772" t="n"/>
      <c r="AU121" s="772" t="n"/>
      <c r="AV121" s="772" t="n"/>
      <c r="AW121" s="772" t="n"/>
      <c r="AX121" s="772" t="n"/>
      <c r="AY121" s="772" t="n"/>
      <c r="AZ121" s="772" t="n"/>
      <c r="BA121" s="772" t="n"/>
      <c r="BB121" s="772" t="n"/>
      <c r="BC121" s="772" t="n"/>
      <c r="BD121" s="772" t="n"/>
      <c r="BE121" s="772" t="n"/>
      <c r="BF121" s="772" t="n"/>
      <c r="BG121" s="772" t="n"/>
      <c r="BH121" s="772" t="n"/>
      <c r="BI121" s="772" t="n"/>
      <c r="BJ121" s="772" t="n"/>
      <c r="BK121" s="772" t="n"/>
      <c r="BL121" s="772" t="n"/>
      <c r="BM121" s="772" t="n"/>
      <c r="BN121" s="772" t="n"/>
      <c r="BO121" s="772" t="n"/>
      <c r="BP121" s="772" t="n"/>
      <c r="BQ121" s="772" t="n"/>
      <c r="BR121" s="772" t="n"/>
      <c r="BS121" s="772" t="n"/>
      <c r="BT121" s="772" t="n"/>
      <c r="BU121" s="772" t="n"/>
      <c r="BV121" s="772" t="n"/>
      <c r="BW121" s="772" t="n"/>
      <c r="BX121" s="772" t="n"/>
      <c r="BY121" s="772" t="n"/>
      <c r="BZ121" s="772" t="n"/>
      <c r="CA121" s="772" t="n"/>
      <c r="CB121" s="772" t="n"/>
      <c r="CC121" s="772" t="n"/>
      <c r="CD121" s="772" t="n"/>
      <c r="CE121" s="772" t="n"/>
      <c r="CF121" s="772" t="n"/>
      <c r="CG121" s="772" t="n"/>
      <c r="CH121" s="772" t="n"/>
    </row>
    <row r="122">
      <c r="A122" s="1020" t="n"/>
      <c r="B122" s="772" t="n"/>
      <c r="C122" s="772" t="n"/>
      <c r="D122" s="772" t="n"/>
      <c r="E122" s="772" t="n"/>
      <c r="F122" s="772" t="n"/>
      <c r="G122" s="772" t="n"/>
      <c r="H122" s="772" t="n"/>
      <c r="I122" s="772" t="n"/>
      <c r="J122" s="772" t="n"/>
      <c r="K122" s="772" t="n"/>
      <c r="L122" s="772" t="n"/>
      <c r="M122" s="772" t="n"/>
      <c r="N122" s="772" t="n"/>
      <c r="O122" s="772" t="n"/>
      <c r="P122" s="772" t="n"/>
      <c r="Q122" s="772" t="n"/>
      <c r="R122" s="772" t="n"/>
      <c r="S122" s="772" t="n"/>
      <c r="T122" s="772" t="n"/>
      <c r="U122" s="772" t="n"/>
      <c r="V122" s="772" t="n"/>
      <c r="W122" s="772" t="n"/>
      <c r="X122" s="772" t="n"/>
      <c r="Y122" s="772" t="n"/>
      <c r="Z122" s="772" t="n"/>
      <c r="AA122" s="772" t="n"/>
      <c r="AB122" s="772" t="n"/>
      <c r="AC122" s="772" t="n"/>
      <c r="AD122" s="772" t="n"/>
      <c r="AE122" s="772" t="n"/>
      <c r="AF122" s="772" t="n"/>
      <c r="AG122" s="772" t="n"/>
      <c r="AH122" s="772" t="n"/>
      <c r="AI122" s="772" t="n"/>
      <c r="AJ122" s="772" t="n"/>
      <c r="AK122" s="772" t="n"/>
      <c r="AL122" s="772" t="n"/>
      <c r="AM122" s="772" t="n"/>
      <c r="AN122" s="772" t="n"/>
      <c r="AO122" s="772" t="n"/>
      <c r="AP122" s="772" t="n"/>
      <c r="AQ122" s="772" t="n"/>
      <c r="AR122" s="772" t="n"/>
      <c r="AS122" s="772" t="n"/>
      <c r="AT122" s="772" t="n"/>
      <c r="AU122" s="772" t="n"/>
      <c r="AV122" s="772" t="n"/>
      <c r="AW122" s="772" t="n"/>
      <c r="AX122" s="772" t="n"/>
      <c r="AY122" s="772" t="n"/>
      <c r="AZ122" s="772" t="n"/>
      <c r="BA122" s="772" t="n"/>
      <c r="BB122" s="772" t="n"/>
      <c r="BC122" s="772" t="n"/>
      <c r="BD122" s="772" t="n"/>
      <c r="BE122" s="772" t="n"/>
      <c r="BF122" s="772" t="n"/>
      <c r="BG122" s="772" t="n"/>
      <c r="BH122" s="772" t="n"/>
      <c r="BI122" s="772" t="n"/>
      <c r="BJ122" s="772" t="n"/>
      <c r="BK122" s="772" t="n"/>
      <c r="BL122" s="772" t="n"/>
      <c r="BM122" s="772" t="n"/>
      <c r="BN122" s="772" t="n"/>
      <c r="BO122" s="772" t="n"/>
      <c r="BP122" s="772" t="n"/>
      <c r="BQ122" s="772" t="n"/>
      <c r="BR122" s="772" t="n"/>
      <c r="BS122" s="772" t="n"/>
      <c r="BT122" s="772" t="n"/>
      <c r="BU122" s="772" t="n"/>
      <c r="BV122" s="772" t="n"/>
      <c r="BW122" s="772" t="n"/>
      <c r="BX122" s="772" t="n"/>
      <c r="BY122" s="772" t="n"/>
      <c r="BZ122" s="772" t="n"/>
      <c r="CA122" s="772" t="n"/>
      <c r="CB122" s="772" t="n"/>
      <c r="CC122" s="772" t="n"/>
      <c r="CD122" s="772" t="n"/>
      <c r="CE122" s="772" t="n"/>
      <c r="CF122" s="772" t="n"/>
      <c r="CG122" s="772" t="n"/>
      <c r="CH122" s="772" t="n"/>
    </row>
    <row r="123">
      <c r="A123" s="1020" t="n"/>
      <c r="B123" s="772" t="n"/>
      <c r="C123" s="772" t="n"/>
      <c r="D123" s="772" t="n"/>
      <c r="E123" s="772" t="n"/>
      <c r="F123" s="772" t="n"/>
      <c r="G123" s="772" t="n"/>
      <c r="H123" s="772" t="n"/>
      <c r="I123" s="772" t="n"/>
      <c r="J123" s="772" t="n"/>
      <c r="K123" s="772" t="n"/>
      <c r="L123" s="772" t="n"/>
      <c r="M123" s="772" t="n"/>
      <c r="N123" s="772" t="n"/>
      <c r="O123" s="772" t="n"/>
      <c r="P123" s="772" t="n"/>
      <c r="Q123" s="772" t="n"/>
      <c r="R123" s="772" t="n"/>
      <c r="S123" s="772" t="n"/>
      <c r="T123" s="772" t="n"/>
      <c r="U123" s="772" t="n"/>
      <c r="V123" s="772" t="n"/>
      <c r="W123" s="772" t="n"/>
      <c r="X123" s="772" t="n"/>
      <c r="Y123" s="772" t="n"/>
      <c r="Z123" s="772" t="n"/>
      <c r="AA123" s="772" t="n"/>
      <c r="AB123" s="772" t="n"/>
      <c r="AC123" s="772" t="n"/>
      <c r="AD123" s="772" t="n"/>
      <c r="AE123" s="772" t="n"/>
      <c r="AF123" s="772" t="n"/>
      <c r="AG123" s="772" t="n"/>
      <c r="AH123" s="772" t="n"/>
      <c r="AI123" s="772" t="n"/>
      <c r="AJ123" s="772" t="n"/>
      <c r="AK123" s="772" t="n"/>
      <c r="AL123" s="772" t="n"/>
      <c r="AM123" s="772" t="n"/>
      <c r="AN123" s="772" t="n"/>
      <c r="AO123" s="772" t="n"/>
      <c r="AP123" s="772" t="n"/>
      <c r="AQ123" s="772" t="n"/>
      <c r="AR123" s="772" t="n"/>
      <c r="AS123" s="772" t="n"/>
      <c r="AT123" s="772" t="n"/>
      <c r="AU123" s="772" t="n"/>
      <c r="AV123" s="772" t="n"/>
      <c r="AW123" s="772" t="n"/>
      <c r="AX123" s="772" t="n"/>
      <c r="AY123" s="772" t="n"/>
      <c r="AZ123" s="772" t="n"/>
      <c r="BA123" s="772" t="n"/>
      <c r="BB123" s="772" t="n"/>
      <c r="BC123" s="772" t="n"/>
      <c r="BD123" s="772" t="n"/>
      <c r="BE123" s="772" t="n"/>
      <c r="BF123" s="772" t="n"/>
      <c r="BG123" s="772" t="n"/>
      <c r="BH123" s="772" t="n"/>
      <c r="BI123" s="772" t="n"/>
      <c r="BJ123" s="772" t="n"/>
      <c r="BK123" s="772" t="n"/>
      <c r="BL123" s="772" t="n"/>
      <c r="BM123" s="772" t="n"/>
      <c r="BN123" s="772" t="n"/>
      <c r="BO123" s="772" t="n"/>
      <c r="BP123" s="772" t="n"/>
      <c r="BQ123" s="772" t="n"/>
      <c r="BR123" s="772" t="n"/>
      <c r="BS123" s="772" t="n"/>
      <c r="BT123" s="772" t="n"/>
      <c r="BU123" s="772" t="n"/>
      <c r="BV123" s="772" t="n"/>
      <c r="BW123" s="772" t="n"/>
      <c r="BX123" s="772" t="n"/>
      <c r="BY123" s="772" t="n"/>
      <c r="BZ123" s="772" t="n"/>
      <c r="CA123" s="772" t="n"/>
      <c r="CB123" s="772" t="n"/>
      <c r="CC123" s="772" t="n"/>
      <c r="CD123" s="772" t="n"/>
      <c r="CE123" s="772" t="n"/>
      <c r="CF123" s="772" t="n"/>
      <c r="CG123" s="772" t="n"/>
      <c r="CH123" s="772" t="n"/>
    </row>
    <row r="124">
      <c r="A124" s="1020" t="n"/>
      <c r="B124" s="772" t="n"/>
      <c r="C124" s="772" t="n"/>
      <c r="D124" s="772" t="n"/>
      <c r="E124" s="772" t="n"/>
      <c r="F124" s="772" t="n"/>
      <c r="G124" s="772" t="n"/>
      <c r="H124" s="772" t="n"/>
      <c r="I124" s="772" t="n"/>
      <c r="J124" s="772" t="n"/>
      <c r="K124" s="772" t="n"/>
      <c r="L124" s="772" t="n"/>
      <c r="M124" s="772" t="n"/>
      <c r="N124" s="772" t="n"/>
      <c r="O124" s="772" t="n"/>
      <c r="P124" s="772" t="n"/>
      <c r="Q124" s="772" t="n"/>
      <c r="R124" s="772" t="n"/>
      <c r="S124" s="772" t="n"/>
      <c r="T124" s="772" t="n"/>
      <c r="U124" s="772" t="n"/>
      <c r="V124" s="772" t="n"/>
      <c r="W124" s="772" t="n"/>
      <c r="X124" s="772" t="n"/>
      <c r="Y124" s="772" t="n"/>
      <c r="Z124" s="772" t="n"/>
      <c r="AA124" s="772" t="n"/>
      <c r="AB124" s="772" t="n"/>
      <c r="AC124" s="772" t="n"/>
      <c r="AD124" s="772" t="n"/>
      <c r="AE124" s="772" t="n"/>
      <c r="AF124" s="772" t="n"/>
      <c r="AG124" s="772" t="n"/>
      <c r="AH124" s="772" t="n"/>
      <c r="AI124" s="772" t="n"/>
      <c r="AJ124" s="772" t="n"/>
      <c r="AK124" s="772" t="n"/>
      <c r="AL124" s="772" t="n"/>
      <c r="AM124" s="772" t="n"/>
      <c r="AN124" s="772" t="n"/>
      <c r="AO124" s="772" t="n"/>
      <c r="AP124" s="772" t="n"/>
      <c r="AQ124" s="772" t="n"/>
      <c r="AR124" s="772" t="n"/>
      <c r="AS124" s="772" t="n"/>
      <c r="AT124" s="772" t="n"/>
      <c r="AU124" s="772" t="n"/>
      <c r="AV124" s="772" t="n"/>
      <c r="AW124" s="772" t="n"/>
      <c r="AX124" s="772" t="n"/>
      <c r="AY124" s="772" t="n"/>
      <c r="AZ124" s="772" t="n"/>
      <c r="BA124" s="772" t="n"/>
      <c r="BB124" s="772" t="n"/>
      <c r="BC124" s="772" t="n"/>
      <c r="BD124" s="772" t="n"/>
      <c r="BE124" s="772" t="n"/>
      <c r="BF124" s="772" t="n"/>
      <c r="BG124" s="772" t="n"/>
      <c r="BH124" s="772" t="n"/>
      <c r="BI124" s="772" t="n"/>
      <c r="BJ124" s="772" t="n"/>
      <c r="BK124" s="772" t="n"/>
      <c r="BL124" s="772" t="n"/>
      <c r="BM124" s="772" t="n"/>
      <c r="BN124" s="772" t="n"/>
      <c r="BO124" s="772" t="n"/>
      <c r="BP124" s="772" t="n"/>
      <c r="BQ124" s="772" t="n"/>
      <c r="BR124" s="772" t="n"/>
      <c r="BS124" s="772" t="n"/>
      <c r="BT124" s="772" t="n"/>
      <c r="BU124" s="772" t="n"/>
      <c r="BV124" s="772" t="n"/>
      <c r="BW124" s="772" t="n"/>
      <c r="BX124" s="772" t="n"/>
      <c r="BY124" s="772" t="n"/>
      <c r="BZ124" s="772" t="n"/>
      <c r="CA124" s="772" t="n"/>
      <c r="CB124" s="772" t="n"/>
      <c r="CC124" s="772" t="n"/>
      <c r="CD124" s="772" t="n"/>
      <c r="CE124" s="772" t="n"/>
      <c r="CF124" s="772" t="n"/>
      <c r="CG124" s="772" t="n"/>
      <c r="CH124" s="772" t="n"/>
    </row>
    <row r="125">
      <c r="A125" s="1020" t="n"/>
      <c r="B125" s="772" t="n"/>
      <c r="C125" s="772" t="n"/>
      <c r="D125" s="772" t="n"/>
      <c r="E125" s="772" t="n"/>
      <c r="F125" s="772" t="n"/>
      <c r="G125" s="772" t="n"/>
      <c r="H125" s="772" t="n"/>
      <c r="I125" s="772" t="n"/>
      <c r="J125" s="772" t="n"/>
      <c r="K125" s="772" t="n"/>
      <c r="L125" s="772" t="n"/>
      <c r="M125" s="772" t="n"/>
      <c r="N125" s="772" t="n"/>
      <c r="O125" s="772" t="n"/>
      <c r="P125" s="772" t="n"/>
      <c r="Q125" s="772" t="n"/>
      <c r="R125" s="772" t="n"/>
      <c r="S125" s="772" t="n"/>
      <c r="T125" s="772" t="n"/>
      <c r="U125" s="772" t="n"/>
      <c r="V125" s="772" t="n"/>
      <c r="W125" s="772" t="n"/>
      <c r="X125" s="772" t="n"/>
      <c r="Y125" s="772" t="n"/>
      <c r="Z125" s="772" t="n"/>
      <c r="AA125" s="772" t="n"/>
      <c r="AB125" s="772" t="n"/>
      <c r="AC125" s="772" t="n"/>
      <c r="AD125" s="772" t="n"/>
      <c r="AE125" s="772" t="n"/>
      <c r="AF125" s="772" t="n"/>
      <c r="AG125" s="772" t="n"/>
      <c r="AH125" s="772" t="n"/>
      <c r="AI125" s="772" t="n"/>
      <c r="AJ125" s="772" t="n"/>
      <c r="AK125" s="772" t="n"/>
      <c r="AL125" s="772" t="n"/>
      <c r="AM125" s="772" t="n"/>
      <c r="AN125" s="772" t="n"/>
      <c r="AO125" s="772" t="n"/>
      <c r="AP125" s="772" t="n"/>
      <c r="AQ125" s="772" t="n"/>
      <c r="AR125" s="772" t="n"/>
      <c r="AS125" s="772" t="n"/>
      <c r="AT125" s="772" t="n"/>
      <c r="AU125" s="772" t="n"/>
      <c r="AV125" s="772" t="n"/>
      <c r="AW125" s="772" t="n"/>
      <c r="AX125" s="772" t="n"/>
      <c r="AY125" s="772" t="n"/>
      <c r="AZ125" s="772" t="n"/>
      <c r="BA125" s="772" t="n"/>
      <c r="BB125" s="772" t="n"/>
      <c r="BC125" s="772" t="n"/>
      <c r="BD125" s="772" t="n"/>
      <c r="BE125" s="772" t="n"/>
      <c r="BF125" s="772" t="n"/>
      <c r="BG125" s="772" t="n"/>
      <c r="BH125" s="772" t="n"/>
      <c r="BI125" s="772" t="n"/>
      <c r="BJ125" s="772" t="n"/>
      <c r="BK125" s="772" t="n"/>
      <c r="BL125" s="772" t="n"/>
      <c r="BM125" s="772" t="n"/>
      <c r="BN125" s="772" t="n"/>
      <c r="BO125" s="772" t="n"/>
      <c r="BP125" s="772" t="n"/>
      <c r="BQ125" s="772" t="n"/>
      <c r="BR125" s="772" t="n"/>
      <c r="BS125" s="772" t="n"/>
      <c r="BT125" s="772" t="n"/>
      <c r="BU125" s="772" t="n"/>
      <c r="BV125" s="772" t="n"/>
      <c r="BW125" s="772" t="n"/>
      <c r="BX125" s="772" t="n"/>
      <c r="BY125" s="772" t="n"/>
      <c r="BZ125" s="772" t="n"/>
      <c r="CA125" s="772" t="n"/>
      <c r="CB125" s="772" t="n"/>
      <c r="CC125" s="772" t="n"/>
      <c r="CD125" s="772" t="n"/>
      <c r="CE125" s="772" t="n"/>
      <c r="CF125" s="772" t="n"/>
      <c r="CG125" s="772" t="n"/>
      <c r="CH125" s="772" t="n"/>
    </row>
    <row r="126">
      <c r="A126" s="1020" t="n"/>
      <c r="B126" s="772" t="n"/>
      <c r="C126" s="772" t="n"/>
      <c r="D126" s="772" t="n"/>
      <c r="E126" s="772" t="n"/>
      <c r="F126" s="772" t="n"/>
      <c r="G126" s="772" t="n"/>
      <c r="H126" s="772" t="n"/>
      <c r="I126" s="772" t="n"/>
      <c r="J126" s="772" t="n"/>
      <c r="K126" s="772" t="n"/>
      <c r="L126" s="772" t="n"/>
      <c r="M126" s="772" t="n"/>
      <c r="N126" s="772" t="n"/>
      <c r="O126" s="772" t="n"/>
      <c r="P126" s="772" t="n"/>
      <c r="Q126" s="772" t="n"/>
      <c r="R126" s="772" t="n"/>
      <c r="S126" s="772" t="n"/>
      <c r="T126" s="772" t="n"/>
      <c r="U126" s="772" t="n"/>
      <c r="V126" s="772" t="n"/>
      <c r="W126" s="772" t="n"/>
      <c r="X126" s="772" t="n"/>
      <c r="Y126" s="772" t="n"/>
      <c r="Z126" s="772" t="n"/>
      <c r="AA126" s="772" t="n"/>
      <c r="AB126" s="772" t="n"/>
      <c r="AC126" s="772" t="n"/>
      <c r="AD126" s="772" t="n"/>
      <c r="AE126" s="772" t="n"/>
      <c r="AF126" s="772" t="n"/>
      <c r="AG126" s="772" t="n"/>
      <c r="AH126" s="772" t="n"/>
      <c r="AI126" s="772" t="n"/>
      <c r="AJ126" s="772" t="n"/>
      <c r="AK126" s="772" t="n"/>
      <c r="AL126" s="772" t="n"/>
      <c r="AM126" s="772" t="n"/>
      <c r="AN126" s="772" t="n"/>
      <c r="AO126" s="772" t="n"/>
      <c r="AP126" s="772" t="n"/>
      <c r="AQ126" s="772" t="n"/>
      <c r="AR126" s="772" t="n"/>
      <c r="AS126" s="772" t="n"/>
      <c r="AT126" s="772" t="n"/>
      <c r="AU126" s="772" t="n"/>
      <c r="AV126" s="772" t="n"/>
      <c r="AW126" s="772" t="n"/>
      <c r="AX126" s="772" t="n"/>
      <c r="AY126" s="772" t="n"/>
      <c r="AZ126" s="772" t="n"/>
      <c r="BA126" s="772" t="n"/>
      <c r="BB126" s="772" t="n"/>
      <c r="BC126" s="772" t="n"/>
      <c r="BD126" s="772" t="n"/>
      <c r="BE126" s="772" t="n"/>
      <c r="BF126" s="772" t="n"/>
      <c r="BG126" s="772" t="n"/>
      <c r="BH126" s="772" t="n"/>
      <c r="BI126" s="772" t="n"/>
      <c r="BJ126" s="772" t="n"/>
      <c r="BK126" s="772" t="n"/>
      <c r="BL126" s="772" t="n"/>
      <c r="BM126" s="772" t="n"/>
      <c r="BN126" s="772" t="n"/>
      <c r="BO126" s="772" t="n"/>
      <c r="BP126" s="772" t="n"/>
      <c r="BQ126" s="772" t="n"/>
      <c r="BR126" s="772" t="n"/>
      <c r="BS126" s="772" t="n"/>
      <c r="BT126" s="772" t="n"/>
      <c r="BU126" s="772" t="n"/>
      <c r="BV126" s="772" t="n"/>
      <c r="BW126" s="772" t="n"/>
      <c r="BX126" s="772" t="n"/>
      <c r="BY126" s="772" t="n"/>
      <c r="BZ126" s="772" t="n"/>
      <c r="CA126" s="772" t="n"/>
      <c r="CB126" s="772" t="n"/>
      <c r="CC126" s="772" t="n"/>
      <c r="CD126" s="772" t="n"/>
      <c r="CE126" s="772" t="n"/>
      <c r="CF126" s="772" t="n"/>
      <c r="CG126" s="772" t="n"/>
      <c r="CH126" s="772" t="n"/>
    </row>
    <row r="127">
      <c r="A127" s="1020" t="n"/>
      <c r="B127" s="772" t="n"/>
      <c r="C127" s="772" t="n"/>
      <c r="D127" s="772" t="n"/>
      <c r="E127" s="772" t="n"/>
      <c r="F127" s="772" t="n"/>
      <c r="G127" s="772" t="n"/>
      <c r="H127" s="772" t="n"/>
      <c r="I127" s="772" t="n"/>
      <c r="J127" s="772" t="n"/>
      <c r="K127" s="772" t="n"/>
      <c r="L127" s="772" t="n"/>
      <c r="M127" s="772" t="n"/>
      <c r="N127" s="772" t="n"/>
      <c r="O127" s="772" t="n"/>
      <c r="P127" s="772" t="n"/>
      <c r="Q127" s="772" t="n"/>
      <c r="R127" s="772" t="n"/>
      <c r="S127" s="772" t="n"/>
      <c r="T127" s="772" t="n"/>
      <c r="U127" s="772" t="n"/>
      <c r="V127" s="772" t="n"/>
      <c r="W127" s="772" t="n"/>
      <c r="X127" s="772" t="n"/>
      <c r="Y127" s="772" t="n"/>
      <c r="Z127" s="772" t="n"/>
      <c r="AA127" s="772" t="n"/>
      <c r="AB127" s="772" t="n"/>
      <c r="AC127" s="772" t="n"/>
      <c r="AD127" s="772" t="n"/>
      <c r="AE127" s="772" t="n"/>
      <c r="AF127" s="772" t="n"/>
      <c r="AG127" s="772" t="n"/>
      <c r="AH127" s="772" t="n"/>
      <c r="AI127" s="772" t="n"/>
      <c r="AJ127" s="772" t="n"/>
      <c r="AK127" s="772" t="n"/>
      <c r="AL127" s="772" t="n"/>
      <c r="AM127" s="772" t="n"/>
      <c r="AN127" s="772" t="n"/>
      <c r="AO127" s="772" t="n"/>
      <c r="AP127" s="772" t="n"/>
      <c r="AQ127" s="772" t="n"/>
      <c r="AR127" s="772" t="n"/>
      <c r="AS127" s="772" t="n"/>
      <c r="AT127" s="772" t="n"/>
      <c r="AU127" s="772" t="n"/>
      <c r="AV127" s="772" t="n"/>
      <c r="AW127" s="772" t="n"/>
      <c r="AX127" s="772" t="n"/>
      <c r="AY127" s="772" t="n"/>
      <c r="AZ127" s="772" t="n"/>
      <c r="BA127" s="772" t="n"/>
      <c r="BB127" s="772" t="n"/>
      <c r="BC127" s="772" t="n"/>
      <c r="BD127" s="772" t="n"/>
      <c r="BE127" s="772" t="n"/>
      <c r="BF127" s="772" t="n"/>
      <c r="BG127" s="772" t="n"/>
      <c r="BH127" s="772" t="n"/>
      <c r="BI127" s="772" t="n"/>
      <c r="BJ127" s="772" t="n"/>
      <c r="BK127" s="772" t="n"/>
      <c r="BL127" s="772" t="n"/>
      <c r="BM127" s="772" t="n"/>
      <c r="BN127" s="772" t="n"/>
      <c r="BO127" s="772" t="n"/>
      <c r="BP127" s="772" t="n"/>
      <c r="BQ127" s="772" t="n"/>
      <c r="BR127" s="772" t="n"/>
      <c r="BS127" s="772" t="n"/>
      <c r="BT127" s="772" t="n"/>
      <c r="BU127" s="772" t="n"/>
      <c r="BV127" s="772" t="n"/>
      <c r="BW127" s="772" t="n"/>
      <c r="BX127" s="772" t="n"/>
      <c r="BY127" s="772" t="n"/>
      <c r="BZ127" s="772" t="n"/>
      <c r="CA127" s="772" t="n"/>
      <c r="CB127" s="772" t="n"/>
      <c r="CC127" s="772" t="n"/>
      <c r="CD127" s="772" t="n"/>
      <c r="CE127" s="772" t="n"/>
      <c r="CF127" s="772" t="n"/>
      <c r="CG127" s="772" t="n"/>
      <c r="CH127" s="772" t="n"/>
    </row>
    <row r="128">
      <c r="A128" s="1020" t="n"/>
      <c r="B128" s="772" t="n"/>
      <c r="C128" s="772" t="n"/>
      <c r="D128" s="772" t="n"/>
      <c r="E128" s="772" t="n"/>
      <c r="F128" s="772" t="n"/>
      <c r="G128" s="772" t="n"/>
      <c r="H128" s="772" t="n"/>
      <c r="I128" s="772" t="n"/>
      <c r="J128" s="772" t="n"/>
      <c r="K128" s="772" t="n"/>
      <c r="L128" s="772" t="n"/>
      <c r="M128" s="772" t="n"/>
      <c r="N128" s="772" t="n"/>
      <c r="O128" s="772" t="n"/>
      <c r="P128" s="772" t="n"/>
      <c r="Q128" s="772" t="n"/>
      <c r="R128" s="772" t="n"/>
      <c r="S128" s="772" t="n"/>
      <c r="T128" s="772" t="n"/>
      <c r="U128" s="772" t="n"/>
      <c r="V128" s="772" t="n"/>
      <c r="W128" s="772" t="n"/>
      <c r="X128" s="772" t="n"/>
      <c r="Y128" s="772" t="n"/>
      <c r="Z128" s="772" t="n"/>
      <c r="AA128" s="772" t="n"/>
      <c r="AB128" s="772" t="n"/>
      <c r="AC128" s="772" t="n"/>
      <c r="AD128" s="772" t="n"/>
      <c r="AE128" s="772" t="n"/>
      <c r="AF128" s="772" t="n"/>
      <c r="AG128" s="772" t="n"/>
      <c r="AH128" s="772" t="n"/>
      <c r="AI128" s="772" t="n"/>
      <c r="AJ128" s="772" t="n"/>
      <c r="AK128" s="772" t="n"/>
      <c r="AL128" s="772" t="n"/>
      <c r="AM128" s="772" t="n"/>
      <c r="AN128" s="772" t="n"/>
      <c r="AO128" s="772" t="n"/>
      <c r="AP128" s="772" t="n"/>
      <c r="AQ128" s="772" t="n"/>
      <c r="AR128" s="772" t="n"/>
      <c r="AS128" s="772" t="n"/>
      <c r="AT128" s="772" t="n"/>
      <c r="AU128" s="772" t="n"/>
      <c r="AV128" s="772" t="n"/>
      <c r="AW128" s="772" t="n"/>
      <c r="AX128" s="772" t="n"/>
      <c r="AY128" s="772" t="n"/>
      <c r="AZ128" s="772" t="n"/>
      <c r="BA128" s="772" t="n"/>
      <c r="BB128" s="772" t="n"/>
      <c r="BC128" s="772" t="n"/>
      <c r="BD128" s="772" t="n"/>
      <c r="BE128" s="772" t="n"/>
      <c r="BF128" s="772" t="n"/>
      <c r="BG128" s="772" t="n"/>
      <c r="BH128" s="772" t="n"/>
      <c r="BI128" s="772" t="n"/>
      <c r="BJ128" s="772" t="n"/>
      <c r="BK128" s="772" t="n"/>
      <c r="BL128" s="772" t="n"/>
      <c r="BM128" s="772" t="n"/>
      <c r="BN128" s="772" t="n"/>
      <c r="BO128" s="772" t="n"/>
      <c r="BP128" s="772" t="n"/>
      <c r="BQ128" s="772" t="n"/>
      <c r="BR128" s="772" t="n"/>
      <c r="BS128" s="772" t="n"/>
      <c r="BT128" s="772" t="n"/>
      <c r="BU128" s="772" t="n"/>
      <c r="BV128" s="772" t="n"/>
      <c r="BW128" s="772" t="n"/>
      <c r="BX128" s="772" t="n"/>
      <c r="BY128" s="772" t="n"/>
      <c r="BZ128" s="772" t="n"/>
      <c r="CA128" s="772" t="n"/>
      <c r="CB128" s="772" t="n"/>
      <c r="CC128" s="772" t="n"/>
      <c r="CD128" s="772" t="n"/>
      <c r="CE128" s="772" t="n"/>
      <c r="CF128" s="772" t="n"/>
      <c r="CG128" s="772" t="n"/>
      <c r="CH128" s="772" t="n"/>
    </row>
    <row r="129">
      <c r="A129" s="1020" t="n"/>
      <c r="B129" s="772" t="n"/>
      <c r="C129" s="772" t="n"/>
      <c r="D129" s="772" t="n"/>
      <c r="E129" s="772" t="n"/>
      <c r="F129" s="772" t="n"/>
      <c r="G129" s="772" t="n"/>
      <c r="H129" s="772" t="n"/>
      <c r="I129" s="772" t="n"/>
      <c r="J129" s="772" t="n"/>
      <c r="K129" s="772" t="n"/>
      <c r="L129" s="772" t="n"/>
      <c r="M129" s="772" t="n"/>
      <c r="N129" s="772" t="n"/>
      <c r="O129" s="772" t="n"/>
      <c r="P129" s="772" t="n"/>
      <c r="Q129" s="772" t="n"/>
      <c r="R129" s="772" t="n"/>
      <c r="S129" s="772" t="n"/>
      <c r="T129" s="772" t="n"/>
      <c r="U129" s="772" t="n"/>
      <c r="V129" s="772" t="n"/>
      <c r="W129" s="772" t="n"/>
      <c r="X129" s="772" t="n"/>
      <c r="Y129" s="772" t="n"/>
      <c r="Z129" s="772" t="n"/>
      <c r="AA129" s="772" t="n"/>
      <c r="AB129" s="772" t="n"/>
      <c r="AC129" s="772" t="n"/>
      <c r="AD129" s="772" t="n"/>
      <c r="AE129" s="772" t="n"/>
      <c r="AF129" s="772" t="n"/>
      <c r="AG129" s="772" t="n"/>
      <c r="AH129" s="772" t="n"/>
      <c r="AI129" s="772" t="n"/>
      <c r="AJ129" s="772" t="n"/>
      <c r="AK129" s="772" t="n"/>
      <c r="AL129" s="772" t="n"/>
      <c r="AM129" s="772" t="n"/>
      <c r="AN129" s="772" t="n"/>
      <c r="AO129" s="772" t="n"/>
      <c r="AP129" s="772" t="n"/>
      <c r="AQ129" s="772" t="n"/>
      <c r="AR129" s="772" t="n"/>
      <c r="AS129" s="772" t="n"/>
      <c r="AT129" s="772" t="n"/>
      <c r="AU129" s="772" t="n"/>
      <c r="AV129" s="772" t="n"/>
      <c r="AW129" s="772" t="n"/>
      <c r="AX129" s="772" t="n"/>
      <c r="AY129" s="772" t="n"/>
      <c r="AZ129" s="772" t="n"/>
      <c r="BA129" s="772" t="n"/>
      <c r="BB129" s="772" t="n"/>
      <c r="BC129" s="772" t="n"/>
      <c r="BD129" s="772" t="n"/>
      <c r="BE129" s="772" t="n"/>
      <c r="BF129" s="772" t="n"/>
      <c r="BG129" s="772" t="n"/>
      <c r="BH129" s="772" t="n"/>
      <c r="BI129" s="772" t="n"/>
      <c r="BJ129" s="772" t="n"/>
      <c r="BK129" s="772" t="n"/>
      <c r="BL129" s="772" t="n"/>
      <c r="BM129" s="772" t="n"/>
      <c r="BN129" s="772" t="n"/>
      <c r="BO129" s="772" t="n"/>
      <c r="BP129" s="772" t="n"/>
      <c r="BQ129" s="772" t="n"/>
      <c r="BR129" s="772" t="n"/>
      <c r="BS129" s="772" t="n"/>
      <c r="BT129" s="772" t="n"/>
      <c r="BU129" s="772" t="n"/>
      <c r="BV129" s="772" t="n"/>
      <c r="BW129" s="772" t="n"/>
      <c r="BX129" s="772" t="n"/>
      <c r="BY129" s="772" t="n"/>
      <c r="BZ129" s="772" t="n"/>
      <c r="CA129" s="772" t="n"/>
      <c r="CB129" s="772" t="n"/>
      <c r="CC129" s="772" t="n"/>
      <c r="CD129" s="772" t="n"/>
      <c r="CE129" s="772" t="n"/>
      <c r="CF129" s="772" t="n"/>
      <c r="CG129" s="772" t="n"/>
      <c r="CH129" s="772" t="n"/>
    </row>
    <row r="130">
      <c r="A130" s="1020" t="n"/>
      <c r="B130" s="772" t="n"/>
      <c r="C130" s="772" t="n"/>
      <c r="D130" s="772" t="n"/>
      <c r="E130" s="772" t="n"/>
      <c r="F130" s="772" t="n"/>
      <c r="G130" s="772" t="n"/>
      <c r="H130" s="772" t="n"/>
      <c r="I130" s="772" t="n"/>
      <c r="J130" s="772" t="n"/>
      <c r="K130" s="772" t="n"/>
      <c r="L130" s="772" t="n"/>
      <c r="M130" s="772" t="n"/>
      <c r="N130" s="772" t="n"/>
      <c r="O130" s="772" t="n"/>
      <c r="P130" s="772" t="n"/>
      <c r="Q130" s="772" t="n"/>
      <c r="R130" s="772" t="n"/>
      <c r="S130" s="772" t="n"/>
      <c r="T130" s="772" t="n"/>
      <c r="U130" s="772" t="n"/>
      <c r="V130" s="772" t="n"/>
      <c r="W130" s="772" t="n"/>
      <c r="X130" s="772" t="n"/>
      <c r="Y130" s="772" t="n"/>
      <c r="Z130" s="772" t="n"/>
      <c r="AA130" s="772" t="n"/>
      <c r="AB130" s="772" t="n"/>
      <c r="AC130" s="772" t="n"/>
      <c r="AD130" s="772" t="n"/>
      <c r="AE130" s="772" t="n"/>
      <c r="AF130" s="772" t="n"/>
      <c r="AG130" s="772" t="n"/>
      <c r="AH130" s="772" t="n"/>
      <c r="AI130" s="772" t="n"/>
      <c r="AJ130" s="772" t="n"/>
      <c r="AK130" s="772" t="n"/>
      <c r="AL130" s="772" t="n"/>
      <c r="AM130" s="772" t="n"/>
      <c r="AN130" s="772" t="n"/>
      <c r="AO130" s="772" t="n"/>
      <c r="AP130" s="772" t="n"/>
      <c r="AQ130" s="772" t="n"/>
      <c r="AR130" s="772" t="n"/>
      <c r="AS130" s="772" t="n"/>
      <c r="AT130" s="772" t="n"/>
      <c r="AU130" s="772" t="n"/>
      <c r="AV130" s="772" t="n"/>
      <c r="AW130" s="772" t="n"/>
      <c r="AX130" s="772" t="n"/>
      <c r="AY130" s="772" t="n"/>
      <c r="AZ130" s="772" t="n"/>
      <c r="BA130" s="772" t="n"/>
      <c r="BB130" s="772" t="n"/>
      <c r="BC130" s="772" t="n"/>
      <c r="BD130" s="772" t="n"/>
      <c r="BE130" s="772" t="n"/>
      <c r="BF130" s="772" t="n"/>
      <c r="BG130" s="772" t="n"/>
      <c r="BH130" s="772" t="n"/>
      <c r="BI130" s="772" t="n"/>
      <c r="BJ130" s="772" t="n"/>
      <c r="BK130" s="772" t="n"/>
      <c r="BL130" s="772" t="n"/>
      <c r="BM130" s="772" t="n"/>
      <c r="BN130" s="772" t="n"/>
      <c r="BO130" s="772" t="n"/>
      <c r="BP130" s="772" t="n"/>
      <c r="BQ130" s="772" t="n"/>
      <c r="BR130" s="772" t="n"/>
      <c r="BS130" s="772" t="n"/>
      <c r="BT130" s="772" t="n"/>
      <c r="BU130" s="772" t="n"/>
      <c r="BV130" s="772" t="n"/>
      <c r="BW130" s="772" t="n"/>
      <c r="BX130" s="772" t="n"/>
      <c r="BY130" s="772" t="n"/>
      <c r="BZ130" s="772" t="n"/>
      <c r="CA130" s="772" t="n"/>
      <c r="CB130" s="772" t="n"/>
      <c r="CC130" s="772" t="n"/>
      <c r="CD130" s="772" t="n"/>
      <c r="CE130" s="772" t="n"/>
      <c r="CF130" s="772" t="n"/>
      <c r="CG130" s="772" t="n"/>
      <c r="CH130" s="772" t="n"/>
    </row>
    <row r="131">
      <c r="A131" s="1020" t="n"/>
      <c r="B131" s="772" t="n"/>
      <c r="C131" s="772" t="n"/>
      <c r="D131" s="772" t="n"/>
      <c r="E131" s="772" t="n"/>
      <c r="F131" s="772" t="n"/>
      <c r="G131" s="772" t="n"/>
      <c r="H131" s="772" t="n"/>
      <c r="I131" s="772" t="n"/>
      <c r="J131" s="772" t="n"/>
      <c r="K131" s="772" t="n"/>
      <c r="L131" s="772" t="n"/>
      <c r="M131" s="772" t="n"/>
      <c r="N131" s="772" t="n"/>
      <c r="O131" s="772" t="n"/>
      <c r="P131" s="772" t="n"/>
      <c r="Q131" s="772" t="n"/>
      <c r="R131" s="772" t="n"/>
      <c r="S131" s="772" t="n"/>
      <c r="T131" s="772" t="n"/>
      <c r="U131" s="772" t="n"/>
      <c r="V131" s="772" t="n"/>
      <c r="W131" s="772" t="n"/>
      <c r="X131" s="772" t="n"/>
      <c r="Y131" s="772" t="n"/>
      <c r="Z131" s="772" t="n"/>
      <c r="AA131" s="772" t="n"/>
      <c r="AB131" s="772" t="n"/>
      <c r="AC131" s="772" t="n"/>
      <c r="AD131" s="772" t="n"/>
      <c r="AE131" s="772" t="n"/>
      <c r="AF131" s="772" t="n"/>
      <c r="AG131" s="772" t="n"/>
      <c r="AH131" s="772" t="n"/>
      <c r="AI131" s="772" t="n"/>
      <c r="AJ131" s="772" t="n"/>
      <c r="AK131" s="772" t="n"/>
      <c r="AL131" s="772" t="n"/>
      <c r="AM131" s="772" t="n"/>
      <c r="AN131" s="772" t="n"/>
      <c r="AO131" s="772" t="n"/>
      <c r="AP131" s="772" t="n"/>
      <c r="AQ131" s="772" t="n"/>
      <c r="AR131" s="772" t="n"/>
      <c r="AS131" s="772" t="n"/>
      <c r="AT131" s="772" t="n"/>
      <c r="AU131" s="772" t="n"/>
      <c r="AV131" s="772" t="n"/>
      <c r="AW131" s="772" t="n"/>
      <c r="AX131" s="772" t="n"/>
      <c r="AY131" s="772" t="n"/>
      <c r="AZ131" s="772" t="n"/>
      <c r="BA131" s="772" t="n"/>
      <c r="BB131" s="772" t="n"/>
      <c r="BC131" s="772" t="n"/>
      <c r="BD131" s="772" t="n"/>
      <c r="BE131" s="772" t="n"/>
      <c r="BF131" s="772" t="n"/>
      <c r="BG131" s="772" t="n"/>
      <c r="BH131" s="772" t="n"/>
      <c r="BI131" s="772" t="n"/>
      <c r="BJ131" s="772" t="n"/>
      <c r="BK131" s="772" t="n"/>
      <c r="BL131" s="772" t="n"/>
      <c r="BM131" s="772" t="n"/>
      <c r="BN131" s="772" t="n"/>
      <c r="BO131" s="772" t="n"/>
      <c r="BP131" s="772" t="n"/>
      <c r="BQ131" s="772" t="n"/>
      <c r="BR131" s="772" t="n"/>
      <c r="BS131" s="772" t="n"/>
      <c r="BT131" s="772" t="n"/>
      <c r="BU131" s="772" t="n"/>
      <c r="BV131" s="772" t="n"/>
      <c r="BW131" s="772" t="n"/>
      <c r="BX131" s="772" t="n"/>
      <c r="BY131" s="772" t="n"/>
      <c r="BZ131" s="772" t="n"/>
      <c r="CA131" s="772" t="n"/>
      <c r="CB131" s="772" t="n"/>
      <c r="CC131" s="772" t="n"/>
      <c r="CD131" s="772" t="n"/>
      <c r="CE131" s="772" t="n"/>
      <c r="CF131" s="772" t="n"/>
      <c r="CG131" s="772" t="n"/>
      <c r="CH131" s="772" t="n"/>
    </row>
    <row r="132">
      <c r="A132" s="1020" t="n"/>
      <c r="B132" s="772" t="n"/>
      <c r="C132" s="772" t="n"/>
      <c r="D132" s="772" t="n"/>
      <c r="E132" s="772" t="n"/>
      <c r="F132" s="772" t="n"/>
      <c r="G132" s="772" t="n"/>
      <c r="H132" s="772" t="n"/>
      <c r="I132" s="772" t="n"/>
      <c r="J132" s="772" t="n"/>
      <c r="K132" s="772" t="n"/>
      <c r="L132" s="772" t="n"/>
      <c r="M132" s="772" t="n"/>
      <c r="N132" s="772" t="n"/>
      <c r="O132" s="772" t="n"/>
      <c r="P132" s="772" t="n"/>
      <c r="Q132" s="772" t="n"/>
      <c r="R132" s="772" t="n"/>
      <c r="S132" s="772" t="n"/>
      <c r="T132" s="772" t="n"/>
      <c r="U132" s="772" t="n"/>
      <c r="V132" s="772" t="n"/>
      <c r="W132" s="772" t="n"/>
      <c r="X132" s="772" t="n"/>
      <c r="Y132" s="772" t="n"/>
      <c r="Z132" s="772" t="n"/>
      <c r="AA132" s="772" t="n"/>
      <c r="AB132" s="772" t="n"/>
      <c r="AC132" s="772" t="n"/>
      <c r="AD132" s="772" t="n"/>
      <c r="AE132" s="772" t="n"/>
      <c r="AF132" s="772" t="n"/>
      <c r="AG132" s="772" t="n"/>
      <c r="AH132" s="772" t="n"/>
      <c r="AI132" s="772" t="n"/>
      <c r="AJ132" s="772" t="n"/>
      <c r="AK132" s="772" t="n"/>
      <c r="AL132" s="772" t="n"/>
      <c r="AM132" s="772" t="n"/>
      <c r="AN132" s="772" t="n"/>
      <c r="AO132" s="772" t="n"/>
      <c r="AP132" s="772" t="n"/>
      <c r="AQ132" s="772" t="n"/>
      <c r="AR132" s="772" t="n"/>
      <c r="AS132" s="772" t="n"/>
      <c r="AT132" s="772" t="n"/>
      <c r="AU132" s="772" t="n"/>
      <c r="AV132" s="772" t="n"/>
      <c r="AW132" s="772" t="n"/>
      <c r="AX132" s="772" t="n"/>
      <c r="AY132" s="772" t="n"/>
      <c r="AZ132" s="772" t="n"/>
      <c r="BA132" s="772" t="n"/>
      <c r="BB132" s="772" t="n"/>
      <c r="BC132" s="772" t="n"/>
      <c r="BD132" s="772" t="n"/>
      <c r="BE132" s="772" t="n"/>
      <c r="BF132" s="772" t="n"/>
      <c r="BG132" s="772" t="n"/>
      <c r="BH132" s="772" t="n"/>
      <c r="BI132" s="772" t="n"/>
      <c r="BJ132" s="772" t="n"/>
      <c r="BK132" s="772" t="n"/>
      <c r="BL132" s="772" t="n"/>
      <c r="BM132" s="772" t="n"/>
      <c r="BN132" s="772" t="n"/>
      <c r="BO132" s="772" t="n"/>
      <c r="BP132" s="772" t="n"/>
      <c r="BQ132" s="772" t="n"/>
      <c r="BR132" s="772" t="n"/>
      <c r="BS132" s="772" t="n"/>
      <c r="BT132" s="772" t="n"/>
      <c r="BU132" s="772" t="n"/>
      <c r="BV132" s="772" t="n"/>
      <c r="BW132" s="772" t="n"/>
      <c r="BX132" s="772" t="n"/>
      <c r="BY132" s="772" t="n"/>
      <c r="BZ132" s="772" t="n"/>
      <c r="CA132" s="772" t="n"/>
      <c r="CB132" s="772" t="n"/>
      <c r="CC132" s="772" t="n"/>
      <c r="CD132" s="772" t="n"/>
      <c r="CE132" s="772" t="n"/>
      <c r="CF132" s="772" t="n"/>
      <c r="CG132" s="772" t="n"/>
      <c r="CH132" s="772" t="n"/>
    </row>
    <row r="133">
      <c r="A133" s="1020" t="n"/>
      <c r="B133" s="772" t="n"/>
      <c r="C133" s="772" t="n"/>
      <c r="D133" s="772" t="n"/>
      <c r="E133" s="772" t="n"/>
      <c r="F133" s="772" t="n"/>
      <c r="G133" s="772" t="n"/>
      <c r="H133" s="772" t="n"/>
      <c r="I133" s="772" t="n"/>
      <c r="J133" s="772" t="n"/>
      <c r="K133" s="772" t="n"/>
      <c r="L133" s="772" t="n"/>
      <c r="M133" s="772" t="n"/>
      <c r="N133" s="772" t="n"/>
      <c r="O133" s="772" t="n"/>
      <c r="P133" s="772" t="n"/>
      <c r="Q133" s="772" t="n"/>
      <c r="R133" s="772" t="n"/>
      <c r="S133" s="772" t="n"/>
      <c r="T133" s="772" t="n"/>
      <c r="U133" s="772" t="n"/>
      <c r="V133" s="772" t="n"/>
      <c r="W133" s="772" t="n"/>
      <c r="X133" s="772" t="n"/>
      <c r="Y133" s="772" t="n"/>
      <c r="Z133" s="772" t="n"/>
      <c r="AA133" s="772" t="n"/>
      <c r="AB133" s="772" t="n"/>
      <c r="AC133" s="772" t="n"/>
      <c r="AD133" s="772" t="n"/>
      <c r="AE133" s="772" t="n"/>
      <c r="AF133" s="772" t="n"/>
      <c r="AG133" s="772" t="n"/>
      <c r="AH133" s="772" t="n"/>
      <c r="AI133" s="772" t="n"/>
      <c r="AJ133" s="772" t="n"/>
      <c r="AK133" s="772" t="n"/>
      <c r="AL133" s="772" t="n"/>
      <c r="AM133" s="772" t="n"/>
      <c r="AN133" s="772" t="n"/>
      <c r="AO133" s="772" t="n"/>
      <c r="AP133" s="772" t="n"/>
      <c r="AQ133" s="772" t="n"/>
      <c r="AR133" s="772" t="n"/>
      <c r="AS133" s="772" t="n"/>
      <c r="AT133" s="772" t="n"/>
      <c r="AU133" s="772" t="n"/>
      <c r="AV133" s="772" t="n"/>
      <c r="AW133" s="772" t="n"/>
      <c r="AX133" s="772" t="n"/>
      <c r="AY133" s="772" t="n"/>
      <c r="AZ133" s="772" t="n"/>
      <c r="BA133" s="772" t="n"/>
      <c r="BB133" s="772" t="n"/>
      <c r="BC133" s="772" t="n"/>
      <c r="BD133" s="772" t="n"/>
      <c r="BE133" s="772" t="n"/>
      <c r="BF133" s="772" t="n"/>
      <c r="BG133" s="772" t="n"/>
      <c r="BH133" s="772" t="n"/>
      <c r="BI133" s="772" t="n"/>
      <c r="BJ133" s="772" t="n"/>
      <c r="BK133" s="772" t="n"/>
      <c r="BL133" s="772" t="n"/>
      <c r="BM133" s="772" t="n"/>
      <c r="BN133" s="772" t="n"/>
      <c r="BO133" s="772" t="n"/>
      <c r="BP133" s="772" t="n"/>
      <c r="BQ133" s="772" t="n"/>
      <c r="BR133" s="772" t="n"/>
      <c r="BS133" s="772" t="n"/>
      <c r="BT133" s="772" t="n"/>
      <c r="BU133" s="772" t="n"/>
      <c r="BV133" s="772" t="n"/>
      <c r="BW133" s="772" t="n"/>
      <c r="BX133" s="772" t="n"/>
      <c r="BY133" s="772" t="n"/>
      <c r="BZ133" s="772" t="n"/>
      <c r="CA133" s="772" t="n"/>
      <c r="CB133" s="772" t="n"/>
      <c r="CC133" s="772" t="n"/>
      <c r="CD133" s="772" t="n"/>
      <c r="CE133" s="772" t="n"/>
      <c r="CF133" s="772" t="n"/>
      <c r="CG133" s="772" t="n"/>
      <c r="CH133" s="772" t="n"/>
    </row>
    <row r="134">
      <c r="A134" s="1020" t="n"/>
      <c r="B134" s="772" t="n"/>
      <c r="C134" s="772" t="n"/>
      <c r="D134" s="772" t="n"/>
      <c r="E134" s="772" t="n"/>
      <c r="F134" s="772" t="n"/>
      <c r="G134" s="772" t="n"/>
      <c r="H134" s="772" t="n"/>
      <c r="I134" s="772" t="n"/>
      <c r="J134" s="772" t="n"/>
      <c r="K134" s="772" t="n"/>
      <c r="L134" s="772" t="n"/>
      <c r="M134" s="772" t="n"/>
      <c r="N134" s="772" t="n"/>
      <c r="O134" s="772" t="n"/>
      <c r="P134" s="772" t="n"/>
      <c r="Q134" s="772" t="n"/>
      <c r="R134" s="772" t="n"/>
      <c r="S134" s="772" t="n"/>
      <c r="T134" s="772" t="n"/>
      <c r="U134" s="772" t="n"/>
      <c r="V134" s="772" t="n"/>
      <c r="W134" s="772" t="n"/>
      <c r="X134" s="772" t="n"/>
      <c r="Y134" s="772" t="n"/>
      <c r="Z134" s="772" t="n"/>
      <c r="AA134" s="772" t="n"/>
      <c r="AB134" s="772" t="n"/>
      <c r="AC134" s="772" t="n"/>
      <c r="AD134" s="772" t="n"/>
      <c r="AE134" s="772" t="n"/>
      <c r="AF134" s="772" t="n"/>
      <c r="AG134" s="772" t="n"/>
      <c r="AH134" s="772" t="n"/>
      <c r="AI134" s="772" t="n"/>
      <c r="AJ134" s="772" t="n"/>
      <c r="AK134" s="772" t="n"/>
      <c r="AL134" s="772" t="n"/>
      <c r="AM134" s="772" t="n"/>
      <c r="AN134" s="772" t="n"/>
      <c r="AO134" s="772" t="n"/>
      <c r="AP134" s="772" t="n"/>
      <c r="AQ134" s="772" t="n"/>
      <c r="AR134" s="772" t="n"/>
      <c r="AS134" s="772" t="n"/>
      <c r="AT134" s="772" t="n"/>
      <c r="AU134" s="772" t="n"/>
      <c r="AV134" s="772" t="n"/>
      <c r="AW134" s="772" t="n"/>
      <c r="AX134" s="772" t="n"/>
      <c r="AY134" s="772" t="n"/>
      <c r="AZ134" s="772" t="n"/>
      <c r="BA134" s="772" t="n"/>
      <c r="BB134" s="772" t="n"/>
      <c r="BC134" s="772" t="n"/>
      <c r="BD134" s="772" t="n"/>
      <c r="BE134" s="772" t="n"/>
      <c r="BF134" s="772" t="n"/>
      <c r="BG134" s="772" t="n"/>
      <c r="BH134" s="772" t="n"/>
      <c r="BI134" s="772" t="n"/>
      <c r="BJ134" s="772" t="n"/>
      <c r="BK134" s="772" t="n"/>
      <c r="BL134" s="772" t="n"/>
      <c r="BM134" s="772" t="n"/>
      <c r="BN134" s="772" t="n"/>
      <c r="BO134" s="772" t="n"/>
      <c r="BP134" s="772" t="n"/>
      <c r="BQ134" s="772" t="n"/>
      <c r="BR134" s="772" t="n"/>
      <c r="BS134" s="772" t="n"/>
      <c r="BT134" s="772" t="n"/>
      <c r="BU134" s="772" t="n"/>
      <c r="BV134" s="772" t="n"/>
      <c r="BW134" s="772" t="n"/>
      <c r="BX134" s="772" t="n"/>
      <c r="BY134" s="772" t="n"/>
      <c r="BZ134" s="772" t="n"/>
      <c r="CA134" s="772" t="n"/>
      <c r="CB134" s="772" t="n"/>
      <c r="CC134" s="772" t="n"/>
      <c r="CD134" s="772" t="n"/>
      <c r="CE134" s="772" t="n"/>
      <c r="CF134" s="772" t="n"/>
      <c r="CG134" s="772" t="n"/>
      <c r="CH134" s="772" t="n"/>
    </row>
    <row r="135">
      <c r="A135" s="1020" t="n"/>
      <c r="B135" s="772" t="n"/>
      <c r="C135" s="772" t="n"/>
      <c r="D135" s="772" t="n"/>
      <c r="E135" s="772" t="n"/>
      <c r="F135" s="772" t="n"/>
      <c r="G135" s="772" t="n"/>
      <c r="H135" s="772" t="n"/>
      <c r="I135" s="772" t="n"/>
      <c r="J135" s="772" t="n"/>
      <c r="K135" s="772" t="n"/>
      <c r="L135" s="772" t="n"/>
      <c r="M135" s="772" t="n"/>
      <c r="N135" s="772" t="n"/>
      <c r="O135" s="772" t="n"/>
      <c r="P135" s="772" t="n"/>
      <c r="Q135" s="772" t="n"/>
      <c r="R135" s="772" t="n"/>
      <c r="S135" s="772" t="n"/>
      <c r="T135" s="772" t="n"/>
      <c r="U135" s="772" t="n"/>
      <c r="V135" s="772" t="n"/>
      <c r="W135" s="772" t="n"/>
      <c r="X135" s="772" t="n"/>
      <c r="Y135" s="772" t="n"/>
      <c r="Z135" s="772" t="n"/>
      <c r="AA135" s="772" t="n"/>
      <c r="AB135" s="772" t="n"/>
      <c r="AC135" s="772" t="n"/>
      <c r="AD135" s="772" t="n"/>
      <c r="AE135" s="772" t="n"/>
      <c r="AF135" s="772" t="n"/>
      <c r="AG135" s="772" t="n"/>
      <c r="AH135" s="772" t="n"/>
      <c r="AI135" s="772" t="n"/>
      <c r="AJ135" s="772" t="n"/>
      <c r="AK135" s="772" t="n"/>
      <c r="AL135" s="772" t="n"/>
      <c r="AM135" s="772" t="n"/>
      <c r="AN135" s="772" t="n"/>
      <c r="AO135" s="772" t="n"/>
      <c r="AP135" s="772" t="n"/>
      <c r="AQ135" s="772" t="n"/>
      <c r="AR135" s="772" t="n"/>
      <c r="AS135" s="772" t="n"/>
      <c r="AT135" s="772" t="n"/>
      <c r="AU135" s="772" t="n"/>
      <c r="AV135" s="772" t="n"/>
      <c r="AW135" s="772" t="n"/>
      <c r="AX135" s="772" t="n"/>
      <c r="AY135" s="772" t="n"/>
      <c r="AZ135" s="772" t="n"/>
      <c r="BA135" s="772" t="n"/>
      <c r="BB135" s="772" t="n"/>
      <c r="BC135" s="772" t="n"/>
      <c r="BD135" s="772" t="n"/>
      <c r="BE135" s="772" t="n"/>
      <c r="BF135" s="772" t="n"/>
      <c r="BG135" s="772" t="n"/>
      <c r="BH135" s="772" t="n"/>
      <c r="BI135" s="772" t="n"/>
      <c r="BJ135" s="772" t="n"/>
      <c r="BK135" s="772" t="n"/>
      <c r="BL135" s="772" t="n"/>
      <c r="BM135" s="772" t="n"/>
      <c r="BN135" s="772" t="n"/>
      <c r="BO135" s="772" t="n"/>
      <c r="BP135" s="772" t="n"/>
      <c r="BQ135" s="772" t="n"/>
      <c r="BR135" s="772" t="n"/>
      <c r="BS135" s="772" t="n"/>
      <c r="BT135" s="772" t="n"/>
      <c r="BU135" s="772" t="n"/>
      <c r="BV135" s="772" t="n"/>
      <c r="BW135" s="772" t="n"/>
      <c r="BX135" s="772" t="n"/>
      <c r="BY135" s="772" t="n"/>
      <c r="BZ135" s="772" t="n"/>
      <c r="CA135" s="772" t="n"/>
      <c r="CB135" s="772" t="n"/>
      <c r="CC135" s="772" t="n"/>
      <c r="CD135" s="772" t="n"/>
      <c r="CE135" s="772" t="n"/>
      <c r="CF135" s="772" t="n"/>
      <c r="CG135" s="772" t="n"/>
      <c r="CH135" s="772" t="n"/>
    </row>
    <row r="136">
      <c r="A136" s="1020" t="n"/>
      <c r="B136" s="772" t="n"/>
      <c r="C136" s="772" t="n"/>
      <c r="D136" s="772" t="n"/>
      <c r="E136" s="772" t="n"/>
      <c r="F136" s="772" t="n"/>
      <c r="G136" s="772" t="n"/>
      <c r="H136" s="772" t="n"/>
      <c r="I136" s="772" t="n"/>
      <c r="J136" s="772" t="n"/>
      <c r="K136" s="772" t="n"/>
      <c r="L136" s="772" t="n"/>
      <c r="M136" s="772" t="n"/>
      <c r="N136" s="772" t="n"/>
      <c r="O136" s="772" t="n"/>
      <c r="P136" s="772" t="n"/>
      <c r="Q136" s="772" t="n"/>
      <c r="R136" s="772" t="n"/>
      <c r="S136" s="772" t="n"/>
      <c r="T136" s="772" t="n"/>
      <c r="U136" s="772" t="n"/>
      <c r="V136" s="772" t="n"/>
      <c r="W136" s="772" t="n"/>
      <c r="X136" s="772" t="n"/>
      <c r="Y136" s="772" t="n"/>
      <c r="Z136" s="772" t="n"/>
      <c r="AA136" s="772" t="n"/>
      <c r="AB136" s="772" t="n"/>
      <c r="AC136" s="772" t="n"/>
      <c r="AD136" s="772" t="n"/>
      <c r="AE136" s="772" t="n"/>
      <c r="AF136" s="772" t="n"/>
      <c r="AG136" s="772" t="n"/>
      <c r="AH136" s="772" t="n"/>
      <c r="AI136" s="772" t="n"/>
      <c r="AJ136" s="772" t="n"/>
      <c r="AK136" s="772" t="n"/>
      <c r="AL136" s="772" t="n"/>
      <c r="AM136" s="772" t="n"/>
      <c r="AN136" s="772" t="n"/>
      <c r="AO136" s="772" t="n"/>
      <c r="AP136" s="772" t="n"/>
      <c r="AQ136" s="772" t="n"/>
      <c r="AR136" s="772" t="n"/>
      <c r="AS136" s="772" t="n"/>
      <c r="AT136" s="772" t="n"/>
      <c r="AU136" s="772" t="n"/>
      <c r="AV136" s="772" t="n"/>
      <c r="AW136" s="772" t="n"/>
      <c r="AX136" s="772" t="n"/>
      <c r="AY136" s="772" t="n"/>
      <c r="AZ136" s="772" t="n"/>
      <c r="BA136" s="772" t="n"/>
      <c r="BB136" s="772" t="n"/>
      <c r="BC136" s="772" t="n"/>
      <c r="BD136" s="772" t="n"/>
      <c r="BE136" s="772" t="n"/>
      <c r="BF136" s="772" t="n"/>
      <c r="BG136" s="772" t="n"/>
      <c r="BH136" s="772" t="n"/>
      <c r="BI136" s="772" t="n"/>
      <c r="BJ136" s="772" t="n"/>
      <c r="BK136" s="772" t="n"/>
      <c r="BL136" s="772" t="n"/>
      <c r="BM136" s="772" t="n"/>
      <c r="BN136" s="772" t="n"/>
      <c r="BO136" s="772" t="n"/>
      <c r="BP136" s="772" t="n"/>
      <c r="BQ136" s="772" t="n"/>
      <c r="BR136" s="772" t="n"/>
      <c r="BS136" s="772" t="n"/>
      <c r="BT136" s="772" t="n"/>
      <c r="BU136" s="772" t="n"/>
      <c r="BV136" s="772" t="n"/>
      <c r="BW136" s="772" t="n"/>
      <c r="BX136" s="772" t="n"/>
      <c r="BY136" s="772" t="n"/>
      <c r="BZ136" s="772" t="n"/>
      <c r="CA136" s="772" t="n"/>
      <c r="CB136" s="772" t="n"/>
      <c r="CC136" s="772" t="n"/>
      <c r="CD136" s="772" t="n"/>
      <c r="CE136" s="772" t="n"/>
      <c r="CF136" s="772" t="n"/>
      <c r="CG136" s="772" t="n"/>
      <c r="CH136" s="772" t="n"/>
    </row>
    <row r="137">
      <c r="A137" s="1020" t="n"/>
      <c r="B137" s="772" t="n"/>
      <c r="C137" s="772" t="n"/>
      <c r="D137" s="772" t="n"/>
      <c r="E137" s="772" t="n"/>
      <c r="F137" s="772" t="n"/>
      <c r="G137" s="772" t="n"/>
      <c r="H137" s="772" t="n"/>
      <c r="I137" s="772" t="n"/>
      <c r="J137" s="772" t="n"/>
      <c r="K137" s="772" t="n"/>
      <c r="L137" s="772" t="n"/>
      <c r="M137" s="772" t="n"/>
      <c r="N137" s="772" t="n"/>
      <c r="O137" s="772" t="n"/>
      <c r="P137" s="772" t="n"/>
      <c r="Q137" s="772" t="n"/>
      <c r="R137" s="772" t="n"/>
      <c r="S137" s="772" t="n"/>
      <c r="T137" s="772" t="n"/>
      <c r="U137" s="772" t="n"/>
      <c r="V137" s="772" t="n"/>
      <c r="W137" s="772" t="n"/>
      <c r="X137" s="772" t="n"/>
      <c r="Y137" s="772" t="n"/>
      <c r="Z137" s="772" t="n"/>
      <c r="AA137" s="772" t="n"/>
      <c r="AB137" s="772" t="n"/>
      <c r="AC137" s="772" t="n"/>
      <c r="AD137" s="772" t="n"/>
      <c r="AE137" s="772" t="n"/>
      <c r="AF137" s="772" t="n"/>
      <c r="AG137" s="772" t="n"/>
      <c r="AH137" s="772" t="n"/>
      <c r="AI137" s="772" t="n"/>
      <c r="AJ137" s="772" t="n"/>
      <c r="AK137" s="772" t="n"/>
      <c r="AL137" s="772" t="n"/>
      <c r="AM137" s="772" t="n"/>
      <c r="AN137" s="772" t="n"/>
      <c r="AO137" s="772" t="n"/>
      <c r="AP137" s="772" t="n"/>
      <c r="AQ137" s="772" t="n"/>
      <c r="AR137" s="772" t="n"/>
      <c r="AS137" s="772" t="n"/>
      <c r="AT137" s="772" t="n"/>
      <c r="AU137" s="772" t="n"/>
      <c r="AV137" s="772" t="n"/>
      <c r="AW137" s="772" t="n"/>
      <c r="AX137" s="772" t="n"/>
      <c r="AY137" s="772" t="n"/>
      <c r="AZ137" s="772" t="n"/>
      <c r="BA137" s="772" t="n"/>
      <c r="BB137" s="772" t="n"/>
      <c r="BC137" s="772" t="n"/>
      <c r="BD137" s="772" t="n"/>
      <c r="BE137" s="772" t="n"/>
      <c r="BF137" s="772" t="n"/>
      <c r="BG137" s="772" t="n"/>
      <c r="BH137" s="772" t="n"/>
      <c r="BI137" s="772" t="n"/>
      <c r="BJ137" s="772" t="n"/>
      <c r="BK137" s="772" t="n"/>
      <c r="BL137" s="772" t="n"/>
      <c r="BM137" s="772" t="n"/>
      <c r="BN137" s="772" t="n"/>
      <c r="BO137" s="772" t="n"/>
      <c r="BP137" s="772" t="n"/>
      <c r="BQ137" s="772" t="n"/>
      <c r="BR137" s="772" t="n"/>
      <c r="BS137" s="772" t="n"/>
      <c r="BT137" s="772" t="n"/>
      <c r="BU137" s="772" t="n"/>
      <c r="BV137" s="772" t="n"/>
      <c r="BW137" s="772" t="n"/>
      <c r="BX137" s="772" t="n"/>
      <c r="BY137" s="772" t="n"/>
      <c r="BZ137" s="772" t="n"/>
      <c r="CA137" s="772" t="n"/>
      <c r="CB137" s="772" t="n"/>
      <c r="CC137" s="772" t="n"/>
      <c r="CD137" s="772" t="n"/>
      <c r="CE137" s="772" t="n"/>
      <c r="CF137" s="772" t="n"/>
      <c r="CG137" s="772" t="n"/>
      <c r="CH137" s="772" t="n"/>
    </row>
    <row r="138">
      <c r="A138" s="1020" t="n"/>
      <c r="B138" s="772" t="n"/>
      <c r="C138" s="772" t="n"/>
      <c r="D138" s="772" t="n"/>
      <c r="E138" s="772" t="n"/>
      <c r="F138" s="772" t="n"/>
      <c r="G138" s="772" t="n"/>
      <c r="H138" s="772" t="n"/>
      <c r="I138" s="772" t="n"/>
      <c r="J138" s="772" t="n"/>
      <c r="K138" s="772" t="n"/>
      <c r="L138" s="772" t="n"/>
      <c r="M138" s="772" t="n"/>
      <c r="N138" s="772" t="n"/>
      <c r="O138" s="772" t="n"/>
      <c r="P138" s="772" t="n"/>
      <c r="Q138" s="772" t="n"/>
      <c r="R138" s="772" t="n"/>
      <c r="S138" s="772" t="n"/>
      <c r="T138" s="772" t="n"/>
      <c r="U138" s="772" t="n"/>
      <c r="V138" s="772" t="n"/>
      <c r="W138" s="772" t="n"/>
      <c r="X138" s="772" t="n"/>
      <c r="Y138" s="772" t="n"/>
      <c r="Z138" s="772" t="n"/>
      <c r="AA138" s="772" t="n"/>
      <c r="AB138" s="772" t="n"/>
      <c r="AC138" s="772" t="n"/>
      <c r="AD138" s="772" t="n"/>
      <c r="AE138" s="772" t="n"/>
      <c r="AF138" s="772" t="n"/>
      <c r="AG138" s="772" t="n"/>
      <c r="AH138" s="772" t="n"/>
      <c r="AI138" s="772" t="n"/>
      <c r="AJ138" s="772" t="n"/>
      <c r="AK138" s="772" t="n"/>
      <c r="AL138" s="772" t="n"/>
      <c r="AM138" s="772" t="n"/>
      <c r="AN138" s="772" t="n"/>
      <c r="AO138" s="772" t="n"/>
      <c r="AP138" s="772" t="n"/>
      <c r="AQ138" s="772" t="n"/>
      <c r="AR138" s="772" t="n"/>
      <c r="AS138" s="772" t="n"/>
      <c r="AT138" s="772" t="n"/>
      <c r="AU138" s="772" t="n"/>
      <c r="AV138" s="772" t="n"/>
      <c r="AW138" s="772" t="n"/>
      <c r="AX138" s="772" t="n"/>
      <c r="AY138" s="772" t="n"/>
      <c r="AZ138" s="772" t="n"/>
      <c r="BA138" s="772" t="n"/>
      <c r="BB138" s="772" t="n"/>
      <c r="BC138" s="772" t="n"/>
      <c r="BD138" s="772" t="n"/>
      <c r="BE138" s="772" t="n"/>
      <c r="BF138" s="772" t="n"/>
      <c r="BG138" s="772" t="n"/>
      <c r="BH138" s="772" t="n"/>
      <c r="BI138" s="772" t="n"/>
      <c r="BJ138" s="772" t="n"/>
      <c r="BK138" s="772" t="n"/>
      <c r="BL138" s="772" t="n"/>
      <c r="BM138" s="772" t="n"/>
      <c r="BN138" s="772" t="n"/>
      <c r="BO138" s="772" t="n"/>
      <c r="BP138" s="772" t="n"/>
      <c r="BQ138" s="772" t="n"/>
      <c r="BR138" s="772" t="n"/>
      <c r="BS138" s="772" t="n"/>
      <c r="BT138" s="772" t="n"/>
      <c r="BU138" s="772" t="n"/>
      <c r="BV138" s="772" t="n"/>
      <c r="BW138" s="772" t="n"/>
      <c r="BX138" s="772" t="n"/>
      <c r="BY138" s="772" t="n"/>
      <c r="BZ138" s="772" t="n"/>
      <c r="CA138" s="772" t="n"/>
      <c r="CB138" s="772" t="n"/>
      <c r="CC138" s="772" t="n"/>
      <c r="CD138" s="772" t="n"/>
      <c r="CE138" s="772" t="n"/>
      <c r="CF138" s="772" t="n"/>
      <c r="CG138" s="772" t="n"/>
      <c r="CH138" s="772" t="n"/>
    </row>
    <row r="139">
      <c r="A139" s="1020" t="n"/>
      <c r="B139" s="772" t="n"/>
      <c r="C139" s="772" t="n"/>
      <c r="D139" s="772" t="n"/>
      <c r="E139" s="772" t="n"/>
      <c r="F139" s="772" t="n"/>
      <c r="G139" s="772" t="n"/>
      <c r="H139" s="772" t="n"/>
      <c r="I139" s="772" t="n"/>
      <c r="J139" s="772" t="n"/>
      <c r="K139" s="772" t="n"/>
      <c r="L139" s="772" t="n"/>
      <c r="M139" s="772" t="n"/>
      <c r="N139" s="772" t="n"/>
      <c r="O139" s="772" t="n"/>
      <c r="P139" s="772" t="n"/>
      <c r="Q139" s="772" t="n"/>
      <c r="R139" s="772" t="n"/>
      <c r="S139" s="772" t="n"/>
      <c r="T139" s="772" t="n"/>
      <c r="U139" s="772" t="n"/>
      <c r="V139" s="772" t="n"/>
      <c r="W139" s="772" t="n"/>
      <c r="X139" s="772" t="n"/>
      <c r="Y139" s="772" t="n"/>
      <c r="Z139" s="772" t="n"/>
      <c r="AA139" s="772" t="n"/>
      <c r="AB139" s="772" t="n"/>
      <c r="AC139" s="772" t="n"/>
      <c r="AD139" s="772" t="n"/>
      <c r="AE139" s="772" t="n"/>
      <c r="AF139" s="772" t="n"/>
      <c r="AG139" s="772" t="n"/>
      <c r="AH139" s="772" t="n"/>
      <c r="AI139" s="772" t="n"/>
      <c r="AJ139" s="772" t="n"/>
      <c r="AK139" s="772" t="n"/>
      <c r="AL139" s="772" t="n"/>
      <c r="AM139" s="772" t="n"/>
      <c r="AN139" s="772" t="n"/>
      <c r="AO139" s="772" t="n"/>
      <c r="AP139" s="772" t="n"/>
      <c r="AQ139" s="772" t="n"/>
      <c r="AR139" s="772" t="n"/>
      <c r="AS139" s="772" t="n"/>
      <c r="AT139" s="772" t="n"/>
      <c r="AU139" s="772" t="n"/>
      <c r="AV139" s="772" t="n"/>
      <c r="AW139" s="772" t="n"/>
      <c r="AX139" s="772" t="n"/>
      <c r="AY139" s="772" t="n"/>
      <c r="AZ139" s="772" t="n"/>
      <c r="BA139" s="772" t="n"/>
      <c r="BB139" s="772" t="n"/>
      <c r="BC139" s="772" t="n"/>
      <c r="BD139" s="772" t="n"/>
      <c r="BE139" s="772" t="n"/>
      <c r="BF139" s="772" t="n"/>
      <c r="BG139" s="772" t="n"/>
      <c r="BH139" s="772" t="n"/>
      <c r="BI139" s="772" t="n"/>
      <c r="BJ139" s="772" t="n"/>
      <c r="BK139" s="772" t="n"/>
      <c r="BL139" s="772" t="n"/>
      <c r="BM139" s="772" t="n"/>
      <c r="BN139" s="772" t="n"/>
      <c r="BO139" s="772" t="n"/>
      <c r="BP139" s="772" t="n"/>
      <c r="BQ139" s="772" t="n"/>
      <c r="BR139" s="772" t="n"/>
      <c r="BS139" s="772" t="n"/>
      <c r="BT139" s="772" t="n"/>
      <c r="BU139" s="772" t="n"/>
      <c r="BV139" s="772" t="n"/>
      <c r="BW139" s="772" t="n"/>
      <c r="BX139" s="772" t="n"/>
      <c r="BY139" s="772" t="n"/>
      <c r="BZ139" s="772" t="n"/>
      <c r="CA139" s="772" t="n"/>
      <c r="CB139" s="772" t="n"/>
      <c r="CC139" s="772" t="n"/>
      <c r="CD139" s="772" t="n"/>
      <c r="CE139" s="772" t="n"/>
      <c r="CF139" s="772" t="n"/>
      <c r="CG139" s="772" t="n"/>
      <c r="CH139" s="772" t="n"/>
    </row>
    <row r="140">
      <c r="A140" s="1020" t="n"/>
      <c r="B140" s="772" t="n"/>
      <c r="C140" s="772" t="n"/>
      <c r="D140" s="772" t="n"/>
      <c r="E140" s="772" t="n"/>
      <c r="F140" s="772" t="n"/>
      <c r="G140" s="772" t="n"/>
      <c r="H140" s="772" t="n"/>
      <c r="I140" s="772" t="n"/>
      <c r="J140" s="772" t="n"/>
      <c r="K140" s="772" t="n"/>
      <c r="L140" s="772" t="n"/>
      <c r="M140" s="772" t="n"/>
      <c r="N140" s="772" t="n"/>
      <c r="O140" s="772" t="n"/>
      <c r="P140" s="772" t="n"/>
      <c r="Q140" s="772" t="n"/>
      <c r="R140" s="772" t="n"/>
      <c r="S140" s="772" t="n"/>
      <c r="T140" s="772" t="n"/>
      <c r="U140" s="772" t="n"/>
      <c r="V140" s="772" t="n"/>
      <c r="W140" s="772" t="n"/>
      <c r="X140" s="772" t="n"/>
      <c r="Y140" s="772" t="n"/>
      <c r="Z140" s="772" t="n"/>
      <c r="AA140" s="772" t="n"/>
      <c r="AB140" s="772" t="n"/>
      <c r="AC140" s="772" t="n"/>
      <c r="AD140" s="772" t="n"/>
      <c r="AE140" s="772" t="n"/>
      <c r="AF140" s="772" t="n"/>
      <c r="AG140" s="772" t="n"/>
      <c r="AH140" s="772" t="n"/>
      <c r="AI140" s="772" t="n"/>
      <c r="AJ140" s="772" t="n"/>
      <c r="AK140" s="772" t="n"/>
      <c r="AL140" s="772" t="n"/>
      <c r="AM140" s="772" t="n"/>
      <c r="AN140" s="772" t="n"/>
      <c r="AO140" s="772" t="n"/>
      <c r="AP140" s="772" t="n"/>
      <c r="AQ140" s="772" t="n"/>
      <c r="AR140" s="772" t="n"/>
      <c r="AS140" s="772" t="n"/>
      <c r="AT140" s="772" t="n"/>
      <c r="AU140" s="772" t="n"/>
      <c r="AV140" s="772" t="n"/>
      <c r="AW140" s="772" t="n"/>
      <c r="AX140" s="772" t="n"/>
      <c r="AY140" s="772" t="n"/>
      <c r="AZ140" s="772" t="n"/>
      <c r="BA140" s="772" t="n"/>
      <c r="BB140" s="772" t="n"/>
      <c r="BC140" s="772" t="n"/>
      <c r="BD140" s="772" t="n"/>
      <c r="BE140" s="772" t="n"/>
      <c r="BF140" s="772" t="n"/>
      <c r="BG140" s="772" t="n"/>
      <c r="BH140" s="772" t="n"/>
      <c r="BI140" s="772" t="n"/>
      <c r="BJ140" s="772" t="n"/>
      <c r="BK140" s="772" t="n"/>
      <c r="BL140" s="772" t="n"/>
      <c r="BM140" s="772" t="n"/>
      <c r="BN140" s="772" t="n"/>
      <c r="BO140" s="772" t="n"/>
      <c r="BP140" s="772" t="n"/>
      <c r="BQ140" s="772" t="n"/>
      <c r="BR140" s="772" t="n"/>
      <c r="BS140" s="772" t="n"/>
      <c r="BT140" s="772" t="n"/>
      <c r="BU140" s="772" t="n"/>
      <c r="BV140" s="772" t="n"/>
      <c r="BW140" s="772" t="n"/>
      <c r="BX140" s="772" t="n"/>
      <c r="BY140" s="772" t="n"/>
      <c r="BZ140" s="772" t="n"/>
      <c r="CA140" s="772" t="n"/>
      <c r="CB140" s="772" t="n"/>
      <c r="CC140" s="772" t="n"/>
      <c r="CD140" s="772" t="n"/>
      <c r="CE140" s="772" t="n"/>
      <c r="CF140" s="772" t="n"/>
      <c r="CG140" s="772" t="n"/>
      <c r="CH140" s="772" t="n"/>
    </row>
    <row r="141">
      <c r="A141" s="1020" t="n"/>
      <c r="B141" s="772" t="n"/>
      <c r="C141" s="772" t="n"/>
      <c r="D141" s="772" t="n"/>
      <c r="E141" s="772" t="n"/>
      <c r="F141" s="772" t="n"/>
      <c r="G141" s="772" t="n"/>
      <c r="H141" s="772" t="n"/>
      <c r="I141" s="772" t="n"/>
      <c r="J141" s="772" t="n"/>
      <c r="K141" s="772" t="n"/>
      <c r="L141" s="772" t="n"/>
      <c r="M141" s="772" t="n"/>
      <c r="N141" s="772" t="n"/>
      <c r="O141" s="772" t="n"/>
      <c r="P141" s="772" t="n"/>
      <c r="Q141" s="772" t="n"/>
      <c r="R141" s="772" t="n"/>
      <c r="S141" s="772" t="n"/>
      <c r="T141" s="772" t="n"/>
      <c r="U141" s="772" t="n"/>
      <c r="V141" s="772" t="n"/>
      <c r="W141" s="772" t="n"/>
      <c r="X141" s="772" t="n"/>
      <c r="Y141" s="772" t="n"/>
      <c r="Z141" s="772" t="n"/>
      <c r="AA141" s="772" t="n"/>
      <c r="AB141" s="772" t="n"/>
      <c r="AC141" s="772" t="n"/>
      <c r="AD141" s="772" t="n"/>
      <c r="AE141" s="772" t="n"/>
      <c r="AF141" s="772" t="n"/>
      <c r="AG141" s="772" t="n"/>
      <c r="AH141" s="772" t="n"/>
      <c r="AI141" s="772" t="n"/>
      <c r="AJ141" s="772" t="n"/>
      <c r="AK141" s="772" t="n"/>
      <c r="AL141" s="772" t="n"/>
      <c r="AM141" s="772" t="n"/>
      <c r="AN141" s="772" t="n"/>
      <c r="AO141" s="772" t="n"/>
      <c r="AP141" s="772" t="n"/>
      <c r="AQ141" s="772" t="n"/>
      <c r="AR141" s="772" t="n"/>
      <c r="AS141" s="772" t="n"/>
      <c r="AT141" s="772" t="n"/>
      <c r="AU141" s="772" t="n"/>
      <c r="AV141" s="772" t="n"/>
      <c r="AW141" s="772" t="n"/>
      <c r="AX141" s="772" t="n"/>
      <c r="AY141" s="772" t="n"/>
      <c r="AZ141" s="772" t="n"/>
      <c r="BA141" s="772" t="n"/>
      <c r="BB141" s="772" t="n"/>
      <c r="BC141" s="772" t="n"/>
      <c r="BD141" s="772" t="n"/>
      <c r="BE141" s="772" t="n"/>
      <c r="BF141" s="772" t="n"/>
      <c r="BG141" s="772" t="n"/>
      <c r="BH141" s="772" t="n"/>
      <c r="BI141" s="772" t="n"/>
      <c r="BJ141" s="772" t="n"/>
      <c r="BK141" s="772" t="n"/>
      <c r="BL141" s="772" t="n"/>
      <c r="BM141" s="772" t="n"/>
      <c r="BN141" s="772" t="n"/>
      <c r="BO141" s="772" t="n"/>
      <c r="BP141" s="772" t="n"/>
      <c r="BQ141" s="772" t="n"/>
      <c r="BR141" s="772" t="n"/>
      <c r="BS141" s="772" t="n"/>
      <c r="BT141" s="772" t="n"/>
      <c r="BU141" s="772" t="n"/>
      <c r="BV141" s="772" t="n"/>
      <c r="BW141" s="772" t="n"/>
      <c r="BX141" s="772" t="n"/>
      <c r="BY141" s="772" t="n"/>
      <c r="BZ141" s="772" t="n"/>
      <c r="CA141" s="772" t="n"/>
      <c r="CB141" s="772" t="n"/>
      <c r="CC141" s="772" t="n"/>
      <c r="CD141" s="772" t="n"/>
      <c r="CE141" s="772" t="n"/>
      <c r="CF141" s="772" t="n"/>
      <c r="CG141" s="772" t="n"/>
      <c r="CH141" s="772" t="n"/>
    </row>
    <row r="142">
      <c r="A142" s="1020" t="n"/>
      <c r="B142" s="772" t="n"/>
      <c r="C142" s="772" t="n"/>
      <c r="D142" s="772" t="n"/>
      <c r="E142" s="772" t="n"/>
      <c r="F142" s="772" t="n"/>
      <c r="G142" s="772" t="n"/>
      <c r="H142" s="772" t="n"/>
      <c r="I142" s="772" t="n"/>
      <c r="J142" s="772" t="n"/>
      <c r="K142" s="772" t="n"/>
      <c r="L142" s="772" t="n"/>
      <c r="M142" s="772" t="n"/>
      <c r="N142" s="772" t="n"/>
      <c r="O142" s="772" t="n"/>
      <c r="P142" s="772" t="n"/>
      <c r="Q142" s="772" t="n"/>
      <c r="R142" s="772" t="n"/>
      <c r="S142" s="772" t="n"/>
      <c r="T142" s="772" t="n"/>
      <c r="U142" s="772" t="n"/>
      <c r="V142" s="772" t="n"/>
      <c r="W142" s="772" t="n"/>
      <c r="X142" s="772" t="n"/>
      <c r="Y142" s="772" t="n"/>
      <c r="Z142" s="772" t="n"/>
      <c r="AA142" s="772" t="n"/>
      <c r="AB142" s="772" t="n"/>
      <c r="AC142" s="772" t="n"/>
      <c r="AD142" s="772" t="n"/>
      <c r="AE142" s="772" t="n"/>
      <c r="AF142" s="772" t="n"/>
      <c r="AG142" s="772" t="n"/>
      <c r="AH142" s="772" t="n"/>
      <c r="AI142" s="772" t="n"/>
      <c r="AJ142" s="772" t="n"/>
      <c r="AK142" s="772" t="n"/>
      <c r="AL142" s="772" t="n"/>
      <c r="AM142" s="772" t="n"/>
      <c r="AN142" s="772" t="n"/>
      <c r="AO142" s="772" t="n"/>
      <c r="AP142" s="772" t="n"/>
      <c r="AQ142" s="772" t="n"/>
      <c r="AR142" s="772" t="n"/>
      <c r="AS142" s="772" t="n"/>
      <c r="AT142" s="772" t="n"/>
      <c r="AU142" s="772" t="n"/>
      <c r="AV142" s="772" t="n"/>
      <c r="AW142" s="772" t="n"/>
      <c r="AX142" s="772" t="n"/>
      <c r="AY142" s="772" t="n"/>
      <c r="AZ142" s="772" t="n"/>
      <c r="BA142" s="772" t="n"/>
      <c r="BB142" s="772" t="n"/>
      <c r="BC142" s="772" t="n"/>
      <c r="BD142" s="772" t="n"/>
      <c r="BE142" s="772" t="n"/>
      <c r="BF142" s="772" t="n"/>
      <c r="BG142" s="772" t="n"/>
      <c r="BH142" s="772" t="n"/>
      <c r="BI142" s="772" t="n"/>
      <c r="BJ142" s="772" t="n"/>
      <c r="BK142" s="772" t="n"/>
      <c r="BL142" s="772" t="n"/>
      <c r="BM142" s="772" t="n"/>
      <c r="BN142" s="772" t="n"/>
      <c r="BO142" s="772" t="n"/>
      <c r="BP142" s="772" t="n"/>
      <c r="BQ142" s="772" t="n"/>
      <c r="BR142" s="772" t="n"/>
      <c r="BS142" s="772" t="n"/>
      <c r="BT142" s="772" t="n"/>
      <c r="BU142" s="772" t="n"/>
      <c r="BV142" s="772" t="n"/>
      <c r="BW142" s="772" t="n"/>
      <c r="BX142" s="772" t="n"/>
      <c r="BY142" s="772" t="n"/>
      <c r="BZ142" s="772" t="n"/>
      <c r="CA142" s="772" t="n"/>
      <c r="CB142" s="772" t="n"/>
      <c r="CC142" s="772" t="n"/>
      <c r="CD142" s="772" t="n"/>
      <c r="CE142" s="772" t="n"/>
      <c r="CF142" s="772" t="n"/>
      <c r="CG142" s="772" t="n"/>
      <c r="CH142" s="772" t="n"/>
    </row>
    <row r="143">
      <c r="A143" s="1020" t="n"/>
      <c r="B143" s="772" t="n"/>
      <c r="C143" s="772" t="n"/>
      <c r="D143" s="772" t="n"/>
      <c r="E143" s="772" t="n"/>
      <c r="F143" s="772" t="n"/>
      <c r="G143" s="772" t="n"/>
      <c r="H143" s="772" t="n"/>
      <c r="I143" s="772" t="n"/>
      <c r="J143" s="772" t="n"/>
      <c r="K143" s="772" t="n"/>
      <c r="L143" s="772" t="n"/>
      <c r="M143" s="772" t="n"/>
      <c r="N143" s="772" t="n"/>
      <c r="O143" s="772" t="n"/>
      <c r="P143" s="772" t="n"/>
      <c r="Q143" s="772" t="n"/>
      <c r="R143" s="772" t="n"/>
      <c r="S143" s="772" t="n"/>
      <c r="T143" s="772" t="n"/>
      <c r="U143" s="772" t="n"/>
      <c r="V143" s="772" t="n"/>
      <c r="W143" s="772" t="n"/>
      <c r="X143" s="772" t="n"/>
      <c r="Y143" s="772" t="n"/>
      <c r="Z143" s="772" t="n"/>
      <c r="AA143" s="772" t="n"/>
      <c r="AB143" s="772" t="n"/>
      <c r="AC143" s="772" t="n"/>
      <c r="AD143" s="772" t="n"/>
      <c r="AE143" s="772" t="n"/>
      <c r="AF143" s="772" t="n"/>
      <c r="AG143" s="772" t="n"/>
      <c r="AH143" s="772" t="n"/>
      <c r="AI143" s="772" t="n"/>
      <c r="AJ143" s="772" t="n"/>
      <c r="AK143" s="772" t="n"/>
      <c r="AL143" s="772" t="n"/>
      <c r="AM143" s="772" t="n"/>
      <c r="AN143" s="772" t="n"/>
      <c r="AO143" s="772" t="n"/>
      <c r="AP143" s="772" t="n"/>
      <c r="AQ143" s="772" t="n"/>
      <c r="AR143" s="772" t="n"/>
      <c r="AS143" s="772" t="n"/>
      <c r="AT143" s="772" t="n"/>
      <c r="AU143" s="772" t="n"/>
      <c r="AV143" s="772" t="n"/>
      <c r="AW143" s="772" t="n"/>
      <c r="AX143" s="772" t="n"/>
      <c r="AY143" s="772" t="n"/>
      <c r="AZ143" s="772" t="n"/>
      <c r="BA143" s="772" t="n"/>
      <c r="BB143" s="772" t="n"/>
      <c r="BC143" s="772" t="n"/>
      <c r="BD143" s="772" t="n"/>
      <c r="BE143" s="772" t="n"/>
      <c r="BF143" s="772" t="n"/>
      <c r="BG143" s="772" t="n"/>
      <c r="BH143" s="772" t="n"/>
      <c r="BI143" s="772" t="n"/>
      <c r="BJ143" s="772" t="n"/>
      <c r="BK143" s="772" t="n"/>
      <c r="BL143" s="772" t="n"/>
      <c r="BM143" s="772" t="n"/>
      <c r="BN143" s="772" t="n"/>
      <c r="BO143" s="772" t="n"/>
      <c r="BP143" s="772" t="n"/>
      <c r="BQ143" s="772" t="n"/>
      <c r="BR143" s="772" t="n"/>
      <c r="BS143" s="772" t="n"/>
      <c r="BT143" s="772" t="n"/>
      <c r="BU143" s="772" t="n"/>
      <c r="BV143" s="772" t="n"/>
      <c r="BW143" s="772" t="n"/>
      <c r="BX143" s="772" t="n"/>
      <c r="BY143" s="772" t="n"/>
      <c r="BZ143" s="772" t="n"/>
      <c r="CA143" s="772" t="n"/>
      <c r="CB143" s="772" t="n"/>
      <c r="CC143" s="772" t="n"/>
      <c r="CD143" s="772" t="n"/>
      <c r="CE143" s="772" t="n"/>
      <c r="CF143" s="772" t="n"/>
      <c r="CG143" s="772" t="n"/>
      <c r="CH143" s="772" t="n"/>
    </row>
    <row r="144">
      <c r="A144" s="1020" t="n"/>
      <c r="B144" s="772" t="n"/>
      <c r="C144" s="772" t="n"/>
      <c r="D144" s="772" t="n"/>
      <c r="E144" s="772" t="n"/>
      <c r="F144" s="772" t="n"/>
      <c r="G144" s="772" t="n"/>
      <c r="H144" s="772" t="n"/>
      <c r="I144" s="772" t="n"/>
      <c r="J144" s="772" t="n"/>
      <c r="K144" s="772" t="n"/>
      <c r="L144" s="772" t="n"/>
      <c r="M144" s="772" t="n"/>
      <c r="N144" s="772" t="n"/>
      <c r="O144" s="772" t="n"/>
      <c r="P144" s="772" t="n"/>
      <c r="Q144" s="772" t="n"/>
      <c r="R144" s="772" t="n"/>
      <c r="S144" s="772" t="n"/>
      <c r="T144" s="772" t="n"/>
      <c r="U144" s="772" t="n"/>
      <c r="V144" s="772" t="n"/>
      <c r="W144" s="772" t="n"/>
      <c r="X144" s="772" t="n"/>
      <c r="Y144" s="772" t="n"/>
      <c r="Z144" s="772" t="n"/>
      <c r="AA144" s="772" t="n"/>
      <c r="AB144" s="772" t="n"/>
      <c r="AC144" s="772" t="n"/>
      <c r="AD144" s="772" t="n"/>
      <c r="AE144" s="772" t="n"/>
      <c r="AF144" s="772" t="n"/>
      <c r="AG144" s="772" t="n"/>
      <c r="AH144" s="772" t="n"/>
      <c r="AI144" s="772" t="n"/>
      <c r="AJ144" s="772" t="n"/>
      <c r="AK144" s="772" t="n"/>
      <c r="AL144" s="772" t="n"/>
      <c r="AM144" s="772" t="n"/>
      <c r="AN144" s="772" t="n"/>
      <c r="AO144" s="772" t="n"/>
      <c r="AP144" s="772" t="n"/>
      <c r="AQ144" s="772" t="n"/>
      <c r="AR144" s="772" t="n"/>
      <c r="AS144" s="772" t="n"/>
      <c r="AT144" s="772" t="n"/>
      <c r="AU144" s="772" t="n"/>
      <c r="AV144" s="772" t="n"/>
      <c r="AW144" s="772" t="n"/>
      <c r="AX144" s="772" t="n"/>
      <c r="AY144" s="772" t="n"/>
      <c r="AZ144" s="772" t="n"/>
      <c r="BA144" s="772" t="n"/>
      <c r="BB144" s="772" t="n"/>
      <c r="BC144" s="772" t="n"/>
      <c r="BD144" s="772" t="n"/>
      <c r="BE144" s="772" t="n"/>
      <c r="BF144" s="772" t="n"/>
      <c r="BG144" s="772" t="n"/>
      <c r="BH144" s="772" t="n"/>
      <c r="BI144" s="772" t="n"/>
      <c r="BJ144" s="772" t="n"/>
      <c r="BK144" s="772" t="n"/>
      <c r="BL144" s="772" t="n"/>
      <c r="BM144" s="772" t="n"/>
      <c r="BN144" s="772" t="n"/>
      <c r="BO144" s="772" t="n"/>
      <c r="BP144" s="772" t="n"/>
      <c r="BQ144" s="772" t="n"/>
      <c r="BR144" s="772" t="n"/>
      <c r="BS144" s="772" t="n"/>
      <c r="BT144" s="772" t="n"/>
      <c r="BU144" s="772" t="n"/>
      <c r="BV144" s="772" t="n"/>
      <c r="BW144" s="772" t="n"/>
      <c r="BX144" s="772" t="n"/>
      <c r="BY144" s="772" t="n"/>
      <c r="BZ144" s="772" t="n"/>
      <c r="CA144" s="772" t="n"/>
      <c r="CB144" s="772" t="n"/>
      <c r="CC144" s="772" t="n"/>
      <c r="CD144" s="772" t="n"/>
      <c r="CE144" s="772" t="n"/>
      <c r="CF144" s="772" t="n"/>
      <c r="CG144" s="772" t="n"/>
      <c r="CH144" s="772" t="n"/>
    </row>
    <row r="145">
      <c r="A145" s="1020" t="n"/>
      <c r="B145" s="772" t="n"/>
      <c r="C145" s="772" t="n"/>
      <c r="D145" s="772" t="n"/>
      <c r="E145" s="772" t="n"/>
      <c r="F145" s="772" t="n"/>
      <c r="G145" s="772" t="n"/>
      <c r="H145" s="772" t="n"/>
      <c r="I145" s="772" t="n"/>
      <c r="J145" s="772" t="n"/>
      <c r="K145" s="772" t="n"/>
      <c r="L145" s="772" t="n"/>
      <c r="M145" s="772" t="n"/>
      <c r="N145" s="772" t="n"/>
      <c r="O145" s="772" t="n"/>
      <c r="P145" s="772" t="n"/>
      <c r="Q145" s="772" t="n"/>
      <c r="R145" s="772" t="n"/>
      <c r="S145" s="772" t="n"/>
      <c r="T145" s="772" t="n"/>
      <c r="U145" s="772" t="n"/>
      <c r="V145" s="772" t="n"/>
      <c r="W145" s="772" t="n"/>
      <c r="X145" s="772" t="n"/>
      <c r="Y145" s="772" t="n"/>
      <c r="Z145" s="772" t="n"/>
      <c r="AA145" s="772" t="n"/>
      <c r="AB145" s="772" t="n"/>
      <c r="AC145" s="772" t="n"/>
      <c r="AD145" s="772" t="n"/>
      <c r="AE145" s="772" t="n"/>
      <c r="AF145" s="772" t="n"/>
      <c r="AG145" s="772" t="n"/>
      <c r="AH145" s="772" t="n"/>
      <c r="AI145" s="772" t="n"/>
      <c r="AJ145" s="772" t="n"/>
      <c r="AK145" s="772" t="n"/>
      <c r="AL145" s="772" t="n"/>
      <c r="AM145" s="772" t="n"/>
      <c r="AN145" s="772" t="n"/>
      <c r="AO145" s="772" t="n"/>
      <c r="AP145" s="772" t="n"/>
      <c r="AQ145" s="772" t="n"/>
      <c r="AR145" s="772" t="n"/>
      <c r="AS145" s="772" t="n"/>
      <c r="AT145" s="772" t="n"/>
      <c r="AU145" s="772" t="n"/>
      <c r="AV145" s="772" t="n"/>
      <c r="AW145" s="772" t="n"/>
      <c r="AX145" s="772" t="n"/>
      <c r="AY145" s="772" t="n"/>
      <c r="AZ145" s="772" t="n"/>
      <c r="BA145" s="772" t="n"/>
      <c r="BB145" s="772" t="n"/>
      <c r="BC145" s="772" t="n"/>
      <c r="BD145" s="772" t="n"/>
      <c r="BE145" s="772" t="n"/>
      <c r="BF145" s="772" t="n"/>
      <c r="BG145" s="772" t="n"/>
      <c r="BH145" s="772" t="n"/>
      <c r="BI145" s="772" t="n"/>
      <c r="BJ145" s="772" t="n"/>
      <c r="BK145" s="772" t="n"/>
      <c r="BL145" s="772" t="n"/>
      <c r="BM145" s="772" t="n"/>
      <c r="BN145" s="772" t="n"/>
      <c r="BO145" s="772" t="n"/>
      <c r="BP145" s="772" t="n"/>
      <c r="BQ145" s="772" t="n"/>
      <c r="BR145" s="772" t="n"/>
      <c r="BS145" s="772" t="n"/>
      <c r="BT145" s="772" t="n"/>
      <c r="BU145" s="772" t="n"/>
      <c r="BV145" s="772" t="n"/>
      <c r="BW145" s="772" t="n"/>
      <c r="BX145" s="772" t="n"/>
      <c r="BY145" s="772" t="n"/>
      <c r="BZ145" s="772" t="n"/>
      <c r="CA145" s="772" t="n"/>
      <c r="CB145" s="772" t="n"/>
      <c r="CC145" s="772" t="n"/>
      <c r="CD145" s="772" t="n"/>
      <c r="CE145" s="772" t="n"/>
      <c r="CF145" s="772" t="n"/>
      <c r="CG145" s="772" t="n"/>
      <c r="CH145" s="772" t="n"/>
    </row>
    <row r="146">
      <c r="A146" s="1020" t="n"/>
      <c r="B146" s="772" t="n"/>
      <c r="C146" s="772" t="n"/>
      <c r="D146" s="772" t="n"/>
      <c r="E146" s="772" t="n"/>
      <c r="F146" s="772" t="n"/>
      <c r="G146" s="772" t="n"/>
      <c r="H146" s="772" t="n"/>
      <c r="I146" s="772" t="n"/>
      <c r="J146" s="772" t="n"/>
      <c r="K146" s="772" t="n"/>
      <c r="L146" s="772" t="n"/>
      <c r="M146" s="772" t="n"/>
      <c r="N146" s="772" t="n"/>
      <c r="O146" s="772" t="n"/>
      <c r="P146" s="772" t="n"/>
      <c r="Q146" s="772" t="n"/>
      <c r="R146" s="772" t="n"/>
      <c r="S146" s="772" t="n"/>
      <c r="T146" s="772" t="n"/>
      <c r="U146" s="772" t="n"/>
      <c r="V146" s="772" t="n"/>
      <c r="W146" s="772" t="n"/>
      <c r="X146" s="772" t="n"/>
      <c r="Y146" s="772" t="n"/>
      <c r="Z146" s="772" t="n"/>
      <c r="AA146" s="772" t="n"/>
      <c r="AB146" s="772" t="n"/>
      <c r="AC146" s="772" t="n"/>
      <c r="AD146" s="772" t="n"/>
      <c r="AE146" s="772" t="n"/>
      <c r="AF146" s="772" t="n"/>
      <c r="AG146" s="772" t="n"/>
      <c r="AH146" s="772" t="n"/>
      <c r="AI146" s="772" t="n"/>
      <c r="AJ146" s="772" t="n"/>
      <c r="AK146" s="772" t="n"/>
      <c r="AL146" s="772" t="n"/>
      <c r="AM146" s="772" t="n"/>
      <c r="AN146" s="772" t="n"/>
      <c r="AO146" s="772" t="n"/>
      <c r="AP146" s="772" t="n"/>
      <c r="AQ146" s="772" t="n"/>
      <c r="AR146" s="772" t="n"/>
      <c r="AS146" s="772" t="n"/>
      <c r="AT146" s="772" t="n"/>
      <c r="AU146" s="772" t="n"/>
      <c r="AV146" s="772" t="n"/>
      <c r="AW146" s="772" t="n"/>
      <c r="AX146" s="772" t="n"/>
      <c r="AY146" s="772" t="n"/>
      <c r="AZ146" s="772" t="n"/>
      <c r="BA146" s="772" t="n"/>
      <c r="BB146" s="772" t="n"/>
      <c r="BC146" s="772" t="n"/>
      <c r="BD146" s="772" t="n"/>
      <c r="BE146" s="772" t="n"/>
      <c r="BF146" s="772" t="n"/>
      <c r="BG146" s="772" t="n"/>
      <c r="BH146" s="772" t="n"/>
      <c r="BI146" s="772" t="n"/>
      <c r="BJ146" s="772" t="n"/>
      <c r="BK146" s="772" t="n"/>
      <c r="BL146" s="772" t="n"/>
      <c r="BM146" s="772" t="n"/>
      <c r="BN146" s="772" t="n"/>
      <c r="BO146" s="772" t="n"/>
      <c r="BP146" s="772" t="n"/>
      <c r="BQ146" s="772" t="n"/>
      <c r="BR146" s="772" t="n"/>
      <c r="BS146" s="772" t="n"/>
      <c r="BT146" s="772" t="n"/>
      <c r="BU146" s="772" t="n"/>
      <c r="BV146" s="772" t="n"/>
      <c r="BW146" s="772" t="n"/>
      <c r="BX146" s="772" t="n"/>
      <c r="BY146" s="772" t="n"/>
      <c r="BZ146" s="772" t="n"/>
      <c r="CA146" s="772" t="n"/>
      <c r="CB146" s="772" t="n"/>
      <c r="CC146" s="772" t="n"/>
      <c r="CD146" s="772" t="n"/>
      <c r="CE146" s="772" t="n"/>
      <c r="CF146" s="772" t="n"/>
      <c r="CG146" s="772" t="n"/>
      <c r="CH146" s="772" t="n"/>
    </row>
    <row r="147">
      <c r="A147" s="1020" t="n"/>
      <c r="B147" s="772" t="n"/>
      <c r="C147" s="772" t="n"/>
      <c r="D147" s="772" t="n"/>
      <c r="E147" s="772" t="n"/>
      <c r="F147" s="772" t="n"/>
      <c r="G147" s="772" t="n"/>
      <c r="H147" s="772" t="n"/>
      <c r="I147" s="772" t="n"/>
      <c r="J147" s="772" t="n"/>
      <c r="K147" s="772" t="n"/>
      <c r="L147" s="772" t="n"/>
      <c r="M147" s="772" t="n"/>
      <c r="N147" s="772" t="n"/>
      <c r="O147" s="772" t="n"/>
      <c r="P147" s="772" t="n"/>
      <c r="Q147" s="772" t="n"/>
      <c r="R147" s="772" t="n"/>
      <c r="S147" s="772" t="n"/>
      <c r="T147" s="772" t="n"/>
      <c r="U147" s="772" t="n"/>
      <c r="V147" s="772" t="n"/>
      <c r="W147" s="772" t="n"/>
      <c r="X147" s="772" t="n"/>
      <c r="Y147" s="772" t="n"/>
      <c r="Z147" s="772" t="n"/>
      <c r="AA147" s="772" t="n"/>
      <c r="AB147" s="772" t="n"/>
      <c r="AC147" s="772" t="n"/>
      <c r="AD147" s="772" t="n"/>
      <c r="AE147" s="772" t="n"/>
      <c r="AF147" s="772" t="n"/>
      <c r="AG147" s="772" t="n"/>
      <c r="AH147" s="772" t="n"/>
      <c r="AI147" s="772" t="n"/>
      <c r="AJ147" s="772" t="n"/>
      <c r="AK147" s="772" t="n"/>
      <c r="AL147" s="772" t="n"/>
      <c r="AM147" s="772" t="n"/>
      <c r="AN147" s="772" t="n"/>
      <c r="AO147" s="772" t="n"/>
      <c r="AP147" s="772" t="n"/>
      <c r="AQ147" s="772" t="n"/>
      <c r="AR147" s="772" t="n"/>
      <c r="AS147" s="772" t="n"/>
      <c r="AT147" s="772" t="n"/>
      <c r="AU147" s="772" t="n"/>
      <c r="AV147" s="772" t="n"/>
      <c r="AW147" s="772" t="n"/>
      <c r="AX147" s="772" t="n"/>
      <c r="AY147" s="772" t="n"/>
      <c r="AZ147" s="772" t="n"/>
      <c r="BA147" s="772" t="n"/>
      <c r="BB147" s="772" t="n"/>
      <c r="BC147" s="772" t="n"/>
      <c r="BD147" s="772" t="n"/>
      <c r="BE147" s="772" t="n"/>
      <c r="BF147" s="772" t="n"/>
      <c r="BG147" s="772" t="n"/>
      <c r="BH147" s="772" t="n"/>
      <c r="BI147" s="772" t="n"/>
      <c r="BJ147" s="772" t="n"/>
      <c r="BK147" s="772" t="n"/>
      <c r="BL147" s="772" t="n"/>
      <c r="BM147" s="772" t="n"/>
      <c r="BN147" s="772" t="n"/>
      <c r="BO147" s="772" t="n"/>
      <c r="BP147" s="772" t="n"/>
      <c r="BQ147" s="772" t="n"/>
      <c r="BR147" s="772" t="n"/>
      <c r="BS147" s="772" t="n"/>
      <c r="BT147" s="772" t="n"/>
      <c r="BU147" s="772" t="n"/>
      <c r="BV147" s="772" t="n"/>
      <c r="BW147" s="772" t="n"/>
      <c r="BX147" s="772" t="n"/>
      <c r="BY147" s="772" t="n"/>
      <c r="BZ147" s="772" t="n"/>
      <c r="CA147" s="772" t="n"/>
      <c r="CB147" s="772" t="n"/>
      <c r="CC147" s="772" t="n"/>
      <c r="CD147" s="772" t="n"/>
      <c r="CE147" s="772" t="n"/>
      <c r="CF147" s="772" t="n"/>
      <c r="CG147" s="772" t="n"/>
      <c r="CH147" s="772" t="n"/>
    </row>
    <row r="148">
      <c r="A148" s="1020" t="n"/>
      <c r="B148" s="772" t="n"/>
      <c r="C148" s="772" t="n"/>
      <c r="D148" s="772" t="n"/>
      <c r="E148" s="772" t="n"/>
      <c r="F148" s="772" t="n"/>
      <c r="G148" s="772" t="n"/>
      <c r="H148" s="772" t="n"/>
      <c r="I148" s="772" t="n"/>
      <c r="J148" s="772" t="n"/>
      <c r="K148" s="772" t="n"/>
      <c r="L148" s="772" t="n"/>
      <c r="M148" s="772" t="n"/>
      <c r="N148" s="772" t="n"/>
      <c r="O148" s="772" t="n"/>
      <c r="P148" s="772" t="n"/>
      <c r="Q148" s="772" t="n"/>
      <c r="R148" s="772" t="n"/>
      <c r="S148" s="772" t="n"/>
      <c r="T148" s="772" t="n"/>
      <c r="U148" s="772" t="n"/>
      <c r="V148" s="772" t="n"/>
      <c r="W148" s="772" t="n"/>
      <c r="X148" s="772" t="n"/>
      <c r="Y148" s="772" t="n"/>
      <c r="Z148" s="772" t="n"/>
      <c r="AA148" s="772" t="n"/>
      <c r="AB148" s="772" t="n"/>
      <c r="AC148" s="772" t="n"/>
      <c r="AD148" s="772" t="n"/>
      <c r="AE148" s="772" t="n"/>
      <c r="AF148" s="772" t="n"/>
      <c r="AG148" s="772" t="n"/>
      <c r="AH148" s="772" t="n"/>
      <c r="AI148" s="772" t="n"/>
      <c r="AJ148" s="772" t="n"/>
      <c r="AK148" s="772" t="n"/>
      <c r="AL148" s="772" t="n"/>
      <c r="AM148" s="772" t="n"/>
      <c r="AN148" s="772" t="n"/>
      <c r="AO148" s="772" t="n"/>
      <c r="AP148" s="772" t="n"/>
      <c r="AQ148" s="772" t="n"/>
      <c r="AR148" s="772" t="n"/>
      <c r="AS148" s="772" t="n"/>
      <c r="AT148" s="772" t="n"/>
      <c r="AU148" s="772" t="n"/>
      <c r="AV148" s="772" t="n"/>
      <c r="AW148" s="772" t="n"/>
      <c r="AX148" s="772" t="n"/>
      <c r="AY148" s="772" t="n"/>
      <c r="AZ148" s="772" t="n"/>
      <c r="BA148" s="772" t="n"/>
      <c r="BB148" s="772" t="n"/>
      <c r="BC148" s="772" t="n"/>
      <c r="BD148" s="772" t="n"/>
      <c r="BE148" s="772" t="n"/>
      <c r="BF148" s="772" t="n"/>
      <c r="BG148" s="772" t="n"/>
      <c r="BH148" s="772" t="n"/>
      <c r="BI148" s="772" t="n"/>
      <c r="BJ148" s="772" t="n"/>
      <c r="BK148" s="772" t="n"/>
      <c r="BL148" s="772" t="n"/>
      <c r="BM148" s="772" t="n"/>
      <c r="BN148" s="772" t="n"/>
      <c r="BO148" s="772" t="n"/>
      <c r="BP148" s="772" t="n"/>
      <c r="BQ148" s="772" t="n"/>
      <c r="BR148" s="772" t="n"/>
      <c r="BS148" s="772" t="n"/>
      <c r="BT148" s="772" t="n"/>
      <c r="BU148" s="772" t="n"/>
      <c r="BV148" s="772" t="n"/>
      <c r="BW148" s="772" t="n"/>
      <c r="BX148" s="772" t="n"/>
      <c r="BY148" s="772" t="n"/>
      <c r="BZ148" s="772" t="n"/>
      <c r="CA148" s="772" t="n"/>
      <c r="CB148" s="772" t="n"/>
      <c r="CC148" s="772" t="n"/>
      <c r="CD148" s="772" t="n"/>
      <c r="CE148" s="772" t="n"/>
      <c r="CF148" s="772" t="n"/>
      <c r="CG148" s="772" t="n"/>
      <c r="CH148" s="772" t="n"/>
    </row>
    <row r="149">
      <c r="A149" s="1020" t="n"/>
      <c r="B149" s="772" t="n"/>
      <c r="C149" s="772" t="n"/>
      <c r="D149" s="772" t="n"/>
      <c r="E149" s="772" t="n"/>
      <c r="F149" s="772" t="n"/>
      <c r="G149" s="772" t="n"/>
      <c r="H149" s="772" t="n"/>
      <c r="I149" s="772" t="n"/>
      <c r="J149" s="772" t="n"/>
      <c r="K149" s="772" t="n"/>
      <c r="L149" s="772" t="n"/>
      <c r="M149" s="772" t="n"/>
      <c r="N149" s="772" t="n"/>
      <c r="O149" s="772" t="n"/>
      <c r="P149" s="772" t="n"/>
      <c r="Q149" s="772" t="n"/>
      <c r="R149" s="772" t="n"/>
      <c r="S149" s="772" t="n"/>
      <c r="T149" s="772" t="n"/>
      <c r="U149" s="772" t="n"/>
      <c r="V149" s="772" t="n"/>
      <c r="W149" s="772" t="n"/>
      <c r="X149" s="772" t="n"/>
      <c r="Y149" s="772" t="n"/>
      <c r="Z149" s="772" t="n"/>
      <c r="AA149" s="772" t="n"/>
      <c r="AB149" s="772" t="n"/>
      <c r="AC149" s="772" t="n"/>
      <c r="AD149" s="772" t="n"/>
      <c r="AE149" s="772" t="n"/>
      <c r="AF149" s="772" t="n"/>
      <c r="AG149" s="772" t="n"/>
      <c r="AH149" s="772" t="n"/>
      <c r="AI149" s="772" t="n"/>
      <c r="AJ149" s="772" t="n"/>
      <c r="AK149" s="772" t="n"/>
      <c r="AL149" s="772" t="n"/>
      <c r="AM149" s="772" t="n"/>
      <c r="AN149" s="772" t="n"/>
      <c r="AO149" s="772" t="n"/>
      <c r="AP149" s="772" t="n"/>
      <c r="AQ149" s="772" t="n"/>
      <c r="AR149" s="772" t="n"/>
      <c r="AS149" s="772" t="n"/>
      <c r="AT149" s="772" t="n"/>
      <c r="AU149" s="772" t="n"/>
      <c r="AV149" s="772" t="n"/>
      <c r="AW149" s="772" t="n"/>
      <c r="AX149" s="772" t="n"/>
      <c r="AY149" s="772" t="n"/>
      <c r="AZ149" s="772" t="n"/>
      <c r="BA149" s="772" t="n"/>
      <c r="BB149" s="772" t="n"/>
      <c r="BC149" s="772" t="n"/>
      <c r="BD149" s="772" t="n"/>
      <c r="BE149" s="772" t="n"/>
      <c r="BF149" s="772" t="n"/>
      <c r="BG149" s="772" t="n"/>
      <c r="BH149" s="772" t="n"/>
      <c r="BI149" s="772" t="n"/>
      <c r="BJ149" s="772" t="n"/>
      <c r="BK149" s="772" t="n"/>
      <c r="BL149" s="772" t="n"/>
      <c r="BM149" s="772" t="n"/>
      <c r="BN149" s="772" t="n"/>
      <c r="BO149" s="772" t="n"/>
      <c r="BP149" s="772" t="n"/>
      <c r="BQ149" s="772" t="n"/>
      <c r="BR149" s="772" t="n"/>
      <c r="BS149" s="772" t="n"/>
      <c r="BT149" s="772" t="n"/>
      <c r="BU149" s="772" t="n"/>
      <c r="BV149" s="772" t="n"/>
      <c r="BW149" s="772" t="n"/>
      <c r="BX149" s="772" t="n"/>
      <c r="BY149" s="772" t="n"/>
      <c r="BZ149" s="772" t="n"/>
      <c r="CA149" s="772" t="n"/>
      <c r="CB149" s="772" t="n"/>
      <c r="CC149" s="772" t="n"/>
      <c r="CD149" s="772" t="n"/>
      <c r="CE149" s="772" t="n"/>
      <c r="CF149" s="772" t="n"/>
      <c r="CG149" s="772" t="n"/>
      <c r="CH149" s="772" t="n"/>
    </row>
    <row r="150">
      <c r="A150" s="1020" t="n"/>
      <c r="B150" s="772" t="n"/>
      <c r="C150" s="772" t="n"/>
      <c r="D150" s="772" t="n"/>
      <c r="E150" s="772" t="n"/>
      <c r="F150" s="772" t="n"/>
      <c r="G150" s="772" t="n"/>
      <c r="H150" s="772" t="n"/>
      <c r="I150" s="772" t="n"/>
      <c r="J150" s="772" t="n"/>
      <c r="K150" s="772" t="n"/>
      <c r="L150" s="772" t="n"/>
      <c r="M150" s="772" t="n"/>
      <c r="N150" s="772" t="n"/>
      <c r="O150" s="772" t="n"/>
      <c r="P150" s="772" t="n"/>
      <c r="Q150" s="772" t="n"/>
      <c r="R150" s="772" t="n"/>
      <c r="S150" s="772" t="n"/>
      <c r="T150" s="772" t="n"/>
      <c r="U150" s="772" t="n"/>
      <c r="V150" s="772" t="n"/>
      <c r="W150" s="772" t="n"/>
      <c r="X150" s="772" t="n"/>
      <c r="Y150" s="772" t="n"/>
      <c r="Z150" s="772" t="n"/>
      <c r="AA150" s="772" t="n"/>
      <c r="AB150" s="772" t="n"/>
      <c r="AC150" s="772" t="n"/>
      <c r="AD150" s="772" t="n"/>
      <c r="AE150" s="772" t="n"/>
      <c r="AF150" s="772" t="n"/>
      <c r="AG150" s="772" t="n"/>
      <c r="AH150" s="772" t="n"/>
      <c r="AI150" s="772" t="n"/>
      <c r="AJ150" s="772" t="n"/>
      <c r="AK150" s="772" t="n"/>
      <c r="AL150" s="772" t="n"/>
      <c r="AM150" s="772" t="n"/>
      <c r="AN150" s="772" t="n"/>
      <c r="AO150" s="772" t="n"/>
      <c r="AP150" s="772" t="n"/>
      <c r="AQ150" s="772" t="n"/>
      <c r="AR150" s="772" t="n"/>
      <c r="AS150" s="772" t="n"/>
      <c r="AT150" s="772" t="n"/>
      <c r="AU150" s="772" t="n"/>
      <c r="AV150" s="772" t="n"/>
      <c r="AW150" s="772" t="n"/>
      <c r="AX150" s="772" t="n"/>
      <c r="AY150" s="772" t="n"/>
      <c r="AZ150" s="772" t="n"/>
      <c r="BA150" s="772" t="n"/>
      <c r="BB150" s="772" t="n"/>
      <c r="BC150" s="772" t="n"/>
      <c r="BD150" s="772" t="n"/>
      <c r="BE150" s="772" t="n"/>
      <c r="BF150" s="772" t="n"/>
      <c r="BG150" s="772" t="n"/>
      <c r="BH150" s="772" t="n"/>
      <c r="BI150" s="772" t="n"/>
      <c r="BJ150" s="772" t="n"/>
      <c r="BK150" s="772" t="n"/>
      <c r="BL150" s="772" t="n"/>
      <c r="BM150" s="772" t="n"/>
      <c r="BN150" s="772" t="n"/>
      <c r="BO150" s="772" t="n"/>
      <c r="BP150" s="772" t="n"/>
      <c r="BQ150" s="772" t="n"/>
      <c r="BR150" s="772" t="n"/>
      <c r="BS150" s="772" t="n"/>
      <c r="BT150" s="772" t="n"/>
      <c r="BU150" s="772" t="n"/>
      <c r="BV150" s="772" t="n"/>
      <c r="BW150" s="772" t="n"/>
      <c r="BX150" s="772" t="n"/>
      <c r="BY150" s="772" t="n"/>
      <c r="BZ150" s="772" t="n"/>
      <c r="CA150" s="772" t="n"/>
      <c r="CB150" s="772" t="n"/>
      <c r="CC150" s="772" t="n"/>
      <c r="CD150" s="772" t="n"/>
      <c r="CE150" s="772" t="n"/>
      <c r="CF150" s="772" t="n"/>
      <c r="CG150" s="772" t="n"/>
      <c r="CH150" s="772" t="n"/>
    </row>
    <row r="151">
      <c r="A151" s="1020" t="n"/>
      <c r="B151" s="772" t="n"/>
      <c r="C151" s="772" t="n"/>
      <c r="D151" s="772" t="n"/>
      <c r="E151" s="772" t="n"/>
      <c r="F151" s="772" t="n"/>
      <c r="G151" s="772" t="n"/>
      <c r="H151" s="772" t="n"/>
      <c r="I151" s="772" t="n"/>
      <c r="J151" s="772" t="n"/>
      <c r="K151" s="772" t="n"/>
      <c r="L151" s="772" t="n"/>
      <c r="M151" s="772" t="n"/>
      <c r="N151" s="772" t="n"/>
      <c r="O151" s="772" t="n"/>
      <c r="P151" s="772" t="n"/>
      <c r="Q151" s="772" t="n"/>
      <c r="R151" s="772" t="n"/>
      <c r="S151" s="772" t="n"/>
      <c r="T151" s="772" t="n"/>
      <c r="U151" s="772" t="n"/>
      <c r="V151" s="772" t="n"/>
      <c r="W151" s="772" t="n"/>
      <c r="X151" s="772" t="n"/>
      <c r="Y151" s="772" t="n"/>
      <c r="Z151" s="772" t="n"/>
      <c r="AA151" s="772" t="n"/>
      <c r="AB151" s="772" t="n"/>
      <c r="AC151" s="772" t="n"/>
      <c r="AD151" s="772" t="n"/>
      <c r="AE151" s="772" t="n"/>
      <c r="AF151" s="772" t="n"/>
      <c r="AG151" s="772" t="n"/>
      <c r="AH151" s="772" t="n"/>
      <c r="AI151" s="772" t="n"/>
      <c r="AJ151" s="772" t="n"/>
      <c r="AK151" s="772" t="n"/>
      <c r="AL151" s="772" t="n"/>
      <c r="AM151" s="772" t="n"/>
      <c r="AN151" s="772" t="n"/>
      <c r="AO151" s="772" t="n"/>
      <c r="AP151" s="772" t="n"/>
      <c r="AQ151" s="772" t="n"/>
      <c r="AR151" s="772" t="n"/>
      <c r="AS151" s="772" t="n"/>
      <c r="AT151" s="772" t="n"/>
      <c r="AU151" s="772" t="n"/>
      <c r="AV151" s="772" t="n"/>
      <c r="AW151" s="772" t="n"/>
      <c r="AX151" s="772" t="n"/>
      <c r="AY151" s="772" t="n"/>
      <c r="AZ151" s="772" t="n"/>
      <c r="BA151" s="772" t="n"/>
      <c r="BB151" s="772" t="n"/>
      <c r="BC151" s="772" t="n"/>
      <c r="BD151" s="772" t="n"/>
      <c r="BE151" s="772" t="n"/>
      <c r="BF151" s="772" t="n"/>
      <c r="BG151" s="772" t="n"/>
      <c r="BH151" s="772" t="n"/>
      <c r="BI151" s="772" t="n"/>
      <c r="BJ151" s="772" t="n"/>
      <c r="BK151" s="772" t="n"/>
      <c r="BL151" s="772" t="n"/>
      <c r="BM151" s="772" t="n"/>
      <c r="BN151" s="772" t="n"/>
      <c r="BO151" s="772" t="n"/>
      <c r="BP151" s="772" t="n"/>
      <c r="BQ151" s="772" t="n"/>
      <c r="BR151" s="772" t="n"/>
      <c r="BS151" s="772" t="n"/>
      <c r="BT151" s="772" t="n"/>
      <c r="BU151" s="772" t="n"/>
      <c r="BV151" s="772" t="n"/>
      <c r="BW151" s="772" t="n"/>
      <c r="BX151" s="772" t="n"/>
      <c r="BY151" s="772" t="n"/>
      <c r="BZ151" s="772" t="n"/>
      <c r="CA151" s="772" t="n"/>
      <c r="CB151" s="772" t="n"/>
      <c r="CC151" s="772" t="n"/>
      <c r="CD151" s="772" t="n"/>
      <c r="CE151" s="772" t="n"/>
      <c r="CF151" s="772" t="n"/>
      <c r="CG151" s="772" t="n"/>
      <c r="CH151" s="772" t="n"/>
    </row>
    <row r="152">
      <c r="A152" s="1020" t="n"/>
      <c r="B152" s="772" t="n"/>
      <c r="C152" s="772" t="n"/>
      <c r="D152" s="772" t="n"/>
      <c r="E152" s="772" t="n"/>
      <c r="F152" s="772" t="n"/>
      <c r="G152" s="772" t="n"/>
      <c r="H152" s="772" t="n"/>
      <c r="I152" s="772" t="n"/>
      <c r="J152" s="772" t="n"/>
      <c r="K152" s="772" t="n"/>
      <c r="L152" s="772" t="n"/>
      <c r="M152" s="772" t="n"/>
      <c r="N152" s="772" t="n"/>
      <c r="O152" s="772" t="n"/>
      <c r="P152" s="772" t="n"/>
      <c r="Q152" s="772" t="n"/>
      <c r="R152" s="772" t="n"/>
      <c r="S152" s="772" t="n"/>
      <c r="T152" s="772" t="n"/>
      <c r="U152" s="772" t="n"/>
      <c r="V152" s="772" t="n"/>
      <c r="W152" s="772" t="n"/>
      <c r="X152" s="772" t="n"/>
      <c r="Y152" s="772" t="n"/>
      <c r="Z152" s="772" t="n"/>
      <c r="AA152" s="772" t="n"/>
      <c r="AB152" s="772" t="n"/>
      <c r="AC152" s="772" t="n"/>
      <c r="AD152" s="772" t="n"/>
      <c r="AE152" s="772" t="n"/>
      <c r="AF152" s="772" t="n"/>
      <c r="AG152" s="772" t="n"/>
      <c r="AH152" s="772" t="n"/>
      <c r="AI152" s="772" t="n"/>
      <c r="AJ152" s="772" t="n"/>
      <c r="AK152" s="772" t="n"/>
      <c r="AL152" s="772" t="n"/>
      <c r="AM152" s="772" t="n"/>
      <c r="AN152" s="772" t="n"/>
      <c r="AO152" s="772" t="n"/>
      <c r="AP152" s="772" t="n"/>
      <c r="AQ152" s="772" t="n"/>
      <c r="AR152" s="772" t="n"/>
      <c r="AS152" s="772" t="n"/>
      <c r="AT152" s="772" t="n"/>
      <c r="AU152" s="772" t="n"/>
      <c r="AV152" s="772" t="n"/>
      <c r="AW152" s="772" t="n"/>
      <c r="AX152" s="772" t="n"/>
      <c r="AY152" s="772" t="n"/>
      <c r="AZ152" s="772" t="n"/>
      <c r="BA152" s="772" t="n"/>
      <c r="BB152" s="772" t="n"/>
      <c r="BC152" s="772" t="n"/>
      <c r="BD152" s="772" t="n"/>
      <c r="BE152" s="772" t="n"/>
      <c r="BF152" s="772" t="n"/>
      <c r="BG152" s="772" t="n"/>
      <c r="BH152" s="772" t="n"/>
      <c r="BI152" s="772" t="n"/>
      <c r="BJ152" s="772" t="n"/>
      <c r="BK152" s="772" t="n"/>
      <c r="BL152" s="772" t="n"/>
      <c r="BM152" s="772" t="n"/>
      <c r="BN152" s="772" t="n"/>
      <c r="BO152" s="772" t="n"/>
      <c r="BP152" s="772" t="n"/>
      <c r="BQ152" s="772" t="n"/>
      <c r="BR152" s="772" t="n"/>
      <c r="BS152" s="772" t="n"/>
      <c r="BT152" s="772" t="n"/>
      <c r="BU152" s="772" t="n"/>
      <c r="BV152" s="772" t="n"/>
      <c r="BW152" s="772" t="n"/>
      <c r="BX152" s="772" t="n"/>
      <c r="BY152" s="772" t="n"/>
      <c r="BZ152" s="772" t="n"/>
      <c r="CA152" s="772" t="n"/>
      <c r="CB152" s="772" t="n"/>
      <c r="CC152" s="772" t="n"/>
      <c r="CD152" s="772" t="n"/>
      <c r="CE152" s="772" t="n"/>
      <c r="CF152" s="772" t="n"/>
      <c r="CG152" s="772" t="n"/>
      <c r="CH152" s="772" t="n"/>
    </row>
    <row r="153">
      <c r="A153" s="1020" t="n"/>
      <c r="B153" s="772" t="n"/>
      <c r="C153" s="772" t="n"/>
      <c r="D153" s="772" t="n"/>
      <c r="E153" s="772" t="n"/>
      <c r="F153" s="772" t="n"/>
      <c r="G153" s="772" t="n"/>
      <c r="H153" s="772" t="n"/>
      <c r="I153" s="772" t="n"/>
      <c r="J153" s="772" t="n"/>
      <c r="K153" s="772" t="n"/>
      <c r="L153" s="772" t="n"/>
      <c r="M153" s="772" t="n"/>
      <c r="N153" s="772" t="n"/>
      <c r="O153" s="772" t="n"/>
      <c r="P153" s="772" t="n"/>
      <c r="Q153" s="772" t="n"/>
      <c r="R153" s="772" t="n"/>
      <c r="S153" s="772" t="n"/>
      <c r="T153" s="772" t="n"/>
      <c r="U153" s="772" t="n"/>
      <c r="V153" s="772" t="n"/>
      <c r="W153" s="772" t="n"/>
      <c r="X153" s="772" t="n"/>
      <c r="Y153" s="772" t="n"/>
      <c r="Z153" s="772" t="n"/>
      <c r="AA153" s="772" t="n"/>
      <c r="AB153" s="772" t="n"/>
      <c r="AC153" s="772" t="n"/>
      <c r="AD153" s="772" t="n"/>
      <c r="AE153" s="772" t="n"/>
      <c r="AF153" s="772" t="n"/>
      <c r="AG153" s="772" t="n"/>
      <c r="AH153" s="772" t="n"/>
      <c r="AI153" s="772" t="n"/>
      <c r="AJ153" s="772" t="n"/>
      <c r="AK153" s="772" t="n"/>
      <c r="AL153" s="772" t="n"/>
      <c r="AM153" s="772" t="n"/>
      <c r="AN153" s="772" t="n"/>
      <c r="AO153" s="772" t="n"/>
      <c r="AP153" s="772" t="n"/>
      <c r="AQ153" s="772" t="n"/>
      <c r="AR153" s="772" t="n"/>
      <c r="AS153" s="772" t="n"/>
      <c r="AT153" s="772" t="n"/>
      <c r="AU153" s="772" t="n"/>
      <c r="AV153" s="772" t="n"/>
      <c r="AW153" s="772" t="n"/>
      <c r="AX153" s="772" t="n"/>
      <c r="AY153" s="772" t="n"/>
      <c r="AZ153" s="772" t="n"/>
      <c r="BA153" s="772" t="n"/>
      <c r="BB153" s="772" t="n"/>
      <c r="BC153" s="772" t="n"/>
      <c r="BD153" s="772" t="n"/>
      <c r="BE153" s="772" t="n"/>
      <c r="BF153" s="772" t="n"/>
      <c r="BG153" s="772" t="n"/>
      <c r="BH153" s="772" t="n"/>
      <c r="BI153" s="772" t="n"/>
      <c r="BJ153" s="772" t="n"/>
      <c r="BK153" s="772" t="n"/>
      <c r="BL153" s="772" t="n"/>
      <c r="BM153" s="772" t="n"/>
      <c r="BN153" s="772" t="n"/>
      <c r="BO153" s="772" t="n"/>
      <c r="BP153" s="772" t="n"/>
      <c r="BQ153" s="772" t="n"/>
      <c r="BR153" s="772" t="n"/>
      <c r="BS153" s="772" t="n"/>
      <c r="BT153" s="772" t="n"/>
      <c r="BU153" s="772" t="n"/>
      <c r="BV153" s="772" t="n"/>
      <c r="BW153" s="772" t="n"/>
      <c r="BX153" s="772" t="n"/>
      <c r="BY153" s="772" t="n"/>
      <c r="BZ153" s="772" t="n"/>
      <c r="CA153" s="772" t="n"/>
      <c r="CB153" s="772" t="n"/>
      <c r="CC153" s="772" t="n"/>
      <c r="CD153" s="772" t="n"/>
      <c r="CE153" s="772" t="n"/>
      <c r="CF153" s="772" t="n"/>
      <c r="CG153" s="772" t="n"/>
      <c r="CH153" s="772" t="n"/>
    </row>
    <row r="154">
      <c r="A154" s="1020" t="n"/>
      <c r="B154" s="772" t="n"/>
      <c r="C154" s="772" t="n"/>
      <c r="D154" s="772" t="n"/>
      <c r="E154" s="772" t="n"/>
      <c r="F154" s="772" t="n"/>
      <c r="G154" s="772" t="n"/>
      <c r="H154" s="772" t="n"/>
      <c r="I154" s="772" t="n"/>
      <c r="J154" s="772" t="n"/>
      <c r="K154" s="772" t="n"/>
      <c r="L154" s="772" t="n"/>
      <c r="M154" s="772" t="n"/>
      <c r="N154" s="772" t="n"/>
      <c r="O154" s="772" t="n"/>
      <c r="P154" s="772" t="n"/>
      <c r="Q154" s="772" t="n"/>
      <c r="R154" s="772" t="n"/>
      <c r="S154" s="772" t="n"/>
      <c r="T154" s="772" t="n"/>
      <c r="U154" s="772" t="n"/>
      <c r="V154" s="772" t="n"/>
      <c r="W154" s="772" t="n"/>
      <c r="X154" s="772" t="n"/>
      <c r="Y154" s="772" t="n"/>
      <c r="Z154" s="772" t="n"/>
      <c r="AA154" s="772" t="n"/>
      <c r="AB154" s="772" t="n"/>
      <c r="AC154" s="772" t="n"/>
      <c r="AD154" s="772" t="n"/>
      <c r="AE154" s="772" t="n"/>
      <c r="AF154" s="772" t="n"/>
      <c r="AG154" s="772" t="n"/>
      <c r="AH154" s="772" t="n"/>
      <c r="AI154" s="772" t="n"/>
      <c r="AJ154" s="772" t="n"/>
      <c r="AK154" s="772" t="n"/>
      <c r="AL154" s="772" t="n"/>
      <c r="AM154" s="772" t="n"/>
      <c r="AN154" s="772" t="n"/>
      <c r="AO154" s="772" t="n"/>
      <c r="AP154" s="772" t="n"/>
      <c r="AQ154" s="772" t="n"/>
      <c r="AR154" s="772" t="n"/>
      <c r="AS154" s="772" t="n"/>
      <c r="AT154" s="772" t="n"/>
      <c r="AU154" s="772" t="n"/>
      <c r="AV154" s="772" t="n"/>
      <c r="AW154" s="772" t="n"/>
      <c r="AX154" s="772" t="n"/>
      <c r="AY154" s="772" t="n"/>
      <c r="AZ154" s="772" t="n"/>
      <c r="BA154" s="772" t="n"/>
      <c r="BB154" s="772" t="n"/>
      <c r="BC154" s="772" t="n"/>
      <c r="BD154" s="772" t="n"/>
      <c r="BE154" s="772" t="n"/>
      <c r="BF154" s="772" t="n"/>
      <c r="BG154" s="772" t="n"/>
      <c r="BH154" s="772" t="n"/>
      <c r="BI154" s="772" t="n"/>
      <c r="BJ154" s="772" t="n"/>
      <c r="BK154" s="772" t="n"/>
      <c r="BL154" s="772" t="n"/>
      <c r="BM154" s="772" t="n"/>
      <c r="BN154" s="772" t="n"/>
      <c r="BO154" s="772" t="n"/>
      <c r="BP154" s="772" t="n"/>
      <c r="BQ154" s="772" t="n"/>
      <c r="BR154" s="772" t="n"/>
      <c r="BS154" s="772" t="n"/>
      <c r="BT154" s="772" t="n"/>
      <c r="BU154" s="772" t="n"/>
      <c r="BV154" s="772" t="n"/>
      <c r="BW154" s="772" t="n"/>
      <c r="BX154" s="772" t="n"/>
      <c r="BY154" s="772" t="n"/>
      <c r="BZ154" s="772" t="n"/>
      <c r="CA154" s="772" t="n"/>
      <c r="CB154" s="772" t="n"/>
      <c r="CC154" s="772" t="n"/>
      <c r="CD154" s="772" t="n"/>
      <c r="CE154" s="772" t="n"/>
      <c r="CF154" s="772" t="n"/>
      <c r="CG154" s="772" t="n"/>
      <c r="CH154" s="772" t="n"/>
    </row>
    <row r="155">
      <c r="A155" s="1020" t="n"/>
      <c r="B155" s="772" t="n"/>
      <c r="C155" s="772" t="n"/>
      <c r="D155" s="772" t="n"/>
      <c r="E155" s="772" t="n"/>
      <c r="F155" s="772" t="n"/>
      <c r="G155" s="772" t="n"/>
      <c r="H155" s="772" t="n"/>
      <c r="I155" s="772" t="n"/>
      <c r="J155" s="772" t="n"/>
      <c r="K155" s="772" t="n"/>
      <c r="L155" s="772" t="n"/>
      <c r="M155" s="772" t="n"/>
      <c r="N155" s="772" t="n"/>
      <c r="O155" s="772" t="n"/>
      <c r="P155" s="772" t="n"/>
      <c r="Q155" s="772" t="n"/>
      <c r="R155" s="772" t="n"/>
      <c r="S155" s="772" t="n"/>
      <c r="T155" s="772" t="n"/>
      <c r="U155" s="772" t="n"/>
      <c r="V155" s="772" t="n"/>
      <c r="W155" s="772" t="n"/>
      <c r="X155" s="772" t="n"/>
      <c r="Y155" s="772" t="n"/>
      <c r="Z155" s="772" t="n"/>
      <c r="AA155" s="772" t="n"/>
      <c r="AB155" s="772" t="n"/>
      <c r="AC155" s="772" t="n"/>
      <c r="AD155" s="772" t="n"/>
      <c r="AE155" s="772" t="n"/>
      <c r="AF155" s="772" t="n"/>
      <c r="AG155" s="772" t="n"/>
      <c r="AH155" s="772" t="n"/>
      <c r="AI155" s="772" t="n"/>
      <c r="AJ155" s="772" t="n"/>
      <c r="AK155" s="772" t="n"/>
      <c r="AL155" s="772" t="n"/>
      <c r="AM155" s="772" t="n"/>
      <c r="AN155" s="772" t="n"/>
      <c r="AO155" s="772" t="n"/>
      <c r="AP155" s="772" t="n"/>
      <c r="AQ155" s="772" t="n"/>
      <c r="AR155" s="772" t="n"/>
      <c r="AS155" s="772" t="n"/>
      <c r="AT155" s="772" t="n"/>
      <c r="AU155" s="772" t="n"/>
      <c r="AV155" s="772" t="n"/>
      <c r="AW155" s="772" t="n"/>
      <c r="AX155" s="772" t="n"/>
      <c r="AY155" s="772" t="n"/>
      <c r="AZ155" s="772" t="n"/>
      <c r="BA155" s="772" t="n"/>
      <c r="BB155" s="772" t="n"/>
      <c r="BC155" s="772" t="n"/>
      <c r="BD155" s="772" t="n"/>
      <c r="BE155" s="772" t="n"/>
      <c r="BF155" s="772" t="n"/>
      <c r="BG155" s="772" t="n"/>
      <c r="BH155" s="772" t="n"/>
      <c r="BI155" s="772" t="n"/>
      <c r="BJ155" s="772" t="n"/>
      <c r="BK155" s="772" t="n"/>
      <c r="BL155" s="772" t="n"/>
      <c r="BM155" s="772" t="n"/>
      <c r="BN155" s="772" t="n"/>
      <c r="BO155" s="772" t="n"/>
      <c r="BP155" s="772" t="n"/>
      <c r="BQ155" s="772" t="n"/>
      <c r="BR155" s="772" t="n"/>
      <c r="BS155" s="772" t="n"/>
      <c r="BT155" s="772" t="n"/>
      <c r="BU155" s="772" t="n"/>
      <c r="BV155" s="772" t="n"/>
      <c r="BW155" s="772" t="n"/>
      <c r="BX155" s="772" t="n"/>
      <c r="BY155" s="772" t="n"/>
      <c r="BZ155" s="772" t="n"/>
      <c r="CA155" s="772" t="n"/>
      <c r="CB155" s="772" t="n"/>
      <c r="CC155" s="772" t="n"/>
      <c r="CD155" s="772" t="n"/>
      <c r="CE155" s="772" t="n"/>
      <c r="CF155" s="772" t="n"/>
      <c r="CG155" s="772" t="n"/>
      <c r="CH155" s="772" t="n"/>
    </row>
    <row r="156">
      <c r="A156" s="1020" t="n"/>
      <c r="B156" s="772" t="n"/>
      <c r="C156" s="772" t="n"/>
      <c r="D156" s="772" t="n"/>
      <c r="E156" s="772" t="n"/>
      <c r="F156" s="772" t="n"/>
      <c r="G156" s="772" t="n"/>
      <c r="H156" s="772" t="n"/>
      <c r="I156" s="772" t="n"/>
      <c r="J156" s="772" t="n"/>
      <c r="K156" s="772" t="n"/>
      <c r="L156" s="772" t="n"/>
      <c r="M156" s="772" t="n"/>
      <c r="N156" s="772" t="n"/>
      <c r="O156" s="772" t="n"/>
      <c r="P156" s="772" t="n"/>
      <c r="Q156" s="772" t="n"/>
      <c r="R156" s="772" t="n"/>
      <c r="S156" s="772" t="n"/>
      <c r="T156" s="772" t="n"/>
      <c r="U156" s="772" t="n"/>
      <c r="V156" s="772" t="n"/>
      <c r="W156" s="772" t="n"/>
      <c r="X156" s="772" t="n"/>
      <c r="Y156" s="772" t="n"/>
      <c r="Z156" s="772" t="n"/>
      <c r="AA156" s="772" t="n"/>
      <c r="AB156" s="772" t="n"/>
      <c r="AC156" s="772" t="n"/>
      <c r="AD156" s="772" t="n"/>
      <c r="AE156" s="772" t="n"/>
      <c r="AF156" s="772" t="n"/>
      <c r="AG156" s="772" t="n"/>
      <c r="AH156" s="772" t="n"/>
      <c r="AI156" s="772" t="n"/>
      <c r="AJ156" s="772" t="n"/>
      <c r="AK156" s="772" t="n"/>
      <c r="AL156" s="772" t="n"/>
      <c r="AM156" s="772" t="n"/>
      <c r="AN156" s="772" t="n"/>
      <c r="AO156" s="772" t="n"/>
      <c r="AP156" s="772" t="n"/>
      <c r="AQ156" s="772" t="n"/>
      <c r="AR156" s="772" t="n"/>
      <c r="AS156" s="772" t="n"/>
      <c r="AT156" s="772" t="n"/>
      <c r="AU156" s="772" t="n"/>
      <c r="AV156" s="772" t="n"/>
      <c r="AW156" s="772" t="n"/>
      <c r="AX156" s="772" t="n"/>
      <c r="AY156" s="772" t="n"/>
      <c r="AZ156" s="772" t="n"/>
      <c r="BA156" s="772" t="n"/>
      <c r="BB156" s="772" t="n"/>
      <c r="BC156" s="772" t="n"/>
      <c r="BD156" s="772" t="n"/>
      <c r="BE156" s="772" t="n"/>
      <c r="BF156" s="772" t="n"/>
      <c r="BG156" s="772" t="n"/>
      <c r="BH156" s="772" t="n"/>
      <c r="BI156" s="772" t="n"/>
      <c r="BJ156" s="772" t="n"/>
      <c r="BK156" s="772" t="n"/>
      <c r="BL156" s="772" t="n"/>
      <c r="BM156" s="772" t="n"/>
      <c r="BN156" s="772" t="n"/>
      <c r="BO156" s="772" t="n"/>
      <c r="BP156" s="772" t="n"/>
      <c r="BQ156" s="772" t="n"/>
      <c r="BR156" s="772" t="n"/>
      <c r="BS156" s="772" t="n"/>
      <c r="BT156" s="772" t="n"/>
      <c r="BU156" s="772" t="n"/>
      <c r="BV156" s="772" t="n"/>
      <c r="BW156" s="772" t="n"/>
      <c r="BX156" s="772" t="n"/>
      <c r="BY156" s="772" t="n"/>
      <c r="BZ156" s="772" t="n"/>
      <c r="CA156" s="772" t="n"/>
      <c r="CB156" s="772" t="n"/>
      <c r="CC156" s="772" t="n"/>
      <c r="CD156" s="772" t="n"/>
      <c r="CE156" s="772" t="n"/>
      <c r="CF156" s="772" t="n"/>
      <c r="CG156" s="772" t="n"/>
      <c r="CH156" s="772" t="n"/>
    </row>
    <row r="157">
      <c r="A157" s="1020" t="n"/>
      <c r="B157" s="772" t="n"/>
      <c r="C157" s="772" t="n"/>
      <c r="D157" s="772" t="n"/>
      <c r="E157" s="772" t="n"/>
      <c r="F157" s="772" t="n"/>
      <c r="G157" s="772" t="n"/>
      <c r="H157" s="772" t="n"/>
      <c r="I157" s="772" t="n"/>
      <c r="J157" s="772" t="n"/>
      <c r="K157" s="772" t="n"/>
      <c r="L157" s="772" t="n"/>
      <c r="M157" s="772" t="n"/>
      <c r="N157" s="772" t="n"/>
      <c r="O157" s="772" t="n"/>
      <c r="P157" s="772" t="n"/>
      <c r="Q157" s="772" t="n"/>
      <c r="R157" s="772" t="n"/>
      <c r="S157" s="772" t="n"/>
      <c r="T157" s="772" t="n"/>
      <c r="U157" s="772" t="n"/>
      <c r="V157" s="772" t="n"/>
      <c r="W157" s="772" t="n"/>
      <c r="X157" s="772" t="n"/>
      <c r="Y157" s="772" t="n"/>
      <c r="Z157" s="772" t="n"/>
      <c r="AA157" s="772" t="n"/>
      <c r="AB157" s="772" t="n"/>
      <c r="AC157" s="772" t="n"/>
      <c r="AD157" s="772" t="n"/>
      <c r="AE157" s="772" t="n"/>
      <c r="AF157" s="772" t="n"/>
      <c r="AG157" s="772" t="n"/>
      <c r="AH157" s="772" t="n"/>
      <c r="AI157" s="772" t="n"/>
      <c r="AJ157" s="772" t="n"/>
      <c r="AK157" s="772" t="n"/>
      <c r="AL157" s="772" t="n"/>
      <c r="AM157" s="772" t="n"/>
      <c r="AN157" s="772" t="n"/>
      <c r="AO157" s="772" t="n"/>
      <c r="AP157" s="772" t="n"/>
      <c r="AQ157" s="772" t="n"/>
      <c r="AR157" s="772" t="n"/>
      <c r="AS157" s="772" t="n"/>
      <c r="AT157" s="772" t="n"/>
      <c r="AU157" s="772" t="n"/>
      <c r="AV157" s="772" t="n"/>
      <c r="AW157" s="772" t="n"/>
      <c r="AX157" s="772" t="n"/>
      <c r="AY157" s="772" t="n"/>
      <c r="AZ157" s="772" t="n"/>
      <c r="BA157" s="772" t="n"/>
      <c r="BB157" s="772" t="n"/>
      <c r="BC157" s="772" t="n"/>
      <c r="BD157" s="772" t="n"/>
      <c r="BE157" s="772" t="n"/>
      <c r="BF157" s="772" t="n"/>
      <c r="BG157" s="772" t="n"/>
      <c r="BH157" s="772" t="n"/>
      <c r="BI157" s="772" t="n"/>
      <c r="BJ157" s="772" t="n"/>
      <c r="BK157" s="772" t="n"/>
      <c r="BL157" s="772" t="n"/>
      <c r="BM157" s="772" t="n"/>
      <c r="BN157" s="772" t="n"/>
      <c r="BO157" s="772" t="n"/>
      <c r="BP157" s="772" t="n"/>
      <c r="BQ157" s="772" t="n"/>
      <c r="BR157" s="772" t="n"/>
      <c r="BS157" s="772" t="n"/>
      <c r="BT157" s="772" t="n"/>
      <c r="BU157" s="772" t="n"/>
      <c r="BV157" s="772" t="n"/>
      <c r="BW157" s="772" t="n"/>
      <c r="BX157" s="772" t="n"/>
      <c r="BY157" s="772" t="n"/>
      <c r="BZ157" s="772" t="n"/>
      <c r="CA157" s="772" t="n"/>
      <c r="CB157" s="772" t="n"/>
      <c r="CC157" s="772" t="n"/>
      <c r="CD157" s="772" t="n"/>
      <c r="CE157" s="772" t="n"/>
      <c r="CF157" s="772" t="n"/>
      <c r="CG157" s="772" t="n"/>
      <c r="CH157" s="772" t="n"/>
    </row>
    <row r="158">
      <c r="A158" s="1020" t="n"/>
      <c r="B158" s="772" t="n"/>
      <c r="C158" s="772" t="n"/>
      <c r="D158" s="772" t="n"/>
      <c r="E158" s="772" t="n"/>
      <c r="F158" s="772" t="n"/>
      <c r="G158" s="772" t="n"/>
      <c r="H158" s="772" t="n"/>
      <c r="I158" s="772" t="n"/>
      <c r="J158" s="772" t="n"/>
      <c r="K158" s="772" t="n"/>
      <c r="L158" s="772" t="n"/>
      <c r="M158" s="772" t="n"/>
      <c r="N158" s="772" t="n"/>
      <c r="O158" s="772" t="n"/>
      <c r="P158" s="772" t="n"/>
      <c r="Q158" s="772" t="n"/>
      <c r="R158" s="772" t="n"/>
      <c r="S158" s="772" t="n"/>
      <c r="T158" s="772" t="n"/>
      <c r="U158" s="772" t="n"/>
      <c r="V158" s="772" t="n"/>
      <c r="W158" s="772" t="n"/>
      <c r="X158" s="772" t="n"/>
      <c r="Y158" s="772" t="n"/>
      <c r="Z158" s="772" t="n"/>
      <c r="AA158" s="772" t="n"/>
      <c r="AB158" s="772" t="n"/>
      <c r="AC158" s="772" t="n"/>
      <c r="AD158" s="772" t="n"/>
      <c r="AE158" s="772" t="n"/>
      <c r="AF158" s="772" t="n"/>
      <c r="AG158" s="772" t="n"/>
      <c r="AH158" s="772" t="n"/>
      <c r="AI158" s="772" t="n"/>
      <c r="AJ158" s="772" t="n"/>
      <c r="AK158" s="772" t="n"/>
      <c r="AL158" s="772" t="n"/>
      <c r="AM158" s="772" t="n"/>
      <c r="AN158" s="772" t="n"/>
      <c r="AO158" s="772" t="n"/>
      <c r="AP158" s="772" t="n"/>
      <c r="AQ158" s="772" t="n"/>
      <c r="AR158" s="772" t="n"/>
      <c r="AS158" s="772" t="n"/>
      <c r="AT158" s="772" t="n"/>
      <c r="AU158" s="772" t="n"/>
      <c r="AV158" s="772" t="n"/>
      <c r="AW158" s="772" t="n"/>
      <c r="AX158" s="772" t="n"/>
      <c r="AY158" s="772" t="n"/>
      <c r="AZ158" s="772" t="n"/>
      <c r="BA158" s="772" t="n"/>
      <c r="BB158" s="772" t="n"/>
      <c r="BC158" s="772" t="n"/>
      <c r="BD158" s="772" t="n"/>
      <c r="BE158" s="772" t="n"/>
      <c r="BF158" s="772" t="n"/>
      <c r="BG158" s="772" t="n"/>
      <c r="BH158" s="772" t="n"/>
      <c r="BI158" s="772" t="n"/>
      <c r="BJ158" s="772" t="n"/>
      <c r="BK158" s="772" t="n"/>
      <c r="BL158" s="772" t="n"/>
      <c r="BM158" s="772" t="n"/>
      <c r="BN158" s="772" t="n"/>
      <c r="BO158" s="772" t="n"/>
      <c r="BP158" s="772" t="n"/>
      <c r="BQ158" s="772" t="n"/>
      <c r="BR158" s="772" t="n"/>
      <c r="BS158" s="772" t="n"/>
      <c r="BT158" s="772" t="n"/>
      <c r="BU158" s="772" t="n"/>
      <c r="BV158" s="772" t="n"/>
      <c r="BW158" s="772" t="n"/>
      <c r="BX158" s="772" t="n"/>
      <c r="BY158" s="772" t="n"/>
      <c r="BZ158" s="772" t="n"/>
      <c r="CA158" s="772" t="n"/>
      <c r="CB158" s="772" t="n"/>
      <c r="CC158" s="772" t="n"/>
      <c r="CD158" s="772" t="n"/>
      <c r="CE158" s="772" t="n"/>
      <c r="CF158" s="772" t="n"/>
      <c r="CG158" s="772" t="n"/>
      <c r="CH158" s="772" t="n"/>
    </row>
    <row r="159">
      <c r="A159" s="1020" t="n"/>
      <c r="B159" s="772" t="n"/>
      <c r="C159" s="772" t="n"/>
      <c r="D159" s="772" t="n"/>
      <c r="E159" s="772" t="n"/>
      <c r="F159" s="772" t="n"/>
      <c r="G159" s="772" t="n"/>
      <c r="H159" s="772" t="n"/>
      <c r="I159" s="772" t="n"/>
      <c r="J159" s="772" t="n"/>
      <c r="K159" s="772" t="n"/>
      <c r="L159" s="772" t="n"/>
      <c r="M159" s="772" t="n"/>
      <c r="N159" s="772" t="n"/>
      <c r="O159" s="772" t="n"/>
      <c r="P159" s="772" t="n"/>
      <c r="Q159" s="772" t="n"/>
      <c r="R159" s="772" t="n"/>
      <c r="S159" s="772" t="n"/>
      <c r="T159" s="772" t="n"/>
      <c r="U159" s="772" t="n"/>
      <c r="V159" s="772" t="n"/>
      <c r="W159" s="772" t="n"/>
      <c r="X159" s="772" t="n"/>
      <c r="Y159" s="772" t="n"/>
      <c r="Z159" s="772" t="n"/>
      <c r="AA159" s="772" t="n"/>
      <c r="AB159" s="772" t="n"/>
      <c r="AC159" s="772" t="n"/>
      <c r="AD159" s="772" t="n"/>
      <c r="AE159" s="772" t="n"/>
      <c r="AF159" s="772" t="n"/>
      <c r="AG159" s="772" t="n"/>
      <c r="AH159" s="772" t="n"/>
      <c r="AI159" s="772" t="n"/>
      <c r="AJ159" s="772" t="n"/>
      <c r="AK159" s="772" t="n"/>
      <c r="AL159" s="772" t="n"/>
      <c r="AM159" s="772" t="n"/>
      <c r="AN159" s="772" t="n"/>
      <c r="AO159" s="772" t="n"/>
      <c r="AP159" s="772" t="n"/>
      <c r="AQ159" s="772" t="n"/>
      <c r="AR159" s="772" t="n"/>
      <c r="AS159" s="772" t="n"/>
      <c r="AT159" s="772" t="n"/>
      <c r="AU159" s="772" t="n"/>
      <c r="AV159" s="772" t="n"/>
      <c r="AW159" s="772" t="n"/>
      <c r="AX159" s="772" t="n"/>
      <c r="AY159" s="772" t="n"/>
      <c r="AZ159" s="772" t="n"/>
      <c r="BA159" s="772" t="n"/>
      <c r="BB159" s="772" t="n"/>
      <c r="BC159" s="772" t="n"/>
      <c r="BD159" s="772" t="n"/>
      <c r="BE159" s="772" t="n"/>
      <c r="BF159" s="772" t="n"/>
      <c r="BG159" s="772" t="n"/>
      <c r="BH159" s="772" t="n"/>
      <c r="BI159" s="772" t="n"/>
      <c r="BJ159" s="772" t="n"/>
      <c r="BK159" s="772" t="n"/>
      <c r="BL159" s="772" t="n"/>
      <c r="BM159" s="772" t="n"/>
      <c r="BN159" s="772" t="n"/>
      <c r="BO159" s="772" t="n"/>
      <c r="BP159" s="772" t="n"/>
      <c r="BQ159" s="772" t="n"/>
      <c r="BR159" s="772" t="n"/>
      <c r="BS159" s="772" t="n"/>
      <c r="BT159" s="772" t="n"/>
      <c r="BU159" s="772" t="n"/>
      <c r="BV159" s="772" t="n"/>
      <c r="BW159" s="772" t="n"/>
      <c r="BX159" s="772" t="n"/>
      <c r="BY159" s="772" t="n"/>
      <c r="BZ159" s="772" t="n"/>
      <c r="CA159" s="772" t="n"/>
      <c r="CB159" s="772" t="n"/>
      <c r="CC159" s="772" t="n"/>
      <c r="CD159" s="772" t="n"/>
      <c r="CE159" s="772" t="n"/>
      <c r="CF159" s="772" t="n"/>
      <c r="CG159" s="772" t="n"/>
      <c r="CH159" s="772" t="n"/>
    </row>
    <row r="160">
      <c r="A160" s="1020" t="n"/>
      <c r="B160" s="772" t="n"/>
      <c r="C160" s="772" t="n"/>
      <c r="D160" s="772" t="n"/>
      <c r="E160" s="772" t="n"/>
      <c r="F160" s="772" t="n"/>
      <c r="G160" s="772" t="n"/>
      <c r="H160" s="772" t="n"/>
      <c r="I160" s="772" t="n"/>
      <c r="J160" s="772" t="n"/>
      <c r="K160" s="772" t="n"/>
      <c r="L160" s="772" t="n"/>
      <c r="M160" s="772" t="n"/>
      <c r="N160" s="772" t="n"/>
      <c r="O160" s="772" t="n"/>
      <c r="P160" s="772" t="n"/>
      <c r="Q160" s="772" t="n"/>
      <c r="R160" s="772" t="n"/>
      <c r="S160" s="772" t="n"/>
      <c r="T160" s="772" t="n"/>
      <c r="U160" s="772" t="n"/>
      <c r="V160" s="772" t="n"/>
      <c r="W160" s="772" t="n"/>
      <c r="X160" s="772" t="n"/>
      <c r="Y160" s="772" t="n"/>
      <c r="Z160" s="772" t="n"/>
      <c r="AA160" s="772" t="n"/>
      <c r="AB160" s="772" t="n"/>
      <c r="AC160" s="772" t="n"/>
      <c r="AD160" s="772" t="n"/>
      <c r="AE160" s="772" t="n"/>
      <c r="AF160" s="772" t="n"/>
      <c r="AG160" s="772" t="n"/>
      <c r="AH160" s="772" t="n"/>
      <c r="AI160" s="772" t="n"/>
      <c r="AJ160" s="772" t="n"/>
      <c r="AK160" s="772" t="n"/>
      <c r="AL160" s="772" t="n"/>
      <c r="AM160" s="772" t="n"/>
      <c r="AN160" s="772" t="n"/>
      <c r="AO160" s="772" t="n"/>
      <c r="AP160" s="772" t="n"/>
      <c r="AQ160" s="772" t="n"/>
      <c r="AR160" s="772" t="n"/>
      <c r="AS160" s="772" t="n"/>
      <c r="AT160" s="772" t="n"/>
      <c r="AU160" s="772" t="n"/>
      <c r="AV160" s="772" t="n"/>
      <c r="AW160" s="772" t="n"/>
      <c r="AX160" s="772" t="n"/>
      <c r="AY160" s="772" t="n"/>
      <c r="AZ160" s="772" t="n"/>
      <c r="BA160" s="772" t="n"/>
      <c r="BB160" s="772" t="n"/>
      <c r="BC160" s="772" t="n"/>
      <c r="BD160" s="772" t="n"/>
      <c r="BE160" s="772" t="n"/>
      <c r="BF160" s="772" t="n"/>
      <c r="BG160" s="772" t="n"/>
      <c r="BH160" s="772" t="n"/>
      <c r="BI160" s="772" t="n"/>
      <c r="BJ160" s="772" t="n"/>
      <c r="BK160" s="772" t="n"/>
      <c r="BL160" s="772" t="n"/>
      <c r="BM160" s="772" t="n"/>
      <c r="BN160" s="772" t="n"/>
      <c r="BO160" s="772" t="n"/>
      <c r="BP160" s="772" t="n"/>
      <c r="BQ160" s="772" t="n"/>
      <c r="BR160" s="772" t="n"/>
      <c r="BS160" s="772" t="n"/>
      <c r="BT160" s="772" t="n"/>
      <c r="BU160" s="772" t="n"/>
      <c r="BV160" s="772" t="n"/>
      <c r="BW160" s="772" t="n"/>
      <c r="BX160" s="772" t="n"/>
      <c r="BY160" s="772" t="n"/>
      <c r="BZ160" s="772" t="n"/>
      <c r="CA160" s="772" t="n"/>
      <c r="CB160" s="772" t="n"/>
      <c r="CC160" s="772" t="n"/>
      <c r="CD160" s="772" t="n"/>
      <c r="CE160" s="772" t="n"/>
      <c r="CF160" s="772" t="n"/>
      <c r="CG160" s="772" t="n"/>
      <c r="CH160" s="772" t="n"/>
    </row>
    <row r="161">
      <c r="A161" s="1020" t="n"/>
      <c r="B161" s="772" t="n"/>
      <c r="C161" s="772" t="n"/>
      <c r="D161" s="772" t="n"/>
      <c r="E161" s="772" t="n"/>
      <c r="F161" s="772" t="n"/>
      <c r="G161" s="772" t="n"/>
      <c r="H161" s="772" t="n"/>
      <c r="I161" s="772" t="n"/>
      <c r="J161" s="772" t="n"/>
      <c r="K161" s="772" t="n"/>
      <c r="L161" s="772" t="n"/>
      <c r="M161" s="772" t="n"/>
      <c r="N161" s="772" t="n"/>
      <c r="O161" s="772" t="n"/>
      <c r="P161" s="772" t="n"/>
      <c r="Q161" s="772" t="n"/>
      <c r="R161" s="772" t="n"/>
      <c r="S161" s="772" t="n"/>
      <c r="T161" s="772" t="n"/>
      <c r="U161" s="772" t="n"/>
      <c r="V161" s="772" t="n"/>
      <c r="W161" s="772" t="n"/>
      <c r="X161" s="772" t="n"/>
      <c r="Y161" s="772" t="n"/>
      <c r="Z161" s="772" t="n"/>
      <c r="AA161" s="772" t="n"/>
      <c r="AB161" s="772" t="n"/>
      <c r="AC161" s="772" t="n"/>
      <c r="AD161" s="772" t="n"/>
      <c r="AE161" s="772" t="n"/>
      <c r="AF161" s="772" t="n"/>
      <c r="AG161" s="772" t="n"/>
      <c r="AH161" s="772" t="n"/>
      <c r="AI161" s="772" t="n"/>
      <c r="AJ161" s="772" t="n"/>
      <c r="AK161" s="772" t="n"/>
      <c r="AL161" s="772" t="n"/>
      <c r="AM161" s="772" t="n"/>
      <c r="AN161" s="772" t="n"/>
      <c r="AO161" s="772" t="n"/>
      <c r="AP161" s="772" t="n"/>
      <c r="AQ161" s="772" t="n"/>
      <c r="AR161" s="772" t="n"/>
      <c r="AS161" s="772" t="n"/>
      <c r="AT161" s="772" t="n"/>
      <c r="AU161" s="772" t="n"/>
      <c r="AV161" s="772" t="n"/>
      <c r="AW161" s="772" t="n"/>
      <c r="AX161" s="772" t="n"/>
      <c r="AY161" s="772" t="n"/>
      <c r="AZ161" s="772" t="n"/>
      <c r="BA161" s="772" t="n"/>
      <c r="BB161" s="772" t="n"/>
      <c r="BC161" s="772" t="n"/>
      <c r="BD161" s="772" t="n"/>
      <c r="BE161" s="772" t="n"/>
      <c r="BF161" s="772" t="n"/>
      <c r="BG161" s="772" t="n"/>
      <c r="BH161" s="772" t="n"/>
      <c r="BI161" s="772" t="n"/>
      <c r="BJ161" s="772" t="n"/>
      <c r="BK161" s="772" t="n"/>
      <c r="BL161" s="772" t="n"/>
      <c r="BM161" s="772" t="n"/>
      <c r="BN161" s="772" t="n"/>
      <c r="BO161" s="772" t="n"/>
      <c r="BP161" s="772" t="n"/>
      <c r="BQ161" s="772" t="n"/>
      <c r="BR161" s="772" t="n"/>
      <c r="BS161" s="772" t="n"/>
      <c r="BT161" s="772" t="n"/>
      <c r="BU161" s="772" t="n"/>
      <c r="BV161" s="772" t="n"/>
      <c r="BW161" s="772" t="n"/>
      <c r="BX161" s="772" t="n"/>
      <c r="BY161" s="772" t="n"/>
      <c r="BZ161" s="772" t="n"/>
      <c r="CA161" s="772" t="n"/>
      <c r="CB161" s="772" t="n"/>
      <c r="CC161" s="772" t="n"/>
      <c r="CD161" s="772" t="n"/>
      <c r="CE161" s="772" t="n"/>
      <c r="CF161" s="772" t="n"/>
      <c r="CG161" s="772" t="n"/>
      <c r="CH161" s="772" t="n"/>
    </row>
    <row r="162">
      <c r="A162" s="1020" t="n"/>
      <c r="B162" s="772" t="n"/>
      <c r="C162" s="772" t="n"/>
      <c r="D162" s="772" t="n"/>
      <c r="E162" s="772" t="n"/>
      <c r="F162" s="772" t="n"/>
      <c r="G162" s="772" t="n"/>
      <c r="H162" s="772" t="n"/>
      <c r="I162" s="772" t="n"/>
      <c r="J162" s="772" t="n"/>
      <c r="K162" s="772" t="n"/>
      <c r="L162" s="772" t="n"/>
      <c r="M162" s="772" t="n"/>
      <c r="N162" s="772" t="n"/>
      <c r="O162" s="772" t="n"/>
      <c r="P162" s="772" t="n"/>
      <c r="Q162" s="772" t="n"/>
      <c r="R162" s="772" t="n"/>
      <c r="S162" s="772" t="n"/>
      <c r="T162" s="772" t="n"/>
      <c r="U162" s="772" t="n"/>
      <c r="V162" s="772" t="n"/>
      <c r="W162" s="772" t="n"/>
      <c r="X162" s="772" t="n"/>
      <c r="Y162" s="772" t="n"/>
      <c r="Z162" s="772" t="n"/>
      <c r="AA162" s="772" t="n"/>
      <c r="AB162" s="772" t="n"/>
      <c r="AC162" s="772" t="n"/>
      <c r="AD162" s="772" t="n"/>
      <c r="AE162" s="772" t="n"/>
      <c r="AF162" s="772" t="n"/>
      <c r="AG162" s="772" t="n"/>
      <c r="AH162" s="772" t="n"/>
      <c r="AI162" s="772" t="n"/>
      <c r="AJ162" s="772" t="n"/>
      <c r="AK162" s="772" t="n"/>
      <c r="AL162" s="772" t="n"/>
      <c r="AM162" s="772" t="n"/>
      <c r="AN162" s="772" t="n"/>
      <c r="AO162" s="772" t="n"/>
      <c r="AP162" s="772" t="n"/>
      <c r="AQ162" s="772" t="n"/>
      <c r="AR162" s="772" t="n"/>
      <c r="AS162" s="772" t="n"/>
      <c r="AT162" s="772" t="n"/>
      <c r="AU162" s="772" t="n"/>
      <c r="AV162" s="772" t="n"/>
      <c r="AW162" s="772" t="n"/>
      <c r="AX162" s="772" t="n"/>
      <c r="AY162" s="772" t="n"/>
      <c r="AZ162" s="772" t="n"/>
      <c r="BA162" s="772" t="n"/>
      <c r="BB162" s="772" t="n"/>
      <c r="BC162" s="772" t="n"/>
      <c r="BD162" s="772" t="n"/>
      <c r="BE162" s="772" t="n"/>
      <c r="BF162" s="772" t="n"/>
      <c r="BG162" s="772" t="n"/>
      <c r="BH162" s="772" t="n"/>
      <c r="BI162" s="772" t="n"/>
      <c r="BJ162" s="772" t="n"/>
      <c r="BK162" s="772" t="n"/>
      <c r="BL162" s="772" t="n"/>
      <c r="BM162" s="772" t="n"/>
      <c r="BN162" s="772" t="n"/>
      <c r="BO162" s="772" t="n"/>
      <c r="BP162" s="772" t="n"/>
      <c r="BQ162" s="772" t="n"/>
      <c r="BR162" s="772" t="n"/>
      <c r="BS162" s="772" t="n"/>
      <c r="BT162" s="772" t="n"/>
      <c r="BU162" s="772" t="n"/>
      <c r="BV162" s="772" t="n"/>
      <c r="BW162" s="772" t="n"/>
      <c r="BX162" s="772" t="n"/>
      <c r="BY162" s="772" t="n"/>
      <c r="BZ162" s="772" t="n"/>
      <c r="CA162" s="772" t="n"/>
      <c r="CB162" s="772" t="n"/>
      <c r="CC162" s="772" t="n"/>
      <c r="CD162" s="772" t="n"/>
      <c r="CE162" s="772" t="n"/>
      <c r="CF162" s="772" t="n"/>
      <c r="CG162" s="772" t="n"/>
      <c r="CH162" s="772" t="n"/>
    </row>
    <row r="163">
      <c r="A163" s="1020" t="n"/>
      <c r="B163" s="772" t="n"/>
      <c r="C163" s="772" t="n"/>
      <c r="D163" s="772" t="n"/>
      <c r="E163" s="772" t="n"/>
      <c r="F163" s="772" t="n"/>
      <c r="G163" s="772" t="n"/>
      <c r="H163" s="772" t="n"/>
      <c r="I163" s="772" t="n"/>
      <c r="J163" s="772" t="n"/>
      <c r="K163" s="772" t="n"/>
      <c r="L163" s="772" t="n"/>
      <c r="M163" s="772" t="n"/>
      <c r="N163" s="772" t="n"/>
      <c r="O163" s="772" t="n"/>
      <c r="P163" s="772" t="n"/>
      <c r="Q163" s="772" t="n"/>
      <c r="R163" s="772" t="n"/>
      <c r="S163" s="772" t="n"/>
      <c r="T163" s="772" t="n"/>
      <c r="U163" s="772" t="n"/>
      <c r="V163" s="772" t="n"/>
      <c r="W163" s="772" t="n"/>
      <c r="X163" s="772" t="n"/>
      <c r="Y163" s="772" t="n"/>
      <c r="Z163" s="772" t="n"/>
      <c r="AA163" s="772" t="n"/>
      <c r="AB163" s="772" t="n"/>
      <c r="AC163" s="772" t="n"/>
      <c r="AD163" s="772" t="n"/>
      <c r="AE163" s="772" t="n"/>
      <c r="AF163" s="772" t="n"/>
      <c r="AG163" s="772" t="n"/>
      <c r="AH163" s="772" t="n"/>
      <c r="AI163" s="772" t="n"/>
      <c r="AJ163" s="772" t="n"/>
      <c r="AK163" s="772" t="n"/>
      <c r="AL163" s="772" t="n"/>
      <c r="AM163" s="772" t="n"/>
      <c r="AN163" s="772" t="n"/>
      <c r="AO163" s="772" t="n"/>
      <c r="AP163" s="772" t="n"/>
      <c r="AQ163" s="772" t="n"/>
      <c r="AR163" s="772" t="n"/>
      <c r="AS163" s="772" t="n"/>
      <c r="AT163" s="772" t="n"/>
      <c r="AU163" s="772" t="n"/>
      <c r="AV163" s="772" t="n"/>
      <c r="AW163" s="772" t="n"/>
      <c r="AX163" s="772" t="n"/>
      <c r="AY163" s="772" t="n"/>
      <c r="AZ163" s="772" t="n"/>
      <c r="BA163" s="772" t="n"/>
      <c r="BB163" s="772" t="n"/>
      <c r="BC163" s="772" t="n"/>
      <c r="BD163" s="772" t="n"/>
      <c r="BE163" s="772" t="n"/>
      <c r="BF163" s="772" t="n"/>
      <c r="BG163" s="772" t="n"/>
      <c r="BH163" s="772" t="n"/>
      <c r="BI163" s="772" t="n"/>
      <c r="BJ163" s="772" t="n"/>
      <c r="BK163" s="772" t="n"/>
      <c r="BL163" s="772" t="n"/>
      <c r="BM163" s="772" t="n"/>
      <c r="BN163" s="772" t="n"/>
      <c r="BO163" s="772" t="n"/>
      <c r="BP163" s="772" t="n"/>
      <c r="BQ163" s="772" t="n"/>
      <c r="BR163" s="772" t="n"/>
      <c r="BS163" s="772" t="n"/>
      <c r="BT163" s="772" t="n"/>
      <c r="BU163" s="772" t="n"/>
      <c r="BV163" s="772" t="n"/>
      <c r="BW163" s="772" t="n"/>
      <c r="BX163" s="772" t="n"/>
      <c r="BY163" s="772" t="n"/>
      <c r="BZ163" s="772" t="n"/>
      <c r="CA163" s="772" t="n"/>
      <c r="CB163" s="772" t="n"/>
      <c r="CC163" s="772" t="n"/>
      <c r="CD163" s="772" t="n"/>
      <c r="CE163" s="772" t="n"/>
      <c r="CF163" s="772" t="n"/>
      <c r="CG163" s="772" t="n"/>
      <c r="CH163" s="772" t="n"/>
    </row>
    <row r="164">
      <c r="A164" s="1020" t="n"/>
      <c r="B164" s="772" t="n"/>
      <c r="C164" s="772" t="n"/>
      <c r="D164" s="772" t="n"/>
      <c r="E164" s="772" t="n"/>
      <c r="F164" s="772" t="n"/>
      <c r="G164" s="772" t="n"/>
      <c r="H164" s="772" t="n"/>
      <c r="I164" s="772" t="n"/>
      <c r="J164" s="772" t="n"/>
      <c r="K164" s="772" t="n"/>
      <c r="L164" s="772" t="n"/>
      <c r="M164" s="772" t="n"/>
      <c r="N164" s="772" t="n"/>
      <c r="O164" s="772" t="n"/>
      <c r="P164" s="772" t="n"/>
      <c r="Q164" s="772" t="n"/>
      <c r="R164" s="772" t="n"/>
      <c r="S164" s="772" t="n"/>
      <c r="T164" s="772" t="n"/>
      <c r="U164" s="772" t="n"/>
      <c r="V164" s="772" t="n"/>
      <c r="W164" s="772" t="n"/>
      <c r="X164" s="772" t="n"/>
      <c r="Y164" s="772" t="n"/>
      <c r="Z164" s="772" t="n"/>
      <c r="AA164" s="772" t="n"/>
      <c r="AB164" s="772" t="n"/>
      <c r="AC164" s="772" t="n"/>
      <c r="AD164" s="772" t="n"/>
      <c r="AE164" s="772" t="n"/>
      <c r="AF164" s="772" t="n"/>
      <c r="AG164" s="772" t="n"/>
      <c r="AH164" s="772" t="n"/>
      <c r="AI164" s="772" t="n"/>
      <c r="AJ164" s="772" t="n"/>
      <c r="AK164" s="772" t="n"/>
      <c r="AL164" s="772" t="n"/>
      <c r="AM164" s="772" t="n"/>
      <c r="AN164" s="772" t="n"/>
      <c r="AO164" s="772" t="n"/>
      <c r="AP164" s="772" t="n"/>
      <c r="AQ164" s="772" t="n"/>
      <c r="AR164" s="772" t="n"/>
      <c r="AS164" s="772" t="n"/>
      <c r="AT164" s="772" t="n"/>
      <c r="AU164" s="772" t="n"/>
      <c r="AV164" s="772" t="n"/>
      <c r="AW164" s="772" t="n"/>
      <c r="AX164" s="772" t="n"/>
      <c r="AY164" s="772" t="n"/>
      <c r="AZ164" s="772" t="n"/>
      <c r="BA164" s="772" t="n"/>
      <c r="BB164" s="772" t="n"/>
      <c r="BC164" s="772" t="n"/>
      <c r="BD164" s="772" t="n"/>
      <c r="BE164" s="772" t="n"/>
      <c r="BF164" s="772" t="n"/>
      <c r="BG164" s="772" t="n"/>
      <c r="BH164" s="772" t="n"/>
      <c r="BI164" s="772" t="n"/>
      <c r="BJ164" s="772" t="n"/>
      <c r="BK164" s="772" t="n"/>
      <c r="BL164" s="772" t="n"/>
      <c r="BM164" s="772" t="n"/>
      <c r="BN164" s="772" t="n"/>
      <c r="BO164" s="772" t="n"/>
      <c r="BP164" s="772" t="n"/>
      <c r="BQ164" s="772" t="n"/>
      <c r="BR164" s="772" t="n"/>
      <c r="BS164" s="772" t="n"/>
      <c r="BT164" s="772" t="n"/>
      <c r="BU164" s="772" t="n"/>
      <c r="BV164" s="772" t="n"/>
      <c r="BW164" s="772" t="n"/>
      <c r="BX164" s="772" t="n"/>
      <c r="BY164" s="772" t="n"/>
      <c r="BZ164" s="772" t="n"/>
      <c r="CA164" s="772" t="n"/>
      <c r="CB164" s="772" t="n"/>
      <c r="CC164" s="772" t="n"/>
      <c r="CD164" s="772" t="n"/>
      <c r="CE164" s="772" t="n"/>
      <c r="CF164" s="772" t="n"/>
      <c r="CG164" s="772" t="n"/>
      <c r="CH164" s="772" t="n"/>
    </row>
    <row r="165">
      <c r="A165" s="1020" t="n"/>
      <c r="B165" s="772" t="n"/>
      <c r="C165" s="772" t="n"/>
      <c r="D165" s="772" t="n"/>
      <c r="E165" s="772" t="n"/>
      <c r="F165" s="772" t="n"/>
      <c r="G165" s="772" t="n"/>
      <c r="H165" s="772" t="n"/>
      <c r="I165" s="772" t="n"/>
      <c r="J165" s="772" t="n"/>
      <c r="K165" s="772" t="n"/>
      <c r="L165" s="772" t="n"/>
      <c r="M165" s="772" t="n"/>
      <c r="N165" s="772" t="n"/>
      <c r="O165" s="772" t="n"/>
      <c r="P165" s="772" t="n"/>
      <c r="Q165" s="772" t="n"/>
      <c r="R165" s="772" t="n"/>
      <c r="S165" s="772" t="n"/>
      <c r="T165" s="772" t="n"/>
      <c r="U165" s="772" t="n"/>
      <c r="V165" s="772" t="n"/>
      <c r="W165" s="772" t="n"/>
      <c r="X165" s="772" t="n"/>
      <c r="Y165" s="772" t="n"/>
      <c r="Z165" s="772" t="n"/>
      <c r="AA165" s="772" t="n"/>
      <c r="AB165" s="772" t="n"/>
      <c r="AC165" s="772" t="n"/>
      <c r="AD165" s="772" t="n"/>
      <c r="AE165" s="772" t="n"/>
      <c r="AF165" s="772" t="n"/>
      <c r="AG165" s="772" t="n"/>
      <c r="AH165" s="772" t="n"/>
      <c r="AI165" s="772" t="n"/>
      <c r="AJ165" s="772" t="n"/>
      <c r="AK165" s="772" t="n"/>
      <c r="AL165" s="772" t="n"/>
      <c r="AM165" s="772" t="n"/>
      <c r="AN165" s="772" t="n"/>
      <c r="AO165" s="772" t="n"/>
      <c r="AP165" s="772" t="n"/>
      <c r="AQ165" s="772" t="n"/>
      <c r="AR165" s="772" t="n"/>
      <c r="AS165" s="772" t="n"/>
      <c r="AT165" s="772" t="n"/>
      <c r="AU165" s="772" t="n"/>
      <c r="AV165" s="772" t="n"/>
      <c r="AW165" s="772" t="n"/>
      <c r="AX165" s="772" t="n"/>
      <c r="AY165" s="772" t="n"/>
      <c r="AZ165" s="772" t="n"/>
      <c r="BA165" s="772" t="n"/>
      <c r="BB165" s="772" t="n"/>
      <c r="BC165" s="772" t="n"/>
      <c r="BD165" s="772" t="n"/>
      <c r="BE165" s="772" t="n"/>
      <c r="BF165" s="772" t="n"/>
      <c r="BG165" s="772" t="n"/>
      <c r="BH165" s="772" t="n"/>
      <c r="BI165" s="772" t="n"/>
      <c r="BJ165" s="772" t="n"/>
      <c r="BK165" s="772" t="n"/>
      <c r="BL165" s="772" t="n"/>
      <c r="BM165" s="772" t="n"/>
      <c r="BN165" s="772" t="n"/>
      <c r="BO165" s="772" t="n"/>
      <c r="BP165" s="772" t="n"/>
      <c r="BQ165" s="772" t="n"/>
      <c r="BR165" s="772" t="n"/>
      <c r="BS165" s="772" t="n"/>
      <c r="BT165" s="772" t="n"/>
      <c r="BU165" s="772" t="n"/>
      <c r="BV165" s="772" t="n"/>
      <c r="BW165" s="772" t="n"/>
      <c r="BX165" s="772" t="n"/>
      <c r="BY165" s="772" t="n"/>
      <c r="BZ165" s="772" t="n"/>
      <c r="CA165" s="772" t="n"/>
      <c r="CB165" s="772" t="n"/>
      <c r="CC165" s="772" t="n"/>
      <c r="CD165" s="772" t="n"/>
      <c r="CE165" s="772" t="n"/>
      <c r="CF165" s="772" t="n"/>
      <c r="CG165" s="772" t="n"/>
      <c r="CH165" s="772" t="n"/>
    </row>
    <row r="166">
      <c r="A166" s="1020" t="n"/>
      <c r="B166" s="772" t="n"/>
      <c r="C166" s="772" t="n"/>
      <c r="D166" s="772" t="n"/>
      <c r="E166" s="772" t="n"/>
      <c r="F166" s="772" t="n"/>
      <c r="G166" s="772" t="n"/>
      <c r="H166" s="772" t="n"/>
      <c r="I166" s="772" t="n"/>
      <c r="J166" s="772" t="n"/>
      <c r="K166" s="772" t="n"/>
      <c r="L166" s="772" t="n"/>
      <c r="M166" s="772" t="n"/>
      <c r="N166" s="772" t="n"/>
      <c r="O166" s="772" t="n"/>
      <c r="P166" s="772" t="n"/>
      <c r="Q166" s="772" t="n"/>
      <c r="R166" s="772" t="n"/>
      <c r="S166" s="772" t="n"/>
      <c r="T166" s="772" t="n"/>
      <c r="U166" s="772" t="n"/>
      <c r="V166" s="772" t="n"/>
      <c r="W166" s="772" t="n"/>
      <c r="X166" s="772" t="n"/>
      <c r="Y166" s="772" t="n"/>
      <c r="Z166" s="772" t="n"/>
      <c r="AA166" s="772" t="n"/>
      <c r="AB166" s="772" t="n"/>
      <c r="AC166" s="772" t="n"/>
      <c r="AD166" s="772" t="n"/>
      <c r="AE166" s="772" t="n"/>
      <c r="AF166" s="772" t="n"/>
      <c r="AG166" s="772" t="n"/>
      <c r="AH166" s="772" t="n"/>
      <c r="AI166" s="772" t="n"/>
      <c r="AJ166" s="772" t="n"/>
      <c r="AK166" s="772" t="n"/>
      <c r="AL166" s="772" t="n"/>
      <c r="AM166" s="772" t="n"/>
      <c r="AN166" s="772" t="n"/>
      <c r="AO166" s="772" t="n"/>
      <c r="AP166" s="772" t="n"/>
      <c r="AQ166" s="772" t="n"/>
      <c r="AR166" s="772" t="n"/>
      <c r="AS166" s="772" t="n"/>
      <c r="AT166" s="772" t="n"/>
      <c r="AU166" s="772" t="n"/>
      <c r="AV166" s="772" t="n"/>
      <c r="AW166" s="772" t="n"/>
      <c r="AX166" s="772" t="n"/>
      <c r="AY166" s="772" t="n"/>
      <c r="AZ166" s="772" t="n"/>
      <c r="BA166" s="772" t="n"/>
      <c r="BB166" s="772" t="n"/>
      <c r="BC166" s="772" t="n"/>
      <c r="BD166" s="772" t="n"/>
      <c r="BE166" s="772" t="n"/>
      <c r="BF166" s="772" t="n"/>
      <c r="BG166" s="772" t="n"/>
      <c r="BH166" s="772" t="n"/>
      <c r="BI166" s="772" t="n"/>
      <c r="BJ166" s="772" t="n"/>
      <c r="BK166" s="772" t="n"/>
      <c r="BL166" s="772" t="n"/>
      <c r="BM166" s="772" t="n"/>
      <c r="BN166" s="772" t="n"/>
      <c r="BO166" s="772" t="n"/>
      <c r="BP166" s="772" t="n"/>
      <c r="BQ166" s="772" t="n"/>
      <c r="BR166" s="772" t="n"/>
      <c r="BS166" s="772" t="n"/>
      <c r="BT166" s="772" t="n"/>
      <c r="BU166" s="772" t="n"/>
      <c r="BV166" s="772" t="n"/>
      <c r="BW166" s="772" t="n"/>
      <c r="BX166" s="772" t="n"/>
      <c r="BY166" s="772" t="n"/>
      <c r="BZ166" s="772" t="n"/>
      <c r="CA166" s="772" t="n"/>
      <c r="CB166" s="772" t="n"/>
      <c r="CC166" s="772" t="n"/>
      <c r="CD166" s="772" t="n"/>
      <c r="CE166" s="772" t="n"/>
      <c r="CF166" s="772" t="n"/>
      <c r="CG166" s="772" t="n"/>
      <c r="CH166" s="772" t="n"/>
    </row>
    <row r="167">
      <c r="A167" s="1020" t="n"/>
      <c r="B167" s="772" t="n"/>
      <c r="C167" s="772" t="n"/>
      <c r="D167" s="772" t="n"/>
      <c r="E167" s="772" t="n"/>
      <c r="F167" s="772" t="n"/>
      <c r="G167" s="772" t="n"/>
      <c r="H167" s="772" t="n"/>
      <c r="I167" s="772" t="n"/>
      <c r="J167" s="772" t="n"/>
      <c r="K167" s="772" t="n"/>
      <c r="L167" s="772" t="n"/>
      <c r="M167" s="772" t="n"/>
      <c r="N167" s="772" t="n"/>
      <c r="O167" s="772" t="n"/>
      <c r="P167" s="772" t="n"/>
      <c r="Q167" s="772" t="n"/>
      <c r="R167" s="772" t="n"/>
      <c r="S167" s="772" t="n"/>
      <c r="T167" s="772" t="n"/>
      <c r="U167" s="772" t="n"/>
      <c r="V167" s="772" t="n"/>
      <c r="W167" s="772" t="n"/>
      <c r="X167" s="772" t="n"/>
      <c r="Y167" s="772" t="n"/>
      <c r="Z167" s="772" t="n"/>
      <c r="AA167" s="772" t="n"/>
      <c r="AB167" s="772" t="n"/>
      <c r="AC167" s="772" t="n"/>
      <c r="AD167" s="772" t="n"/>
      <c r="AE167" s="772" t="n"/>
      <c r="AF167" s="772" t="n"/>
      <c r="AG167" s="772" t="n"/>
      <c r="AH167" s="772" t="n"/>
      <c r="AI167" s="772" t="n"/>
      <c r="AJ167" s="772" t="n"/>
      <c r="AK167" s="772" t="n"/>
      <c r="AL167" s="772" t="n"/>
      <c r="AM167" s="772" t="n"/>
      <c r="AN167" s="772" t="n"/>
      <c r="AO167" s="772" t="n"/>
      <c r="AP167" s="772" t="n"/>
      <c r="AQ167" s="772" t="n"/>
      <c r="AR167" s="772" t="n"/>
      <c r="AS167" s="772" t="n"/>
      <c r="AT167" s="772" t="n"/>
      <c r="AU167" s="772" t="n"/>
      <c r="AV167" s="772" t="n"/>
      <c r="AW167" s="772" t="n"/>
      <c r="AX167" s="772" t="n"/>
      <c r="AY167" s="772" t="n"/>
      <c r="AZ167" s="772" t="n"/>
      <c r="BA167" s="772" t="n"/>
      <c r="BB167" s="772" t="n"/>
      <c r="BC167" s="772" t="n"/>
      <c r="BD167" s="772" t="n"/>
      <c r="BE167" s="772" t="n"/>
      <c r="BF167" s="772" t="n"/>
      <c r="BG167" s="772" t="n"/>
      <c r="BH167" s="772" t="n"/>
      <c r="BI167" s="772" t="n"/>
      <c r="BJ167" s="772" t="n"/>
      <c r="BK167" s="772" t="n"/>
      <c r="BL167" s="772" t="n"/>
      <c r="BM167" s="772" t="n"/>
      <c r="BN167" s="772" t="n"/>
      <c r="BO167" s="772" t="n"/>
      <c r="BP167" s="772" t="n"/>
      <c r="BQ167" s="772" t="n"/>
      <c r="BR167" s="772" t="n"/>
      <c r="BS167" s="772" t="n"/>
      <c r="BT167" s="772" t="n"/>
      <c r="BU167" s="772" t="n"/>
      <c r="BV167" s="772" t="n"/>
      <c r="BW167" s="772" t="n"/>
      <c r="BX167" s="772" t="n"/>
      <c r="BY167" s="772" t="n"/>
      <c r="BZ167" s="772" t="n"/>
      <c r="CA167" s="772" t="n"/>
      <c r="CB167" s="772" t="n"/>
      <c r="CC167" s="772" t="n"/>
      <c r="CD167" s="772" t="n"/>
      <c r="CE167" s="772" t="n"/>
      <c r="CF167" s="772" t="n"/>
      <c r="CG167" s="772" t="n"/>
      <c r="CH167" s="772" t="n"/>
    </row>
    <row r="168">
      <c r="A168" s="1020" t="n"/>
      <c r="B168" s="772" t="n"/>
      <c r="C168" s="772" t="n"/>
      <c r="D168" s="772" t="n"/>
      <c r="E168" s="772" t="n"/>
      <c r="F168" s="772" t="n"/>
      <c r="G168" s="772" t="n"/>
      <c r="H168" s="772" t="n"/>
      <c r="I168" s="772" t="n"/>
      <c r="J168" s="772" t="n"/>
      <c r="K168" s="772" t="n"/>
      <c r="L168" s="772" t="n"/>
      <c r="M168" s="772" t="n"/>
      <c r="N168" s="772" t="n"/>
      <c r="O168" s="772" t="n"/>
      <c r="P168" s="772" t="n"/>
      <c r="Q168" s="772" t="n"/>
      <c r="R168" s="772" t="n"/>
      <c r="S168" s="772" t="n"/>
      <c r="T168" s="772" t="n"/>
      <c r="U168" s="772" t="n"/>
      <c r="V168" s="772" t="n"/>
      <c r="W168" s="772" t="n"/>
      <c r="X168" s="772" t="n"/>
      <c r="Y168" s="772" t="n"/>
      <c r="Z168" s="772" t="n"/>
      <c r="AA168" s="772" t="n"/>
      <c r="AB168" s="772" t="n"/>
      <c r="AC168" s="772" t="n"/>
      <c r="AD168" s="772" t="n"/>
      <c r="AE168" s="772" t="n"/>
      <c r="AF168" s="772" t="n"/>
      <c r="AG168" s="772" t="n"/>
      <c r="AH168" s="772" t="n"/>
      <c r="AI168" s="772" t="n"/>
      <c r="AJ168" s="772" t="n"/>
      <c r="AK168" s="772" t="n"/>
      <c r="AL168" s="772" t="n"/>
      <c r="AM168" s="772" t="n"/>
      <c r="AN168" s="772" t="n"/>
      <c r="AO168" s="772" t="n"/>
      <c r="AP168" s="772" t="n"/>
      <c r="AQ168" s="772" t="n"/>
      <c r="AR168" s="772" t="n"/>
      <c r="AS168" s="772" t="n"/>
      <c r="AT168" s="772" t="n"/>
      <c r="AU168" s="772" t="n"/>
      <c r="AV168" s="772" t="n"/>
      <c r="AW168" s="772" t="n"/>
      <c r="AX168" s="772" t="n"/>
      <c r="AY168" s="772" t="n"/>
      <c r="AZ168" s="772" t="n"/>
      <c r="BA168" s="772" t="n"/>
      <c r="BB168" s="772" t="n"/>
      <c r="BC168" s="772" t="n"/>
      <c r="BD168" s="772" t="n"/>
      <c r="BE168" s="772" t="n"/>
      <c r="BF168" s="772" t="n"/>
      <c r="BG168" s="772" t="n"/>
      <c r="BH168" s="772" t="n"/>
      <c r="BI168" s="772" t="n"/>
      <c r="BJ168" s="772" t="n"/>
      <c r="BK168" s="772" t="n"/>
      <c r="BL168" s="772" t="n"/>
      <c r="BM168" s="772" t="n"/>
      <c r="BN168" s="772" t="n"/>
      <c r="BO168" s="772" t="n"/>
      <c r="BP168" s="772" t="n"/>
      <c r="BQ168" s="772" t="n"/>
      <c r="BR168" s="772" t="n"/>
      <c r="BS168" s="772" t="n"/>
      <c r="BT168" s="772" t="n"/>
      <c r="BU168" s="772" t="n"/>
      <c r="BV168" s="772" t="n"/>
      <c r="BW168" s="772" t="n"/>
      <c r="BX168" s="772" t="n"/>
      <c r="BY168" s="772" t="n"/>
      <c r="BZ168" s="772" t="n"/>
      <c r="CA168" s="772" t="n"/>
      <c r="CB168" s="772" t="n"/>
      <c r="CC168" s="772" t="n"/>
      <c r="CD168" s="772" t="n"/>
      <c r="CE168" s="772" t="n"/>
      <c r="CF168" s="772" t="n"/>
      <c r="CG168" s="772" t="n"/>
      <c r="CH168" s="772" t="n"/>
    </row>
    <row r="169">
      <c r="A169" s="1020" t="n"/>
      <c r="B169" s="772" t="n"/>
      <c r="C169" s="772" t="n"/>
      <c r="D169" s="772" t="n"/>
      <c r="E169" s="772" t="n"/>
      <c r="F169" s="772" t="n"/>
      <c r="G169" s="772" t="n"/>
      <c r="H169" s="772" t="n"/>
      <c r="I169" s="772" t="n"/>
      <c r="J169" s="772" t="n"/>
      <c r="K169" s="772" t="n"/>
      <c r="L169" s="772" t="n"/>
      <c r="M169" s="772" t="n"/>
      <c r="N169" s="772" t="n"/>
      <c r="O169" s="772" t="n"/>
      <c r="P169" s="772" t="n"/>
      <c r="Q169" s="772" t="n"/>
      <c r="R169" s="772" t="n"/>
      <c r="S169" s="772" t="n"/>
      <c r="T169" s="772" t="n"/>
      <c r="U169" s="772" t="n"/>
      <c r="V169" s="772" t="n"/>
      <c r="W169" s="772" t="n"/>
      <c r="X169" s="772" t="n"/>
      <c r="Y169" s="772" t="n"/>
      <c r="Z169" s="772" t="n"/>
      <c r="AA169" s="772" t="n"/>
      <c r="AB169" s="772" t="n"/>
      <c r="AC169" s="772" t="n"/>
      <c r="AD169" s="772" t="n"/>
      <c r="AE169" s="772" t="n"/>
      <c r="AF169" s="772" t="n"/>
      <c r="AG169" s="772" t="n"/>
      <c r="AH169" s="772" t="n"/>
      <c r="AI169" s="772" t="n"/>
      <c r="AJ169" s="772" t="n"/>
      <c r="AK169" s="772" t="n"/>
      <c r="AL169" s="772" t="n"/>
      <c r="AM169" s="772" t="n"/>
      <c r="AN169" s="772" t="n"/>
      <c r="AO169" s="772" t="n"/>
      <c r="AP169" s="772" t="n"/>
      <c r="AQ169" s="772" t="n"/>
      <c r="AR169" s="772" t="n"/>
      <c r="AS169" s="772" t="n"/>
      <c r="AT169" s="772" t="n"/>
      <c r="AU169" s="772" t="n"/>
      <c r="AV169" s="772" t="n"/>
      <c r="AW169" s="772" t="n"/>
      <c r="AX169" s="772" t="n"/>
      <c r="AY169" s="772" t="n"/>
      <c r="AZ169" s="772" t="n"/>
      <c r="BA169" s="772" t="n"/>
      <c r="BB169" s="772" t="n"/>
      <c r="BC169" s="772" t="n"/>
      <c r="BD169" s="772" t="n"/>
      <c r="BE169" s="772" t="n"/>
      <c r="BF169" s="772" t="n"/>
      <c r="BG169" s="772" t="n"/>
      <c r="BH169" s="772" t="n"/>
      <c r="BI169" s="772" t="n"/>
      <c r="BJ169" s="772" t="n"/>
      <c r="BK169" s="772" t="n"/>
      <c r="BL169" s="772" t="n"/>
      <c r="BM169" s="772" t="n"/>
      <c r="BN169" s="772" t="n"/>
      <c r="BO169" s="772" t="n"/>
      <c r="BP169" s="772" t="n"/>
      <c r="BQ169" s="772" t="n"/>
      <c r="BR169" s="772" t="n"/>
      <c r="BS169" s="772" t="n"/>
      <c r="BT169" s="772" t="n"/>
      <c r="BU169" s="772" t="n"/>
      <c r="BV169" s="772" t="n"/>
      <c r="BW169" s="772" t="n"/>
      <c r="BX169" s="772" t="n"/>
      <c r="BY169" s="772" t="n"/>
      <c r="BZ169" s="772" t="n"/>
      <c r="CA169" s="772" t="n"/>
      <c r="CB169" s="772" t="n"/>
      <c r="CC169" s="772" t="n"/>
      <c r="CD169" s="772" t="n"/>
      <c r="CE169" s="772" t="n"/>
      <c r="CF169" s="772" t="n"/>
      <c r="CG169" s="772" t="n"/>
      <c r="CH169" s="772" t="n"/>
    </row>
    <row r="170">
      <c r="A170" s="1020" t="n"/>
      <c r="B170" s="772" t="n"/>
      <c r="C170" s="772" t="n"/>
      <c r="D170" s="772" t="n"/>
      <c r="E170" s="772" t="n"/>
      <c r="F170" s="772" t="n"/>
      <c r="G170" s="772" t="n"/>
      <c r="H170" s="772" t="n"/>
      <c r="I170" s="772" t="n"/>
      <c r="J170" s="772" t="n"/>
      <c r="K170" s="772" t="n"/>
      <c r="L170" s="772" t="n"/>
      <c r="M170" s="772" t="n"/>
      <c r="N170" s="772" t="n"/>
      <c r="O170" s="772" t="n"/>
      <c r="P170" s="772" t="n"/>
      <c r="Q170" s="772" t="n"/>
      <c r="R170" s="772" t="n"/>
      <c r="S170" s="772" t="n"/>
      <c r="T170" s="772" t="n"/>
      <c r="U170" s="772" t="n"/>
      <c r="V170" s="772" t="n"/>
      <c r="W170" s="772" t="n"/>
      <c r="X170" s="772" t="n"/>
      <c r="Y170" s="772" t="n"/>
      <c r="Z170" s="772" t="n"/>
      <c r="AA170" s="772" t="n"/>
      <c r="AB170" s="772" t="n"/>
      <c r="AC170" s="772" t="n"/>
      <c r="AD170" s="772" t="n"/>
      <c r="AE170" s="772" t="n"/>
      <c r="AF170" s="772" t="n"/>
      <c r="AG170" s="772" t="n"/>
      <c r="AH170" s="772" t="n"/>
      <c r="AI170" s="772" t="n"/>
      <c r="AJ170" s="772" t="n"/>
      <c r="AK170" s="772" t="n"/>
      <c r="AL170" s="772" t="n"/>
      <c r="AM170" s="772" t="n"/>
      <c r="AN170" s="772" t="n"/>
      <c r="AO170" s="772" t="n"/>
      <c r="AP170" s="772" t="n"/>
      <c r="AQ170" s="772" t="n"/>
      <c r="AR170" s="772" t="n"/>
      <c r="AS170" s="772" t="n"/>
      <c r="AT170" s="772" t="n"/>
      <c r="AU170" s="772" t="n"/>
      <c r="AV170" s="772" t="n"/>
      <c r="AW170" s="772" t="n"/>
      <c r="AX170" s="772" t="n"/>
      <c r="AY170" s="772" t="n"/>
      <c r="AZ170" s="772" t="n"/>
      <c r="BA170" s="772" t="n"/>
      <c r="BB170" s="772" t="n"/>
      <c r="BC170" s="772" t="n"/>
      <c r="BD170" s="772" t="n"/>
      <c r="BE170" s="772" t="n"/>
      <c r="BF170" s="772" t="n"/>
      <c r="BG170" s="772" t="n"/>
      <c r="BH170" s="772" t="n"/>
      <c r="BI170" s="772" t="n"/>
      <c r="BJ170" s="772" t="n"/>
      <c r="BK170" s="772" t="n"/>
      <c r="BL170" s="772" t="n"/>
      <c r="BM170" s="772" t="n"/>
      <c r="BN170" s="772" t="n"/>
      <c r="BO170" s="772" t="n"/>
      <c r="BP170" s="772" t="n"/>
      <c r="BQ170" s="772" t="n"/>
      <c r="BR170" s="772" t="n"/>
      <c r="BS170" s="772" t="n"/>
      <c r="BT170" s="772" t="n"/>
      <c r="BU170" s="772" t="n"/>
      <c r="BV170" s="772" t="n"/>
      <c r="BW170" s="772" t="n"/>
      <c r="BX170" s="772" t="n"/>
      <c r="BY170" s="772" t="n"/>
      <c r="BZ170" s="772" t="n"/>
      <c r="CA170" s="772" t="n"/>
      <c r="CB170" s="772" t="n"/>
      <c r="CC170" s="772" t="n"/>
      <c r="CD170" s="772" t="n"/>
      <c r="CE170" s="772" t="n"/>
      <c r="CF170" s="772" t="n"/>
      <c r="CG170" s="772" t="n"/>
      <c r="CH170" s="772" t="n"/>
    </row>
    <row r="171">
      <c r="A171" s="1020" t="n"/>
      <c r="B171" s="772" t="n"/>
      <c r="C171" s="772" t="n"/>
      <c r="D171" s="772" t="n"/>
      <c r="E171" s="772" t="n"/>
      <c r="F171" s="772" t="n"/>
      <c r="G171" s="772" t="n"/>
      <c r="H171" s="772" t="n"/>
      <c r="I171" s="772" t="n"/>
      <c r="J171" s="772" t="n"/>
      <c r="K171" s="772" t="n"/>
      <c r="L171" s="772" t="n"/>
      <c r="M171" s="772" t="n"/>
      <c r="N171" s="772" t="n"/>
      <c r="O171" s="772" t="n"/>
      <c r="P171" s="772" t="n"/>
      <c r="Q171" s="772" t="n"/>
      <c r="R171" s="772" t="n"/>
      <c r="S171" s="772" t="n"/>
      <c r="T171" s="772" t="n"/>
      <c r="U171" s="772" t="n"/>
      <c r="V171" s="772" t="n"/>
      <c r="W171" s="772" t="n"/>
      <c r="X171" s="772" t="n"/>
      <c r="Y171" s="772" t="n"/>
      <c r="Z171" s="772" t="n"/>
      <c r="AA171" s="772" t="n"/>
      <c r="AB171" s="772" t="n"/>
      <c r="AC171" s="772" t="n"/>
      <c r="AD171" s="772" t="n"/>
      <c r="AE171" s="772" t="n"/>
      <c r="AF171" s="772" t="n"/>
      <c r="AG171" s="772" t="n"/>
      <c r="AH171" s="772" t="n"/>
      <c r="AI171" s="772" t="n"/>
      <c r="AJ171" s="772" t="n"/>
      <c r="AK171" s="772" t="n"/>
      <c r="AL171" s="772" t="n"/>
      <c r="AM171" s="772" t="n"/>
      <c r="AN171" s="772" t="n"/>
      <c r="AO171" s="772" t="n"/>
      <c r="AP171" s="772" t="n"/>
      <c r="AQ171" s="772" t="n"/>
      <c r="AR171" s="772" t="n"/>
      <c r="AS171" s="772" t="n"/>
      <c r="AT171" s="772" t="n"/>
      <c r="AU171" s="772" t="n"/>
      <c r="AV171" s="772" t="n"/>
      <c r="AW171" s="772" t="n"/>
      <c r="AX171" s="772" t="n"/>
      <c r="AY171" s="772" t="n"/>
      <c r="AZ171" s="772" t="n"/>
      <c r="BA171" s="772" t="n"/>
      <c r="BB171" s="772" t="n"/>
      <c r="BC171" s="772" t="n"/>
      <c r="BD171" s="772" t="n"/>
      <c r="BE171" s="772" t="n"/>
      <c r="BF171" s="772" t="n"/>
      <c r="BG171" s="772" t="n"/>
      <c r="BH171" s="772" t="n"/>
      <c r="BI171" s="772" t="n"/>
      <c r="BJ171" s="772" t="n"/>
      <c r="BK171" s="772" t="n"/>
      <c r="BL171" s="772" t="n"/>
      <c r="BM171" s="772" t="n"/>
      <c r="BN171" s="772" t="n"/>
      <c r="BO171" s="772" t="n"/>
      <c r="BP171" s="772" t="n"/>
      <c r="BQ171" s="772" t="n"/>
      <c r="BR171" s="772" t="n"/>
      <c r="BS171" s="772" t="n"/>
      <c r="BT171" s="772" t="n"/>
      <c r="BU171" s="772" t="n"/>
      <c r="BV171" s="772" t="n"/>
      <c r="BW171" s="772" t="n"/>
      <c r="BX171" s="772" t="n"/>
      <c r="BY171" s="772" t="n"/>
      <c r="BZ171" s="772" t="n"/>
      <c r="CA171" s="772" t="n"/>
      <c r="CB171" s="772" t="n"/>
      <c r="CC171" s="772" t="n"/>
      <c r="CD171" s="772" t="n"/>
      <c r="CE171" s="772" t="n"/>
      <c r="CF171" s="772" t="n"/>
      <c r="CG171" s="772" t="n"/>
      <c r="CH171" s="772" t="n"/>
    </row>
    <row r="172">
      <c r="A172" s="1020" t="n"/>
      <c r="B172" s="772" t="n"/>
      <c r="C172" s="772" t="n"/>
      <c r="D172" s="772" t="n"/>
      <c r="E172" s="772" t="n"/>
      <c r="F172" s="772" t="n"/>
      <c r="G172" s="772" t="n"/>
      <c r="H172" s="772" t="n"/>
      <c r="I172" s="772" t="n"/>
      <c r="J172" s="772" t="n"/>
      <c r="K172" s="772" t="n"/>
      <c r="L172" s="772" t="n"/>
      <c r="M172" s="772" t="n"/>
      <c r="N172" s="772" t="n"/>
      <c r="O172" s="772" t="n"/>
      <c r="P172" s="772" t="n"/>
      <c r="Q172" s="772" t="n"/>
      <c r="R172" s="772" t="n"/>
      <c r="S172" s="772" t="n"/>
      <c r="T172" s="772" t="n"/>
      <c r="U172" s="772" t="n"/>
      <c r="V172" s="772" t="n"/>
      <c r="W172" s="772" t="n"/>
      <c r="X172" s="772" t="n"/>
      <c r="Y172" s="772" t="n"/>
      <c r="Z172" s="772" t="n"/>
      <c r="AA172" s="772" t="n"/>
      <c r="AB172" s="772" t="n"/>
      <c r="AC172" s="772" t="n"/>
      <c r="AD172" s="772" t="n"/>
      <c r="AE172" s="772" t="n"/>
      <c r="AF172" s="772" t="n"/>
      <c r="AG172" s="772" t="n"/>
      <c r="AH172" s="772" t="n"/>
      <c r="AI172" s="772" t="n"/>
      <c r="AJ172" s="772" t="n"/>
      <c r="AK172" s="772" t="n"/>
      <c r="AL172" s="772" t="n"/>
      <c r="AM172" s="772" t="n"/>
      <c r="AN172" s="772" t="n"/>
      <c r="AO172" s="772" t="n"/>
      <c r="AP172" s="772" t="n"/>
      <c r="AQ172" s="772" t="n"/>
      <c r="AR172" s="772" t="n"/>
      <c r="AS172" s="772" t="n"/>
      <c r="AT172" s="772" t="n"/>
      <c r="AU172" s="772" t="n"/>
      <c r="AV172" s="772" t="n"/>
      <c r="AW172" s="772" t="n"/>
      <c r="AX172" s="772" t="n"/>
      <c r="AY172" s="772" t="n"/>
      <c r="AZ172" s="772" t="n"/>
      <c r="BA172" s="772" t="n"/>
      <c r="BB172" s="772" t="n"/>
      <c r="BC172" s="772" t="n"/>
      <c r="BD172" s="772" t="n"/>
      <c r="BE172" s="772" t="n"/>
      <c r="BF172" s="772" t="n"/>
      <c r="BG172" s="772" t="n"/>
      <c r="BH172" s="772" t="n"/>
      <c r="BI172" s="772" t="n"/>
      <c r="BJ172" s="772" t="n"/>
      <c r="BK172" s="772" t="n"/>
      <c r="BL172" s="772" t="n"/>
      <c r="BM172" s="772" t="n"/>
      <c r="BN172" s="772" t="n"/>
      <c r="BO172" s="772" t="n"/>
      <c r="BP172" s="772" t="n"/>
      <c r="BQ172" s="772" t="n"/>
      <c r="BR172" s="772" t="n"/>
      <c r="BS172" s="772" t="n"/>
      <c r="BT172" s="772" t="n"/>
      <c r="BU172" s="772" t="n"/>
      <c r="BV172" s="772" t="n"/>
      <c r="BW172" s="772" t="n"/>
      <c r="BX172" s="772" t="n"/>
      <c r="BY172" s="772" t="n"/>
      <c r="BZ172" s="772" t="n"/>
      <c r="CA172" s="772" t="n"/>
      <c r="CB172" s="772" t="n"/>
      <c r="CC172" s="772" t="n"/>
      <c r="CD172" s="772" t="n"/>
      <c r="CE172" s="772" t="n"/>
      <c r="CF172" s="772" t="n"/>
      <c r="CG172" s="772" t="n"/>
      <c r="CH172" s="772" t="n"/>
    </row>
    <row r="173">
      <c r="A173" s="1020" t="n"/>
      <c r="B173" s="772" t="n"/>
      <c r="C173" s="772" t="n"/>
      <c r="D173" s="772" t="n"/>
      <c r="E173" s="772" t="n"/>
      <c r="F173" s="772" t="n"/>
      <c r="G173" s="772" t="n"/>
      <c r="H173" s="772" t="n"/>
      <c r="I173" s="772" t="n"/>
      <c r="J173" s="772" t="n"/>
      <c r="K173" s="772" t="n"/>
      <c r="L173" s="772" t="n"/>
      <c r="M173" s="772" t="n"/>
      <c r="N173" s="772" t="n"/>
      <c r="O173" s="772" t="n"/>
      <c r="P173" s="772" t="n"/>
      <c r="Q173" s="772" t="n"/>
      <c r="R173" s="772" t="n"/>
      <c r="S173" s="772" t="n"/>
      <c r="T173" s="772" t="n"/>
      <c r="U173" s="772" t="n"/>
      <c r="V173" s="772" t="n"/>
      <c r="W173" s="772" t="n"/>
      <c r="X173" s="772" t="n"/>
      <c r="Y173" s="772" t="n"/>
      <c r="Z173" s="772" t="n"/>
      <c r="AA173" s="772" t="n"/>
      <c r="AB173" s="772" t="n"/>
      <c r="AC173" s="772" t="n"/>
      <c r="AD173" s="772" t="n"/>
      <c r="AE173" s="772" t="n"/>
      <c r="AF173" s="772" t="n"/>
      <c r="AG173" s="772" t="n"/>
      <c r="AH173" s="772" t="n"/>
      <c r="AI173" s="772" t="n"/>
      <c r="AJ173" s="772" t="n"/>
      <c r="AK173" s="772" t="n"/>
      <c r="AL173" s="772" t="n"/>
      <c r="AM173" s="772" t="n"/>
      <c r="AN173" s="772" t="n"/>
      <c r="AO173" s="772" t="n"/>
      <c r="AP173" s="772" t="n"/>
      <c r="AQ173" s="772" t="n"/>
      <c r="AR173" s="772" t="n"/>
      <c r="AS173" s="772" t="n"/>
      <c r="AT173" s="772" t="n"/>
      <c r="AU173" s="772" t="n"/>
      <c r="AV173" s="772" t="n"/>
      <c r="AW173" s="772" t="n"/>
      <c r="AX173" s="772" t="n"/>
      <c r="AY173" s="772" t="n"/>
      <c r="AZ173" s="772" t="n"/>
      <c r="BA173" s="772" t="n"/>
      <c r="BB173" s="772" t="n"/>
      <c r="BC173" s="772" t="n"/>
      <c r="BD173" s="772" t="n"/>
      <c r="BE173" s="772" t="n"/>
      <c r="BF173" s="772" t="n"/>
      <c r="BG173" s="772" t="n"/>
      <c r="BH173" s="772" t="n"/>
      <c r="BI173" s="772" t="n"/>
      <c r="BJ173" s="772" t="n"/>
      <c r="BK173" s="772" t="n"/>
      <c r="BL173" s="772" t="n"/>
      <c r="BM173" s="772" t="n"/>
      <c r="BN173" s="772" t="n"/>
      <c r="BO173" s="772" t="n"/>
      <c r="BP173" s="772" t="n"/>
      <c r="BQ173" s="772" t="n"/>
      <c r="BR173" s="772" t="n"/>
      <c r="BS173" s="772" t="n"/>
      <c r="BT173" s="772" t="n"/>
      <c r="BU173" s="772" t="n"/>
      <c r="BV173" s="772" t="n"/>
      <c r="BW173" s="772" t="n"/>
      <c r="BX173" s="772" t="n"/>
      <c r="BY173" s="772" t="n"/>
      <c r="BZ173" s="772" t="n"/>
      <c r="CA173" s="772" t="n"/>
      <c r="CB173" s="772" t="n"/>
      <c r="CC173" s="772" t="n"/>
      <c r="CD173" s="772" t="n"/>
      <c r="CE173" s="772" t="n"/>
      <c r="CF173" s="772" t="n"/>
      <c r="CG173" s="772" t="n"/>
      <c r="CH173" s="772" t="n"/>
    </row>
    <row r="174">
      <c r="A174" s="1020" t="n"/>
      <c r="B174" s="772" t="n"/>
      <c r="C174" s="772" t="n"/>
      <c r="D174" s="772" t="n"/>
      <c r="E174" s="772" t="n"/>
      <c r="F174" s="772" t="n"/>
      <c r="G174" s="772" t="n"/>
      <c r="H174" s="772" t="n"/>
      <c r="I174" s="772" t="n"/>
      <c r="J174" s="772" t="n"/>
      <c r="K174" s="772" t="n"/>
      <c r="L174" s="772" t="n"/>
      <c r="M174" s="772" t="n"/>
      <c r="N174" s="772" t="n"/>
      <c r="O174" s="772" t="n"/>
      <c r="P174" s="772" t="n"/>
      <c r="Q174" s="772" t="n"/>
      <c r="R174" s="772" t="n"/>
      <c r="S174" s="772" t="n"/>
      <c r="T174" s="772" t="n"/>
      <c r="U174" s="772" t="n"/>
      <c r="V174" s="772" t="n"/>
      <c r="W174" s="772" t="n"/>
      <c r="X174" s="772" t="n"/>
      <c r="Y174" s="772" t="n"/>
      <c r="Z174" s="772" t="n"/>
      <c r="AA174" s="772" t="n"/>
      <c r="AB174" s="772" t="n"/>
      <c r="AC174" s="772" t="n"/>
      <c r="AD174" s="772" t="n"/>
      <c r="AE174" s="772" t="n"/>
      <c r="AF174" s="772" t="n"/>
      <c r="AG174" s="772" t="n"/>
      <c r="AH174" s="772" t="n"/>
      <c r="AI174" s="772" t="n"/>
      <c r="AJ174" s="772" t="n"/>
      <c r="AK174" s="772" t="n"/>
      <c r="AL174" s="772" t="n"/>
      <c r="AM174" s="772" t="n"/>
      <c r="AN174" s="772" t="n"/>
      <c r="AO174" s="772" t="n"/>
      <c r="AP174" s="772" t="n"/>
      <c r="AQ174" s="772" t="n"/>
      <c r="AR174" s="772" t="n"/>
      <c r="AS174" s="772" t="n"/>
      <c r="AT174" s="772" t="n"/>
      <c r="AU174" s="772" t="n"/>
      <c r="AV174" s="772" t="n"/>
      <c r="AW174" s="772" t="n"/>
      <c r="AX174" s="772" t="n"/>
      <c r="AY174" s="772" t="n"/>
      <c r="AZ174" s="772" t="n"/>
      <c r="BA174" s="772" t="n"/>
      <c r="BB174" s="772" t="n"/>
      <c r="BC174" s="772" t="n"/>
      <c r="BD174" s="772" t="n"/>
      <c r="BE174" s="772" t="n"/>
      <c r="BF174" s="772" t="n"/>
      <c r="BG174" s="772" t="n"/>
      <c r="BH174" s="772" t="n"/>
      <c r="BI174" s="772" t="n"/>
      <c r="BJ174" s="772" t="n"/>
      <c r="BK174" s="772" t="n"/>
      <c r="BL174" s="772" t="n"/>
      <c r="BM174" s="772" t="n"/>
      <c r="BN174" s="772" t="n"/>
      <c r="BO174" s="772" t="n"/>
      <c r="BP174" s="772" t="n"/>
      <c r="BQ174" s="772" t="n"/>
      <c r="BR174" s="772" t="n"/>
      <c r="BS174" s="772" t="n"/>
      <c r="BT174" s="772" t="n"/>
      <c r="BU174" s="772" t="n"/>
      <c r="BV174" s="772" t="n"/>
      <c r="BW174" s="772" t="n"/>
      <c r="BX174" s="772" t="n"/>
      <c r="BY174" s="772" t="n"/>
      <c r="BZ174" s="772" t="n"/>
      <c r="CA174" s="772" t="n"/>
      <c r="CB174" s="772" t="n"/>
      <c r="CC174" s="772" t="n"/>
      <c r="CD174" s="772" t="n"/>
      <c r="CE174" s="772" t="n"/>
      <c r="CF174" s="772" t="n"/>
      <c r="CG174" s="772" t="n"/>
      <c r="CH174" s="772" t="n"/>
    </row>
    <row r="175">
      <c r="A175" s="1020" t="n"/>
      <c r="B175" s="772" t="n"/>
      <c r="C175" s="772" t="n"/>
      <c r="D175" s="772" t="n"/>
      <c r="E175" s="772" t="n"/>
      <c r="F175" s="772" t="n"/>
      <c r="G175" s="772" t="n"/>
      <c r="H175" s="772" t="n"/>
      <c r="I175" s="772" t="n"/>
      <c r="J175" s="772" t="n"/>
      <c r="K175" s="772" t="n"/>
      <c r="L175" s="772" t="n"/>
      <c r="M175" s="772" t="n"/>
      <c r="N175" s="772" t="n"/>
      <c r="O175" s="772" t="n"/>
      <c r="P175" s="772" t="n"/>
      <c r="Q175" s="772" t="n"/>
      <c r="R175" s="772" t="n"/>
      <c r="S175" s="772" t="n"/>
      <c r="T175" s="772" t="n"/>
      <c r="U175" s="772" t="n"/>
      <c r="V175" s="772" t="n"/>
      <c r="W175" s="772" t="n"/>
      <c r="X175" s="772" t="n"/>
      <c r="Y175" s="772" t="n"/>
      <c r="Z175" s="772" t="n"/>
      <c r="AA175" s="772" t="n"/>
      <c r="AB175" s="772" t="n"/>
      <c r="AC175" s="772" t="n"/>
      <c r="AD175" s="772" t="n"/>
      <c r="AE175" s="772" t="n"/>
      <c r="AF175" s="772" t="n"/>
      <c r="AG175" s="772" t="n"/>
      <c r="AH175" s="772" t="n"/>
      <c r="AI175" s="772" t="n"/>
      <c r="AJ175" s="772" t="n"/>
      <c r="AK175" s="772" t="n"/>
      <c r="AL175" s="772" t="n"/>
      <c r="AM175" s="772" t="n"/>
      <c r="AN175" s="772" t="n"/>
      <c r="AO175" s="772" t="n"/>
      <c r="AP175" s="772" t="n"/>
      <c r="AQ175" s="772" t="n"/>
      <c r="AR175" s="772" t="n"/>
      <c r="AS175" s="772" t="n"/>
      <c r="AT175" s="772" t="n"/>
      <c r="AU175" s="772" t="n"/>
      <c r="AV175" s="772" t="n"/>
      <c r="AW175" s="772" t="n"/>
      <c r="AX175" s="772" t="n"/>
      <c r="AY175" s="772" t="n"/>
      <c r="AZ175" s="772" t="n"/>
      <c r="BA175" s="772" t="n"/>
      <c r="BB175" s="772" t="n"/>
      <c r="BC175" s="772" t="n"/>
      <c r="BD175" s="772" t="n"/>
      <c r="BE175" s="772" t="n"/>
      <c r="BF175" s="772" t="n"/>
      <c r="BG175" s="772" t="n"/>
      <c r="BH175" s="772" t="n"/>
      <c r="BI175" s="772" t="n"/>
      <c r="BJ175" s="772" t="n"/>
      <c r="BK175" s="772" t="n"/>
      <c r="BL175" s="772" t="n"/>
      <c r="BM175" s="772" t="n"/>
      <c r="BN175" s="772" t="n"/>
      <c r="BO175" s="772" t="n"/>
      <c r="BP175" s="772" t="n"/>
      <c r="BQ175" s="772" t="n"/>
      <c r="BR175" s="772" t="n"/>
      <c r="BS175" s="772" t="n"/>
      <c r="BT175" s="772" t="n"/>
      <c r="BU175" s="772" t="n"/>
      <c r="BV175" s="772" t="n"/>
      <c r="BW175" s="772" t="n"/>
      <c r="BX175" s="772" t="n"/>
      <c r="BY175" s="772" t="n"/>
      <c r="BZ175" s="772" t="n"/>
      <c r="CA175" s="772" t="n"/>
      <c r="CB175" s="772" t="n"/>
      <c r="CC175" s="772" t="n"/>
      <c r="CD175" s="772" t="n"/>
      <c r="CE175" s="772" t="n"/>
      <c r="CF175" s="772" t="n"/>
      <c r="CG175" s="772" t="n"/>
      <c r="CH175" s="772" t="n"/>
    </row>
    <row r="176">
      <c r="A176" s="1020" t="n"/>
      <c r="B176" s="772" t="n"/>
      <c r="C176" s="772" t="n"/>
      <c r="D176" s="772" t="n"/>
      <c r="E176" s="772" t="n"/>
      <c r="F176" s="772" t="n"/>
      <c r="G176" s="772" t="n"/>
      <c r="H176" s="772" t="n"/>
      <c r="I176" s="772" t="n"/>
      <c r="J176" s="772" t="n"/>
      <c r="K176" s="772" t="n"/>
      <c r="L176" s="772" t="n"/>
      <c r="M176" s="772" t="n"/>
      <c r="N176" s="772" t="n"/>
      <c r="O176" s="772" t="n"/>
      <c r="P176" s="772" t="n"/>
      <c r="Q176" s="772" t="n"/>
      <c r="R176" s="772" t="n"/>
      <c r="S176" s="772" t="n"/>
      <c r="T176" s="772" t="n"/>
      <c r="U176" s="772" t="n"/>
      <c r="V176" s="772" t="n"/>
      <c r="W176" s="772" t="n"/>
      <c r="X176" s="772" t="n"/>
      <c r="Y176" s="772" t="n"/>
      <c r="Z176" s="772" t="n"/>
      <c r="AA176" s="772" t="n"/>
      <c r="AB176" s="772" t="n"/>
      <c r="AC176" s="772" t="n"/>
      <c r="AD176" s="772" t="n"/>
      <c r="AE176" s="772" t="n"/>
      <c r="AF176" s="772" t="n"/>
      <c r="AG176" s="772" t="n"/>
      <c r="AH176" s="772" t="n"/>
      <c r="AI176" s="772" t="n"/>
      <c r="AJ176" s="772" t="n"/>
      <c r="AK176" s="772" t="n"/>
      <c r="AL176" s="772" t="n"/>
      <c r="AM176" s="772" t="n"/>
      <c r="AN176" s="772" t="n"/>
      <c r="AO176" s="772" t="n"/>
      <c r="AP176" s="772" t="n"/>
      <c r="AQ176" s="772" t="n"/>
      <c r="AR176" s="772" t="n"/>
      <c r="AS176" s="772" t="n"/>
      <c r="AT176" s="772" t="n"/>
      <c r="AU176" s="772" t="n"/>
      <c r="AV176" s="772" t="n"/>
      <c r="AW176" s="772" t="n"/>
      <c r="AX176" s="772" t="n"/>
      <c r="AY176" s="772" t="n"/>
      <c r="AZ176" s="772" t="n"/>
      <c r="BA176" s="772" t="n"/>
      <c r="BB176" s="772" t="n"/>
      <c r="BC176" s="772" t="n"/>
      <c r="BD176" s="772" t="n"/>
      <c r="BE176" s="772" t="n"/>
      <c r="BF176" s="772" t="n"/>
      <c r="BG176" s="772" t="n"/>
      <c r="BH176" s="772" t="n"/>
      <c r="BI176" s="772" t="n"/>
      <c r="BJ176" s="772" t="n"/>
      <c r="BK176" s="772" t="n"/>
      <c r="BL176" s="772" t="n"/>
      <c r="BM176" s="772" t="n"/>
      <c r="BN176" s="772" t="n"/>
      <c r="BO176" s="772" t="n"/>
      <c r="BP176" s="772" t="n"/>
      <c r="BQ176" s="772" t="n"/>
      <c r="BR176" s="772" t="n"/>
      <c r="BS176" s="772" t="n"/>
      <c r="BT176" s="772" t="n"/>
      <c r="BU176" s="772" t="n"/>
      <c r="BV176" s="772" t="n"/>
      <c r="BW176" s="772" t="n"/>
      <c r="BX176" s="772" t="n"/>
      <c r="BY176" s="772" t="n"/>
      <c r="BZ176" s="772" t="n"/>
      <c r="CA176" s="772" t="n"/>
      <c r="CB176" s="772" t="n"/>
      <c r="CC176" s="772" t="n"/>
      <c r="CD176" s="772" t="n"/>
      <c r="CE176" s="772" t="n"/>
      <c r="CF176" s="772" t="n"/>
      <c r="CG176" s="772" t="n"/>
      <c r="CH176" s="772" t="n"/>
    </row>
    <row r="177">
      <c r="A177" s="1020" t="n"/>
      <c r="B177" s="772" t="n"/>
      <c r="C177" s="772" t="n"/>
      <c r="D177" s="772" t="n"/>
      <c r="E177" s="772" t="n"/>
      <c r="F177" s="772" t="n"/>
      <c r="G177" s="772" t="n"/>
      <c r="H177" s="772" t="n"/>
      <c r="I177" s="772" t="n"/>
      <c r="J177" s="772" t="n"/>
      <c r="K177" s="772" t="n"/>
      <c r="L177" s="772" t="n"/>
      <c r="M177" s="772" t="n"/>
      <c r="N177" s="772" t="n"/>
      <c r="O177" s="772" t="n"/>
      <c r="P177" s="772" t="n"/>
      <c r="Q177" s="772" t="n"/>
      <c r="R177" s="772" t="n"/>
      <c r="S177" s="772" t="n"/>
      <c r="T177" s="772" t="n"/>
      <c r="U177" s="772" t="n"/>
      <c r="V177" s="772" t="n"/>
      <c r="W177" s="772" t="n"/>
      <c r="X177" s="772" t="n"/>
      <c r="Y177" s="772" t="n"/>
      <c r="Z177" s="772" t="n"/>
      <c r="AA177" s="772" t="n"/>
      <c r="AB177" s="772" t="n"/>
      <c r="AC177" s="772" t="n"/>
      <c r="AD177" s="772" t="n"/>
      <c r="AE177" s="772" t="n"/>
      <c r="AF177" s="772" t="n"/>
      <c r="AG177" s="772" t="n"/>
      <c r="AH177" s="772" t="n"/>
      <c r="AI177" s="772" t="n"/>
      <c r="AJ177" s="772" t="n"/>
      <c r="AK177" s="772" t="n"/>
      <c r="AL177" s="772" t="n"/>
      <c r="AM177" s="772" t="n"/>
      <c r="AN177" s="772" t="n"/>
      <c r="AO177" s="772" t="n"/>
      <c r="AP177" s="772" t="n"/>
      <c r="AQ177" s="772" t="n"/>
      <c r="AR177" s="772" t="n"/>
      <c r="AS177" s="772" t="n"/>
      <c r="AT177" s="772" t="n"/>
      <c r="AU177" s="772" t="n"/>
      <c r="AV177" s="772" t="n"/>
      <c r="AW177" s="772" t="n"/>
      <c r="AX177" s="772" t="n"/>
      <c r="AY177" s="772" t="n"/>
      <c r="AZ177" s="772" t="n"/>
      <c r="BA177" s="772" t="n"/>
      <c r="BB177" s="772" t="n"/>
      <c r="BC177" s="772" t="n"/>
      <c r="BD177" s="772" t="n"/>
      <c r="BE177" s="772" t="n"/>
      <c r="BF177" s="772" t="n"/>
      <c r="BG177" s="772" t="n"/>
      <c r="BH177" s="772" t="n"/>
      <c r="BI177" s="772" t="n"/>
      <c r="BJ177" s="772" t="n"/>
      <c r="BK177" s="772" t="n"/>
      <c r="BL177" s="772" t="n"/>
      <c r="BM177" s="772" t="n"/>
      <c r="BN177" s="772" t="n"/>
      <c r="BO177" s="772" t="n"/>
      <c r="BP177" s="772" t="n"/>
      <c r="BQ177" s="772" t="n"/>
      <c r="BR177" s="772" t="n"/>
      <c r="BS177" s="772" t="n"/>
      <c r="BT177" s="772" t="n"/>
      <c r="BU177" s="772" t="n"/>
      <c r="BV177" s="772" t="n"/>
      <c r="BW177" s="772" t="n"/>
      <c r="BX177" s="772" t="n"/>
      <c r="BY177" s="772" t="n"/>
      <c r="BZ177" s="772" t="n"/>
      <c r="CA177" s="772" t="n"/>
      <c r="CB177" s="772" t="n"/>
      <c r="CC177" s="772" t="n"/>
      <c r="CD177" s="772" t="n"/>
      <c r="CE177" s="772" t="n"/>
      <c r="CF177" s="772" t="n"/>
      <c r="CG177" s="772" t="n"/>
      <c r="CH177" s="772" t="n"/>
    </row>
    <row r="178">
      <c r="A178" s="1020" t="n"/>
      <c r="B178" s="772" t="n"/>
      <c r="C178" s="772" t="n"/>
      <c r="D178" s="772" t="n"/>
      <c r="E178" s="772" t="n"/>
      <c r="F178" s="772" t="n"/>
      <c r="G178" s="772" t="n"/>
      <c r="H178" s="772" t="n"/>
      <c r="I178" s="772" t="n"/>
      <c r="J178" s="772" t="n"/>
      <c r="K178" s="772" t="n"/>
      <c r="L178" s="772" t="n"/>
      <c r="M178" s="772" t="n"/>
      <c r="N178" s="772" t="n"/>
      <c r="O178" s="772" t="n"/>
      <c r="P178" s="772" t="n"/>
      <c r="Q178" s="772" t="n"/>
      <c r="R178" s="772" t="n"/>
      <c r="S178" s="772" t="n"/>
      <c r="T178" s="772" t="n"/>
      <c r="U178" s="772" t="n"/>
      <c r="V178" s="772" t="n"/>
      <c r="W178" s="772" t="n"/>
      <c r="X178" s="772" t="n"/>
      <c r="Y178" s="772" t="n"/>
      <c r="Z178" s="772" t="n"/>
      <c r="AA178" s="772" t="n"/>
      <c r="AB178" s="772" t="n"/>
      <c r="AC178" s="772" t="n"/>
      <c r="AD178" s="772" t="n"/>
      <c r="AE178" s="772" t="n"/>
      <c r="AF178" s="772" t="n"/>
      <c r="AG178" s="772" t="n"/>
      <c r="AH178" s="772" t="n"/>
      <c r="AI178" s="772" t="n"/>
      <c r="AJ178" s="772" t="n"/>
      <c r="AK178" s="772" t="n"/>
      <c r="AL178" s="772" t="n"/>
      <c r="AM178" s="772" t="n"/>
      <c r="AN178" s="772" t="n"/>
      <c r="AO178" s="772" t="n"/>
      <c r="AP178" s="772" t="n"/>
      <c r="AQ178" s="772" t="n"/>
      <c r="AR178" s="772" t="n"/>
      <c r="AS178" s="772" t="n"/>
      <c r="AT178" s="772" t="n"/>
      <c r="AU178" s="772" t="n"/>
      <c r="AV178" s="772" t="n"/>
      <c r="AW178" s="772" t="n"/>
      <c r="AX178" s="772" t="n"/>
      <c r="AY178" s="772" t="n"/>
      <c r="AZ178" s="772" t="n"/>
      <c r="BA178" s="772" t="n"/>
      <c r="BB178" s="772" t="n"/>
      <c r="BC178" s="772" t="n"/>
      <c r="BD178" s="772" t="n"/>
      <c r="BE178" s="772" t="n"/>
      <c r="BF178" s="772" t="n"/>
      <c r="BG178" s="772" t="n"/>
      <c r="BH178" s="772" t="n"/>
      <c r="BI178" s="772" t="n"/>
      <c r="BJ178" s="772" t="n"/>
      <c r="BK178" s="772" t="n"/>
      <c r="BL178" s="772" t="n"/>
      <c r="BM178" s="772" t="n"/>
      <c r="BN178" s="772" t="n"/>
      <c r="BO178" s="772" t="n"/>
      <c r="BP178" s="772" t="n"/>
      <c r="BQ178" s="772" t="n"/>
      <c r="BR178" s="772" t="n"/>
      <c r="BS178" s="772" t="n"/>
      <c r="BT178" s="772" t="n"/>
      <c r="BU178" s="772" t="n"/>
      <c r="BV178" s="772" t="n"/>
      <c r="BW178" s="772" t="n"/>
      <c r="BX178" s="772" t="n"/>
      <c r="BY178" s="772" t="n"/>
      <c r="BZ178" s="772" t="n"/>
      <c r="CA178" s="772" t="n"/>
      <c r="CB178" s="772" t="n"/>
      <c r="CC178" s="772" t="n"/>
      <c r="CD178" s="772" t="n"/>
      <c r="CE178" s="772" t="n"/>
      <c r="CF178" s="772" t="n"/>
      <c r="CG178" s="772" t="n"/>
      <c r="CH178" s="772" t="n"/>
    </row>
    <row r="179">
      <c r="A179" s="1020" t="n"/>
      <c r="B179" s="772" t="n"/>
      <c r="C179" s="772" t="n"/>
      <c r="D179" s="772" t="n"/>
      <c r="E179" s="772" t="n"/>
      <c r="F179" s="772" t="n"/>
      <c r="G179" s="772" t="n"/>
      <c r="H179" s="772" t="n"/>
      <c r="I179" s="772" t="n"/>
      <c r="J179" s="772" t="n"/>
      <c r="K179" s="772" t="n"/>
      <c r="L179" s="772" t="n"/>
      <c r="M179" s="772" t="n"/>
      <c r="N179" s="772" t="n"/>
      <c r="O179" s="772" t="n"/>
      <c r="P179" s="772" t="n"/>
      <c r="Q179" s="772" t="n"/>
      <c r="R179" s="772" t="n"/>
      <c r="S179" s="772" t="n"/>
      <c r="T179" s="772" t="n"/>
      <c r="U179" s="772" t="n"/>
      <c r="V179" s="772" t="n"/>
      <c r="W179" s="772" t="n"/>
      <c r="X179" s="772" t="n"/>
      <c r="Y179" s="772" t="n"/>
      <c r="Z179" s="772" t="n"/>
      <c r="AA179" s="772" t="n"/>
      <c r="AB179" s="772" t="n"/>
      <c r="AC179" s="772" t="n"/>
      <c r="AD179" s="772" t="n"/>
      <c r="AE179" s="772" t="n"/>
      <c r="AF179" s="772" t="n"/>
      <c r="AG179" s="772" t="n"/>
      <c r="AH179" s="772" t="n"/>
      <c r="AI179" s="772" t="n"/>
      <c r="AJ179" s="772" t="n"/>
      <c r="AK179" s="772" t="n"/>
      <c r="AL179" s="772" t="n"/>
      <c r="AM179" s="772" t="n"/>
      <c r="AN179" s="772" t="n"/>
      <c r="AO179" s="772" t="n"/>
      <c r="AP179" s="772" t="n"/>
      <c r="AQ179" s="772" t="n"/>
      <c r="AR179" s="772" t="n"/>
      <c r="AS179" s="772" t="n"/>
      <c r="AT179" s="772" t="n"/>
      <c r="AU179" s="772" t="n"/>
      <c r="AV179" s="772" t="n"/>
      <c r="AW179" s="772" t="n"/>
      <c r="AX179" s="772" t="n"/>
      <c r="AY179" s="772" t="n"/>
      <c r="AZ179" s="772" t="n"/>
      <c r="BA179" s="772" t="n"/>
      <c r="BB179" s="772" t="n"/>
      <c r="BC179" s="772" t="n"/>
      <c r="BD179" s="772" t="n"/>
      <c r="BE179" s="772" t="n"/>
      <c r="BF179" s="772" t="n"/>
      <c r="BG179" s="772" t="n"/>
      <c r="BH179" s="772" t="n"/>
      <c r="BI179" s="772" t="n"/>
      <c r="BJ179" s="772" t="n"/>
      <c r="BK179" s="772" t="n"/>
      <c r="BL179" s="772" t="n"/>
      <c r="BM179" s="772" t="n"/>
      <c r="BN179" s="772" t="n"/>
      <c r="BO179" s="772" t="n"/>
      <c r="BP179" s="772" t="n"/>
      <c r="BQ179" s="772" t="n"/>
      <c r="BR179" s="772" t="n"/>
      <c r="BS179" s="772" t="n"/>
      <c r="BT179" s="772" t="n"/>
      <c r="BU179" s="772" t="n"/>
      <c r="BV179" s="772" t="n"/>
      <c r="BW179" s="772" t="n"/>
      <c r="BX179" s="772" t="n"/>
      <c r="BY179" s="772" t="n"/>
      <c r="BZ179" s="772" t="n"/>
      <c r="CA179" s="772" t="n"/>
      <c r="CB179" s="772" t="n"/>
      <c r="CC179" s="772" t="n"/>
      <c r="CD179" s="772" t="n"/>
      <c r="CE179" s="772" t="n"/>
      <c r="CF179" s="772" t="n"/>
      <c r="CG179" s="772" t="n"/>
      <c r="CH179" s="772" t="n"/>
    </row>
    <row r="180">
      <c r="A180" s="1021" t="n"/>
    </row>
    <row r="181">
      <c r="A181" s="1021" t="n"/>
    </row>
    <row r="182">
      <c r="A182" s="1021" t="n"/>
    </row>
    <row r="183">
      <c r="A183" s="1021" t="n"/>
    </row>
    <row r="184">
      <c r="A184" s="1021" t="n"/>
    </row>
    <row r="185">
      <c r="A185" s="1021" t="n"/>
    </row>
    <row r="186">
      <c r="A186" s="1021" t="n"/>
    </row>
    <row r="187">
      <c r="A187" s="1021" t="n"/>
    </row>
    <row r="188">
      <c r="A188" s="1021" t="n"/>
    </row>
    <row r="189">
      <c r="A189" s="1021" t="n"/>
    </row>
    <row r="190">
      <c r="A190" s="1021" t="n"/>
    </row>
    <row r="191">
      <c r="A191" s="1021" t="n"/>
    </row>
    <row r="192">
      <c r="A192" s="1021" t="n"/>
    </row>
    <row r="193">
      <c r="A193" s="1021" t="n"/>
    </row>
    <row r="194">
      <c r="A194" s="1021" t="n"/>
    </row>
    <row r="195">
      <c r="A195" s="1021" t="n"/>
    </row>
    <row r="196">
      <c r="A196" s="1021" t="n"/>
    </row>
    <row r="197">
      <c r="A197" s="1021" t="n"/>
    </row>
    <row r="198">
      <c r="A198" s="1021" t="n"/>
    </row>
    <row r="199">
      <c r="A199" s="1021" t="n"/>
    </row>
    <row r="200">
      <c r="A200" s="1021" t="n"/>
    </row>
    <row r="201">
      <c r="A201" s="1021" t="n"/>
    </row>
    <row r="202">
      <c r="A202" s="1021" t="n"/>
    </row>
    <row r="203">
      <c r="A203" s="1021" t="n"/>
    </row>
    <row r="204">
      <c r="A204" s="1021" t="n"/>
    </row>
    <row r="205">
      <c r="A205" s="1021" t="n"/>
    </row>
    <row r="206">
      <c r="A206" s="1021" t="n"/>
    </row>
    <row r="207">
      <c r="A207" s="1021" t="n"/>
    </row>
    <row r="208">
      <c r="A208" s="1021" t="n"/>
    </row>
    <row r="209">
      <c r="A209" s="1021" t="n"/>
    </row>
    <row r="210">
      <c r="A210" s="1021" t="n"/>
    </row>
    <row r="211">
      <c r="A211" s="1021" t="n"/>
    </row>
    <row r="212">
      <c r="A212" s="1021" t="n"/>
    </row>
    <row r="213">
      <c r="A213" s="1021" t="n"/>
    </row>
    <row r="214">
      <c r="A214" s="1021" t="n"/>
    </row>
    <row r="215">
      <c r="A215" s="1021" t="n"/>
    </row>
    <row r="216">
      <c r="A216" s="1021" t="n"/>
    </row>
    <row r="217">
      <c r="A217" s="1021" t="n"/>
    </row>
    <row r="218">
      <c r="A218" s="1021" t="n"/>
    </row>
    <row r="219">
      <c r="A219" s="1021" t="n"/>
    </row>
    <row r="220">
      <c r="A220" s="1021" t="n"/>
    </row>
    <row r="221">
      <c r="A221" s="1021" t="n"/>
    </row>
    <row r="222">
      <c r="A222" s="1021" t="n"/>
    </row>
    <row r="223">
      <c r="A223" s="1021" t="n"/>
    </row>
    <row r="224">
      <c r="A224" s="1021" t="n"/>
    </row>
    <row r="225">
      <c r="A225" s="1021" t="n"/>
    </row>
    <row r="226">
      <c r="A226" s="1021" t="n"/>
    </row>
    <row r="227">
      <c r="A227" s="1021" t="n"/>
    </row>
    <row r="228">
      <c r="A228" s="1021" t="n"/>
    </row>
    <row r="229">
      <c r="A229" s="1021" t="n"/>
    </row>
    <row r="230">
      <c r="A230" s="1021" t="n"/>
    </row>
    <row r="231">
      <c r="A231" s="1021" t="n"/>
    </row>
    <row r="232">
      <c r="A232" s="1021" t="n"/>
    </row>
    <row r="233">
      <c r="A233" s="1021" t="n"/>
    </row>
    <row r="234">
      <c r="A234" s="1021" t="n"/>
    </row>
    <row r="235">
      <c r="A235" s="1021" t="n"/>
    </row>
    <row r="236">
      <c r="A236" s="1021" t="n"/>
    </row>
    <row r="237">
      <c r="A237" s="1021" t="n"/>
    </row>
    <row r="238">
      <c r="A238" s="1021" t="n"/>
    </row>
    <row r="239">
      <c r="A239" s="1021" t="n"/>
    </row>
    <row r="240">
      <c r="A240" s="1021" t="n"/>
    </row>
    <row r="241">
      <c r="A241" s="1021" t="n"/>
    </row>
    <row r="242">
      <c r="A242" s="1021" t="n"/>
    </row>
    <row r="243">
      <c r="A243" s="1021" t="n"/>
    </row>
    <row r="244">
      <c r="A244" s="1021" t="n"/>
    </row>
    <row r="245">
      <c r="A245" s="1021" t="n"/>
    </row>
    <row r="246">
      <c r="A246" s="1021" t="n"/>
    </row>
    <row r="247">
      <c r="A247" s="1021" t="n"/>
    </row>
    <row r="248">
      <c r="A248" s="1021" t="n"/>
    </row>
    <row r="249">
      <c r="A249" s="1021" t="n"/>
    </row>
    <row r="250">
      <c r="A250" s="1021" t="n"/>
    </row>
    <row r="251">
      <c r="A251" s="1021" t="n"/>
    </row>
    <row r="252">
      <c r="A252" s="1021" t="n"/>
    </row>
    <row r="253">
      <c r="A253" s="1021" t="n"/>
    </row>
    <row r="254">
      <c r="A254" s="1021" t="n"/>
    </row>
    <row r="255">
      <c r="A255" s="1021" t="n"/>
    </row>
    <row r="256">
      <c r="A256" s="1021" t="n"/>
    </row>
    <row r="257">
      <c r="A257" s="1021" t="n"/>
    </row>
    <row r="258">
      <c r="A258" s="1021" t="n"/>
    </row>
    <row r="259">
      <c r="A259" s="1021" t="n"/>
    </row>
    <row r="260">
      <c r="A260" s="1021" t="n"/>
    </row>
    <row r="261">
      <c r="A261" s="1021" t="n"/>
    </row>
    <row r="262">
      <c r="A262" s="1021" t="n"/>
    </row>
    <row r="263">
      <c r="A263" s="1021" t="n"/>
    </row>
    <row r="264">
      <c r="A264" s="1021" t="n"/>
    </row>
    <row r="265">
      <c r="A265" s="1021" t="n"/>
    </row>
    <row r="266">
      <c r="A266" s="1021" t="n"/>
    </row>
    <row r="267">
      <c r="A267" s="1021" t="n"/>
    </row>
    <row r="268">
      <c r="A268" s="1021" t="n"/>
    </row>
    <row r="269">
      <c r="A269" s="1021" t="n"/>
    </row>
    <row r="270">
      <c r="A270" s="1021" t="n"/>
    </row>
    <row r="271">
      <c r="A271" s="1021" t="n"/>
    </row>
    <row r="272">
      <c r="A272" s="1021" t="n"/>
    </row>
    <row r="273">
      <c r="A273" s="1021" t="n"/>
    </row>
    <row r="274">
      <c r="A274" s="1021" t="n"/>
    </row>
    <row r="275">
      <c r="A275" s="1021" t="n"/>
    </row>
    <row r="276">
      <c r="A276" s="1021" t="n"/>
    </row>
    <row r="277">
      <c r="A277" s="1021" t="n"/>
    </row>
    <row r="278">
      <c r="A278" s="1021" t="n"/>
    </row>
    <row r="279">
      <c r="A279" s="1021" t="n"/>
    </row>
    <row r="280">
      <c r="A280" s="1021" t="n"/>
    </row>
    <row r="281">
      <c r="A281" s="1021" t="n"/>
    </row>
    <row r="282">
      <c r="A282" s="1021" t="n"/>
    </row>
    <row r="283">
      <c r="A283" s="1021" t="n"/>
    </row>
    <row r="284">
      <c r="A284" s="1021" t="n"/>
    </row>
    <row r="285">
      <c r="A285" s="1021" t="n"/>
    </row>
    <row r="286">
      <c r="A286" s="1021" t="n"/>
    </row>
    <row r="287">
      <c r="A287" s="1021" t="n"/>
    </row>
    <row r="288">
      <c r="A288" s="1021" t="n"/>
    </row>
    <row r="289">
      <c r="A289" s="1021" t="n"/>
    </row>
    <row r="290">
      <c r="A290" s="1021" t="n"/>
    </row>
    <row r="291">
      <c r="A291" s="1021" t="n"/>
    </row>
    <row r="292">
      <c r="A292" s="1021" t="n"/>
    </row>
    <row r="293">
      <c r="A293" s="1021" t="n"/>
    </row>
    <row r="294">
      <c r="A294" s="1021" t="n"/>
    </row>
    <row r="295">
      <c r="A295" s="1021" t="n"/>
    </row>
    <row r="296">
      <c r="A296" s="1021" t="n"/>
    </row>
    <row r="297">
      <c r="A297" s="1021" t="n"/>
    </row>
    <row r="298">
      <c r="A298" s="1021" t="n"/>
    </row>
    <row r="299">
      <c r="A299" s="1021" t="n"/>
    </row>
    <row r="300">
      <c r="A300" s="1021" t="n"/>
    </row>
    <row r="301">
      <c r="A301" s="1021" t="n"/>
    </row>
    <row r="302">
      <c r="A302" s="1021" t="n"/>
    </row>
    <row r="303">
      <c r="A303" s="1021" t="n"/>
    </row>
    <row r="304">
      <c r="A304" s="1021" t="n"/>
    </row>
    <row r="305">
      <c r="A305" s="1021" t="n"/>
    </row>
    <row r="306">
      <c r="A306" s="1021" t="n"/>
    </row>
    <row r="307">
      <c r="A307" s="1021" t="n"/>
    </row>
    <row r="308">
      <c r="A308" s="1021" t="n"/>
    </row>
    <row r="309">
      <c r="A309" s="1021" t="n"/>
    </row>
    <row r="310">
      <c r="A310" s="1021" t="n"/>
    </row>
    <row r="311">
      <c r="A311" s="1021" t="n"/>
    </row>
    <row r="312">
      <c r="A312" s="1021" t="n"/>
    </row>
    <row r="313">
      <c r="A313" s="1021" t="n"/>
    </row>
    <row r="314">
      <c r="A314" s="1021" t="n"/>
    </row>
    <row r="315">
      <c r="A315" s="1021" t="n"/>
    </row>
    <row r="316">
      <c r="A316" s="1021" t="n"/>
    </row>
    <row r="317">
      <c r="A317" s="1021" t="n"/>
    </row>
    <row r="318">
      <c r="A318" s="1021" t="n"/>
    </row>
    <row r="319">
      <c r="A319" s="1021" t="n"/>
    </row>
    <row r="320">
      <c r="A320" s="1021" t="n"/>
    </row>
    <row r="321">
      <c r="A321" s="1021" t="n"/>
    </row>
    <row r="322">
      <c r="A322" s="1021" t="n"/>
    </row>
    <row r="323">
      <c r="A323" s="1021" t="n"/>
    </row>
    <row r="324">
      <c r="A324" s="1021" t="n"/>
    </row>
    <row r="325">
      <c r="A325" s="1021" t="n"/>
    </row>
    <row r="326">
      <c r="A326" s="1021" t="n"/>
    </row>
    <row r="327">
      <c r="A327" s="1021" t="n"/>
    </row>
    <row r="328">
      <c r="A328" s="1021" t="n"/>
    </row>
    <row r="329">
      <c r="A329" s="1021" t="n"/>
    </row>
    <row r="330">
      <c r="A330" s="1021" t="n"/>
    </row>
    <row r="331">
      <c r="A331" s="1021" t="n"/>
    </row>
    <row r="332">
      <c r="A332" s="1021" t="n"/>
    </row>
    <row r="333">
      <c r="A333" s="1021" t="n"/>
    </row>
    <row r="334">
      <c r="A334" s="1021" t="n"/>
    </row>
    <row r="335">
      <c r="A335" s="1021" t="n"/>
    </row>
    <row r="336">
      <c r="A336" s="1021" t="n"/>
    </row>
    <row r="337">
      <c r="A337" s="1021" t="n"/>
    </row>
    <row r="338">
      <c r="A338" s="1021" t="n"/>
    </row>
    <row r="339">
      <c r="A339" s="1021" t="n"/>
    </row>
    <row r="340">
      <c r="A340" s="1021" t="n"/>
    </row>
    <row r="341">
      <c r="A341" s="1021" t="n"/>
    </row>
    <row r="342">
      <c r="A342" s="1021" t="n"/>
    </row>
    <row r="343">
      <c r="A343" s="1021" t="n"/>
    </row>
    <row r="344">
      <c r="A344" s="1021" t="n"/>
    </row>
    <row r="345">
      <c r="A345" s="1021" t="n"/>
    </row>
    <row r="346">
      <c r="A346" s="1021" t="n"/>
    </row>
    <row r="347">
      <c r="A347" s="1021" t="n"/>
    </row>
    <row r="348">
      <c r="A348" s="1021" t="n"/>
    </row>
    <row r="349">
      <c r="A349" s="1021" t="n"/>
    </row>
    <row r="350">
      <c r="A350" s="1021" t="n"/>
    </row>
    <row r="351">
      <c r="A351" s="1021" t="n"/>
    </row>
    <row r="352">
      <c r="A352" s="1021" t="n"/>
    </row>
    <row r="353">
      <c r="A353" s="1021" t="n"/>
    </row>
    <row r="354">
      <c r="A354" s="1021" t="n"/>
    </row>
    <row r="355">
      <c r="A355" s="1021" t="n"/>
    </row>
    <row r="356">
      <c r="A356" s="1021" t="n"/>
    </row>
    <row r="357">
      <c r="A357" s="1021" t="n"/>
    </row>
    <row r="358">
      <c r="A358" s="1021" t="n"/>
    </row>
    <row r="359">
      <c r="A359" s="1021" t="n"/>
    </row>
    <row r="360">
      <c r="A360" s="1021" t="n"/>
    </row>
    <row r="361">
      <c r="A361" s="1021" t="n"/>
    </row>
    <row r="362">
      <c r="A362" s="1021" t="n"/>
    </row>
    <row r="363">
      <c r="A363" s="1021" t="n"/>
    </row>
    <row r="364">
      <c r="A364" s="1021" t="n"/>
    </row>
    <row r="365">
      <c r="A365" s="1021" t="n"/>
    </row>
    <row r="366">
      <c r="A366" s="1021" t="n"/>
    </row>
    <row r="367">
      <c r="A367" s="1021" t="n"/>
    </row>
    <row r="368">
      <c r="A368" s="1021" t="n"/>
    </row>
    <row r="369">
      <c r="A369" s="1021" t="n"/>
    </row>
    <row r="370">
      <c r="A370" s="1021" t="n"/>
    </row>
    <row r="371">
      <c r="A371" s="1021" t="n"/>
    </row>
    <row r="372">
      <c r="A372" s="1021" t="n"/>
    </row>
    <row r="373">
      <c r="A373" s="1021" t="n"/>
    </row>
    <row r="374">
      <c r="A374" s="1021" t="n"/>
    </row>
    <row r="375">
      <c r="A375" s="1021" t="n"/>
    </row>
    <row r="376">
      <c r="A376" s="1021" t="n"/>
    </row>
    <row r="377">
      <c r="A377" s="1021" t="n"/>
    </row>
    <row r="378">
      <c r="A378" s="1021" t="n"/>
    </row>
    <row r="379">
      <c r="A379" s="1021" t="n"/>
    </row>
    <row r="380">
      <c r="A380" s="1021" t="n"/>
    </row>
    <row r="381">
      <c r="A381" s="1021" t="n"/>
    </row>
    <row r="382">
      <c r="A382" s="1021" t="n"/>
    </row>
    <row r="383">
      <c r="A383" s="1021" t="n"/>
    </row>
    <row r="384">
      <c r="A384" s="1021" t="n"/>
    </row>
    <row r="385">
      <c r="A385" s="1021" t="n"/>
    </row>
    <row r="386">
      <c r="A386" s="1021" t="n"/>
    </row>
    <row r="387">
      <c r="A387" s="1021" t="n"/>
    </row>
    <row r="388">
      <c r="A388" s="1021" t="n"/>
    </row>
    <row r="389">
      <c r="A389" s="1021" t="n"/>
    </row>
    <row r="390">
      <c r="A390" s="1021" t="n"/>
    </row>
    <row r="391">
      <c r="A391" s="1021" t="n"/>
    </row>
    <row r="392">
      <c r="A392" s="1021" t="n"/>
    </row>
    <row r="393">
      <c r="A393" s="1021" t="n"/>
    </row>
    <row r="394">
      <c r="A394" s="1021" t="n"/>
    </row>
    <row r="395">
      <c r="A395" s="1021" t="n"/>
    </row>
    <row r="396">
      <c r="A396" s="1021" t="n"/>
    </row>
    <row r="397">
      <c r="A397" s="1021" t="n"/>
    </row>
    <row r="398">
      <c r="A398" s="1021" t="n"/>
    </row>
    <row r="399">
      <c r="A399" s="1021" t="n"/>
    </row>
    <row r="400">
      <c r="A400" s="1021" t="n"/>
    </row>
    <row r="401">
      <c r="A401" s="1021" t="n"/>
    </row>
    <row r="402">
      <c r="A402" s="1021" t="n"/>
    </row>
    <row r="403">
      <c r="A403" s="1021" t="n"/>
    </row>
    <row r="404">
      <c r="A404" s="1021" t="n"/>
    </row>
    <row r="405">
      <c r="A405" s="1021" t="n"/>
    </row>
    <row r="406">
      <c r="A406" s="1021" t="n"/>
    </row>
    <row r="407">
      <c r="A407" s="1021" t="n"/>
    </row>
    <row r="408">
      <c r="A408" s="1021" t="n"/>
    </row>
    <row r="409">
      <c r="A409" s="1021" t="n"/>
    </row>
    <row r="410">
      <c r="A410" s="1021" t="n"/>
    </row>
    <row r="411">
      <c r="A411" s="1021" t="n"/>
    </row>
    <row r="412">
      <c r="A412" s="1021" t="n"/>
    </row>
    <row r="413">
      <c r="A413" s="1021" t="n"/>
    </row>
    <row r="414">
      <c r="A414" s="1021" t="n"/>
    </row>
    <row r="415">
      <c r="A415" s="1021" t="n"/>
    </row>
    <row r="416">
      <c r="A416" s="1021" t="n"/>
    </row>
    <row r="417">
      <c r="A417" s="1021" t="n"/>
    </row>
    <row r="418">
      <c r="A418" s="1021" t="n"/>
    </row>
    <row r="419">
      <c r="A419" s="1021" t="n"/>
    </row>
    <row r="420">
      <c r="A420" s="1021" t="n"/>
    </row>
    <row r="421">
      <c r="A421" s="1021" t="n"/>
    </row>
    <row r="422">
      <c r="A422" s="1021" t="n"/>
    </row>
    <row r="423">
      <c r="A423" s="1021" t="n"/>
    </row>
    <row r="424">
      <c r="A424" s="1021" t="n"/>
    </row>
    <row r="425">
      <c r="A425" s="1021" t="n"/>
    </row>
    <row r="426">
      <c r="A426" s="1021" t="n"/>
    </row>
    <row r="427">
      <c r="A427" s="1021" t="n"/>
    </row>
    <row r="428">
      <c r="A428" s="1021" t="n"/>
    </row>
    <row r="429">
      <c r="A429" s="1021" t="n"/>
    </row>
    <row r="430">
      <c r="A430" s="1021" t="n"/>
    </row>
    <row r="431">
      <c r="A431" s="1021" t="n"/>
    </row>
    <row r="432">
      <c r="A432" s="1021" t="n"/>
    </row>
    <row r="433">
      <c r="A433" s="1021" t="n"/>
    </row>
    <row r="434">
      <c r="A434" s="1021" t="n"/>
    </row>
    <row r="435">
      <c r="A435" s="1021" t="n"/>
    </row>
    <row r="436">
      <c r="A436" s="1021" t="n"/>
    </row>
    <row r="437">
      <c r="A437" s="1021" t="n"/>
    </row>
    <row r="438">
      <c r="A438" s="1021" t="n"/>
    </row>
    <row r="439">
      <c r="A439" s="1021" t="n"/>
    </row>
    <row r="440">
      <c r="A440" s="1021" t="n"/>
    </row>
    <row r="441">
      <c r="A441" s="1021" t="n"/>
    </row>
    <row r="442">
      <c r="A442" s="1021" t="n"/>
    </row>
    <row r="443">
      <c r="A443" s="1021" t="n"/>
    </row>
    <row r="444">
      <c r="A444" s="1021" t="n"/>
    </row>
    <row r="445">
      <c r="A445" s="1021" t="n"/>
    </row>
    <row r="446">
      <c r="A446" s="1021" t="n"/>
    </row>
    <row r="447">
      <c r="A447" s="1021" t="n"/>
    </row>
    <row r="448">
      <c r="A448" s="1021" t="n"/>
    </row>
    <row r="449">
      <c r="A449" s="1021" t="n"/>
    </row>
    <row r="450">
      <c r="A450" s="1021" t="n"/>
    </row>
    <row r="451">
      <c r="A451" s="1021" t="n"/>
    </row>
    <row r="452">
      <c r="A452" s="1021" t="n"/>
    </row>
    <row r="453">
      <c r="A453" s="1021" t="n"/>
    </row>
    <row r="454">
      <c r="A454" s="1021" t="n"/>
    </row>
    <row r="455">
      <c r="A455" s="1021" t="n"/>
    </row>
    <row r="456">
      <c r="A456" s="1021" t="n"/>
    </row>
    <row r="457">
      <c r="A457" s="1021" t="n"/>
    </row>
    <row r="458">
      <c r="A458" s="1021" t="n"/>
    </row>
    <row r="459">
      <c r="A459" s="1021" t="n"/>
    </row>
    <row r="460">
      <c r="A460" s="1021" t="n"/>
    </row>
    <row r="461">
      <c r="A461" s="1021" t="n"/>
    </row>
    <row r="462">
      <c r="A462" s="1021" t="n"/>
    </row>
    <row r="463">
      <c r="A463" s="1021" t="n"/>
    </row>
    <row r="464">
      <c r="A464" s="1021" t="n"/>
    </row>
    <row r="465">
      <c r="A465" s="1021" t="n"/>
    </row>
    <row r="466">
      <c r="A466" s="1021" t="n"/>
    </row>
    <row r="467">
      <c r="A467" s="1021" t="n"/>
    </row>
    <row r="468">
      <c r="A468" s="1021" t="n"/>
    </row>
    <row r="469">
      <c r="A469" s="1021" t="n"/>
    </row>
    <row r="470">
      <c r="A470" s="1021" t="n"/>
    </row>
    <row r="471">
      <c r="A471" s="1021" t="n"/>
    </row>
    <row r="472">
      <c r="A472" s="1021" t="n"/>
    </row>
    <row r="473">
      <c r="A473" s="1021" t="n"/>
    </row>
    <row r="474">
      <c r="A474" s="1021" t="n"/>
    </row>
    <row r="475">
      <c r="A475" s="1021" t="n"/>
    </row>
    <row r="476">
      <c r="A476" s="1021" t="n"/>
    </row>
    <row r="477">
      <c r="A477" s="1021" t="n"/>
    </row>
    <row r="478">
      <c r="A478" s="1021" t="n"/>
    </row>
    <row r="479">
      <c r="A479" s="1021" t="n"/>
    </row>
    <row r="480">
      <c r="A480" s="1021" t="n"/>
    </row>
    <row r="481">
      <c r="A481" s="1021" t="n"/>
    </row>
    <row r="482">
      <c r="A482" s="1021" t="n"/>
    </row>
    <row r="483">
      <c r="A483" s="1021" t="n"/>
    </row>
    <row r="484">
      <c r="A484" s="1021" t="n"/>
    </row>
    <row r="485">
      <c r="A485" s="1021" t="n"/>
    </row>
    <row r="486">
      <c r="A486" s="1021" t="n"/>
    </row>
    <row r="487">
      <c r="A487" s="1021" t="n"/>
    </row>
    <row r="488">
      <c r="A488" s="1021" t="n"/>
    </row>
    <row r="489">
      <c r="A489" s="1021" t="n"/>
    </row>
    <row r="490">
      <c r="A490" s="1021" t="n"/>
    </row>
    <row r="491">
      <c r="A491" s="1021" t="n"/>
    </row>
    <row r="492">
      <c r="A492" s="1021" t="n"/>
    </row>
    <row r="493">
      <c r="A493" s="1021" t="n"/>
    </row>
    <row r="494">
      <c r="A494" s="1021" t="n"/>
    </row>
    <row r="495">
      <c r="A495" s="1021" t="n"/>
    </row>
    <row r="496">
      <c r="A496" s="1021" t="n"/>
    </row>
    <row r="497">
      <c r="A497" s="1021" t="n"/>
    </row>
    <row r="498">
      <c r="A498" s="1021" t="n"/>
    </row>
    <row r="499">
      <c r="A499" s="1021" t="n"/>
    </row>
    <row r="500">
      <c r="A500" s="1021" t="n"/>
    </row>
    <row r="501">
      <c r="A501" s="1021" t="n"/>
    </row>
    <row r="502">
      <c r="A502" s="1021" t="n"/>
    </row>
    <row r="503">
      <c r="A503" s="1021" t="n"/>
    </row>
    <row r="504">
      <c r="A504" s="1021" t="n"/>
    </row>
    <row r="505">
      <c r="A505" s="1021" t="n"/>
    </row>
    <row r="506">
      <c r="A506" s="1021" t="n"/>
    </row>
    <row r="507">
      <c r="A507" s="1021" t="n"/>
    </row>
    <row r="508">
      <c r="A508" s="1021" t="n"/>
    </row>
    <row r="509">
      <c r="A509" s="1021" t="n"/>
    </row>
    <row r="510">
      <c r="A510" s="1021" t="n"/>
    </row>
    <row r="511">
      <c r="A511" s="1021" t="n"/>
    </row>
    <row r="512">
      <c r="A512" s="1021" t="n"/>
    </row>
    <row r="513">
      <c r="A513" s="1021" t="n"/>
    </row>
    <row r="514">
      <c r="A514" s="1021" t="n"/>
    </row>
    <row r="515">
      <c r="A515" s="1021" t="n"/>
    </row>
    <row r="516">
      <c r="A516" s="1021" t="n"/>
    </row>
    <row r="517">
      <c r="A517" s="1021" t="n"/>
    </row>
    <row r="518">
      <c r="A518" s="1021" t="n"/>
    </row>
    <row r="519">
      <c r="A519" s="1021" t="n"/>
    </row>
    <row r="520">
      <c r="A520" s="1021" t="n"/>
    </row>
    <row r="521">
      <c r="A521" s="1021" t="n"/>
    </row>
    <row r="522">
      <c r="A522" s="1021" t="n"/>
    </row>
    <row r="523">
      <c r="A523" s="1021" t="n"/>
    </row>
    <row r="524">
      <c r="A524" s="1021" t="n"/>
    </row>
    <row r="525">
      <c r="A525" s="1021" t="n"/>
    </row>
    <row r="526">
      <c r="A526" s="1021" t="n"/>
    </row>
    <row r="527">
      <c r="A527" s="1021" t="n"/>
    </row>
    <row r="528">
      <c r="A528" s="1021" t="n"/>
    </row>
    <row r="529">
      <c r="A529" s="1021" t="n"/>
    </row>
    <row r="530">
      <c r="A530" s="1021" t="n"/>
    </row>
    <row r="531">
      <c r="A531" s="1021" t="n"/>
    </row>
    <row r="532">
      <c r="A532" s="1021" t="n"/>
    </row>
    <row r="533">
      <c r="A533" s="1021" t="n"/>
    </row>
    <row r="534">
      <c r="A534" s="1021" t="n"/>
    </row>
    <row r="535">
      <c r="A535" s="1021" t="n"/>
    </row>
    <row r="536">
      <c r="A536" s="1021" t="n"/>
    </row>
    <row r="537">
      <c r="A537" s="1021" t="n"/>
    </row>
    <row r="538">
      <c r="A538" s="1021" t="n"/>
    </row>
    <row r="539">
      <c r="A539" s="1021" t="n"/>
    </row>
    <row r="540">
      <c r="A540" s="1021" t="n"/>
    </row>
    <row r="541">
      <c r="A541" s="1021" t="n"/>
    </row>
    <row r="542">
      <c r="A542" s="1021" t="n"/>
    </row>
    <row r="543">
      <c r="A543" s="1021" t="n"/>
    </row>
    <row r="544">
      <c r="A544" s="1021" t="n"/>
    </row>
    <row r="545">
      <c r="A545" s="1021" t="n"/>
    </row>
    <row r="546">
      <c r="A546" s="1021" t="n"/>
    </row>
    <row r="547">
      <c r="A547" s="1021" t="n"/>
    </row>
    <row r="548">
      <c r="A548" s="1021" t="n"/>
    </row>
    <row r="549">
      <c r="A549" s="1021" t="n"/>
    </row>
    <row r="550">
      <c r="A550" s="1021" t="n"/>
    </row>
    <row r="551">
      <c r="A551" s="1021" t="n"/>
    </row>
    <row r="552">
      <c r="A552" s="1021" t="n"/>
    </row>
    <row r="553">
      <c r="A553" s="1021" t="n"/>
    </row>
    <row r="554">
      <c r="A554" s="1021" t="n"/>
    </row>
    <row r="555">
      <c r="A555" s="1021" t="n"/>
    </row>
    <row r="556">
      <c r="A556" s="1021" t="n"/>
    </row>
    <row r="557">
      <c r="A557" s="1021" t="n"/>
    </row>
    <row r="558">
      <c r="A558" s="1021" t="n"/>
    </row>
    <row r="559">
      <c r="A559" s="1021" t="n"/>
    </row>
    <row r="560">
      <c r="A560" s="1021" t="n"/>
    </row>
    <row r="561">
      <c r="A561" s="1021" t="n"/>
    </row>
    <row r="562">
      <c r="A562" s="1021" t="n"/>
    </row>
    <row r="563">
      <c r="A563" s="1021" t="n"/>
    </row>
    <row r="564">
      <c r="A564" s="1021" t="n"/>
    </row>
    <row r="565">
      <c r="A565" s="1021" t="n"/>
    </row>
    <row r="566">
      <c r="A566" s="1021" t="n"/>
    </row>
    <row r="567">
      <c r="A567" s="1021" t="n"/>
    </row>
    <row r="568">
      <c r="A568" s="1021" t="n"/>
    </row>
    <row r="569">
      <c r="A569" s="1021" t="n"/>
    </row>
    <row r="570">
      <c r="A570" s="1021" t="n"/>
    </row>
    <row r="571">
      <c r="A571" s="1021" t="n"/>
    </row>
    <row r="572">
      <c r="A572" s="1021" t="n"/>
    </row>
    <row r="573">
      <c r="A573" s="1021" t="n"/>
    </row>
    <row r="574">
      <c r="A574" s="1021" t="n"/>
    </row>
    <row r="575">
      <c r="A575" s="1021" t="n"/>
    </row>
    <row r="576">
      <c r="A576" s="1021" t="n"/>
    </row>
    <row r="577">
      <c r="A577" s="1021" t="n"/>
    </row>
    <row r="578">
      <c r="A578" s="1021" t="n"/>
    </row>
    <row r="579">
      <c r="A579" s="1021" t="n"/>
    </row>
    <row r="580">
      <c r="A580" s="1021" t="n"/>
    </row>
    <row r="581">
      <c r="A581" s="1021" t="n"/>
    </row>
    <row r="582">
      <c r="A582" s="1021" t="n"/>
    </row>
    <row r="583">
      <c r="A583" s="1021" t="n"/>
    </row>
    <row r="584">
      <c r="A584" s="1021" t="n"/>
    </row>
    <row r="585">
      <c r="A585" s="1021" t="n"/>
    </row>
    <row r="586">
      <c r="A586" s="1021" t="n"/>
    </row>
    <row r="587">
      <c r="A587" s="1021" t="n"/>
    </row>
    <row r="588">
      <c r="A588" s="1021" t="n"/>
    </row>
    <row r="589">
      <c r="A589" s="1021" t="n"/>
    </row>
    <row r="590">
      <c r="A590" s="1021" t="n"/>
    </row>
    <row r="591">
      <c r="A591" s="1021" t="n"/>
    </row>
    <row r="592">
      <c r="A592" s="1021" t="n"/>
    </row>
    <row r="593">
      <c r="A593" s="1021" t="n"/>
    </row>
    <row r="594">
      <c r="A594" s="1021" t="n"/>
    </row>
    <row r="595">
      <c r="A595" s="1021" t="n"/>
    </row>
    <row r="596">
      <c r="A596" s="1021" t="n"/>
    </row>
    <row r="597">
      <c r="A597" s="1021" t="n"/>
    </row>
    <row r="598">
      <c r="A598" s="1021" t="n"/>
    </row>
    <row r="599">
      <c r="A599" s="1021" t="n"/>
    </row>
    <row r="600">
      <c r="A600" s="1021" t="n"/>
    </row>
    <row r="601">
      <c r="A601" s="1021" t="n"/>
    </row>
    <row r="602">
      <c r="A602" s="1021" t="n"/>
    </row>
    <row r="603">
      <c r="A603" s="1021" t="n"/>
    </row>
    <row r="604">
      <c r="A604" s="1021" t="n"/>
    </row>
    <row r="605">
      <c r="A605" s="1021" t="n"/>
    </row>
    <row r="606">
      <c r="A606" s="1021" t="n"/>
    </row>
    <row r="607">
      <c r="A607" s="1021" t="n"/>
    </row>
    <row r="608">
      <c r="A608" s="1021" t="n"/>
    </row>
    <row r="609">
      <c r="A609" s="1021" t="n"/>
    </row>
    <row r="610">
      <c r="A610" s="1021" t="n"/>
    </row>
    <row r="611">
      <c r="A611" s="1021" t="n"/>
    </row>
    <row r="612">
      <c r="A612" s="1021" t="n"/>
    </row>
    <row r="613">
      <c r="A613" s="1021" t="n"/>
    </row>
    <row r="614">
      <c r="A614" s="1021" t="n"/>
    </row>
    <row r="615">
      <c r="A615" s="1021" t="n"/>
    </row>
    <row r="616">
      <c r="A616" s="1021" t="n"/>
    </row>
    <row r="617">
      <c r="A617" s="1021" t="n"/>
    </row>
    <row r="618">
      <c r="A618" s="1021" t="n"/>
    </row>
    <row r="619">
      <c r="A619" s="1021" t="n"/>
    </row>
    <row r="620">
      <c r="A620" s="1021" t="n"/>
    </row>
    <row r="621">
      <c r="A621" s="1021" t="n"/>
    </row>
    <row r="622">
      <c r="A622" s="1021" t="n"/>
    </row>
    <row r="623">
      <c r="A623" s="1021" t="n"/>
    </row>
    <row r="624">
      <c r="A624" s="1021" t="n"/>
    </row>
    <row r="625">
      <c r="A625" s="1021" t="n"/>
    </row>
    <row r="626">
      <c r="A626" s="1021" t="n"/>
    </row>
    <row r="627">
      <c r="A627" s="1021" t="n"/>
    </row>
    <row r="628">
      <c r="A628" s="1021" t="n"/>
    </row>
    <row r="629">
      <c r="A629" s="1021" t="n"/>
    </row>
    <row r="630">
      <c r="A630" s="1021" t="n"/>
    </row>
    <row r="631">
      <c r="A631" s="1021" t="n"/>
    </row>
    <row r="632">
      <c r="A632" s="1021" t="n"/>
    </row>
    <row r="633">
      <c r="A633" s="1021" t="n"/>
    </row>
    <row r="634">
      <c r="A634" s="1021" t="n"/>
    </row>
    <row r="635">
      <c r="A635" s="1021" t="n"/>
    </row>
    <row r="636">
      <c r="A636" s="1021" t="n"/>
    </row>
    <row r="637">
      <c r="A637" s="1021" t="n"/>
    </row>
    <row r="638">
      <c r="A638" s="1021" t="n"/>
    </row>
    <row r="639">
      <c r="A639" s="1021" t="n"/>
    </row>
    <row r="640">
      <c r="A640" s="1021" t="n"/>
    </row>
    <row r="641">
      <c r="A641" s="1021" t="n"/>
    </row>
    <row r="642">
      <c r="A642" s="1021" t="n"/>
    </row>
    <row r="643">
      <c r="A643" s="1021" t="n"/>
    </row>
    <row r="644">
      <c r="A644" s="1021" t="n"/>
    </row>
    <row r="645">
      <c r="A645" s="1021" t="n"/>
    </row>
    <row r="646">
      <c r="A646" s="1021" t="n"/>
    </row>
    <row r="647">
      <c r="A647" s="1021" t="n"/>
    </row>
    <row r="648">
      <c r="A648" s="1021" t="n"/>
    </row>
    <row r="649">
      <c r="A649" s="1021" t="n"/>
    </row>
    <row r="650">
      <c r="A650" s="1021" t="n"/>
    </row>
    <row r="651">
      <c r="A651" s="1021" t="n"/>
    </row>
    <row r="652">
      <c r="A652" s="1021" t="n"/>
    </row>
    <row r="653">
      <c r="A653" s="1021" t="n"/>
    </row>
    <row r="654">
      <c r="A654" s="1021" t="n"/>
    </row>
    <row r="655">
      <c r="A655" s="1021" t="n"/>
    </row>
    <row r="656">
      <c r="A656" s="1021" t="n"/>
    </row>
    <row r="657">
      <c r="A657" s="1021" t="n"/>
    </row>
    <row r="658">
      <c r="A658" s="1021" t="n"/>
    </row>
    <row r="659">
      <c r="A659" s="1021" t="n"/>
    </row>
    <row r="660">
      <c r="A660" s="1021" t="n"/>
    </row>
    <row r="661">
      <c r="A661" s="1021" t="n"/>
    </row>
    <row r="662">
      <c r="A662" s="1021" t="n"/>
    </row>
    <row r="663">
      <c r="A663" s="1021" t="n"/>
    </row>
    <row r="664">
      <c r="A664" s="1021" t="n"/>
    </row>
    <row r="665">
      <c r="A665" s="1021" t="n"/>
    </row>
    <row r="666">
      <c r="A666" s="1021" t="n"/>
    </row>
    <row r="667">
      <c r="A667" s="1021" t="n"/>
    </row>
    <row r="668">
      <c r="A668" s="1021" t="n"/>
    </row>
    <row r="669">
      <c r="A669" s="1021" t="n"/>
    </row>
    <row r="670">
      <c r="A670" s="1021" t="n"/>
    </row>
    <row r="671">
      <c r="A671" s="1021" t="n"/>
    </row>
    <row r="672">
      <c r="A672" s="1021" t="n"/>
    </row>
    <row r="673">
      <c r="A673" s="1021" t="n"/>
    </row>
    <row r="674">
      <c r="A674" s="1021" t="n"/>
    </row>
    <row r="675">
      <c r="A675" s="1021" t="n"/>
    </row>
    <row r="676">
      <c r="A676" s="1021" t="n"/>
    </row>
    <row r="677">
      <c r="A677" s="1021" t="n"/>
    </row>
    <row r="678">
      <c r="A678" s="1021" t="n"/>
    </row>
    <row r="679">
      <c r="A679" s="1021" t="n"/>
    </row>
    <row r="680">
      <c r="A680" s="1021" t="n"/>
    </row>
    <row r="681">
      <c r="A681" s="1021" t="n"/>
    </row>
    <row r="682">
      <c r="A682" s="1021" t="n"/>
    </row>
    <row r="683">
      <c r="A683" s="1021" t="n"/>
    </row>
    <row r="684">
      <c r="A684" s="1021" t="n"/>
    </row>
    <row r="685">
      <c r="A685" s="1021" t="n"/>
    </row>
    <row r="686">
      <c r="A686" s="1021" t="n"/>
    </row>
    <row r="687">
      <c r="A687" s="1021" t="n"/>
    </row>
    <row r="688">
      <c r="A688" s="1021" t="n"/>
    </row>
    <row r="689">
      <c r="A689" s="1021" t="n"/>
    </row>
    <row r="690">
      <c r="A690" s="1021" t="n"/>
    </row>
    <row r="691">
      <c r="A691" s="1021" t="n"/>
    </row>
    <row r="692">
      <c r="A692" s="1021" t="n"/>
    </row>
    <row r="693">
      <c r="A693" s="1021" t="n"/>
    </row>
    <row r="694">
      <c r="A694" s="1021" t="n"/>
    </row>
    <row r="695">
      <c r="A695" s="1021" t="n"/>
    </row>
    <row r="696">
      <c r="A696" s="1021" t="n"/>
    </row>
    <row r="697">
      <c r="A697" s="1021" t="n"/>
    </row>
    <row r="698">
      <c r="A698" s="1021" t="n"/>
    </row>
    <row r="699">
      <c r="A699" s="1021" t="n"/>
    </row>
    <row r="700">
      <c r="A700" s="1021" t="n"/>
    </row>
    <row r="701">
      <c r="A701" s="1021" t="n"/>
    </row>
    <row r="702">
      <c r="A702" s="1021" t="n"/>
    </row>
    <row r="703">
      <c r="A703" s="1021" t="n"/>
    </row>
    <row r="704">
      <c r="A704" s="1021" t="n"/>
    </row>
    <row r="705">
      <c r="A705" s="1021" t="n"/>
    </row>
    <row r="706">
      <c r="A706" s="1021" t="n"/>
    </row>
    <row r="707">
      <c r="A707" s="1021" t="n"/>
    </row>
    <row r="708">
      <c r="A708" s="1021" t="n"/>
    </row>
    <row r="709">
      <c r="A709" s="1021" t="n"/>
    </row>
    <row r="710">
      <c r="A710" s="1021" t="n"/>
    </row>
    <row r="711">
      <c r="A711" s="1021" t="n"/>
    </row>
    <row r="712">
      <c r="A712" s="1021" t="n"/>
    </row>
    <row r="713">
      <c r="A713" s="1021" t="n"/>
    </row>
    <row r="714">
      <c r="A714" s="1021" t="n"/>
    </row>
    <row r="715">
      <c r="A715" s="1021" t="n"/>
    </row>
    <row r="716">
      <c r="A716" s="1021" t="n"/>
    </row>
    <row r="717">
      <c r="A717" s="1021" t="n"/>
    </row>
    <row r="718">
      <c r="A718" s="1021" t="n"/>
    </row>
    <row r="719">
      <c r="A719" s="1021" t="n"/>
    </row>
    <row r="720">
      <c r="A720" s="1021" t="n"/>
    </row>
    <row r="721">
      <c r="A721" s="1021" t="n"/>
    </row>
    <row r="722">
      <c r="A722" s="1021" t="n"/>
    </row>
    <row r="723">
      <c r="A723" s="1021" t="n"/>
    </row>
    <row r="724">
      <c r="A724" s="1021" t="n"/>
    </row>
    <row r="725">
      <c r="A725" s="1021" t="n"/>
    </row>
    <row r="726">
      <c r="A726" s="1021" t="n"/>
    </row>
    <row r="727">
      <c r="A727" s="1021" t="n"/>
    </row>
    <row r="728">
      <c r="A728" s="1021" t="n"/>
    </row>
    <row r="729">
      <c r="A729" s="1021" t="n"/>
    </row>
    <row r="730">
      <c r="A730" s="1021" t="n"/>
    </row>
    <row r="731">
      <c r="A731" s="1021" t="n"/>
    </row>
    <row r="732">
      <c r="A732" s="1021" t="n"/>
    </row>
    <row r="733">
      <c r="A733" s="1021" t="n"/>
    </row>
    <row r="734">
      <c r="A734" s="1021" t="n"/>
    </row>
    <row r="735">
      <c r="A735" s="1021" t="n"/>
    </row>
    <row r="736">
      <c r="A736" s="1021" t="n"/>
    </row>
    <row r="737">
      <c r="A737" s="1021" t="n"/>
    </row>
    <row r="738">
      <c r="A738" s="1021" t="n"/>
    </row>
    <row r="739">
      <c r="A739" s="1021" t="n"/>
    </row>
    <row r="740">
      <c r="A740" s="1021" t="n"/>
    </row>
    <row r="741">
      <c r="A741" s="1021" t="n"/>
    </row>
    <row r="742">
      <c r="A742" s="1021" t="n"/>
    </row>
    <row r="743">
      <c r="A743" s="1021" t="n"/>
    </row>
    <row r="744">
      <c r="A744" s="1021" t="n"/>
    </row>
    <row r="745">
      <c r="A745" s="1021" t="n"/>
    </row>
    <row r="746">
      <c r="A746" s="1021" t="n"/>
    </row>
    <row r="747">
      <c r="A747" s="1021" t="n"/>
    </row>
    <row r="748">
      <c r="A748" s="1021" t="n"/>
    </row>
    <row r="749">
      <c r="A749" s="1021" t="n"/>
    </row>
    <row r="750">
      <c r="A750" s="1021" t="n"/>
    </row>
    <row r="751">
      <c r="A751" s="1021" t="n"/>
    </row>
    <row r="752">
      <c r="A752" s="1021" t="n"/>
    </row>
    <row r="753">
      <c r="A753" s="1021" t="n"/>
    </row>
    <row r="754">
      <c r="A754" s="1021" t="n"/>
    </row>
    <row r="755">
      <c r="A755" s="1021" t="n"/>
    </row>
    <row r="756">
      <c r="A756" s="1021" t="n"/>
    </row>
    <row r="757">
      <c r="A757" s="1021" t="n"/>
    </row>
    <row r="758">
      <c r="A758" s="1021" t="n"/>
    </row>
    <row r="759">
      <c r="A759" s="1021" t="n"/>
    </row>
    <row r="760">
      <c r="A760" s="1021" t="n"/>
    </row>
    <row r="761">
      <c r="A761" s="1021" t="n"/>
    </row>
    <row r="762">
      <c r="A762" s="1021" t="n"/>
    </row>
    <row r="763">
      <c r="A763" s="1021" t="n"/>
    </row>
    <row r="764">
      <c r="A764" s="1021" t="n"/>
    </row>
    <row r="765">
      <c r="A765" s="1021" t="n"/>
    </row>
    <row r="766">
      <c r="A766" s="1021" t="n"/>
    </row>
    <row r="767">
      <c r="A767" s="1021" t="n"/>
    </row>
    <row r="768">
      <c r="A768" s="1021" t="n"/>
    </row>
    <row r="769">
      <c r="A769" s="1021" t="n"/>
    </row>
    <row r="770">
      <c r="A770" s="1021" t="n"/>
    </row>
    <row r="771">
      <c r="A771" s="1021" t="n"/>
    </row>
    <row r="772">
      <c r="A772" s="1021" t="n"/>
    </row>
    <row r="773">
      <c r="A773" s="1021" t="n"/>
    </row>
    <row r="774">
      <c r="A774" s="1021" t="n"/>
    </row>
    <row r="775">
      <c r="A775" s="1021" t="n"/>
    </row>
    <row r="776">
      <c r="A776" s="1021" t="n"/>
    </row>
    <row r="777">
      <c r="A777" s="1021" t="n"/>
    </row>
    <row r="778">
      <c r="A778" s="1021" t="n"/>
    </row>
    <row r="779">
      <c r="A779" s="1021" t="n"/>
    </row>
    <row r="780">
      <c r="A780" s="1021" t="n"/>
    </row>
    <row r="781">
      <c r="A781" s="1021" t="n"/>
    </row>
    <row r="782">
      <c r="A782" s="1021" t="n"/>
    </row>
    <row r="783">
      <c r="A783" s="1021" t="n"/>
    </row>
    <row r="784">
      <c r="A784" s="1021" t="n"/>
    </row>
    <row r="785">
      <c r="A785" s="1021" t="n"/>
    </row>
    <row r="786">
      <c r="A786" s="1021" t="n"/>
    </row>
    <row r="787">
      <c r="A787" s="1021" t="n"/>
    </row>
    <row r="788">
      <c r="A788" s="1021" t="n"/>
    </row>
    <row r="789">
      <c r="A789" s="1021" t="n"/>
    </row>
    <row r="790">
      <c r="A790" s="1021" t="n"/>
    </row>
    <row r="791">
      <c r="A791" s="1021" t="n"/>
    </row>
    <row r="792">
      <c r="A792" s="1021" t="n"/>
    </row>
    <row r="793">
      <c r="A793" s="1021" t="n"/>
    </row>
    <row r="794">
      <c r="A794" s="1021" t="n"/>
    </row>
    <row r="795">
      <c r="A795" s="1021" t="n"/>
    </row>
    <row r="796">
      <c r="A796" s="1021" t="n"/>
    </row>
    <row r="797">
      <c r="A797" s="1021" t="n"/>
    </row>
    <row r="798">
      <c r="A798" s="1021" t="n"/>
    </row>
    <row r="799">
      <c r="A799" s="1021" t="n"/>
    </row>
    <row r="800">
      <c r="A800" s="1021" t="n"/>
    </row>
    <row r="801">
      <c r="A801" s="1021" t="n"/>
    </row>
    <row r="802">
      <c r="A802" s="1021" t="n"/>
    </row>
    <row r="803">
      <c r="A803" s="1021" t="n"/>
    </row>
    <row r="804">
      <c r="A804" s="1021" t="n"/>
    </row>
    <row r="805">
      <c r="A805" s="1021" t="n"/>
    </row>
    <row r="806">
      <c r="A806" s="1021" t="n"/>
    </row>
    <row r="807">
      <c r="A807" s="1021" t="n"/>
    </row>
    <row r="808">
      <c r="A808" s="1021" t="n"/>
    </row>
    <row r="809">
      <c r="A809" s="1021" t="n"/>
    </row>
    <row r="810">
      <c r="A810" s="1021" t="n"/>
    </row>
    <row r="811">
      <c r="A811" s="1021" t="n"/>
    </row>
    <row r="812">
      <c r="A812" s="1021" t="n"/>
    </row>
    <row r="813">
      <c r="A813" s="1021" t="n"/>
    </row>
    <row r="814">
      <c r="A814" s="1021" t="n"/>
    </row>
    <row r="815">
      <c r="A815" s="1021" t="n"/>
    </row>
    <row r="816">
      <c r="A816" s="1021" t="n"/>
    </row>
    <row r="817">
      <c r="A817" s="1021" t="n"/>
    </row>
    <row r="818">
      <c r="A818" s="1021" t="n"/>
    </row>
    <row r="819">
      <c r="A819" s="1021" t="n"/>
    </row>
    <row r="820">
      <c r="A820" s="1021" t="n"/>
    </row>
    <row r="821">
      <c r="A821" s="1021" t="n"/>
    </row>
    <row r="822">
      <c r="A822" s="1021" t="n"/>
    </row>
    <row r="823">
      <c r="A823" s="1021" t="n"/>
    </row>
    <row r="824">
      <c r="A824" s="1021" t="n"/>
    </row>
    <row r="825">
      <c r="A825" s="1021" t="n"/>
    </row>
    <row r="826">
      <c r="A826" s="1021" t="n"/>
    </row>
    <row r="827">
      <c r="A827" s="1021" t="n"/>
    </row>
    <row r="828">
      <c r="A828" s="1021" t="n"/>
    </row>
    <row r="829">
      <c r="A829" s="1021" t="n"/>
    </row>
    <row r="830">
      <c r="A830" s="1021" t="n"/>
    </row>
    <row r="831">
      <c r="A831" s="1021" t="n"/>
    </row>
    <row r="832">
      <c r="A832" s="1021" t="n"/>
    </row>
    <row r="833">
      <c r="A833" s="1021" t="n"/>
    </row>
    <row r="834">
      <c r="A834" s="1021" t="n"/>
    </row>
    <row r="835">
      <c r="A835" s="1021" t="n"/>
    </row>
    <row r="836">
      <c r="A836" s="1021" t="n"/>
    </row>
    <row r="837">
      <c r="A837" s="1021" t="n"/>
    </row>
    <row r="838">
      <c r="A838" s="1021" t="n"/>
    </row>
    <row r="839">
      <c r="A839" s="1021" t="n"/>
    </row>
    <row r="840">
      <c r="A840" s="1021" t="n"/>
    </row>
    <row r="841">
      <c r="A841" s="1021" t="n"/>
    </row>
    <row r="842">
      <c r="A842" s="1021" t="n"/>
    </row>
    <row r="843">
      <c r="A843" s="1021" t="n"/>
    </row>
    <row r="844">
      <c r="A844" s="1021" t="n"/>
    </row>
    <row r="845">
      <c r="A845" s="1021" t="n"/>
    </row>
    <row r="846">
      <c r="A846" s="1021" t="n"/>
    </row>
    <row r="847">
      <c r="A847" s="1021" t="n"/>
    </row>
    <row r="848">
      <c r="A848" s="1021" t="n"/>
    </row>
    <row r="849">
      <c r="A849" s="1021" t="n"/>
    </row>
    <row r="850">
      <c r="A850" s="1021" t="n"/>
    </row>
    <row r="851">
      <c r="A851" s="1021" t="n"/>
    </row>
    <row r="852">
      <c r="A852" s="1021" t="n"/>
    </row>
    <row r="853">
      <c r="A853" s="1021" t="n"/>
    </row>
    <row r="854">
      <c r="A854" s="1021" t="n"/>
    </row>
    <row r="855">
      <c r="A855" s="1021" t="n"/>
    </row>
    <row r="856">
      <c r="A856" s="1021" t="n"/>
    </row>
    <row r="857">
      <c r="A857" s="1021" t="n"/>
    </row>
    <row r="858">
      <c r="A858" s="1021" t="n"/>
    </row>
    <row r="859">
      <c r="A859" s="1021" t="n"/>
    </row>
    <row r="860">
      <c r="A860" s="1021" t="n"/>
    </row>
    <row r="861">
      <c r="A861" s="1021" t="n"/>
    </row>
    <row r="862">
      <c r="A862" s="1021" t="n"/>
    </row>
    <row r="863">
      <c r="A863" s="1021" t="n"/>
    </row>
    <row r="864">
      <c r="A864" s="1021" t="n"/>
    </row>
    <row r="865">
      <c r="A865" s="1021" t="n"/>
    </row>
    <row r="866">
      <c r="A866" s="1021" t="n"/>
    </row>
    <row r="867">
      <c r="A867" s="1021" t="n"/>
    </row>
    <row r="868">
      <c r="A868" s="1021" t="n"/>
    </row>
    <row r="869">
      <c r="A869" s="1021" t="n"/>
    </row>
    <row r="870">
      <c r="A870" s="1021" t="n"/>
    </row>
    <row r="871">
      <c r="A871" s="1021" t="n"/>
    </row>
    <row r="872">
      <c r="A872" s="1021" t="n"/>
    </row>
    <row r="873">
      <c r="A873" s="1021" t="n"/>
    </row>
    <row r="874">
      <c r="A874" s="1021" t="n"/>
    </row>
    <row r="875">
      <c r="A875" s="1021" t="n"/>
    </row>
    <row r="876">
      <c r="A876" s="1021" t="n"/>
    </row>
    <row r="877">
      <c r="A877" s="1021" t="n"/>
    </row>
    <row r="878">
      <c r="A878" s="1021" t="n"/>
    </row>
    <row r="879">
      <c r="A879" s="1021" t="n"/>
    </row>
    <row r="880">
      <c r="A880" s="1021" t="n"/>
    </row>
    <row r="881">
      <c r="A881" s="1021" t="n"/>
    </row>
    <row r="882">
      <c r="A882" s="1021" t="n"/>
    </row>
    <row r="883">
      <c r="A883" s="1021" t="n"/>
    </row>
    <row r="884">
      <c r="A884" s="1021" t="n"/>
    </row>
    <row r="885">
      <c r="A885" s="1021" t="n"/>
    </row>
    <row r="886">
      <c r="A886" s="1021" t="n"/>
    </row>
    <row r="887">
      <c r="A887" s="1021" t="n"/>
    </row>
    <row r="888">
      <c r="A888" s="1021" t="n"/>
    </row>
    <row r="889">
      <c r="A889" s="1021" t="n"/>
    </row>
    <row r="890">
      <c r="A890" s="1021" t="n"/>
    </row>
    <row r="891">
      <c r="A891" s="1021" t="n"/>
    </row>
    <row r="892">
      <c r="A892" s="1021" t="n"/>
    </row>
    <row r="893">
      <c r="A893" s="1021" t="n"/>
    </row>
    <row r="894">
      <c r="A894" s="1021" t="n"/>
    </row>
    <row r="895">
      <c r="A895" s="1021" t="n"/>
    </row>
    <row r="896">
      <c r="A896" s="1021" t="n"/>
    </row>
    <row r="897">
      <c r="A897" s="1021" t="n"/>
    </row>
    <row r="898">
      <c r="A898" s="1021" t="n"/>
    </row>
    <row r="899">
      <c r="A899" s="1021" t="n"/>
    </row>
    <row r="900">
      <c r="A900" s="1021" t="n"/>
    </row>
    <row r="901">
      <c r="A901" s="1021" t="n"/>
    </row>
    <row r="902">
      <c r="A902" s="1021" t="n"/>
    </row>
    <row r="903">
      <c r="A903" s="1021" t="n"/>
    </row>
    <row r="904">
      <c r="A904" s="1021" t="n"/>
    </row>
    <row r="905">
      <c r="A905" s="1021" t="n"/>
    </row>
    <row r="906">
      <c r="A906" s="1021" t="n"/>
    </row>
    <row r="907">
      <c r="A907" s="1021" t="n"/>
    </row>
    <row r="908">
      <c r="A908" s="1021" t="n"/>
    </row>
    <row r="909">
      <c r="A909" s="1021" t="n"/>
    </row>
    <row r="910">
      <c r="A910" s="1021" t="n"/>
    </row>
    <row r="911">
      <c r="A911" s="1021" t="n"/>
    </row>
    <row r="912">
      <c r="A912" s="1021" t="n"/>
    </row>
    <row r="913">
      <c r="A913" s="1021" t="n"/>
    </row>
    <row r="914">
      <c r="A914" s="1021" t="n"/>
    </row>
    <row r="915">
      <c r="A915" s="1021" t="n"/>
    </row>
    <row r="916">
      <c r="A916" s="1021" t="n"/>
    </row>
    <row r="917">
      <c r="A917" s="1021" t="n"/>
    </row>
    <row r="918">
      <c r="A918" s="1021" t="n"/>
    </row>
    <row r="919">
      <c r="A919" s="1021" t="n"/>
    </row>
    <row r="920">
      <c r="A920" s="1021" t="n"/>
    </row>
    <row r="921">
      <c r="A921" s="1021" t="n"/>
    </row>
    <row r="922">
      <c r="A922" s="1021" t="n"/>
    </row>
    <row r="923">
      <c r="A923" s="1021" t="n"/>
    </row>
    <row r="924">
      <c r="A924" s="1021" t="n"/>
    </row>
    <row r="925">
      <c r="A925" s="1021" t="n"/>
    </row>
    <row r="926">
      <c r="A926" s="1021" t="n"/>
    </row>
    <row r="927">
      <c r="A927" s="1021" t="n"/>
    </row>
    <row r="928">
      <c r="A928" s="1021" t="n"/>
    </row>
    <row r="929">
      <c r="A929" s="1021" t="n"/>
    </row>
    <row r="930">
      <c r="A930" s="1021" t="n"/>
    </row>
    <row r="931">
      <c r="A931" s="1021" t="n"/>
    </row>
    <row r="932">
      <c r="A932" s="1021" t="n"/>
    </row>
    <row r="933">
      <c r="A933" s="1021" t="n"/>
    </row>
    <row r="934">
      <c r="A934" s="1021" t="n"/>
    </row>
    <row r="935">
      <c r="A935" s="1021" t="n"/>
    </row>
    <row r="936">
      <c r="A936" s="1021" t="n"/>
    </row>
    <row r="937">
      <c r="A937" s="1021" t="n"/>
    </row>
    <row r="938">
      <c r="A938" s="1021" t="n"/>
    </row>
    <row r="939">
      <c r="A939" s="1021" t="n"/>
    </row>
    <row r="940">
      <c r="A940" s="1021" t="n"/>
    </row>
    <row r="941">
      <c r="A941" s="1021" t="n"/>
    </row>
    <row r="942">
      <c r="A942" s="1021" t="n"/>
    </row>
    <row r="943">
      <c r="A943" s="1021" t="n"/>
    </row>
    <row r="944">
      <c r="A944" s="1021" t="n"/>
    </row>
    <row r="945">
      <c r="A945" s="1021" t="n"/>
    </row>
    <row r="946">
      <c r="A946" s="1021" t="n"/>
    </row>
    <row r="947">
      <c r="A947" s="1021" t="n"/>
    </row>
    <row r="948">
      <c r="A948" s="1021" t="n"/>
    </row>
    <row r="949">
      <c r="A949" s="1021" t="n"/>
    </row>
    <row r="950">
      <c r="A950" s="1021" t="n"/>
    </row>
    <row r="951">
      <c r="A951" s="1021" t="n"/>
    </row>
    <row r="952">
      <c r="A952" s="1021" t="n"/>
    </row>
    <row r="953">
      <c r="A953" s="1021" t="n"/>
    </row>
    <row r="954">
      <c r="A954" s="1021" t="n"/>
    </row>
    <row r="955">
      <c r="A955" s="1021" t="n"/>
    </row>
    <row r="956">
      <c r="A956" s="1021" t="n"/>
    </row>
    <row r="957">
      <c r="A957" s="1021" t="n"/>
    </row>
    <row r="958">
      <c r="A958" s="1021" t="n"/>
    </row>
    <row r="959">
      <c r="A959" s="1021" t="n"/>
    </row>
    <row r="960">
      <c r="A960" s="1021" t="n"/>
    </row>
    <row r="961">
      <c r="A961" s="1021" t="n"/>
    </row>
    <row r="962">
      <c r="A962" s="1021" t="n"/>
    </row>
    <row r="963">
      <c r="A963" s="1021" t="n"/>
    </row>
    <row r="964">
      <c r="A964" s="1021" t="n"/>
    </row>
    <row r="965">
      <c r="A965" s="1021" t="n"/>
    </row>
    <row r="966">
      <c r="A966" s="1021" t="n"/>
    </row>
    <row r="967">
      <c r="A967" s="1021" t="n"/>
    </row>
    <row r="968">
      <c r="A968" s="1021" t="n"/>
    </row>
    <row r="969">
      <c r="A969" s="1021" t="n"/>
    </row>
    <row r="970">
      <c r="A970" s="1021" t="n"/>
    </row>
    <row r="971">
      <c r="A971" s="1021" t="n"/>
    </row>
    <row r="972">
      <c r="A972" s="1021" t="n"/>
    </row>
    <row r="973">
      <c r="A973" s="1021" t="n"/>
    </row>
    <row r="974">
      <c r="A974" s="1021" t="n"/>
    </row>
    <row r="975">
      <c r="A975" s="1021" t="n"/>
    </row>
    <row r="976">
      <c r="A976" s="1021" t="n"/>
    </row>
    <row r="977">
      <c r="A977" s="1021" t="n"/>
    </row>
    <row r="978">
      <c r="A978" s="1021" t="n"/>
    </row>
    <row r="979">
      <c r="A979" s="1021" t="n"/>
    </row>
    <row r="980">
      <c r="A980" s="1021" t="n"/>
    </row>
    <row r="981">
      <c r="A981" s="1021" t="n"/>
    </row>
    <row r="982">
      <c r="A982" s="1021" t="n"/>
    </row>
    <row r="983">
      <c r="A983" s="1021" t="n"/>
    </row>
    <row r="984">
      <c r="A984" s="1021" t="n"/>
    </row>
    <row r="985">
      <c r="A985" s="1021" t="n"/>
    </row>
    <row r="986">
      <c r="A986" s="1021" t="n"/>
    </row>
    <row r="987">
      <c r="A987" s="1021" t="n"/>
    </row>
    <row r="988">
      <c r="A988" s="1021" t="n"/>
    </row>
    <row r="989">
      <c r="A989" s="1021" t="n"/>
    </row>
    <row r="990">
      <c r="A990" s="1021" t="n"/>
    </row>
    <row r="991">
      <c r="A991" s="1021" t="n"/>
    </row>
    <row r="992">
      <c r="A992" s="1021" t="n"/>
    </row>
    <row r="993">
      <c r="A993" s="1021" t="n"/>
    </row>
    <row r="994">
      <c r="A994" s="1021" t="n"/>
    </row>
    <row r="995">
      <c r="A995" s="1021" t="n"/>
    </row>
    <row r="996">
      <c r="A996" s="1021" t="n"/>
    </row>
    <row r="997">
      <c r="A997" s="1021" t="n"/>
    </row>
    <row r="998">
      <c r="A998" s="1021" t="n"/>
    </row>
    <row r="999">
      <c r="A999" s="1021" t="n"/>
    </row>
    <row r="1000">
      <c r="A1000" s="1021" t="n"/>
    </row>
  </sheetData>
  <mergeCells count="47">
    <mergeCell ref="BY1:BZ1"/>
    <mergeCell ref="A79:A80"/>
    <mergeCell ref="BM2:BM3"/>
    <mergeCell ref="CF2:CF3"/>
    <mergeCell ref="AO2:AP2"/>
    <mergeCell ref="AW2:AX2"/>
    <mergeCell ref="AJ2:AK2"/>
    <mergeCell ref="CA1:CB1"/>
    <mergeCell ref="AL2:AM2"/>
    <mergeCell ref="B2:B3"/>
    <mergeCell ref="BL1:BM1"/>
    <mergeCell ref="BU2:BV2"/>
    <mergeCell ref="H2:H3"/>
    <mergeCell ref="CG2:CG3"/>
    <mergeCell ref="CD2:CD3"/>
    <mergeCell ref="BD2:BE2"/>
    <mergeCell ref="K2:AB2"/>
    <mergeCell ref="BW2:BX2"/>
    <mergeCell ref="BH2:BI2"/>
    <mergeCell ref="BO2:BP2"/>
    <mergeCell ref="BJ2:BK2"/>
    <mergeCell ref="A2:A3"/>
    <mergeCell ref="BQ1:BR1"/>
    <mergeCell ref="BS1:BT1"/>
    <mergeCell ref="AN2:AN3"/>
    <mergeCell ref="BU1:BV1"/>
    <mergeCell ref="AQ2:AR2"/>
    <mergeCell ref="AS2:AT2"/>
    <mergeCell ref="I2:I3"/>
    <mergeCell ref="AD2:AE2"/>
    <mergeCell ref="AF2:AG2"/>
    <mergeCell ref="AY2:AZ2"/>
    <mergeCell ref="CF86:CG86"/>
    <mergeCell ref="BQ2:BR2"/>
    <mergeCell ref="CH2:CH3"/>
    <mergeCell ref="J2:J3"/>
    <mergeCell ref="BL2:BL3"/>
    <mergeCell ref="CE2:CE3"/>
    <mergeCell ref="BN2:BN3"/>
    <mergeCell ref="AH2:AI2"/>
    <mergeCell ref="BS2:BT2"/>
    <mergeCell ref="AU2:AV2"/>
    <mergeCell ref="BB2:BC2"/>
    <mergeCell ref="CC2:CC3"/>
    <mergeCell ref="BF2:BG2"/>
    <mergeCell ref="BA2:BA3"/>
    <mergeCell ref="BW1:BX1"/>
  </mergeCell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BV17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640625" defaultRowHeight="15.75" customHeight="1"/>
  <cols>
    <col width="20.33203125" customWidth="1" style="1127" min="1" max="1"/>
    <col outlineLevel="2" width="12.6640625" customWidth="1" style="1127" min="3" max="3"/>
    <col hidden="1" outlineLevel="2" width="12.6640625" customWidth="1" style="1127" min="4" max="4"/>
    <col outlineLevel="2" width="12.6640625" customWidth="1" style="1127" min="5" max="5"/>
    <col hidden="1" outlineLevel="2" width="12.6640625" customWidth="1" style="1127" min="6" max="6"/>
    <col outlineLevel="2" width="12.6640625" customWidth="1" style="1127" min="7" max="7"/>
    <col hidden="1" outlineLevel="2" width="12.6640625" customWidth="1" style="1127" min="8" max="8"/>
    <col outlineLevel="2" width="12.6640625" customWidth="1" style="1127" min="9" max="9"/>
    <col hidden="1" outlineLevel="2" width="12.6640625" customWidth="1" style="1127" min="10" max="10"/>
    <col outlineLevel="2" width="12.6640625" customWidth="1" style="1127" min="11" max="11"/>
    <col hidden="1" outlineLevel="2" width="12.6640625" customWidth="1" style="1127" min="12" max="13"/>
    <col hidden="1" outlineLevel="1" width="12.6640625" customWidth="1" style="1127" min="14" max="15"/>
    <col outlineLevel="2" width="12.6640625" customWidth="1" style="1127" min="16" max="16"/>
    <col hidden="1" outlineLevel="2" width="12.6640625" customWidth="1" style="1127" min="17" max="26"/>
    <col hidden="1" outlineLevel="1" width="12.6640625" customWidth="1" style="1127" min="27" max="30"/>
    <col outlineLevel="1" width="12.6640625" customWidth="1" style="1127" min="31" max="31"/>
    <col hidden="1" outlineLevel="1" width="12.6640625" customWidth="1" style="1127" min="32" max="34"/>
    <col outlineLevel="1" width="12.6640625" customWidth="1" style="1127" min="35" max="35"/>
    <col hidden="1" outlineLevel="1" width="12.6640625" customWidth="1" style="1127" min="36" max="39"/>
    <col hidden="1" width="12.6640625" customWidth="1" style="1127" min="40" max="41"/>
    <col outlineLevel="1" width="12.6640625" customWidth="1" style="1127" min="42" max="42"/>
    <col hidden="1" outlineLevel="1" width="12.6640625" customWidth="1" style="1127" min="43" max="43"/>
    <col outlineLevel="1" width="12.6640625" customWidth="1" style="1127" min="44" max="44"/>
    <col hidden="1" outlineLevel="1" width="12.6640625" customWidth="1" style="1127" min="45" max="49"/>
    <col outlineLevel="1" width="12.6640625" customWidth="1" style="1127" min="50" max="50"/>
    <col hidden="1" outlineLevel="1" width="12.6640625" customWidth="1" style="1127" min="51" max="52"/>
    <col hidden="1" width="12.6640625" customWidth="1" style="1127" min="53" max="54"/>
    <col hidden="1" outlineLevel="1" width="12.6640625" customWidth="1" style="1127" min="55" max="56"/>
    <col outlineLevel="1" width="12.6640625" customWidth="1" style="1127" min="57" max="57"/>
    <col hidden="1" outlineLevel="1" width="12.6640625" customWidth="1" style="1127" min="58" max="58"/>
    <col outlineLevel="1" width="12.6640625" customWidth="1" style="1127" min="59" max="59"/>
    <col hidden="1" outlineLevel="1" width="12.6640625" customWidth="1" style="1127" min="60" max="60"/>
    <col outlineLevel="1" width="12.6640625" customWidth="1" style="1127" min="61" max="61"/>
    <col hidden="1" outlineLevel="1" width="12.6640625" customWidth="1" style="1127" min="62" max="69"/>
    <col hidden="1" width="12.6640625" customWidth="1" style="1127" min="70" max="71"/>
    <col hidden="1" width="12.6640625" customWidth="1" style="1127" min="73" max="74"/>
  </cols>
  <sheetData>
    <row r="1">
      <c r="A1" s="584" t="n"/>
      <c r="B1" s="842" t="n"/>
      <c r="C1" s="842" t="n"/>
      <c r="D1" s="842" t="n"/>
      <c r="E1" s="584" t="n"/>
      <c r="F1" s="584" t="n"/>
      <c r="G1" s="1022">
        <f>I1-H4</f>
        <v/>
      </c>
      <c r="H1" s="1023" t="inlineStr">
        <is>
          <t>заполнен 02.04. в 11.55</t>
        </is>
      </c>
      <c r="I1" s="1025" t="n">
        <v>3202660</v>
      </c>
      <c r="J1" s="1025" t="n">
        <v>702647</v>
      </c>
      <c r="K1" s="1025">
        <f>J4-J1</f>
        <v/>
      </c>
      <c r="L1" s="1025" t="n">
        <v>13389889</v>
      </c>
      <c r="M1" s="584" t="n"/>
      <c r="N1" s="584" t="n"/>
      <c r="O1" s="584" t="n"/>
      <c r="P1" s="584" t="n"/>
      <c r="Q1" s="1025" t="n">
        <v>6186229</v>
      </c>
      <c r="R1" s="584" t="n"/>
      <c r="S1" s="1025" t="n">
        <v>8934554</v>
      </c>
      <c r="T1" s="584" t="n"/>
      <c r="U1" s="1025" t="n">
        <v>10272967</v>
      </c>
      <c r="V1" s="584" t="n"/>
      <c r="W1" s="584" t="n"/>
      <c r="X1" s="584" t="n"/>
      <c r="Y1" s="584" t="n"/>
      <c r="Z1" s="1026" t="n"/>
      <c r="AA1" s="842" t="n"/>
      <c r="AB1" s="1027" t="n"/>
      <c r="AC1" s="584" t="n"/>
      <c r="AD1" s="584" t="n"/>
      <c r="AE1" s="584" t="n"/>
      <c r="AF1" s="584" t="n"/>
      <c r="AG1" s="584" t="n"/>
      <c r="AH1" s="584" t="n"/>
      <c r="AI1" s="584" t="n"/>
      <c r="AJ1" s="584" t="n"/>
      <c r="AK1" s="584" t="n"/>
      <c r="AL1" s="584" t="n"/>
      <c r="AM1" s="584" t="n"/>
      <c r="AN1" s="584" t="n"/>
      <c r="AO1" s="1028" t="n"/>
      <c r="AP1" s="584" t="n"/>
      <c r="AQ1" s="584" t="n"/>
      <c r="AR1" s="584" t="n"/>
      <c r="AS1" s="584" t="n"/>
      <c r="AT1" s="584" t="n"/>
      <c r="AU1" s="584" t="n"/>
      <c r="AV1" s="584" t="n"/>
      <c r="AW1" s="584" t="n"/>
      <c r="AX1" s="720" t="n"/>
      <c r="AY1" s="720" t="n"/>
      <c r="AZ1" s="1264" t="inlineStr">
        <is>
          <t>Итого 4-я неделя</t>
        </is>
      </c>
      <c r="BA1" s="1225" t="n"/>
      <c r="BB1" s="1028" t="n"/>
      <c r="BC1" s="842" t="n"/>
      <c r="BD1" s="842" t="n"/>
      <c r="BE1" s="1228" t="n"/>
      <c r="BF1" s="1225" t="n"/>
      <c r="BG1" s="1228" t="n"/>
      <c r="BH1" s="1225" t="n"/>
      <c r="BI1" s="1228" t="n"/>
      <c r="BJ1" s="1225" t="n"/>
      <c r="BK1" s="1228" t="n"/>
      <c r="BL1" s="1225" t="n"/>
      <c r="BM1" s="1228" t="n"/>
      <c r="BN1" s="1225" t="n"/>
      <c r="BO1" s="1228" t="n"/>
      <c r="BP1" s="1225" t="n"/>
      <c r="BQ1" s="584" t="n"/>
      <c r="BR1" s="584" t="n"/>
      <c r="BS1" s="584" t="n"/>
      <c r="BT1" s="584" t="n"/>
      <c r="BU1" s="584" t="n"/>
      <c r="BV1" s="843" t="n"/>
    </row>
    <row r="2">
      <c r="A2" s="1265" t="inlineStr">
        <is>
          <t>Статья ДДС 1-ого уровня</t>
        </is>
      </c>
      <c r="B2" s="1266" t="inlineStr">
        <is>
          <t>Приход/Расход</t>
        </is>
      </c>
      <c r="C2" s="1228" t="n"/>
      <c r="D2" s="1225" t="n"/>
      <c r="E2" s="1228" t="n"/>
      <c r="F2" s="1225" t="n"/>
      <c r="G2" s="1229" t="n">
        <v>46113</v>
      </c>
      <c r="H2" s="1225" t="n"/>
      <c r="I2" s="1229" t="n">
        <v>46114</v>
      </c>
      <c r="J2" s="1225" t="n"/>
      <c r="K2" s="1229" t="n">
        <v>46115</v>
      </c>
      <c r="L2" s="1225" t="n"/>
      <c r="M2" s="1267" t="inlineStr">
        <is>
          <t>Итого план 1 неделя</t>
        </is>
      </c>
      <c r="N2" s="1268" t="inlineStr">
        <is>
          <t>Итого факт 1 неделя</t>
        </is>
      </c>
      <c r="O2" s="1269" t="inlineStr">
        <is>
          <t xml:space="preserve">Отклонение </t>
        </is>
      </c>
      <c r="P2" s="579" t="n">
        <v>46118</v>
      </c>
      <c r="Q2" s="1225" t="n"/>
      <c r="R2" s="579" t="n">
        <v>46119</v>
      </c>
      <c r="S2" s="1225" t="n"/>
      <c r="T2" s="579" t="n">
        <v>46120</v>
      </c>
      <c r="U2" s="1225" t="n"/>
      <c r="V2" s="579" t="n">
        <v>46121</v>
      </c>
      <c r="W2" s="1225" t="n"/>
      <c r="X2" s="579" t="n">
        <v>46122</v>
      </c>
      <c r="Y2" s="1225" t="n"/>
      <c r="Z2" s="1264" t="inlineStr">
        <is>
          <t>Итого 2-я неделя</t>
        </is>
      </c>
      <c r="AA2" s="1225" t="n"/>
      <c r="AB2" s="1269" t="inlineStr">
        <is>
          <t xml:space="preserve">Отклонение </t>
        </is>
      </c>
      <c r="AC2" s="1229" t="n">
        <v>46125</v>
      </c>
      <c r="AD2" s="1225" t="n"/>
      <c r="AE2" s="1229" t="n">
        <v>46126</v>
      </c>
      <c r="AF2" s="1225" t="n"/>
      <c r="AG2" s="1229" t="n">
        <v>46127</v>
      </c>
      <c r="AH2" s="1225" t="n"/>
      <c r="AI2" s="1229" t="n">
        <v>46128</v>
      </c>
      <c r="AJ2" s="1225" t="n"/>
      <c r="AK2" s="1229" t="n">
        <v>46129</v>
      </c>
      <c r="AL2" s="1225" t="n"/>
      <c r="AM2" s="1264" t="inlineStr">
        <is>
          <t>Итого 3-я неделя</t>
        </is>
      </c>
      <c r="AN2" s="1225" t="n"/>
      <c r="AO2" s="1270" t="inlineStr">
        <is>
          <t xml:space="preserve">Отклонение </t>
        </is>
      </c>
      <c r="AP2" s="1229" t="n">
        <v>46132</v>
      </c>
      <c r="AQ2" s="1225" t="n"/>
      <c r="AR2" s="1229" t="n">
        <v>46133</v>
      </c>
      <c r="AS2" s="1225" t="n"/>
      <c r="AT2" s="1229" t="n">
        <v>46134</v>
      </c>
      <c r="AU2" s="1225" t="n"/>
      <c r="AV2" s="1229" t="n">
        <v>46135</v>
      </c>
      <c r="AW2" s="1225" t="n"/>
      <c r="AX2" s="1229" t="n">
        <v>46136</v>
      </c>
      <c r="AY2" s="1225" t="n"/>
      <c r="AZ2" s="1271" t="inlineStr">
        <is>
          <t>Итого план 4 неделя</t>
        </is>
      </c>
      <c r="BA2" s="1272" t="inlineStr">
        <is>
          <t>Итого факт 4 неделя</t>
        </is>
      </c>
      <c r="BB2" s="1270" t="inlineStr">
        <is>
          <t xml:space="preserve">Отклонение </t>
        </is>
      </c>
      <c r="BC2" s="1229" t="n">
        <v>46139</v>
      </c>
      <c r="BD2" s="1225" t="n"/>
      <c r="BE2" s="1229" t="n">
        <v>46140</v>
      </c>
      <c r="BF2" s="1225" t="n"/>
      <c r="BG2" s="1229" t="n">
        <v>46141</v>
      </c>
      <c r="BH2" s="1225" t="n"/>
      <c r="BI2" s="1229" t="n">
        <v>46142</v>
      </c>
      <c r="BJ2" s="1225" t="n"/>
      <c r="BK2" s="1228" t="n"/>
      <c r="BL2" s="1225" t="n"/>
      <c r="BM2" s="772" t="n"/>
      <c r="BN2" s="772" t="n"/>
      <c r="BO2" s="772" t="n"/>
      <c r="BP2" s="772" t="n"/>
      <c r="BQ2" s="1271" t="inlineStr">
        <is>
          <t>Итого план 5 неделя</t>
        </is>
      </c>
      <c r="BR2" s="1272" t="inlineStr">
        <is>
          <t>Итого факт 5 неделя</t>
        </is>
      </c>
      <c r="BS2" s="1273" t="inlineStr">
        <is>
          <t xml:space="preserve">Отклонение </t>
        </is>
      </c>
      <c r="BT2" s="1274" t="inlineStr">
        <is>
          <t xml:space="preserve">Итого план </t>
        </is>
      </c>
      <c r="BU2" s="1275" t="inlineStr">
        <is>
          <t xml:space="preserve">Итого факт </t>
        </is>
      </c>
      <c r="BV2" s="1276" t="inlineStr">
        <is>
          <t>Отклонение</t>
        </is>
      </c>
    </row>
    <row r="3">
      <c r="A3" s="1219" t="n"/>
      <c r="B3" s="1252" t="n"/>
      <c r="C3" s="593" t="inlineStr">
        <is>
          <t>План</t>
        </is>
      </c>
      <c r="D3" s="780" t="inlineStr">
        <is>
          <t>Факт</t>
        </is>
      </c>
      <c r="E3" s="593" t="inlineStr">
        <is>
          <t>План</t>
        </is>
      </c>
      <c r="F3" s="780" t="inlineStr">
        <is>
          <t>Факт</t>
        </is>
      </c>
      <c r="G3" s="593" t="inlineStr">
        <is>
          <t>План</t>
        </is>
      </c>
      <c r="H3" s="780" t="inlineStr">
        <is>
          <t>Факт</t>
        </is>
      </c>
      <c r="I3" s="593" t="inlineStr">
        <is>
          <t>План</t>
        </is>
      </c>
      <c r="J3" s="780" t="inlineStr">
        <is>
          <t>Факт</t>
        </is>
      </c>
      <c r="K3" s="593" t="inlineStr">
        <is>
          <t>План</t>
        </is>
      </c>
      <c r="L3" s="780" t="inlineStr">
        <is>
          <t>Факт</t>
        </is>
      </c>
      <c r="M3" s="1252" t="n"/>
      <c r="N3" s="1252" t="n"/>
      <c r="O3" s="1252" t="n"/>
      <c r="P3" s="593" t="inlineStr">
        <is>
          <t>План</t>
        </is>
      </c>
      <c r="Q3" s="780" t="inlineStr">
        <is>
          <t>Факт</t>
        </is>
      </c>
      <c r="R3" s="593" t="inlineStr">
        <is>
          <t>План</t>
        </is>
      </c>
      <c r="S3" s="780" t="inlineStr">
        <is>
          <t>Факт</t>
        </is>
      </c>
      <c r="T3" s="593" t="inlineStr">
        <is>
          <t>План</t>
        </is>
      </c>
      <c r="U3" s="780" t="inlineStr">
        <is>
          <t>Факт</t>
        </is>
      </c>
      <c r="V3" s="593" t="inlineStr">
        <is>
          <t>План</t>
        </is>
      </c>
      <c r="W3" s="780" t="inlineStr">
        <is>
          <t>Факт</t>
        </is>
      </c>
      <c r="X3" s="593" t="inlineStr">
        <is>
          <t>План</t>
        </is>
      </c>
      <c r="Y3" s="780" t="inlineStr">
        <is>
          <t>Факт</t>
        </is>
      </c>
      <c r="Z3" s="593" t="inlineStr">
        <is>
          <t>План</t>
        </is>
      </c>
      <c r="AA3" s="780" t="inlineStr">
        <is>
          <t>Факт</t>
        </is>
      </c>
      <c r="AB3" s="1252" t="n"/>
      <c r="AC3" s="593" t="inlineStr">
        <is>
          <t>План</t>
        </is>
      </c>
      <c r="AD3" s="780" t="inlineStr">
        <is>
          <t>Факт</t>
        </is>
      </c>
      <c r="AE3" s="593" t="inlineStr">
        <is>
          <t>План</t>
        </is>
      </c>
      <c r="AF3" s="780" t="inlineStr">
        <is>
          <t>Факт</t>
        </is>
      </c>
      <c r="AG3" s="593" t="inlineStr">
        <is>
          <t>План</t>
        </is>
      </c>
      <c r="AH3" s="780" t="inlineStr">
        <is>
          <t>Факт</t>
        </is>
      </c>
      <c r="AI3" s="593" t="inlineStr">
        <is>
          <t>План</t>
        </is>
      </c>
      <c r="AJ3" s="780" t="inlineStr">
        <is>
          <t>Факт</t>
        </is>
      </c>
      <c r="AK3" s="593" t="inlineStr">
        <is>
          <t>План</t>
        </is>
      </c>
      <c r="AL3" s="780" t="inlineStr">
        <is>
          <t>Факт</t>
        </is>
      </c>
      <c r="AM3" s="593" t="inlineStr">
        <is>
          <t>План</t>
        </is>
      </c>
      <c r="AN3" s="780" t="inlineStr">
        <is>
          <t>Факт</t>
        </is>
      </c>
      <c r="AO3" s="1252" t="n"/>
      <c r="AP3" s="593" t="inlineStr">
        <is>
          <t>План</t>
        </is>
      </c>
      <c r="AQ3" s="780" t="inlineStr">
        <is>
          <t>Факт</t>
        </is>
      </c>
      <c r="AR3" s="593" t="inlineStr">
        <is>
          <t>План</t>
        </is>
      </c>
      <c r="AS3" s="780" t="inlineStr">
        <is>
          <t>Факт</t>
        </is>
      </c>
      <c r="AT3" s="593" t="inlineStr">
        <is>
          <t>План</t>
        </is>
      </c>
      <c r="AU3" s="780" t="inlineStr">
        <is>
          <t>Факт</t>
        </is>
      </c>
      <c r="AV3" s="593" t="inlineStr">
        <is>
          <t>План</t>
        </is>
      </c>
      <c r="AW3" s="780" t="inlineStr">
        <is>
          <t>Факт</t>
        </is>
      </c>
      <c r="AX3" s="593" t="inlineStr">
        <is>
          <t>План</t>
        </is>
      </c>
      <c r="AY3" s="780" t="inlineStr">
        <is>
          <t>Факт</t>
        </is>
      </c>
      <c r="AZ3" s="1252" t="n"/>
      <c r="BA3" s="1252" t="n"/>
      <c r="BB3" s="1252" t="n"/>
      <c r="BC3" s="594" t="n"/>
      <c r="BD3" s="781" t="n"/>
      <c r="BE3" s="594" t="n"/>
      <c r="BF3" s="781" t="n"/>
      <c r="BG3" s="594" t="n"/>
      <c r="BH3" s="781" t="n"/>
      <c r="BI3" s="594" t="n"/>
      <c r="BJ3" s="781" t="n"/>
      <c r="BK3" s="594" t="n"/>
      <c r="BL3" s="781" t="n"/>
      <c r="BM3" s="594" t="n"/>
      <c r="BN3" s="781" t="n"/>
      <c r="BO3" s="594" t="n"/>
      <c r="BP3" s="781" t="n"/>
      <c r="BQ3" s="1252" t="n"/>
      <c r="BR3" s="1252" t="n"/>
      <c r="BS3" s="1219" t="n"/>
      <c r="BT3" s="1262" t="n"/>
      <c r="BU3" s="1216" t="n"/>
      <c r="BV3" s="1217" t="n"/>
    </row>
    <row r="4">
      <c r="A4" s="596" t="inlineStr">
        <is>
          <t>Остаток на начало по Банку</t>
        </is>
      </c>
      <c r="B4" s="597" t="n"/>
      <c r="C4" s="783" t="n">
        <v>3140328</v>
      </c>
      <c r="D4" s="784">
        <f>C4</f>
        <v/>
      </c>
      <c r="E4" s="783">
        <f>C83</f>
        <v/>
      </c>
      <c r="F4" s="784">
        <f>D83</f>
        <v/>
      </c>
      <c r="G4" s="783">
        <f>E83</f>
        <v/>
      </c>
      <c r="H4" s="784">
        <f>3139916</f>
        <v/>
      </c>
      <c r="I4" s="783">
        <f>G83</f>
        <v/>
      </c>
      <c r="J4" s="784">
        <f>H83</f>
        <v/>
      </c>
      <c r="K4" s="783">
        <f>I83</f>
        <v/>
      </c>
      <c r="L4" s="784">
        <f>J83</f>
        <v/>
      </c>
      <c r="M4" s="1029">
        <f>C4</f>
        <v/>
      </c>
      <c r="N4" s="1030">
        <f>M4</f>
        <v/>
      </c>
      <c r="O4" s="1031">
        <f>N4-M4</f>
        <v/>
      </c>
      <c r="P4" s="783">
        <f>K83</f>
        <v/>
      </c>
      <c r="Q4" s="784">
        <f>L83</f>
        <v/>
      </c>
      <c r="R4" s="783">
        <f>P83</f>
        <v/>
      </c>
      <c r="S4" s="784">
        <f>Q83</f>
        <v/>
      </c>
      <c r="T4" s="783">
        <f>R83</f>
        <v/>
      </c>
      <c r="U4" s="784">
        <f>S83</f>
        <v/>
      </c>
      <c r="V4" s="783">
        <f>T83</f>
        <v/>
      </c>
      <c r="W4" s="784">
        <f>U83</f>
        <v/>
      </c>
      <c r="X4" s="783">
        <f>V83</f>
        <v/>
      </c>
      <c r="Y4" s="784">
        <f>W83</f>
        <v/>
      </c>
      <c r="Z4" s="1029">
        <f>P4</f>
        <v/>
      </c>
      <c r="AA4" s="1030">
        <f>Z4</f>
        <v/>
      </c>
      <c r="AB4" s="1031">
        <f>AA4-Z4</f>
        <v/>
      </c>
      <c r="AC4" s="645">
        <f>X83</f>
        <v/>
      </c>
      <c r="AD4" s="784">
        <f>AA83</f>
        <v/>
      </c>
      <c r="AE4" s="783">
        <f>AC83</f>
        <v/>
      </c>
      <c r="AF4" s="784">
        <f>AD83</f>
        <v/>
      </c>
      <c r="AG4" s="783">
        <f>AE83</f>
        <v/>
      </c>
      <c r="AH4" s="784">
        <f>AF83</f>
        <v/>
      </c>
      <c r="AI4" s="783">
        <f>AG83</f>
        <v/>
      </c>
      <c r="AJ4" s="784">
        <f>AH83</f>
        <v/>
      </c>
      <c r="AK4" s="783">
        <f>AI83</f>
        <v/>
      </c>
      <c r="AL4" s="784">
        <f>AJ83</f>
        <v/>
      </c>
      <c r="AM4" s="1032">
        <f>AC4</f>
        <v/>
      </c>
      <c r="AN4" s="1033">
        <f>AD4</f>
        <v/>
      </c>
      <c r="AO4" s="1034">
        <f>AN4-AM4</f>
        <v/>
      </c>
      <c r="AP4" s="645">
        <f>AK83</f>
        <v/>
      </c>
      <c r="AQ4" s="784">
        <f>AL83</f>
        <v/>
      </c>
      <c r="AR4" s="783">
        <f>AP83</f>
        <v/>
      </c>
      <c r="AS4" s="784">
        <f>AQ83</f>
        <v/>
      </c>
      <c r="AT4" s="783">
        <f>AR83</f>
        <v/>
      </c>
      <c r="AU4" s="784">
        <f>AS83</f>
        <v/>
      </c>
      <c r="AV4" s="783">
        <f>AT83</f>
        <v/>
      </c>
      <c r="AW4" s="785">
        <f>AU83</f>
        <v/>
      </c>
      <c r="AX4" s="783">
        <f>AV83</f>
        <v/>
      </c>
      <c r="AY4" s="786">
        <f>AW83</f>
        <v/>
      </c>
      <c r="AZ4" s="1032">
        <f>AP4</f>
        <v/>
      </c>
      <c r="BA4" s="1033">
        <f>AQ4</f>
        <v/>
      </c>
      <c r="BB4" s="1035">
        <f>BA4-AZ4</f>
        <v/>
      </c>
      <c r="BC4" s="787">
        <f>AX83</f>
        <v/>
      </c>
      <c r="BD4" s="784">
        <f>AY83</f>
        <v/>
      </c>
      <c r="BE4" s="783">
        <f>BC83</f>
        <v/>
      </c>
      <c r="BF4" s="784">
        <f>BD83</f>
        <v/>
      </c>
      <c r="BG4" s="783">
        <f>BE83</f>
        <v/>
      </c>
      <c r="BH4" s="784">
        <f>BF83</f>
        <v/>
      </c>
      <c r="BI4" s="783">
        <f>BG83</f>
        <v/>
      </c>
      <c r="BJ4" s="784">
        <f>BH83</f>
        <v/>
      </c>
      <c r="BK4" s="783">
        <f>BI83</f>
        <v/>
      </c>
      <c r="BL4" s="784">
        <f>BJ83</f>
        <v/>
      </c>
      <c r="BM4" s="783">
        <f>BK83</f>
        <v/>
      </c>
      <c r="BN4" s="784">
        <f>BL83</f>
        <v/>
      </c>
      <c r="BO4" s="783">
        <f>BM83</f>
        <v/>
      </c>
      <c r="BP4" s="784">
        <f>BN83</f>
        <v/>
      </c>
      <c r="BQ4" s="1032">
        <f>BC4</f>
        <v/>
      </c>
      <c r="BR4" s="1036">
        <f>BD4</f>
        <v/>
      </c>
      <c r="BS4" s="1037">
        <f>BR4+BQ4</f>
        <v/>
      </c>
      <c r="BT4" s="1038">
        <f>C4</f>
        <v/>
      </c>
      <c r="BU4" s="1039">
        <f>BT4</f>
        <v/>
      </c>
      <c r="BV4" s="1040">
        <f>BU4-BT4</f>
        <v/>
      </c>
    </row>
    <row r="5">
      <c r="A5" s="603" t="inlineStr">
        <is>
          <t>Остаток на начало по Кассе</t>
        </is>
      </c>
      <c r="B5" s="597" t="n"/>
      <c r="C5" s="783" t="n">
        <v>917728</v>
      </c>
      <c r="D5" s="784">
        <f>C5</f>
        <v/>
      </c>
      <c r="E5" s="783">
        <f>C84</f>
        <v/>
      </c>
      <c r="F5" s="784">
        <f>D84</f>
        <v/>
      </c>
      <c r="G5" s="783">
        <f>E84</f>
        <v/>
      </c>
      <c r="H5" s="784">
        <f>F84+62744</f>
        <v/>
      </c>
      <c r="I5" s="783">
        <f>G84</f>
        <v/>
      </c>
      <c r="J5" s="784">
        <f>H84</f>
        <v/>
      </c>
      <c r="K5" s="783">
        <f>I84</f>
        <v/>
      </c>
      <c r="L5" s="784">
        <f>J84</f>
        <v/>
      </c>
      <c r="M5" s="1029">
        <f>C5</f>
        <v/>
      </c>
      <c r="N5" s="1030">
        <f>M5</f>
        <v/>
      </c>
      <c r="O5" s="1031">
        <f>N5-M5</f>
        <v/>
      </c>
      <c r="P5" s="783">
        <f>K84</f>
        <v/>
      </c>
      <c r="Q5" s="784">
        <f>L84</f>
        <v/>
      </c>
      <c r="R5" s="783">
        <f>P84</f>
        <v/>
      </c>
      <c r="S5" s="784">
        <f>Q84</f>
        <v/>
      </c>
      <c r="T5" s="783">
        <f>R84</f>
        <v/>
      </c>
      <c r="U5" s="784">
        <f>S84</f>
        <v/>
      </c>
      <c r="V5" s="783">
        <f>T84</f>
        <v/>
      </c>
      <c r="W5" s="784">
        <f>U84</f>
        <v/>
      </c>
      <c r="X5" s="783">
        <f>V84</f>
        <v/>
      </c>
      <c r="Y5" s="784">
        <f>W84</f>
        <v/>
      </c>
      <c r="Z5" s="1029">
        <f>P5</f>
        <v/>
      </c>
      <c r="AA5" s="1030">
        <f>Z5</f>
        <v/>
      </c>
      <c r="AB5" s="1031">
        <f>AA5-Z5</f>
        <v/>
      </c>
      <c r="AC5" s="645">
        <f>X84</f>
        <v/>
      </c>
      <c r="AD5" s="784">
        <f>AA84</f>
        <v/>
      </c>
      <c r="AE5" s="783">
        <f>AC84</f>
        <v/>
      </c>
      <c r="AF5" s="784">
        <f>AD84</f>
        <v/>
      </c>
      <c r="AG5" s="783">
        <f>AE84</f>
        <v/>
      </c>
      <c r="AH5" s="784">
        <f>AF84</f>
        <v/>
      </c>
      <c r="AI5" s="783">
        <f>AG84</f>
        <v/>
      </c>
      <c r="AJ5" s="784">
        <f>AH84</f>
        <v/>
      </c>
      <c r="AK5" s="783">
        <f>AI84</f>
        <v/>
      </c>
      <c r="AL5" s="784">
        <f>AJ84</f>
        <v/>
      </c>
      <c r="AM5" s="787">
        <f>AC5</f>
        <v/>
      </c>
      <c r="AN5" s="1041">
        <f>AD5</f>
        <v/>
      </c>
      <c r="AO5" s="1034">
        <f>AN5-AM5</f>
        <v/>
      </c>
      <c r="AP5" s="645">
        <f>AK84</f>
        <v/>
      </c>
      <c r="AQ5" s="784">
        <f>AL84</f>
        <v/>
      </c>
      <c r="AR5" s="783">
        <f>AP84</f>
        <v/>
      </c>
      <c r="AS5" s="784">
        <f>AQ84</f>
        <v/>
      </c>
      <c r="AT5" s="783">
        <f>AR84</f>
        <v/>
      </c>
      <c r="AU5" s="784">
        <f>AS84</f>
        <v/>
      </c>
      <c r="AV5" s="783">
        <f>AT84</f>
        <v/>
      </c>
      <c r="AW5" s="785">
        <f>AU84</f>
        <v/>
      </c>
      <c r="AX5" s="783">
        <f>AV84</f>
        <v/>
      </c>
      <c r="AY5" s="786">
        <f>AW84</f>
        <v/>
      </c>
      <c r="AZ5" s="787">
        <f>AP5</f>
        <v/>
      </c>
      <c r="BA5" s="1041">
        <f>AQ5</f>
        <v/>
      </c>
      <c r="BB5" s="1035">
        <f>BA5-AZ5</f>
        <v/>
      </c>
      <c r="BC5" s="787">
        <f>AX84</f>
        <v/>
      </c>
      <c r="BD5" s="784">
        <f>AY84</f>
        <v/>
      </c>
      <c r="BE5" s="783">
        <f>BC84</f>
        <v/>
      </c>
      <c r="BF5" s="784">
        <f>BD84</f>
        <v/>
      </c>
      <c r="BG5" s="783">
        <f>BE84</f>
        <v/>
      </c>
      <c r="BH5" s="784">
        <f>BF84</f>
        <v/>
      </c>
      <c r="BI5" s="783">
        <f>BG84</f>
        <v/>
      </c>
      <c r="BJ5" s="784">
        <f>BH84</f>
        <v/>
      </c>
      <c r="BK5" s="783">
        <f>BI84</f>
        <v/>
      </c>
      <c r="BL5" s="784">
        <f>BJ84</f>
        <v/>
      </c>
      <c r="BM5" s="783">
        <f>BK84</f>
        <v/>
      </c>
      <c r="BN5" s="784">
        <f>BL84</f>
        <v/>
      </c>
      <c r="BO5" s="783">
        <f>BM84</f>
        <v/>
      </c>
      <c r="BP5" s="784">
        <f>BN84</f>
        <v/>
      </c>
      <c r="BQ5" s="787">
        <f>BC5</f>
        <v/>
      </c>
      <c r="BR5" s="1042">
        <f>BC5</f>
        <v/>
      </c>
      <c r="BS5" s="1037">
        <f>BR5-BQ5</f>
        <v/>
      </c>
      <c r="BT5" s="1038">
        <f>C5</f>
        <v/>
      </c>
      <c r="BU5" s="1039">
        <f>BT5</f>
        <v/>
      </c>
      <c r="BV5" s="1040">
        <f>BU5-BT5</f>
        <v/>
      </c>
    </row>
    <row r="6">
      <c r="A6" s="591" t="inlineStr">
        <is>
          <t>Прочие</t>
        </is>
      </c>
      <c r="B6" s="604" t="inlineStr">
        <is>
          <t>Приход</t>
        </is>
      </c>
      <c r="C6" s="680" t="n"/>
      <c r="D6" s="798" t="n"/>
      <c r="E6" s="680" t="n"/>
      <c r="F6" s="796" t="n"/>
      <c r="G6" s="607" t="n">
        <v>1000000</v>
      </c>
      <c r="H6" s="790" t="n">
        <v>119520</v>
      </c>
      <c r="I6" s="680" t="n"/>
      <c r="J6" s="1059" t="n"/>
      <c r="K6" s="680" t="n"/>
      <c r="L6" s="796" t="n"/>
      <c r="M6" s="1043">
        <f>C6+E6+G6+I6+K6</f>
        <v/>
      </c>
      <c r="N6" s="1044">
        <f>D6+F6+H6+J6+L6</f>
        <v/>
      </c>
      <c r="O6" s="1031">
        <f>N6-M6</f>
        <v/>
      </c>
      <c r="P6" s="607" t="n">
        <v>1000000</v>
      </c>
      <c r="Q6" s="793">
        <f>303750+17890</f>
        <v/>
      </c>
      <c r="R6" s="680" t="n"/>
      <c r="S6" s="796" t="n"/>
      <c r="T6" s="680" t="n"/>
      <c r="U6" s="799" t="n"/>
      <c r="V6" s="680" t="n"/>
      <c r="W6" s="796">
        <f>128748+212883+5489</f>
        <v/>
      </c>
      <c r="X6" s="607" t="n">
        <v>500000</v>
      </c>
      <c r="Y6" s="796" t="n"/>
      <c r="Z6" s="1043">
        <f>P6+R6+T6+V6+X6</f>
        <v/>
      </c>
      <c r="AA6" s="1044">
        <f>Q6+S6+U6+W6+Y6</f>
        <v/>
      </c>
      <c r="AB6" s="1031">
        <f>AA6-Z6</f>
        <v/>
      </c>
      <c r="AC6" s="680" t="n"/>
      <c r="AD6" s="798" t="n"/>
      <c r="AE6" s="615" t="n">
        <v>600000</v>
      </c>
      <c r="AF6" s="796" t="n"/>
      <c r="AG6" s="680" t="n"/>
      <c r="AH6" s="796" t="n"/>
      <c r="AI6" s="680" t="n"/>
      <c r="AJ6" s="796" t="n"/>
      <c r="AK6" s="607" t="n">
        <v>400000</v>
      </c>
      <c r="AL6" s="796" t="n"/>
      <c r="AM6" s="615">
        <f>AC6+AE6+AG6+AI6+AK6</f>
        <v/>
      </c>
      <c r="AN6" s="1045">
        <f>AD6+AF6+AH6+AJ6+AL6</f>
        <v/>
      </c>
      <c r="AO6" s="1035">
        <f>AN6-AM6</f>
        <v/>
      </c>
      <c r="AP6" s="680" t="n"/>
      <c r="AQ6" s="798" t="n"/>
      <c r="AR6" s="680" t="n"/>
      <c r="AS6" s="796" t="n"/>
      <c r="AT6" s="680" t="n"/>
      <c r="AU6" s="796" t="n"/>
      <c r="AV6" s="607" t="n">
        <v>1000000</v>
      </c>
      <c r="AW6" s="796" t="n"/>
      <c r="AX6" s="680" t="n"/>
      <c r="AY6" s="796" t="n"/>
      <c r="AZ6" s="615">
        <f>AP6+AR6+AT6+AV6+AX6</f>
        <v/>
      </c>
      <c r="BA6" s="1045">
        <f>AQ6+AS6+AU6+AW6+AY6</f>
        <v/>
      </c>
      <c r="BB6" s="1035">
        <f>BA6-AZ6</f>
        <v/>
      </c>
      <c r="BC6" s="680" t="n"/>
      <c r="BD6" s="798" t="n"/>
      <c r="BE6" s="615" t="n">
        <v>500000</v>
      </c>
      <c r="BF6" s="796" t="n"/>
      <c r="BG6" s="680" t="n"/>
      <c r="BH6" s="796" t="n"/>
      <c r="BI6" s="607" t="n">
        <v>500000</v>
      </c>
      <c r="BJ6" s="796" t="n"/>
      <c r="BK6" s="680" t="n"/>
      <c r="BL6" s="796" t="n"/>
      <c r="BM6" s="680" t="n"/>
      <c r="BN6" s="796" t="n"/>
      <c r="BO6" s="680" t="n"/>
      <c r="BP6" s="796" t="n"/>
      <c r="BQ6" s="615">
        <f>BC6+BE6+BG6+BI6+BK6+BM6+BO6</f>
        <v/>
      </c>
      <c r="BR6" s="1046">
        <f>BD6+BF6+BH6+BJ6+BL6+BN6+BP6</f>
        <v/>
      </c>
      <c r="BS6" s="1037">
        <f>BR6-BQ6</f>
        <v/>
      </c>
      <c r="BT6" s="1047">
        <f>Z6+AM6+AZ6+BQ6+M6</f>
        <v/>
      </c>
      <c r="BU6" s="1048">
        <f>AA6+AN6+BA6+BR6+N6</f>
        <v/>
      </c>
      <c r="BV6" s="1049">
        <f>BT6-BU6</f>
        <v/>
      </c>
    </row>
    <row r="7">
      <c r="A7" s="591" t="inlineStr">
        <is>
          <t>Б1, Б2, Б5</t>
        </is>
      </c>
      <c r="B7" s="604" t="inlineStr">
        <is>
          <t>Приход</t>
        </is>
      </c>
      <c r="C7" s="680" t="n"/>
      <c r="D7" s="798" t="n"/>
      <c r="E7" s="680" t="n"/>
      <c r="F7" s="796" t="n"/>
      <c r="G7" s="680" t="n"/>
      <c r="H7" s="796" t="n"/>
      <c r="I7" s="680" t="n"/>
      <c r="J7" s="790" t="n">
        <v>612475</v>
      </c>
      <c r="K7" s="607" t="n">
        <v>1600000</v>
      </c>
      <c r="L7" s="790" t="n">
        <v>1671482</v>
      </c>
      <c r="M7" s="1043">
        <f>C7+E7+G7+I7+K7</f>
        <v/>
      </c>
      <c r="N7" s="1044">
        <f>D7+F7+H7+J7+L7</f>
        <v/>
      </c>
      <c r="O7" s="1031">
        <f>N7-M7</f>
        <v/>
      </c>
      <c r="P7" s="680" t="n"/>
      <c r="Q7" s="793" t="n">
        <v>1144435</v>
      </c>
      <c r="R7" s="680" t="n"/>
      <c r="S7" s="801" t="n">
        <v>1168357</v>
      </c>
      <c r="T7" s="680" t="n"/>
      <c r="U7" s="799" t="n"/>
      <c r="V7" s="615" t="n">
        <v>2000000</v>
      </c>
      <c r="W7" s="796" t="n"/>
      <c r="X7" s="680" t="n"/>
      <c r="Y7" s="796" t="n">
        <v>925578</v>
      </c>
      <c r="Z7" s="1043">
        <f>P7+R7+T7+V7+X7</f>
        <v/>
      </c>
      <c r="AA7" s="1044">
        <f>Q7+S7+U7+W7+Y7</f>
        <v/>
      </c>
      <c r="AB7" s="1031">
        <f>AA7-Z7</f>
        <v/>
      </c>
      <c r="AC7" s="680" t="n"/>
      <c r="AD7" s="798" t="n"/>
      <c r="AE7" s="680" t="n"/>
      <c r="AF7" s="796" t="n"/>
      <c r="AG7" s="680" t="n"/>
      <c r="AH7" s="796" t="n"/>
      <c r="AI7" s="680" t="n"/>
      <c r="AJ7" s="796" t="n"/>
      <c r="AK7" s="607" t="n">
        <v>2000000</v>
      </c>
      <c r="AL7" s="796" t="n"/>
      <c r="AM7" s="615">
        <f>AC7+AE7+AG7+AI7+AK7</f>
        <v/>
      </c>
      <c r="AN7" s="1045">
        <f>AD7+AF7+AH7+AJ7+AL7</f>
        <v/>
      </c>
      <c r="AO7" s="1035">
        <f>AN7-AM7</f>
        <v/>
      </c>
      <c r="AP7" s="680" t="n"/>
      <c r="AQ7" s="798" t="n"/>
      <c r="AR7" s="607" t="n">
        <v>1000000</v>
      </c>
      <c r="AS7" s="796" t="n"/>
      <c r="AT7" s="680" t="n"/>
      <c r="AU7" s="796" t="n"/>
      <c r="AV7" s="680" t="n"/>
      <c r="AW7" s="796" t="n"/>
      <c r="AX7" s="607" t="n">
        <v>1000000</v>
      </c>
      <c r="AY7" s="796" t="n"/>
      <c r="AZ7" s="615">
        <f>AP7+AR7+AT7+AV7+AX7</f>
        <v/>
      </c>
      <c r="BA7" s="1045">
        <f>AQ7+AS7+AU7+AW7+AY7</f>
        <v/>
      </c>
      <c r="BB7" s="1035">
        <f>BA7-AZ7</f>
        <v/>
      </c>
      <c r="BC7" s="680" t="n"/>
      <c r="BD7" s="798" t="n"/>
      <c r="BE7" s="680" t="n"/>
      <c r="BF7" s="796" t="n"/>
      <c r="BG7" s="607" t="n">
        <v>1000000</v>
      </c>
      <c r="BH7" s="796" t="n"/>
      <c r="BI7" s="680" t="n"/>
      <c r="BJ7" s="796" t="n"/>
      <c r="BK7" s="680" t="n"/>
      <c r="BL7" s="796" t="n"/>
      <c r="BM7" s="680" t="n"/>
      <c r="BN7" s="796" t="n"/>
      <c r="BO7" s="680" t="n"/>
      <c r="BP7" s="796" t="n"/>
      <c r="BQ7" s="615">
        <f>BC7+BE7+BG7+BI7+BK7+BM7+BO7</f>
        <v/>
      </c>
      <c r="BR7" s="1046">
        <f>BD7+BF7+BH7+BJ7+BL7+BN7+BP7</f>
        <v/>
      </c>
      <c r="BS7" s="1037">
        <f>BR7-BQ7</f>
        <v/>
      </c>
      <c r="BT7" s="1047">
        <f>Z7+AM7+AZ7+BQ7+M7</f>
        <v/>
      </c>
      <c r="BU7" s="1048">
        <f>AA7+AN7+BA7+BR7+N7</f>
        <v/>
      </c>
      <c r="BV7" s="1049">
        <f>BT7-BU7</f>
        <v/>
      </c>
    </row>
    <row r="8">
      <c r="A8" s="591" t="inlineStr">
        <is>
          <t>Яндекс</t>
        </is>
      </c>
      <c r="B8" s="604" t="inlineStr">
        <is>
          <t>Приход</t>
        </is>
      </c>
      <c r="C8" s="680" t="n"/>
      <c r="D8" s="798" t="n"/>
      <c r="E8" s="680" t="n"/>
      <c r="F8" s="796" t="n"/>
      <c r="G8" s="680" t="n"/>
      <c r="H8" s="796" t="n"/>
      <c r="I8" s="615" t="n">
        <v>6000000</v>
      </c>
      <c r="J8" s="797" t="n">
        <v>8029005</v>
      </c>
      <c r="K8" s="680" t="n"/>
      <c r="L8" s="796" t="n"/>
      <c r="M8" s="1043">
        <f>C8+E8+G8+I8+K8</f>
        <v/>
      </c>
      <c r="N8" s="1044">
        <f>D8+F8+H8+J8+L8</f>
        <v/>
      </c>
      <c r="O8" s="1031">
        <f>N8-M8</f>
        <v/>
      </c>
      <c r="P8" s="680" t="n"/>
      <c r="Q8" s="798" t="n"/>
      <c r="R8" s="615" t="n">
        <v>8000000</v>
      </c>
      <c r="S8" s="801" t="n">
        <v>8761731</v>
      </c>
      <c r="T8" s="680" t="n"/>
      <c r="U8" s="799" t="n"/>
      <c r="V8" s="615" t="n">
        <v>6000000</v>
      </c>
      <c r="W8" s="796" t="n">
        <v>5379673</v>
      </c>
      <c r="X8" s="680" t="n"/>
      <c r="Y8" s="796" t="n"/>
      <c r="Z8" s="1043">
        <f>P8+R8+T8+V8+X8</f>
        <v/>
      </c>
      <c r="AA8" s="1044">
        <f>Q8+S8+U8+W8+Y8</f>
        <v/>
      </c>
      <c r="AB8" s="1031">
        <f>AA8-Z8</f>
        <v/>
      </c>
      <c r="AC8" s="680" t="n"/>
      <c r="AD8" s="798" t="n"/>
      <c r="AE8" s="607" t="n">
        <v>8000000</v>
      </c>
      <c r="AF8" s="796" t="n"/>
      <c r="AG8" s="680" t="n"/>
      <c r="AH8" s="796" t="n"/>
      <c r="AI8" s="607" t="n">
        <v>6000000</v>
      </c>
      <c r="AJ8" s="796" t="n"/>
      <c r="AK8" s="680" t="n"/>
      <c r="AL8" s="796" t="n"/>
      <c r="AM8" s="615">
        <f>AC8+AE8+AG8+AI8+AK8</f>
        <v/>
      </c>
      <c r="AN8" s="1045">
        <f>AD8+AF8+AH8+AJ8+AL8</f>
        <v/>
      </c>
      <c r="AO8" s="1035">
        <f>AN8-AM8</f>
        <v/>
      </c>
      <c r="AP8" s="680" t="n"/>
      <c r="AQ8" s="798" t="n"/>
      <c r="AR8" s="607" t="n">
        <v>8000000</v>
      </c>
      <c r="AS8" s="796" t="n"/>
      <c r="AT8" s="680" t="n"/>
      <c r="AU8" s="796" t="n"/>
      <c r="AV8" s="607" t="n">
        <v>6000000</v>
      </c>
      <c r="AW8" s="796" t="n"/>
      <c r="AX8" s="680" t="n"/>
      <c r="AY8" s="796" t="n"/>
      <c r="AZ8" s="615">
        <f>AP8+AR8+AT8+AV8+AX8</f>
        <v/>
      </c>
      <c r="BA8" s="1045">
        <f>AQ8+AS8+AU8+AW8+AY8</f>
        <v/>
      </c>
      <c r="BB8" s="1035">
        <f>BA8-AZ8</f>
        <v/>
      </c>
      <c r="BC8" s="680" t="n"/>
      <c r="BD8" s="798" t="n"/>
      <c r="BE8" s="607" t="n">
        <v>8000000</v>
      </c>
      <c r="BF8" s="796" t="n"/>
      <c r="BG8" s="680" t="n"/>
      <c r="BH8" s="796" t="n"/>
      <c r="BI8" s="607" t="n">
        <v>8000000</v>
      </c>
      <c r="BJ8" s="796" t="n"/>
      <c r="BK8" s="680" t="n"/>
      <c r="BL8" s="796" t="n"/>
      <c r="BM8" s="680" t="n"/>
      <c r="BN8" s="796" t="n"/>
      <c r="BO8" s="680" t="n"/>
      <c r="BP8" s="796" t="n"/>
      <c r="BQ8" s="615">
        <f>BC8+BE8+BG8+BI8+BK8+BM8+BO8</f>
        <v/>
      </c>
      <c r="BR8" s="1046">
        <f>BD8+BF8+BH8+BJ8+BL8+BN8+BP8</f>
        <v/>
      </c>
      <c r="BS8" s="1037">
        <f>BR8-BQ8</f>
        <v/>
      </c>
      <c r="BT8" s="1047">
        <f>Z8+AM8+AZ8+BQ8+M8</f>
        <v/>
      </c>
      <c r="BU8" s="1048">
        <f>AA8+AN8+BA8+BR8+N8</f>
        <v/>
      </c>
      <c r="BV8" s="1049">
        <f>BT8-BU8</f>
        <v/>
      </c>
    </row>
    <row r="9">
      <c r="A9" s="591" t="inlineStr">
        <is>
          <t>Май Март</t>
        </is>
      </c>
      <c r="B9" s="604" t="inlineStr">
        <is>
          <t>Приход</t>
        </is>
      </c>
      <c r="C9" s="680" t="n"/>
      <c r="D9" s="798" t="n"/>
      <c r="E9" s="680" t="n"/>
      <c r="F9" s="796" t="n"/>
      <c r="G9" s="615" t="n">
        <v>1000000</v>
      </c>
      <c r="H9" s="796" t="n"/>
      <c r="I9" s="680" t="n"/>
      <c r="J9" s="790" t="n">
        <v>51322</v>
      </c>
      <c r="K9" s="680" t="n"/>
      <c r="L9" s="796" t="n"/>
      <c r="M9" s="1043">
        <f>C9+E9+G9+I9+K9</f>
        <v/>
      </c>
      <c r="N9" s="1044">
        <f>D9+F9+H9+J9+L9</f>
        <v/>
      </c>
      <c r="O9" s="1031">
        <f>N9-M9</f>
        <v/>
      </c>
      <c r="P9" s="680" t="n"/>
      <c r="Q9" s="798" t="n"/>
      <c r="R9" s="615" t="n">
        <v>2000000</v>
      </c>
      <c r="S9" s="796" t="n"/>
      <c r="T9" s="680" t="n"/>
      <c r="U9" s="799" t="n">
        <v>1406616</v>
      </c>
      <c r="V9" s="615" t="n"/>
      <c r="W9" s="796" t="n"/>
      <c r="X9" s="680" t="n"/>
      <c r="Y9" s="796" t="n"/>
      <c r="Z9" s="1043">
        <f>P9+R9+T9+V9+X9</f>
        <v/>
      </c>
      <c r="AA9" s="1044">
        <f>Q9+S9+U9+W9+Y9</f>
        <v/>
      </c>
      <c r="AB9" s="1031">
        <f>AA9-Z9</f>
        <v/>
      </c>
      <c r="AC9" s="680" t="n"/>
      <c r="AD9" s="798" t="n"/>
      <c r="AE9" s="680" t="n"/>
      <c r="AF9" s="796" t="n"/>
      <c r="AG9" s="680" t="n"/>
      <c r="AH9" s="796" t="n"/>
      <c r="AI9" s="680" t="n"/>
      <c r="AJ9" s="796" t="n"/>
      <c r="AK9" s="607" t="n">
        <v>2000000</v>
      </c>
      <c r="AL9" s="796" t="n"/>
      <c r="AM9" s="615">
        <f>AC9+AE9+AG9+AI9+AK9</f>
        <v/>
      </c>
      <c r="AN9" s="1045">
        <f>AD9+AF9+AH9+AJ9+AL9</f>
        <v/>
      </c>
      <c r="AO9" s="1035">
        <f>AN9-AM9</f>
        <v/>
      </c>
      <c r="AP9" s="680" t="n"/>
      <c r="AQ9" s="798" t="n"/>
      <c r="AR9" s="680" t="n"/>
      <c r="AS9" s="796" t="n"/>
      <c r="AT9" s="607" t="n">
        <v>2000000</v>
      </c>
      <c r="AU9" s="796" t="n"/>
      <c r="AV9" s="680" t="n"/>
      <c r="AW9" s="796" t="n"/>
      <c r="AX9" s="680" t="n"/>
      <c r="AY9" s="796" t="n"/>
      <c r="AZ9" s="615">
        <f>AP9+AR9+AT9+AV9+AX9</f>
        <v/>
      </c>
      <c r="BA9" s="1045">
        <f>AQ9+AS9+AU9+AW9+AY9</f>
        <v/>
      </c>
      <c r="BB9" s="1035">
        <f>BA9-AZ9</f>
        <v/>
      </c>
      <c r="BC9" s="680" t="n"/>
      <c r="BD9" s="798" t="n"/>
      <c r="BE9" s="615" t="n">
        <v>2000000</v>
      </c>
      <c r="BF9" s="796" t="n"/>
      <c r="BG9" s="680" t="n"/>
      <c r="BH9" s="796" t="n"/>
      <c r="BI9" s="680" t="n"/>
      <c r="BJ9" s="796" t="n"/>
      <c r="BK9" s="680" t="n"/>
      <c r="BL9" s="796" t="n"/>
      <c r="BM9" s="680" t="n"/>
      <c r="BN9" s="796" t="n"/>
      <c r="BO9" s="680" t="n"/>
      <c r="BP9" s="796" t="n"/>
      <c r="BQ9" s="615">
        <f>BC9+BE9+BG9+BI9+BK9+BM9+BO9</f>
        <v/>
      </c>
      <c r="BR9" s="1046">
        <f>BD9+BF9+BH9+BJ9+BL9+BN9+BP9</f>
        <v/>
      </c>
      <c r="BS9" s="1037">
        <f>BR9-BQ9</f>
        <v/>
      </c>
      <c r="BT9" s="1047">
        <f>Z9+AM9+AZ9+BQ9+M9</f>
        <v/>
      </c>
      <c r="BU9" s="1048">
        <f>AA9+AN9+BA9+BR9+N9</f>
        <v/>
      </c>
      <c r="BV9" s="1049">
        <f>BT9-BU9</f>
        <v/>
      </c>
    </row>
    <row r="10">
      <c r="A10" s="591" t="inlineStr">
        <is>
          <t xml:space="preserve">7-Kaspi Банк </t>
        </is>
      </c>
      <c r="B10" s="604" t="inlineStr">
        <is>
          <t>Приход</t>
        </is>
      </c>
      <c r="C10" s="680" t="n"/>
      <c r="D10" s="798" t="n"/>
      <c r="E10" s="680" t="n"/>
      <c r="F10" s="796" t="n"/>
      <c r="G10" s="607" t="n">
        <v>1000000</v>
      </c>
      <c r="H10" s="790" t="n">
        <v>1300000</v>
      </c>
      <c r="I10" s="615" t="n">
        <v>1500000</v>
      </c>
      <c r="J10" s="790" t="n">
        <v>1500000</v>
      </c>
      <c r="K10" s="607" t="n">
        <v>1000000</v>
      </c>
      <c r="L10" s="790" t="n">
        <v>1500000</v>
      </c>
      <c r="M10" s="1043">
        <f>C10+E10+G10+I10+K10</f>
        <v/>
      </c>
      <c r="N10" s="1044">
        <f>D10+F10+H10+J10+L10</f>
        <v/>
      </c>
      <c r="O10" s="1031">
        <f>N10-M10</f>
        <v/>
      </c>
      <c r="P10" s="680" t="n"/>
      <c r="Q10" s="798" t="n"/>
      <c r="R10" s="680" t="n"/>
      <c r="S10" s="801" t="n">
        <v>3000000</v>
      </c>
      <c r="T10" s="615" t="n">
        <v>1000000</v>
      </c>
      <c r="U10" s="799" t="n">
        <v>1500000</v>
      </c>
      <c r="V10" s="615" t="n">
        <v>1000000</v>
      </c>
      <c r="W10" s="796" t="n">
        <v>1500000</v>
      </c>
      <c r="X10" s="615" t="n">
        <v>1000000</v>
      </c>
      <c r="Y10" s="796" t="n"/>
      <c r="Z10" s="1043">
        <f>P10+R10+T10+V10+X10</f>
        <v/>
      </c>
      <c r="AA10" s="1044">
        <f>Q10+S10+U10+W10+Y10</f>
        <v/>
      </c>
      <c r="AB10" s="1031">
        <f>AA10-Z10</f>
        <v/>
      </c>
      <c r="AC10" s="607" t="n">
        <v>1400000</v>
      </c>
      <c r="AD10" s="798" t="n"/>
      <c r="AE10" s="607" t="n">
        <v>1000000</v>
      </c>
      <c r="AF10" s="796" t="n"/>
      <c r="AG10" s="607" t="n">
        <v>1000000</v>
      </c>
      <c r="AH10" s="796" t="n"/>
      <c r="AI10" s="615" t="n">
        <v>1000000</v>
      </c>
      <c r="AJ10" s="796" t="n"/>
      <c r="AK10" s="615" t="n">
        <v>1000000</v>
      </c>
      <c r="AL10" s="796" t="n"/>
      <c r="AM10" s="615">
        <f>AC10+AE10+AG10+AI10+AK10</f>
        <v/>
      </c>
      <c r="AN10" s="1045">
        <f>AD10+AF10+AH10+AJ10+AL10</f>
        <v/>
      </c>
      <c r="AO10" s="1035">
        <f>AN10-AM10</f>
        <v/>
      </c>
      <c r="AP10" s="607" t="n">
        <v>1000000</v>
      </c>
      <c r="AQ10" s="798" t="n"/>
      <c r="AR10" s="607" t="n">
        <v>1000000</v>
      </c>
      <c r="AS10" s="796" t="n"/>
      <c r="AT10" s="607" t="n">
        <v>1000000</v>
      </c>
      <c r="AU10" s="796" t="n"/>
      <c r="AV10" s="607" t="n">
        <v>1000000</v>
      </c>
      <c r="AW10" s="796" t="n"/>
      <c r="AX10" s="607" t="n">
        <v>1000000</v>
      </c>
      <c r="AY10" s="796" t="n"/>
      <c r="AZ10" s="615">
        <f>AP10+AR10+AT10+AV10+AX10</f>
        <v/>
      </c>
      <c r="BA10" s="1045">
        <f>AQ10+AS10+AU10+AW10+AY10</f>
        <v/>
      </c>
      <c r="BB10" s="1035">
        <f>BA10-AZ10</f>
        <v/>
      </c>
      <c r="BC10" s="607" t="n">
        <v>1000000</v>
      </c>
      <c r="BD10" s="798" t="n"/>
      <c r="BE10" s="680" t="n"/>
      <c r="BF10" s="796" t="n"/>
      <c r="BG10" s="615" t="n">
        <v>1000000</v>
      </c>
      <c r="BH10" s="796" t="n"/>
      <c r="BI10" s="680" t="n"/>
      <c r="BJ10" s="796" t="n"/>
      <c r="BK10" s="680" t="n"/>
      <c r="BL10" s="796" t="n"/>
      <c r="BM10" s="680" t="n"/>
      <c r="BN10" s="796" t="n"/>
      <c r="BO10" s="680" t="n"/>
      <c r="BP10" s="796" t="n"/>
      <c r="BQ10" s="615">
        <f>BC10+BE10+BG10+BI10+BK10+BM10+BO10</f>
        <v/>
      </c>
      <c r="BR10" s="1046">
        <f>BD10+BF10+BH10+BJ10+BL10+BN10+BP10</f>
        <v/>
      </c>
      <c r="BS10" s="1037">
        <f>BR10-BQ10</f>
        <v/>
      </c>
      <c r="BT10" s="1047">
        <f>Z10+AM10+AZ10+BQ10+M10</f>
        <v/>
      </c>
      <c r="BU10" s="1048">
        <f>AA10+AN10+BA10+BR10+N10</f>
        <v/>
      </c>
      <c r="BV10" s="1049">
        <f>BT10-BU10</f>
        <v/>
      </c>
    </row>
    <row r="11">
      <c r="A11" s="591" t="inlineStr">
        <is>
          <t>Crave</t>
        </is>
      </c>
      <c r="B11" s="604" t="inlineStr">
        <is>
          <t>Приход</t>
        </is>
      </c>
      <c r="C11" s="680" t="n"/>
      <c r="D11" s="798" t="n"/>
      <c r="E11" s="680" t="n"/>
      <c r="F11" s="796" t="n"/>
      <c r="G11" s="680" t="n"/>
      <c r="H11" s="796" t="n"/>
      <c r="I11" s="680" t="n"/>
      <c r="J11" s="796" t="n"/>
      <c r="K11" s="680" t="n"/>
      <c r="L11" s="798" t="n"/>
      <c r="M11" s="1043">
        <f>C11+E11+G11+I11+K11</f>
        <v/>
      </c>
      <c r="N11" s="1044">
        <f>D11+F11+H11+J11+L11</f>
        <v/>
      </c>
      <c r="O11" s="1031">
        <f>N11-M11</f>
        <v/>
      </c>
      <c r="P11" s="680" t="n"/>
      <c r="Q11" s="798" t="n"/>
      <c r="R11" s="680" t="n"/>
      <c r="S11" s="796" t="n"/>
      <c r="T11" s="680" t="n"/>
      <c r="U11" s="799" t="n"/>
      <c r="V11" s="680" t="n"/>
      <c r="W11" s="796" t="n"/>
      <c r="X11" s="680" t="n"/>
      <c r="Y11" s="796" t="n"/>
      <c r="Z11" s="1043">
        <f>P11+R11+T11+V11+X11</f>
        <v/>
      </c>
      <c r="AA11" s="1044">
        <f>Q11+S11+U11+W11+Y11</f>
        <v/>
      </c>
      <c r="AB11" s="1031">
        <f>AA11-Z11</f>
        <v/>
      </c>
      <c r="AC11" s="680" t="n"/>
      <c r="AD11" s="798" t="n"/>
      <c r="AE11" s="680" t="n"/>
      <c r="AF11" s="796" t="n"/>
      <c r="AG11" s="680" t="n"/>
      <c r="AH11" s="796" t="n"/>
      <c r="AI11" s="680" t="n"/>
      <c r="AJ11" s="796" t="n"/>
      <c r="AK11" s="680" t="n"/>
      <c r="AL11" s="796" t="n"/>
      <c r="AM11" s="615">
        <f>AC11+AE11+AG11+AI11+AK11</f>
        <v/>
      </c>
      <c r="AN11" s="1045">
        <f>AD11+AF11+AH11+AJ11+AL11</f>
        <v/>
      </c>
      <c r="AO11" s="1035">
        <f>AN11-AM11</f>
        <v/>
      </c>
      <c r="AP11" s="680" t="n"/>
      <c r="AQ11" s="798" t="n"/>
      <c r="AR11" s="615" t="n">
        <v>1000000</v>
      </c>
      <c r="AS11" s="796" t="n"/>
      <c r="AT11" s="680" t="n"/>
      <c r="AU11" s="796" t="n"/>
      <c r="AV11" s="680" t="n"/>
      <c r="AW11" s="796" t="n"/>
      <c r="AX11" s="607" t="n">
        <v>1000000</v>
      </c>
      <c r="AY11" s="796" t="n"/>
      <c r="AZ11" s="615">
        <f>AP11+AR11+AT11+AV11+AX11</f>
        <v/>
      </c>
      <c r="BA11" s="1045">
        <f>AQ11+AS11+AU11+AW11+AY11</f>
        <v/>
      </c>
      <c r="BB11" s="1035">
        <f>BA11-AZ11</f>
        <v/>
      </c>
      <c r="BC11" s="1059" t="n"/>
      <c r="BD11" s="798" t="n"/>
      <c r="BE11" s="680" t="n"/>
      <c r="BF11" s="796" t="n"/>
      <c r="BG11" s="607" t="n">
        <v>1000000</v>
      </c>
      <c r="BH11" s="796" t="n"/>
      <c r="BI11" s="680" t="n"/>
      <c r="BJ11" s="796" t="n"/>
      <c r="BK11" s="680" t="n"/>
      <c r="BL11" s="796" t="n"/>
      <c r="BM11" s="680" t="n"/>
      <c r="BN11" s="796" t="n"/>
      <c r="BO11" s="680" t="n"/>
      <c r="BP11" s="796" t="n"/>
      <c r="BQ11" s="615">
        <f>BC11+BE11+BG11+BI11+BK11+BM11+BO11</f>
        <v/>
      </c>
      <c r="BR11" s="1046">
        <f>BD11+BF11+BH11+BJ11+BL11+BN11+BP11</f>
        <v/>
      </c>
      <c r="BS11" s="1037">
        <f>BR11-BQ11</f>
        <v/>
      </c>
      <c r="BT11" s="1047">
        <f>Z11+AM11+AZ11+BQ11+M11</f>
        <v/>
      </c>
      <c r="BU11" s="1048">
        <f>AA11+AN11+BA11+BR11+N11</f>
        <v/>
      </c>
      <c r="BV11" s="1049">
        <f>BT11-BU11</f>
        <v/>
      </c>
    </row>
    <row r="12">
      <c r="A12" s="591" t="inlineStr">
        <is>
          <t>99-RP АЗС</t>
        </is>
      </c>
      <c r="B12" s="604" t="inlineStr">
        <is>
          <t>Приход</t>
        </is>
      </c>
      <c r="C12" s="680" t="n"/>
      <c r="D12" s="798" t="n"/>
      <c r="E12" s="680" t="n"/>
      <c r="F12" s="796" t="n"/>
      <c r="G12" s="680" t="n"/>
      <c r="H12" s="796" t="n"/>
      <c r="I12" s="607" t="n">
        <v>5000000</v>
      </c>
      <c r="J12" s="790" t="n">
        <v>7000000</v>
      </c>
      <c r="K12" s="680" t="n"/>
      <c r="L12" s="798" t="n"/>
      <c r="M12" s="1043">
        <f>C12+E12+G12+I12+K12</f>
        <v/>
      </c>
      <c r="N12" s="1044">
        <f>D12+F12+H12+J12+L12</f>
        <v/>
      </c>
      <c r="O12" s="1031">
        <f>N12-M12</f>
        <v/>
      </c>
      <c r="P12" s="680" t="n"/>
      <c r="Q12" s="798" t="n"/>
      <c r="R12" s="680" t="n"/>
      <c r="S12" s="796" t="n"/>
      <c r="T12" s="680" t="n"/>
      <c r="U12" s="799" t="n"/>
      <c r="V12" s="1052" t="n">
        <v>6000000</v>
      </c>
      <c r="W12" s="796" t="n">
        <v>5000000</v>
      </c>
      <c r="X12" s="680" t="n"/>
      <c r="Y12" s="796" t="n"/>
      <c r="Z12" s="1043">
        <f>P12+R12+T12+V12+X12</f>
        <v/>
      </c>
      <c r="AA12" s="1044">
        <f>Q12+S12+U12+W12+Y12</f>
        <v/>
      </c>
      <c r="AB12" s="1031">
        <f>AA12-Z12</f>
        <v/>
      </c>
      <c r="AC12" s="680" t="n"/>
      <c r="AD12" s="798" t="n"/>
      <c r="AE12" s="680" t="n"/>
      <c r="AF12" s="796" t="n"/>
      <c r="AG12" s="680" t="n"/>
      <c r="AH12" s="796" t="n"/>
      <c r="AI12" s="607" t="n">
        <v>6000000</v>
      </c>
      <c r="AJ12" s="796" t="n"/>
      <c r="AK12" s="680" t="n"/>
      <c r="AL12" s="796" t="n"/>
      <c r="AM12" s="615">
        <f>AC12+AE12+AG12+AI12+AK12</f>
        <v/>
      </c>
      <c r="AN12" s="1045">
        <f>AD12+AF12+AH12+AJ12+AL12</f>
        <v/>
      </c>
      <c r="AO12" s="1035">
        <f>AN12-AM12</f>
        <v/>
      </c>
      <c r="AP12" s="680" t="n"/>
      <c r="AQ12" s="798" t="n"/>
      <c r="AR12" s="680" t="n"/>
      <c r="AS12" s="796" t="n"/>
      <c r="AT12" s="680" t="n"/>
      <c r="AU12" s="796" t="n"/>
      <c r="AV12" s="607" t="n">
        <v>5000000</v>
      </c>
      <c r="AW12" s="796" t="n"/>
      <c r="AX12" s="680" t="n"/>
      <c r="AY12" s="796" t="n"/>
      <c r="AZ12" s="615">
        <f>AP12+AR12+AT12+AV12+AX12</f>
        <v/>
      </c>
      <c r="BA12" s="1045">
        <f>AQ12+AS12+AU12+AW12+AY12</f>
        <v/>
      </c>
      <c r="BB12" s="1035">
        <f>BA12-AZ12</f>
        <v/>
      </c>
      <c r="BC12" s="680" t="n"/>
      <c r="BD12" s="798" t="n"/>
      <c r="BE12" s="680" t="n"/>
      <c r="BF12" s="796" t="n"/>
      <c r="BG12" s="680" t="n"/>
      <c r="BH12" s="796" t="n"/>
      <c r="BI12" s="607" t="n">
        <v>4000000</v>
      </c>
      <c r="BJ12" s="796" t="n"/>
      <c r="BK12" s="680" t="n"/>
      <c r="BL12" s="798" t="n"/>
      <c r="BM12" s="680" t="n"/>
      <c r="BN12" s="796" t="n"/>
      <c r="BO12" s="680" t="n"/>
      <c r="BP12" s="796" t="n"/>
      <c r="BQ12" s="615">
        <f>BC12+BE12+BG12+BI12+BK12+BM12+BO12</f>
        <v/>
      </c>
      <c r="BR12" s="1046">
        <f>BD12+BF12+BH12+BJ12+BL12+BN12+BP12</f>
        <v/>
      </c>
      <c r="BS12" s="1037">
        <f>BR12-BQ12</f>
        <v/>
      </c>
      <c r="BT12" s="1047">
        <f>Z12+AM12+AZ12+BQ12+M12</f>
        <v/>
      </c>
      <c r="BU12" s="1048">
        <f>AA12+AN12+BA12+BR12+N12</f>
        <v/>
      </c>
      <c r="BV12" s="1049">
        <f>BT12-BU12</f>
        <v/>
      </c>
    </row>
    <row r="13">
      <c r="A13" s="591" t="inlineStr">
        <is>
          <t>96- DSF покупатель</t>
        </is>
      </c>
      <c r="B13" s="604" t="inlineStr">
        <is>
          <t>Приход</t>
        </is>
      </c>
      <c r="C13" s="680" t="n"/>
      <c r="D13" s="798" t="n"/>
      <c r="E13" s="680" t="n"/>
      <c r="F13" s="796" t="n"/>
      <c r="G13" s="615" t="n">
        <v>5000000</v>
      </c>
      <c r="H13" s="790" t="n">
        <v>4000000</v>
      </c>
      <c r="I13" s="680" t="n"/>
      <c r="J13" s="796" t="n"/>
      <c r="K13" s="615" t="n">
        <v>1000000</v>
      </c>
      <c r="L13" s="861" t="n">
        <v>1000000</v>
      </c>
      <c r="M13" s="1043">
        <f>C13+E13+G13+I13+K13</f>
        <v/>
      </c>
      <c r="N13" s="1044">
        <f>D13+F13+H13+J13+L13</f>
        <v/>
      </c>
      <c r="O13" s="1031">
        <f>N13-M13</f>
        <v/>
      </c>
      <c r="P13" s="615" t="n">
        <v>4000000</v>
      </c>
      <c r="Q13" s="798" t="n"/>
      <c r="R13" s="680" t="n"/>
      <c r="S13" s="800" t="n">
        <v>2000000</v>
      </c>
      <c r="T13" s="680" t="n"/>
      <c r="U13" s="799" t="n"/>
      <c r="V13" s="680" t="n"/>
      <c r="W13" s="796" t="n"/>
      <c r="X13" s="680" t="n"/>
      <c r="Y13" s="796" t="n"/>
      <c r="Z13" s="1043">
        <f>P13+R13+T13+V13+X13</f>
        <v/>
      </c>
      <c r="AA13" s="1044">
        <f>Q13+S13+U13+W13+Y13</f>
        <v/>
      </c>
      <c r="AB13" s="1031">
        <f>AA13-Z13</f>
        <v/>
      </c>
      <c r="AC13" s="680" t="n"/>
      <c r="AD13" s="798" t="n"/>
      <c r="AE13" s="680" t="n"/>
      <c r="AF13" s="796" t="n"/>
      <c r="AG13" s="680" t="n"/>
      <c r="AH13" s="796" t="n"/>
      <c r="AI13" s="680" t="n"/>
      <c r="AJ13" s="796" t="n"/>
      <c r="AK13" s="615" t="n">
        <v>2000000</v>
      </c>
      <c r="AL13" s="796" t="n"/>
      <c r="AM13" s="615">
        <f>AC13+AE13+AG13+AI13+AK13</f>
        <v/>
      </c>
      <c r="AN13" s="1045">
        <f>AD13+AF13+AH13+AJ13+AL13</f>
        <v/>
      </c>
      <c r="AO13" s="1035">
        <f>AN13-AM13</f>
        <v/>
      </c>
      <c r="AP13" s="680" t="n"/>
      <c r="AQ13" s="798" t="n"/>
      <c r="AR13" s="680" t="n"/>
      <c r="AS13" s="796" t="n"/>
      <c r="AT13" s="680" t="n"/>
      <c r="AU13" s="796" t="n"/>
      <c r="AV13" s="607" t="n">
        <v>2000000</v>
      </c>
      <c r="AW13" s="796" t="n"/>
      <c r="AX13" s="680" t="n"/>
      <c r="AY13" s="796" t="n"/>
      <c r="AZ13" s="615">
        <f>AP13+AR13+AT13+AV13+AX13</f>
        <v/>
      </c>
      <c r="BA13" s="1045">
        <f>AQ13+AS13+AU13+AW13+AY13</f>
        <v/>
      </c>
      <c r="BB13" s="1035">
        <f>BA13-AZ13</f>
        <v/>
      </c>
      <c r="BC13" s="680" t="n"/>
      <c r="BD13" s="798" t="n"/>
      <c r="BE13" s="680" t="n"/>
      <c r="BF13" s="796" t="n"/>
      <c r="BG13" s="680" t="n"/>
      <c r="BH13" s="796" t="n"/>
      <c r="BI13" s="680" t="n"/>
      <c r="BJ13" s="796" t="n"/>
      <c r="BK13" s="680" t="n"/>
      <c r="BL13" s="798" t="n"/>
      <c r="BM13" s="680" t="n"/>
      <c r="BN13" s="796" t="n"/>
      <c r="BO13" s="680" t="n"/>
      <c r="BP13" s="796" t="n"/>
      <c r="BQ13" s="615">
        <f>BC13+BE13+BG13+BI13+BK13+BM13+BO13</f>
        <v/>
      </c>
      <c r="BR13" s="1046">
        <f>BD13+BF13+BH13+BJ13+BL13+BN13+BP13</f>
        <v/>
      </c>
      <c r="BS13" s="1037">
        <f>BR13-BQ13</f>
        <v/>
      </c>
      <c r="BT13" s="1047">
        <f>Z13+AM13+AZ13+BQ13+M13</f>
        <v/>
      </c>
      <c r="BU13" s="1048">
        <f>AA13+AN13+BA13+BR13+N13</f>
        <v/>
      </c>
      <c r="BV13" s="1049">
        <f>BT13-BU13</f>
        <v/>
      </c>
    </row>
    <row r="14">
      <c r="A14" s="591" t="inlineStr">
        <is>
          <t>85-ДФЗ дистрибьютер ФЗ</t>
        </is>
      </c>
      <c r="B14" s="604" t="inlineStr">
        <is>
          <t>Приход</t>
        </is>
      </c>
      <c r="C14" s="680" t="n"/>
      <c r="D14" s="798" t="n"/>
      <c r="E14" s="680" t="n"/>
      <c r="F14" s="796" t="n"/>
      <c r="G14" s="615" t="n">
        <v>2000000</v>
      </c>
      <c r="H14" s="796" t="n"/>
      <c r="I14" s="615" t="n">
        <v>2200000</v>
      </c>
      <c r="J14" s="790" t="n">
        <v>2200000</v>
      </c>
      <c r="K14" s="615" t="n">
        <v>3700000</v>
      </c>
      <c r="L14" s="861" t="n">
        <v>3760000</v>
      </c>
      <c r="M14" s="1043">
        <f>C14+E14+G14+I14+K14</f>
        <v/>
      </c>
      <c r="N14" s="1044">
        <f>D14+F14+H14+J14+L14</f>
        <v/>
      </c>
      <c r="O14" s="1031">
        <f>N14-M14</f>
        <v/>
      </c>
      <c r="P14" s="615" t="n">
        <v>10000000</v>
      </c>
      <c r="Q14" s="793">
        <f>7070000+2800000</f>
        <v/>
      </c>
      <c r="R14" s="615" t="n">
        <v>4000000</v>
      </c>
      <c r="S14" s="801">
        <f>1300000+500000</f>
        <v/>
      </c>
      <c r="T14" s="615" t="n">
        <v>5000000</v>
      </c>
      <c r="U14" s="799" t="n"/>
      <c r="V14" s="615" t="n">
        <v>1000000</v>
      </c>
      <c r="W14" s="796" t="n">
        <v>1810000</v>
      </c>
      <c r="X14" s="615" t="n">
        <v>5000000</v>
      </c>
      <c r="Y14" s="796" t="n">
        <v>5055000</v>
      </c>
      <c r="Z14" s="1043">
        <f>P14+R14+T14+V14+X14</f>
        <v/>
      </c>
      <c r="AA14" s="1044">
        <f>Q14+S14+U14+W14+Y14</f>
        <v/>
      </c>
      <c r="AB14" s="1031">
        <f>AA14-Z14</f>
        <v/>
      </c>
      <c r="AC14" s="615" t="n">
        <v>10000000</v>
      </c>
      <c r="AD14" s="798" t="n"/>
      <c r="AE14" s="615" t="n">
        <v>4000000</v>
      </c>
      <c r="AF14" s="796" t="n"/>
      <c r="AG14" s="615" t="n">
        <v>3000000</v>
      </c>
      <c r="AH14" s="796" t="n"/>
      <c r="AI14" s="615" t="n">
        <v>2000000</v>
      </c>
      <c r="AJ14" s="796" t="n"/>
      <c r="AK14" s="615" t="n">
        <v>4000000</v>
      </c>
      <c r="AL14" s="796" t="n"/>
      <c r="AM14" s="615">
        <f>AC14+AE14+AG14+AI14+AK14</f>
        <v/>
      </c>
      <c r="AN14" s="1045">
        <f>AD14+AF14+AH14+AJ14+AL14</f>
        <v/>
      </c>
      <c r="AO14" s="1035">
        <f>AN14-AM14</f>
        <v/>
      </c>
      <c r="AP14" s="615" t="n">
        <v>11000000</v>
      </c>
      <c r="AQ14" s="798" t="n"/>
      <c r="AR14" s="615" t="n">
        <v>1000000</v>
      </c>
      <c r="AS14" s="796" t="n"/>
      <c r="AT14" s="615" t="n">
        <v>4000000</v>
      </c>
      <c r="AU14" s="796" t="n"/>
      <c r="AV14" s="615" t="n">
        <v>4000000</v>
      </c>
      <c r="AW14" s="796" t="n"/>
      <c r="AX14" s="615" t="n">
        <v>4000000</v>
      </c>
      <c r="AY14" s="796" t="n"/>
      <c r="AZ14" s="615">
        <f>AP14+AR14+AT14+AV14+AX14</f>
        <v/>
      </c>
      <c r="BA14" s="1045">
        <f>AQ14+AS14+AU14+AW14+AY14</f>
        <v/>
      </c>
      <c r="BB14" s="1035">
        <f>BA14-AZ14</f>
        <v/>
      </c>
      <c r="BC14" s="615" t="n">
        <v>11000000</v>
      </c>
      <c r="BD14" s="798" t="n"/>
      <c r="BE14" s="615" t="n">
        <v>1000000</v>
      </c>
      <c r="BF14" s="796" t="n"/>
      <c r="BG14" s="615" t="n">
        <v>5000000</v>
      </c>
      <c r="BH14" s="796" t="n"/>
      <c r="BI14" s="615" t="n">
        <v>2000000</v>
      </c>
      <c r="BJ14" s="796" t="n"/>
      <c r="BK14" s="680" t="n"/>
      <c r="BL14" s="798" t="n"/>
      <c r="BM14" s="680" t="n"/>
      <c r="BN14" s="796" t="n"/>
      <c r="BO14" s="680" t="n"/>
      <c r="BP14" s="796" t="n"/>
      <c r="BQ14" s="615">
        <f>BC14+BE14+BG14+BI14+BK14+BM14+BO14</f>
        <v/>
      </c>
      <c r="BR14" s="1046">
        <f>BD14+BF14+BH14+BJ14+BL14+BN14+BP14</f>
        <v/>
      </c>
      <c r="BS14" s="1037">
        <f>BR14-BQ14</f>
        <v/>
      </c>
      <c r="BT14" s="1047">
        <f>Z14+AM14+AZ14+BQ14+M14</f>
        <v/>
      </c>
      <c r="BU14" s="1048">
        <f>AA14+AN14+BA14+BR14+N14</f>
        <v/>
      </c>
      <c r="BV14" s="1049">
        <f>BT14-BU14</f>
        <v/>
      </c>
    </row>
    <row r="15">
      <c r="A15" s="591" t="inlineStr">
        <is>
          <t xml:space="preserve">110 АЗС №67 "Sinooil" </t>
        </is>
      </c>
      <c r="B15" s="604" t="inlineStr">
        <is>
          <t>Приход</t>
        </is>
      </c>
      <c r="C15" s="680" t="n"/>
      <c r="D15" s="798" t="n"/>
      <c r="E15" s="680" t="n"/>
      <c r="F15" s="796" t="n"/>
      <c r="G15" s="680" t="n"/>
      <c r="H15" s="796" t="n"/>
      <c r="I15" s="680" t="n"/>
      <c r="J15" s="790">
        <f>1243605+730194</f>
        <v/>
      </c>
      <c r="K15" s="680" t="n"/>
      <c r="L15" s="798" t="n"/>
      <c r="M15" s="1043">
        <f>C15+E15+G15+I15+K15</f>
        <v/>
      </c>
      <c r="N15" s="1044">
        <f>D15+F15+H15+J15+L15</f>
        <v/>
      </c>
      <c r="O15" s="1031">
        <f>N15-M15</f>
        <v/>
      </c>
      <c r="P15" s="680" t="n"/>
      <c r="Q15" s="798" t="n"/>
      <c r="R15" s="680" t="n"/>
      <c r="S15" s="801" t="n">
        <v>125725</v>
      </c>
      <c r="T15" s="680" t="n"/>
      <c r="U15" s="799" t="n"/>
      <c r="V15" s="680" t="n"/>
      <c r="W15" s="796" t="n"/>
      <c r="X15" s="615" t="n">
        <v>1000000</v>
      </c>
      <c r="Y15" s="796" t="n"/>
      <c r="Z15" s="1043">
        <f>P15+R15+T15+V15+X15</f>
        <v/>
      </c>
      <c r="AA15" s="1044">
        <f>Q15+S15+U15+W15+Y15</f>
        <v/>
      </c>
      <c r="AB15" s="1031">
        <f>AA15-Z15</f>
        <v/>
      </c>
      <c r="AC15" s="680" t="n"/>
      <c r="AD15" s="798" t="n"/>
      <c r="AE15" s="615" t="n">
        <v>1500000</v>
      </c>
      <c r="AF15" s="796" t="n"/>
      <c r="AG15" s="680" t="n"/>
      <c r="AH15" s="796" t="n"/>
      <c r="AI15" s="680" t="n"/>
      <c r="AJ15" s="796" t="n"/>
      <c r="AK15" s="680" t="n"/>
      <c r="AL15" s="796" t="n"/>
      <c r="AM15" s="615">
        <f>AC15+AE15+AG15+AI15+AK15</f>
        <v/>
      </c>
      <c r="AN15" s="1045">
        <f>AD15+AF15+AH15+AJ15+AL15</f>
        <v/>
      </c>
      <c r="AO15" s="1035">
        <f>AN15-AM15</f>
        <v/>
      </c>
      <c r="AP15" s="615" t="n">
        <v>1000000</v>
      </c>
      <c r="AQ15" s="798" t="n"/>
      <c r="AR15" s="680" t="n"/>
      <c r="AS15" s="796" t="n"/>
      <c r="AT15" s="680" t="n"/>
      <c r="AU15" s="796" t="n"/>
      <c r="AV15" s="680" t="n"/>
      <c r="AW15" s="796" t="n"/>
      <c r="AX15" s="680" t="n"/>
      <c r="AY15" s="796" t="n"/>
      <c r="AZ15" s="615">
        <f>AP15+AR15+AT15+AV15+AX15</f>
        <v/>
      </c>
      <c r="BA15" s="1045">
        <f>AQ15+AS15+AU15+AW15+AY15</f>
        <v/>
      </c>
      <c r="BB15" s="1035">
        <f>BA15-AZ15</f>
        <v/>
      </c>
      <c r="BC15" s="680" t="n"/>
      <c r="BD15" s="798" t="n"/>
      <c r="BE15" s="680" t="n"/>
      <c r="BF15" s="796" t="n"/>
      <c r="BG15" s="615" t="n">
        <v>2000000</v>
      </c>
      <c r="BH15" s="796" t="n"/>
      <c r="BI15" s="680" t="n"/>
      <c r="BJ15" s="796" t="n"/>
      <c r="BK15" s="680" t="n"/>
      <c r="BL15" s="798" t="n"/>
      <c r="BM15" s="680" t="n"/>
      <c r="BN15" s="796" t="n"/>
      <c r="BO15" s="680" t="n"/>
      <c r="BP15" s="796" t="n"/>
      <c r="BQ15" s="615">
        <f>BC15+BE15+BG15+BI15+BK15+BM15+BO15</f>
        <v/>
      </c>
      <c r="BR15" s="1046">
        <f>BD15+BF15+BH15+BJ15+BL15+BN15+BP15</f>
        <v/>
      </c>
      <c r="BS15" s="1037">
        <f>BR15-BQ15</f>
        <v/>
      </c>
      <c r="BT15" s="1047">
        <f>Z15+AM15+AZ15+BQ15+M15</f>
        <v/>
      </c>
      <c r="BU15" s="1048">
        <f>AA15+AN15+BA15+BR15+N15</f>
        <v/>
      </c>
      <c r="BV15" s="1049">
        <f>BT15-BU15</f>
        <v/>
      </c>
    </row>
    <row r="16">
      <c r="A16" s="591" t="inlineStr">
        <is>
          <t>100 ТУАР (шинлайн)</t>
        </is>
      </c>
      <c r="B16" s="604" t="inlineStr">
        <is>
          <t>Приход</t>
        </is>
      </c>
      <c r="C16" s="680" t="n"/>
      <c r="D16" s="798" t="n"/>
      <c r="E16" s="680" t="n"/>
      <c r="F16" s="796" t="n"/>
      <c r="G16" s="615" t="n">
        <v>150000</v>
      </c>
      <c r="H16" s="796" t="n"/>
      <c r="I16" s="680" t="n"/>
      <c r="J16" s="796" t="n"/>
      <c r="K16" s="680" t="n"/>
      <c r="L16" s="798" t="n"/>
      <c r="M16" s="1043">
        <f>C16+E16+G16+I16+K16</f>
        <v/>
      </c>
      <c r="N16" s="1044">
        <f>D16+F16+H16+J16+L16</f>
        <v/>
      </c>
      <c r="O16" s="1031">
        <f>N16-M16</f>
        <v/>
      </c>
      <c r="P16" s="680" t="n"/>
      <c r="Q16" s="798" t="n"/>
      <c r="R16" s="680" t="n"/>
      <c r="S16" s="796" t="n"/>
      <c r="T16" s="680" t="n"/>
      <c r="U16" s="799" t="n"/>
      <c r="V16" s="680" t="n"/>
      <c r="W16" s="796" t="n"/>
      <c r="X16" s="680" t="n"/>
      <c r="Y16" s="796" t="n"/>
      <c r="Z16" s="1043">
        <f>P16+R16+T16+V16+X16</f>
        <v/>
      </c>
      <c r="AA16" s="1044">
        <f>Q16+S16+U16+W16+Y16</f>
        <v/>
      </c>
      <c r="AB16" s="1031">
        <f>AA16-Z16</f>
        <v/>
      </c>
      <c r="AC16" s="680" t="n"/>
      <c r="AD16" s="798" t="n"/>
      <c r="AE16" s="680" t="n"/>
      <c r="AF16" s="796" t="n"/>
      <c r="AG16" s="680" t="n"/>
      <c r="AH16" s="796" t="n"/>
      <c r="AI16" s="680" t="n"/>
      <c r="AJ16" s="796" t="n"/>
      <c r="AK16" s="680" t="n"/>
      <c r="AL16" s="796" t="n"/>
      <c r="AM16" s="615">
        <f>AC16+AE16+AG16+AI16+AK16</f>
        <v/>
      </c>
      <c r="AN16" s="1045">
        <f>AD16+AF16+AH16+AJ16+AL16</f>
        <v/>
      </c>
      <c r="AO16" s="1035">
        <f>AN16-AM16</f>
        <v/>
      </c>
      <c r="AP16" s="680" t="n"/>
      <c r="AQ16" s="798" t="n"/>
      <c r="AR16" s="680" t="n"/>
      <c r="AS16" s="796" t="n"/>
      <c r="AT16" s="680" t="n"/>
      <c r="AU16" s="796" t="n"/>
      <c r="AV16" s="680" t="n"/>
      <c r="AW16" s="796" t="n"/>
      <c r="AX16" s="680" t="n"/>
      <c r="AY16" s="796" t="n"/>
      <c r="AZ16" s="615">
        <f>AP16+AR16+AT16+AV16+AX16</f>
        <v/>
      </c>
      <c r="BA16" s="1045">
        <f>AQ16+AS16+AU16+AW16+AY16</f>
        <v/>
      </c>
      <c r="BB16" s="1035">
        <f>BA16-AZ16</f>
        <v/>
      </c>
      <c r="BC16" s="680" t="n"/>
      <c r="BD16" s="798" t="n"/>
      <c r="BE16" s="680" t="n"/>
      <c r="BF16" s="796" t="n"/>
      <c r="BG16" s="680" t="n"/>
      <c r="BH16" s="796" t="n"/>
      <c r="BI16" s="680" t="n"/>
      <c r="BJ16" s="796" t="n"/>
      <c r="BK16" s="680" t="n"/>
      <c r="BL16" s="798" t="n"/>
      <c r="BM16" s="680" t="n"/>
      <c r="BN16" s="796" t="n"/>
      <c r="BO16" s="680" t="n"/>
      <c r="BP16" s="796" t="n"/>
      <c r="BQ16" s="615">
        <f>BC16+BE16+BG16+BI16+BK16+BM16+BO16</f>
        <v/>
      </c>
      <c r="BR16" s="1046">
        <f>BD16+BF16+BH16+BJ16+BL16+BN16+BP16</f>
        <v/>
      </c>
      <c r="BS16" s="1037">
        <f>BR16-BQ16</f>
        <v/>
      </c>
      <c r="BT16" s="1047">
        <f>Z16+AM16+AZ16+BQ16+M16</f>
        <v/>
      </c>
      <c r="BU16" s="1048">
        <f>AA16+AN16+BA16+BR16+N16</f>
        <v/>
      </c>
      <c r="BV16" s="1049">
        <f>BT16-BU16</f>
        <v/>
      </c>
    </row>
    <row r="17">
      <c r="A17" s="591" t="inlineStr">
        <is>
          <t>Даркстор Чоко</t>
        </is>
      </c>
      <c r="B17" s="604" t="inlineStr">
        <is>
          <t>Приход</t>
        </is>
      </c>
      <c r="C17" s="680" t="n"/>
      <c r="D17" s="798" t="n"/>
      <c r="E17" s="680" t="n"/>
      <c r="F17" s="796" t="n"/>
      <c r="G17" s="680" t="n"/>
      <c r="H17" s="796" t="n"/>
      <c r="I17" s="680" t="n"/>
      <c r="J17" s="796" t="n"/>
      <c r="K17" s="680" t="n"/>
      <c r="L17" s="796" t="n"/>
      <c r="M17" s="1043">
        <f>C17+E17+G17+I17+K17</f>
        <v/>
      </c>
      <c r="N17" s="1044">
        <f>D17+F17+H17+J17+L17</f>
        <v/>
      </c>
      <c r="O17" s="1031">
        <f>N17-M17</f>
        <v/>
      </c>
      <c r="P17" s="680" t="n"/>
      <c r="Q17" s="798" t="n"/>
      <c r="R17" s="615" t="n">
        <v>600000</v>
      </c>
      <c r="S17" s="796" t="n"/>
      <c r="T17" s="680" t="n"/>
      <c r="U17" s="799" t="n"/>
      <c r="V17" s="680" t="n"/>
      <c r="W17" s="796" t="n"/>
      <c r="X17" s="680" t="n"/>
      <c r="Y17" s="796" t="n">
        <v>664752</v>
      </c>
      <c r="Z17" s="1043">
        <f>P17+R17+T17+V17+X17</f>
        <v/>
      </c>
      <c r="AA17" s="1044">
        <f>Q17+S17+U17+W17+Y17</f>
        <v/>
      </c>
      <c r="AB17" s="1031">
        <f>AA17-Z17</f>
        <v/>
      </c>
      <c r="AC17" s="607" t="n">
        <v>210000</v>
      </c>
      <c r="AD17" s="798" t="n"/>
      <c r="AE17" s="680" t="n"/>
      <c r="AF17" s="796" t="n"/>
      <c r="AG17" s="1052" t="n">
        <v>440000</v>
      </c>
      <c r="AH17" s="796" t="n"/>
      <c r="AI17" s="680" t="n"/>
      <c r="AJ17" s="796" t="n"/>
      <c r="AK17" s="680" t="n"/>
      <c r="AL17" s="796" t="n"/>
      <c r="AM17" s="615">
        <f>AC17+AE17+AG17+AI17+AK17</f>
        <v/>
      </c>
      <c r="AN17" s="1045">
        <f>AD17+AF17+AH17+AJ17+AL17</f>
        <v/>
      </c>
      <c r="AO17" s="1035">
        <f>AN17-AM17</f>
        <v/>
      </c>
      <c r="AP17" s="680" t="n"/>
      <c r="AQ17" s="798" t="n"/>
      <c r="AR17" s="680" t="n"/>
      <c r="AS17" s="796" t="n"/>
      <c r="AT17" s="680" t="n"/>
      <c r="AU17" s="796" t="n"/>
      <c r="AV17" s="615" t="n">
        <v>650000</v>
      </c>
      <c r="AW17" s="796" t="n"/>
      <c r="AX17" s="680" t="n"/>
      <c r="AY17" s="796" t="n"/>
      <c r="AZ17" s="615">
        <f>AP17+AR17+AT17+AV17+AX17</f>
        <v/>
      </c>
      <c r="BA17" s="1045">
        <f>AQ17+AS17+AU17+AW17+AY17</f>
        <v/>
      </c>
      <c r="BB17" s="1035">
        <f>BA17-AZ17</f>
        <v/>
      </c>
      <c r="BC17" s="607" t="n">
        <v>150000</v>
      </c>
      <c r="BD17" s="798" t="n"/>
      <c r="BE17" s="680" t="n"/>
      <c r="BF17" s="796" t="n"/>
      <c r="BG17" s="615" t="n">
        <v>150000</v>
      </c>
      <c r="BH17" s="796" t="n"/>
      <c r="BI17" s="680" t="n"/>
      <c r="BJ17" s="796" t="n"/>
      <c r="BK17" s="680" t="n"/>
      <c r="BL17" s="798" t="n"/>
      <c r="BM17" s="680" t="n"/>
      <c r="BN17" s="796" t="n"/>
      <c r="BO17" s="680" t="n"/>
      <c r="BP17" s="796" t="n"/>
      <c r="BQ17" s="615">
        <f>BC17+BE17+BG17+BI17+BK17+BM17+BO17</f>
        <v/>
      </c>
      <c r="BR17" s="1046">
        <f>BD17+BF17+BH17+BJ17+BL17+BN17+BP17</f>
        <v/>
      </c>
      <c r="BS17" s="1037">
        <f>BR17-BQ17</f>
        <v/>
      </c>
      <c r="BT17" s="1047">
        <f>Z17+AM17+AZ17+BQ17+M17</f>
        <v/>
      </c>
      <c r="BU17" s="1048">
        <f>AA17+AN17+BA17+BR17+N17</f>
        <v/>
      </c>
      <c r="BV17" s="1049">
        <f>BT17-BU17</f>
        <v/>
      </c>
    </row>
    <row r="18">
      <c r="A18" s="591" t="inlineStr">
        <is>
          <t>Глово, Вольт</t>
        </is>
      </c>
      <c r="B18" s="604" t="inlineStr">
        <is>
          <t>Приход</t>
        </is>
      </c>
      <c r="C18" s="680" t="n"/>
      <c r="D18" s="798" t="n"/>
      <c r="E18" s="680" t="n"/>
      <c r="F18" s="796" t="n"/>
      <c r="G18" s="680" t="n"/>
      <c r="H18" s="796" t="n"/>
      <c r="I18" s="680" t="n"/>
      <c r="J18" s="802" t="n">
        <v>579355</v>
      </c>
      <c r="K18" s="680" t="n"/>
      <c r="L18" s="796" t="n"/>
      <c r="M18" s="1043">
        <f>C18+E18+G18+I18+K18</f>
        <v/>
      </c>
      <c r="N18" s="1044">
        <f>D18+F18+H18+J18+L18</f>
        <v/>
      </c>
      <c r="O18" s="1031">
        <f>N18-M18</f>
        <v/>
      </c>
      <c r="P18" s="680" t="n"/>
      <c r="Q18" s="798" t="n"/>
      <c r="R18" s="615" t="n">
        <v>1000000</v>
      </c>
      <c r="S18" s="801" t="n">
        <v>157556</v>
      </c>
      <c r="T18" s="680" t="n"/>
      <c r="U18" s="799" t="n"/>
      <c r="V18" s="615" t="n">
        <v>1000000</v>
      </c>
      <c r="W18" s="796" t="n">
        <v>240835</v>
      </c>
      <c r="X18" s="680" t="n"/>
      <c r="Y18" s="796" t="n">
        <v>707873</v>
      </c>
      <c r="Z18" s="1043">
        <f>P18+R18+T18+V18+X18</f>
        <v/>
      </c>
      <c r="AA18" s="1044">
        <f>Q18+S18+U18+W18+Y18</f>
        <v/>
      </c>
      <c r="AB18" s="1031">
        <f>AA18-Z18</f>
        <v/>
      </c>
      <c r="AC18" s="680" t="n"/>
      <c r="AD18" s="798" t="n"/>
      <c r="AE18" s="607" t="n">
        <v>1000000</v>
      </c>
      <c r="AF18" s="796" t="n"/>
      <c r="AG18" s="680" t="n"/>
      <c r="AH18" s="796" t="n"/>
      <c r="AI18" s="680" t="n"/>
      <c r="AJ18" s="796" t="n"/>
      <c r="AK18" s="680" t="n"/>
      <c r="AL18" s="796" t="n"/>
      <c r="AM18" s="615">
        <f>AC18+AE18+AG18+AI18+AK18</f>
        <v/>
      </c>
      <c r="AN18" s="1045">
        <f>AD18+AF18+AH18+AJ18+AL18</f>
        <v/>
      </c>
      <c r="AO18" s="1035">
        <f>AN18-AM18</f>
        <v/>
      </c>
      <c r="AP18" s="680" t="n"/>
      <c r="AQ18" s="798" t="n"/>
      <c r="AR18" s="607" t="n">
        <v>500000</v>
      </c>
      <c r="AS18" s="796" t="n"/>
      <c r="AT18" s="680" t="n"/>
      <c r="AU18" s="796" t="n"/>
      <c r="AV18" s="680" t="n"/>
      <c r="AW18" s="796" t="n"/>
      <c r="AX18" s="607" t="n">
        <v>1000000</v>
      </c>
      <c r="AY18" s="796" t="n"/>
      <c r="AZ18" s="615">
        <f>AP18+AR18+AT18+AV18+AX18</f>
        <v/>
      </c>
      <c r="BA18" s="1045">
        <f>AQ18+AS18+AU18+AW18+AY18</f>
        <v/>
      </c>
      <c r="BB18" s="1035">
        <f>BA18-AZ18</f>
        <v/>
      </c>
      <c r="BC18" s="680" t="n"/>
      <c r="BD18" s="798" t="n"/>
      <c r="BE18" s="607" t="n">
        <v>1000000</v>
      </c>
      <c r="BF18" s="796" t="n"/>
      <c r="BG18" s="680" t="n"/>
      <c r="BH18" s="796" t="n"/>
      <c r="BI18" s="607" t="n">
        <v>600000</v>
      </c>
      <c r="BJ18" s="796" t="n"/>
      <c r="BK18" s="680" t="n"/>
      <c r="BL18" s="796" t="n"/>
      <c r="BM18" s="680" t="n"/>
      <c r="BN18" s="796" t="n"/>
      <c r="BO18" s="680" t="n"/>
      <c r="BP18" s="796" t="n"/>
      <c r="BQ18" s="615">
        <f>BC18+BE18+BG18+BI18+BK18+BM18+BO18</f>
        <v/>
      </c>
      <c r="BR18" s="1046">
        <f>BD18+BF18+BH18+BJ18+BL18+BN18+BP18</f>
        <v/>
      </c>
      <c r="BS18" s="1037">
        <f>BR18-BQ18</f>
        <v/>
      </c>
      <c r="BT18" s="1047">
        <f>Z18+AM18+AZ18+BQ18+M18</f>
        <v/>
      </c>
      <c r="BU18" s="1048">
        <f>AA18+AN18+BA18+BR18+N18</f>
        <v/>
      </c>
      <c r="BV18" s="1049">
        <f>BT18-BU18</f>
        <v/>
      </c>
    </row>
    <row r="19">
      <c r="A19" s="591" t="inlineStr">
        <is>
          <t>Торты</t>
        </is>
      </c>
      <c r="B19" s="604" t="inlineStr">
        <is>
          <t>Приход</t>
        </is>
      </c>
      <c r="C19" s="680" t="n"/>
      <c r="D19" s="798" t="n"/>
      <c r="E19" s="680" t="n"/>
      <c r="F19" s="796" t="n"/>
      <c r="G19" s="680" t="n"/>
      <c r="H19" s="796" t="n"/>
      <c r="I19" s="680" t="n"/>
      <c r="J19" s="796" t="n"/>
      <c r="K19" s="680" t="n"/>
      <c r="L19" s="796" t="n"/>
      <c r="M19" s="1043">
        <f>C19+E19+G19+I19+K19</f>
        <v/>
      </c>
      <c r="N19" s="1044">
        <f>D19+F19+H19+J19+L19</f>
        <v/>
      </c>
      <c r="O19" s="1031">
        <f>N19-M19</f>
        <v/>
      </c>
      <c r="P19" s="680" t="n"/>
      <c r="Q19" s="798" t="n"/>
      <c r="R19" s="680" t="n"/>
      <c r="S19" s="796" t="n"/>
      <c r="T19" s="680" t="n"/>
      <c r="U19" s="799" t="n"/>
      <c r="V19" s="615" t="n">
        <v>500000</v>
      </c>
      <c r="W19" s="796" t="n"/>
      <c r="X19" s="680" t="n"/>
      <c r="Y19" s="796" t="n"/>
      <c r="Z19" s="1043">
        <f>P19+R19+T19+V19+X19</f>
        <v/>
      </c>
      <c r="AA19" s="1044">
        <f>Q19+S19+U19+W19+Y19</f>
        <v/>
      </c>
      <c r="AB19" s="1031">
        <f>AA19-Z19</f>
        <v/>
      </c>
      <c r="AC19" s="680" t="n"/>
      <c r="AD19" s="798" t="n"/>
      <c r="AE19" s="680" t="n"/>
      <c r="AF19" s="796" t="n"/>
      <c r="AG19" s="680" t="n"/>
      <c r="AH19" s="796" t="n"/>
      <c r="AI19" s="680" t="n"/>
      <c r="AJ19" s="796" t="n"/>
      <c r="AK19" s="680" t="n"/>
      <c r="AL19" s="796" t="n"/>
      <c r="AM19" s="615">
        <f>AC19+AE19+AG19+AI19+AK19</f>
        <v/>
      </c>
      <c r="AN19" s="1045">
        <f>AD19+AF19+AH19+AJ19+AL19</f>
        <v/>
      </c>
      <c r="AO19" s="1035">
        <f>AN19-AM19</f>
        <v/>
      </c>
      <c r="AP19" s="680" t="n"/>
      <c r="AQ19" s="798" t="n"/>
      <c r="AR19" s="680" t="n"/>
      <c r="AS19" s="796" t="n"/>
      <c r="AT19" s="680" t="n"/>
      <c r="AU19" s="796" t="n"/>
      <c r="AV19" s="615" t="n">
        <v>300000</v>
      </c>
      <c r="AW19" s="796" t="n"/>
      <c r="AX19" s="680" t="n"/>
      <c r="AY19" s="796" t="n"/>
      <c r="AZ19" s="615">
        <f>AP19+AR19+AT19+AV19+AX19</f>
        <v/>
      </c>
      <c r="BA19" s="1045">
        <f>AQ19+AS19+AU19+AW19+AY19</f>
        <v/>
      </c>
      <c r="BB19" s="1035">
        <f>BA19-AZ19</f>
        <v/>
      </c>
      <c r="BC19" s="680" t="n"/>
      <c r="BD19" s="798" t="n"/>
      <c r="BE19" s="680" t="n"/>
      <c r="BF19" s="796" t="n"/>
      <c r="BG19" s="680" t="n"/>
      <c r="BH19" s="796" t="n"/>
      <c r="BI19" s="615" t="n">
        <v>300000</v>
      </c>
      <c r="BJ19" s="796" t="n"/>
      <c r="BK19" s="680" t="n"/>
      <c r="BL19" s="796" t="n"/>
      <c r="BM19" s="680" t="n"/>
      <c r="BN19" s="796" t="n"/>
      <c r="BO19" s="680" t="n"/>
      <c r="BP19" s="796" t="n"/>
      <c r="BQ19" s="615">
        <f>BC19+BE19+BG19+BI19+BK19+BM19+BO19</f>
        <v/>
      </c>
      <c r="BR19" s="1046">
        <f>BD19+BF19+BH19+BJ19+BL19+BN19+BP19</f>
        <v/>
      </c>
      <c r="BS19" s="1037">
        <f>BR19-BQ19</f>
        <v/>
      </c>
      <c r="BT19" s="1047">
        <f>Z19+AM19+AZ19+BQ19+M19</f>
        <v/>
      </c>
      <c r="BU19" s="1048">
        <f>AA19+AN19+BA19+BR19+N19</f>
        <v/>
      </c>
      <c r="BV19" s="1049">
        <f>BT19-BU19</f>
        <v/>
      </c>
    </row>
    <row r="20">
      <c r="A20" s="1053" t="inlineStr">
        <is>
          <t>Итого по банку</t>
        </is>
      </c>
      <c r="B20" s="596" t="inlineStr">
        <is>
          <t>Приход</t>
        </is>
      </c>
      <c r="C20" s="787" t="n">
        <v>0</v>
      </c>
      <c r="D20" s="1054">
        <f>SUM(D6:D19)</f>
        <v/>
      </c>
      <c r="E20" s="787">
        <f>SUM(E6:E19)</f>
        <v/>
      </c>
      <c r="F20" s="1041">
        <f>SUM(F6:F19)</f>
        <v/>
      </c>
      <c r="G20" s="787">
        <f>SUM(G6:G19)</f>
        <v/>
      </c>
      <c r="H20" s="1041">
        <f>SUM(H6:H19)</f>
        <v/>
      </c>
      <c r="I20" s="787">
        <f>SUM(I6:I19)</f>
        <v/>
      </c>
      <c r="J20" s="1041">
        <f>SUM(J6:J19)</f>
        <v/>
      </c>
      <c r="K20" s="787">
        <f>SUM(K6:K19)</f>
        <v/>
      </c>
      <c r="L20" s="1041">
        <f>SUM(L6:L19)</f>
        <v/>
      </c>
      <c r="M20" s="1055">
        <f>SUM(M6:M19)</f>
        <v/>
      </c>
      <c r="N20" s="1041">
        <f>SUM(N6:N19)</f>
        <v/>
      </c>
      <c r="O20" s="1031">
        <f>N20-M20</f>
        <v/>
      </c>
      <c r="P20" s="787">
        <f>SUM(P6:P19)</f>
        <v/>
      </c>
      <c r="Q20" s="1054">
        <f>SUM(Q6:Q19)</f>
        <v/>
      </c>
      <c r="R20" s="787">
        <f>SUM(R6:R19)</f>
        <v/>
      </c>
      <c r="S20" s="1041">
        <f>SUM(S6:S19)</f>
        <v/>
      </c>
      <c r="T20" s="787">
        <f>SUM(T6:T19)</f>
        <v/>
      </c>
      <c r="U20" s="1041">
        <f>SUM(U6:U19)</f>
        <v/>
      </c>
      <c r="V20" s="787">
        <f>SUM(V6:V19)</f>
        <v/>
      </c>
      <c r="W20" s="1041">
        <f>SUM(W6:W19)</f>
        <v/>
      </c>
      <c r="X20" s="787">
        <f>SUM(X6:X19)</f>
        <v/>
      </c>
      <c r="Y20" s="1041">
        <f>SUM(Y6:Y19)</f>
        <v/>
      </c>
      <c r="Z20" s="1055">
        <f>SUM(Z6:Z19)</f>
        <v/>
      </c>
      <c r="AA20" s="1041">
        <f>SUM(AA6:AA19)</f>
        <v/>
      </c>
      <c r="AB20" s="1031">
        <f>AA20-Z20</f>
        <v/>
      </c>
      <c r="AC20" s="787">
        <f>SUM(AC6:AC19)</f>
        <v/>
      </c>
      <c r="AD20" s="1041">
        <f>SUM(AD6:AD19)</f>
        <v/>
      </c>
      <c r="AE20" s="787">
        <f>SUM(AE6:AE19)</f>
        <v/>
      </c>
      <c r="AF20" s="1041">
        <f>SUM(AF6:AF19)</f>
        <v/>
      </c>
      <c r="AG20" s="787">
        <f>SUM(AG6:AG19)</f>
        <v/>
      </c>
      <c r="AH20" s="1041">
        <f>SUM(AH6:AH19)</f>
        <v/>
      </c>
      <c r="AI20" s="787">
        <f>SUM(AI6:AI19)</f>
        <v/>
      </c>
      <c r="AJ20" s="1041">
        <f>SUM(AJ6:AJ19)</f>
        <v/>
      </c>
      <c r="AK20" s="787">
        <f>SUM(AK6:AK19)</f>
        <v/>
      </c>
      <c r="AL20" s="1041">
        <f>SUM(AL6:AL19)</f>
        <v/>
      </c>
      <c r="AM20" s="787">
        <f>SUM(AM6:AM19)</f>
        <v/>
      </c>
      <c r="AN20" s="1041">
        <f>SUM(AN6:AN19)</f>
        <v/>
      </c>
      <c r="AO20" s="1034">
        <f>SUM(AO6:AO19)</f>
        <v/>
      </c>
      <c r="AP20" s="787">
        <f>SUM(AP6:AP19)</f>
        <v/>
      </c>
      <c r="AQ20" s="1041">
        <f>SUM(AQ6:AQ19)</f>
        <v/>
      </c>
      <c r="AR20" s="787">
        <f>SUM(AR6:AR19)</f>
        <v/>
      </c>
      <c r="AS20" s="1041">
        <f>SUM(AS6:AS19)</f>
        <v/>
      </c>
      <c r="AT20" s="787">
        <f>SUM(AT6:AT19)</f>
        <v/>
      </c>
      <c r="AU20" s="1041">
        <f>SUM(AU6:AU19)</f>
        <v/>
      </c>
      <c r="AV20" s="787">
        <f>SUM(AV6:AV19)</f>
        <v/>
      </c>
      <c r="AW20" s="1041">
        <f>SUM(AW6:AW19)</f>
        <v/>
      </c>
      <c r="AX20" s="787">
        <f>SUM(AX6:AX19)</f>
        <v/>
      </c>
      <c r="AY20" s="1054">
        <f>SUM(AY6:AY19)</f>
        <v/>
      </c>
      <c r="AZ20" s="787">
        <f>SUM(AZ6:AZ19)</f>
        <v/>
      </c>
      <c r="BA20" s="1041">
        <f>SUM(BA6:BA19)</f>
        <v/>
      </c>
      <c r="BB20" s="1035">
        <f>BA20-AZ20</f>
        <v/>
      </c>
      <c r="BC20" s="787">
        <f>SUM(BC6:BC19)</f>
        <v/>
      </c>
      <c r="BD20" s="1054">
        <f>SUM(BD6:BD19)</f>
        <v/>
      </c>
      <c r="BE20" s="787">
        <f>SUM(BE6:BE19)</f>
        <v/>
      </c>
      <c r="BF20" s="1041">
        <f>SUM(BF6:BF19)</f>
        <v/>
      </c>
      <c r="BG20" s="787">
        <f>SUM(BG6:BG19)</f>
        <v/>
      </c>
      <c r="BH20" s="1041">
        <f>SUM(BH6:BH19)</f>
        <v/>
      </c>
      <c r="BI20" s="787">
        <f>SUM(BI6:BI19)</f>
        <v/>
      </c>
      <c r="BJ20" s="1041">
        <f>SUM(BJ6:BJ19)</f>
        <v/>
      </c>
      <c r="BK20" s="787">
        <f>SUM(BK6:BK19)</f>
        <v/>
      </c>
      <c r="BL20" s="1041">
        <f>SUM(BL6:BL19)</f>
        <v/>
      </c>
      <c r="BM20" s="787">
        <f>SUM(BM6:BM19)</f>
        <v/>
      </c>
      <c r="BN20" s="1041">
        <f>SUM(BN6:BN19)</f>
        <v/>
      </c>
      <c r="BO20" s="787">
        <f>SUM(BO6:BO19)</f>
        <v/>
      </c>
      <c r="BP20" s="1041">
        <f>SUM(BP6:BP19)</f>
        <v/>
      </c>
      <c r="BQ20" s="787">
        <f>SUM(BQ6:BQ19)</f>
        <v/>
      </c>
      <c r="BR20" s="1041">
        <f>SUM(BR6:BR19)</f>
        <v/>
      </c>
      <c r="BS20" s="1037">
        <f>BR20-BQ20</f>
        <v/>
      </c>
      <c r="BT20" s="1056">
        <f>SUM(BT6:BT19)</f>
        <v/>
      </c>
      <c r="BU20" s="1057">
        <f>SUM(BU6:BU19)</f>
        <v/>
      </c>
      <c r="BV20" s="1049">
        <f>BT20-BU20</f>
        <v/>
      </c>
    </row>
    <row r="21">
      <c r="A21" s="591" t="inlineStr">
        <is>
          <t>97- Кейтеринг гость</t>
        </is>
      </c>
      <c r="B21" s="604" t="inlineStr">
        <is>
          <t>Приход</t>
        </is>
      </c>
      <c r="C21" s="680" t="n"/>
      <c r="D21" s="798" t="n"/>
      <c r="E21" s="680" t="n"/>
      <c r="F21" s="796" t="n"/>
      <c r="G21" s="680" t="n"/>
      <c r="H21" s="796" t="n"/>
      <c r="I21" s="680" t="n"/>
      <c r="J21" s="796" t="n"/>
      <c r="K21" s="680" t="n"/>
      <c r="L21" s="796" t="n"/>
      <c r="M21" s="1043">
        <f>C21+E21+G21+I21+K21</f>
        <v/>
      </c>
      <c r="N21" s="1044">
        <f>D21+F21+H21+J21+L21</f>
        <v/>
      </c>
      <c r="O21" s="1031">
        <f>N21-M21</f>
        <v/>
      </c>
      <c r="P21" s="680" t="n"/>
      <c r="Q21" s="798" t="n"/>
      <c r="R21" s="680" t="n"/>
      <c r="S21" s="796" t="n"/>
      <c r="T21" s="680" t="n"/>
      <c r="U21" s="796" t="n"/>
      <c r="V21" s="615" t="n">
        <v>450000</v>
      </c>
      <c r="W21" s="796" t="n"/>
      <c r="X21" s="680" t="n"/>
      <c r="Y21" s="796" t="n"/>
      <c r="Z21" s="1043">
        <f>P21+R21+T21+V21+X21</f>
        <v/>
      </c>
      <c r="AA21" s="1044">
        <f>Q21+S21+U21+W21+Y21</f>
        <v/>
      </c>
      <c r="AB21" s="1031">
        <f>AA21-Z21</f>
        <v/>
      </c>
      <c r="AC21" s="680" t="n"/>
      <c r="AD21" s="798" t="n"/>
      <c r="AE21" s="680" t="n"/>
      <c r="AF21" s="796" t="n"/>
      <c r="AG21" s="680" t="n"/>
      <c r="AH21" s="796" t="n"/>
      <c r="AI21" s="615" t="n">
        <v>250000</v>
      </c>
      <c r="AJ21" s="796" t="n"/>
      <c r="AK21" s="680" t="n"/>
      <c r="AL21" s="796" t="n"/>
      <c r="AM21" s="615">
        <f>AC21+AE21+AG21+AI21+AK21</f>
        <v/>
      </c>
      <c r="AN21" s="1045">
        <f>AD21+AF21+AH21+AJ21+AL21</f>
        <v/>
      </c>
      <c r="AO21" s="1035">
        <f>AN21-AM21</f>
        <v/>
      </c>
      <c r="AP21" s="680" t="n"/>
      <c r="AQ21" s="798" t="n"/>
      <c r="AR21" s="615" t="n">
        <v>300000</v>
      </c>
      <c r="AS21" s="796" t="n"/>
      <c r="AT21" s="680" t="n"/>
      <c r="AU21" s="796" t="n"/>
      <c r="AV21" s="680" t="n"/>
      <c r="AW21" s="796" t="n"/>
      <c r="AX21" s="680" t="n"/>
      <c r="AY21" s="798" t="n"/>
      <c r="AZ21" s="615">
        <f>AP21+AR21+AT21+AV21+AX21</f>
        <v/>
      </c>
      <c r="BA21" s="1045">
        <f>AQ21+AS21+AU21+AW21+AY21</f>
        <v/>
      </c>
      <c r="BB21" s="1035">
        <f>BA21-AZ21</f>
        <v/>
      </c>
      <c r="BC21" s="680" t="n"/>
      <c r="BD21" s="798" t="n"/>
      <c r="BE21" s="615" t="n">
        <v>500000</v>
      </c>
      <c r="BF21" s="796" t="n"/>
      <c r="BG21" s="680" t="n"/>
      <c r="BH21" s="796" t="n"/>
      <c r="BI21" s="680" t="n"/>
      <c r="BJ21" s="796" t="n"/>
      <c r="BK21" s="680" t="n"/>
      <c r="BL21" s="796" t="n"/>
      <c r="BM21" s="680" t="n"/>
      <c r="BN21" s="796" t="n"/>
      <c r="BO21" s="680" t="n"/>
      <c r="BP21" s="796" t="n"/>
      <c r="BQ21" s="615">
        <f>BC21+BE21+BG21+BI21+BK21+BM21+BO21</f>
        <v/>
      </c>
      <c r="BR21" s="1046">
        <f>BD21+BF21+BH21+BJ21+BL21+BN21+BP21</f>
        <v/>
      </c>
      <c r="BS21" s="1037">
        <f>BR21-BQ21</f>
        <v/>
      </c>
      <c r="BT21" s="1047">
        <f>Z21+AM21+AZ21+BQ21+M21</f>
        <v/>
      </c>
      <c r="BU21" s="1048">
        <f>AA21+AN21+BA21+BR21+N21</f>
        <v/>
      </c>
      <c r="BV21" s="1049">
        <f>BT21-BU21</f>
        <v/>
      </c>
    </row>
    <row r="22">
      <c r="A22" s="591" t="inlineStr">
        <is>
          <t>Возврат с подотчета, Кредит</t>
        </is>
      </c>
      <c r="B22" s="604" t="inlineStr">
        <is>
          <t>Приход</t>
        </is>
      </c>
      <c r="C22" s="680" t="n"/>
      <c r="D22" s="798" t="n"/>
      <c r="E22" s="680" t="n"/>
      <c r="F22" s="796" t="n"/>
      <c r="G22" s="680" t="n"/>
      <c r="H22" s="801" t="n">
        <v>40000</v>
      </c>
      <c r="I22" s="680" t="n"/>
      <c r="J22" s="796" t="n"/>
      <c r="K22" s="680" t="n"/>
      <c r="L22" s="796" t="n"/>
      <c r="M22" s="1043">
        <f>C22+E22+G22+I22+K22</f>
        <v/>
      </c>
      <c r="N22" s="1044">
        <f>D22+F22+H22+J22+L22</f>
        <v/>
      </c>
      <c r="O22" s="1031">
        <f>N22-M22</f>
        <v/>
      </c>
      <c r="P22" s="680" t="n"/>
      <c r="Q22" s="798" t="n"/>
      <c r="R22" s="680" t="n"/>
      <c r="S22" s="796" t="n"/>
      <c r="T22" s="680" t="n"/>
      <c r="U22" s="796" t="n"/>
      <c r="V22" s="680" t="n"/>
      <c r="W22" s="796" t="n"/>
      <c r="X22" s="680" t="n"/>
      <c r="Y22" s="796" t="n"/>
      <c r="Z22" s="1043">
        <f>P22+R22+T22+V22+X22</f>
        <v/>
      </c>
      <c r="AA22" s="1058">
        <f>Q22+S22+U22+W22+Y22</f>
        <v/>
      </c>
      <c r="AB22" s="1031">
        <f>AA22-Z22</f>
        <v/>
      </c>
      <c r="AC22" s="680" t="n"/>
      <c r="AD22" s="798" t="n"/>
      <c r="AE22" s="1059" t="n"/>
      <c r="AF22" s="796" t="n"/>
      <c r="AG22" s="1059" t="n"/>
      <c r="AH22" s="796" t="n"/>
      <c r="AI22" s="1059" t="n"/>
      <c r="AJ22" s="796" t="n"/>
      <c r="AK22" s="1059" t="n"/>
      <c r="AL22" s="796" t="n"/>
      <c r="AM22" s="1060">
        <f>AC22+AE22+AG22+AI22+AK22</f>
        <v/>
      </c>
      <c r="AN22" s="1061">
        <f>AD22+AF22+AH22+AJ22+AL22</f>
        <v/>
      </c>
      <c r="AO22" s="1035">
        <f>AN22-AM22</f>
        <v/>
      </c>
      <c r="AP22" s="680" t="n"/>
      <c r="AQ22" s="798" t="n"/>
      <c r="AR22" s="680" t="n"/>
      <c r="AS22" s="796" t="n"/>
      <c r="AT22" s="680" t="n"/>
      <c r="AU22" s="796" t="n"/>
      <c r="AV22" s="680" t="n"/>
      <c r="AW22" s="796" t="n"/>
      <c r="AX22" s="1059" t="n"/>
      <c r="AY22" s="798" t="n"/>
      <c r="AZ22" s="615">
        <f>AP22+AR22+AT22+AV22+AX22</f>
        <v/>
      </c>
      <c r="BA22" s="1045">
        <f>AQ22+AS22+AU22+AW22+AY22</f>
        <v/>
      </c>
      <c r="BB22" s="1035">
        <f>BA22-AZ22</f>
        <v/>
      </c>
      <c r="BC22" s="680" t="n"/>
      <c r="BD22" s="798" t="n"/>
      <c r="BE22" s="680" t="n"/>
      <c r="BF22" s="796" t="n"/>
      <c r="BG22" s="680" t="n"/>
      <c r="BH22" s="796" t="n"/>
      <c r="BI22" s="680" t="n"/>
      <c r="BJ22" s="796" t="n"/>
      <c r="BK22" s="680" t="n"/>
      <c r="BL22" s="796" t="n"/>
      <c r="BM22" s="680" t="n"/>
      <c r="BN22" s="796" t="n"/>
      <c r="BO22" s="680" t="n"/>
      <c r="BP22" s="796" t="n"/>
      <c r="BQ22" s="615">
        <f>BC22+BE22+BG22+BI22+BK22+BM22+BO22</f>
        <v/>
      </c>
      <c r="BR22" s="1046">
        <f>BD22+BF22+BH22+BJ22+BL22+BN22+BP22</f>
        <v/>
      </c>
      <c r="BS22" s="1037">
        <f>BR22-BQ22</f>
        <v/>
      </c>
      <c r="BT22" s="1047">
        <f>Z22+AM22+AZ22+BQ22+M22</f>
        <v/>
      </c>
      <c r="BU22" s="1048">
        <f>AA22+AN22+BA22+BR22+N22</f>
        <v/>
      </c>
      <c r="BV22" s="1049">
        <f>BT22-BU22</f>
        <v/>
      </c>
    </row>
    <row r="23">
      <c r="A23" s="591" t="inlineStr">
        <is>
          <t>Crave</t>
        </is>
      </c>
      <c r="B23" s="604" t="inlineStr">
        <is>
          <t>Приход</t>
        </is>
      </c>
      <c r="C23" s="680" t="n"/>
      <c r="D23" s="798" t="n"/>
      <c r="E23" s="680" t="n"/>
      <c r="F23" s="796" t="n"/>
      <c r="G23" s="680" t="n"/>
      <c r="H23" s="796" t="n"/>
      <c r="I23" s="680" t="n"/>
      <c r="J23" s="801" t="n">
        <v>600000</v>
      </c>
      <c r="K23" s="680" t="n"/>
      <c r="L23" s="796" t="n"/>
      <c r="M23" s="1043">
        <f>C23+E23+G23+I23+K23</f>
        <v/>
      </c>
      <c r="N23" s="1044">
        <f>D23+F23+H23+J23+L23</f>
        <v/>
      </c>
      <c r="O23" s="1031">
        <f>N23-M23</f>
        <v/>
      </c>
      <c r="P23" s="680" t="n"/>
      <c r="Q23" s="793" t="n">
        <v>600000</v>
      </c>
      <c r="R23" s="680" t="n"/>
      <c r="S23" s="796" t="n"/>
      <c r="T23" s="680" t="n"/>
      <c r="U23" s="796" t="n"/>
      <c r="V23" s="680" t="n"/>
      <c r="W23" s="796" t="n"/>
      <c r="X23" s="680" t="n"/>
      <c r="Y23" s="796" t="n"/>
      <c r="Z23" s="1043">
        <f>P23+R23+T23+V23+X23</f>
        <v/>
      </c>
      <c r="AA23" s="1044">
        <f>Q23+S23+U23+W23+Y23</f>
        <v/>
      </c>
      <c r="AB23" s="1031">
        <f>AA23-Z23</f>
        <v/>
      </c>
      <c r="AC23" s="680" t="n"/>
      <c r="AD23" s="798" t="n"/>
      <c r="AE23" s="680" t="n"/>
      <c r="AF23" s="796" t="n"/>
      <c r="AG23" s="680" t="n"/>
      <c r="AH23" s="796" t="n"/>
      <c r="AI23" s="680" t="n"/>
      <c r="AJ23" s="796" t="n"/>
      <c r="AK23" s="680" t="n"/>
      <c r="AL23" s="796" t="n"/>
      <c r="AM23" s="615">
        <f>AC23+AE23+AG23+AI23+AK23</f>
        <v/>
      </c>
      <c r="AN23" s="1045">
        <f>AD23+AF23+AH23+AJ23+AL23</f>
        <v/>
      </c>
      <c r="AO23" s="1035">
        <f>AN23-AM23</f>
        <v/>
      </c>
      <c r="AP23" s="680" t="n"/>
      <c r="AQ23" s="798" t="n"/>
      <c r="AR23" s="680" t="n"/>
      <c r="AS23" s="796" t="n"/>
      <c r="AT23" s="680" t="n"/>
      <c r="AU23" s="796" t="n"/>
      <c r="AV23" s="680" t="n"/>
      <c r="AW23" s="796" t="n"/>
      <c r="AX23" s="680" t="n"/>
      <c r="AY23" s="798" t="n"/>
      <c r="AZ23" s="615">
        <f>AP23+AR23+AT23+AV23+AX23</f>
        <v/>
      </c>
      <c r="BA23" s="1045">
        <f>AQ23+AS23+AU23+AW23+AY23</f>
        <v/>
      </c>
      <c r="BB23" s="1035">
        <f>BA23-AZ23</f>
        <v/>
      </c>
      <c r="BC23" s="680" t="n"/>
      <c r="BD23" s="798" t="n"/>
      <c r="BE23" s="680" t="n"/>
      <c r="BF23" s="796" t="n"/>
      <c r="BG23" s="680" t="n"/>
      <c r="BH23" s="796" t="n"/>
      <c r="BI23" s="680" t="n"/>
      <c r="BJ23" s="796" t="n"/>
      <c r="BK23" s="680" t="n"/>
      <c r="BL23" s="796" t="n"/>
      <c r="BM23" s="680" t="n"/>
      <c r="BN23" s="796" t="n"/>
      <c r="BO23" s="680" t="n"/>
      <c r="BP23" s="796" t="n"/>
      <c r="BQ23" s="615">
        <f>BC23+BE23+BG23+BI23+BK23+BM23+BO23</f>
        <v/>
      </c>
      <c r="BR23" s="1046">
        <f>BD23+BF23+BH23+BJ23+BL23+BN23+BP23</f>
        <v/>
      </c>
      <c r="BS23" s="1037">
        <f>BR23-BQ23</f>
        <v/>
      </c>
      <c r="BT23" s="1047">
        <f>Z23+AM23+AZ23+BQ23+M23</f>
        <v/>
      </c>
      <c r="BU23" s="1048">
        <f>AA23+AN23+BA23+BR23+N23</f>
        <v/>
      </c>
      <c r="BV23" s="1049">
        <f>BT23-BU23</f>
        <v/>
      </c>
    </row>
    <row r="24">
      <c r="A24" s="591" t="inlineStr">
        <is>
          <t>7-Kaspi Банк (нал)</t>
        </is>
      </c>
      <c r="B24" s="604" t="inlineStr">
        <is>
          <t>Приход</t>
        </is>
      </c>
      <c r="C24" s="680" t="n"/>
      <c r="D24" s="798" t="n"/>
      <c r="E24" s="680" t="n"/>
      <c r="F24" s="796" t="n"/>
      <c r="G24" s="680" t="n"/>
      <c r="H24" s="796" t="n"/>
      <c r="I24" s="680" t="n"/>
      <c r="J24" s="796" t="n"/>
      <c r="K24" s="680" t="n"/>
      <c r="L24" s="796" t="n"/>
      <c r="M24" s="1043">
        <f>C24+E24+G24+I24+K24</f>
        <v/>
      </c>
      <c r="N24" s="1044">
        <f>D24+F24+H24+J24+L24</f>
        <v/>
      </c>
      <c r="O24" s="1031">
        <f>N24-M24</f>
        <v/>
      </c>
      <c r="P24" s="680" t="n"/>
      <c r="Q24" s="798" t="n"/>
      <c r="R24" s="680" t="n"/>
      <c r="S24" s="796" t="n"/>
      <c r="T24" s="615" t="n">
        <v>1000000</v>
      </c>
      <c r="U24" s="796" t="n"/>
      <c r="V24" s="615" t="n">
        <v>1000000</v>
      </c>
      <c r="W24" s="796" t="n"/>
      <c r="X24" s="680" t="n"/>
      <c r="Y24" s="796" t="n"/>
      <c r="Z24" s="1043">
        <f>P24+R24+T24+V24+X24</f>
        <v/>
      </c>
      <c r="AA24" s="1044">
        <f>Q24+S24+U24+W24+Y24</f>
        <v/>
      </c>
      <c r="AB24" s="1031">
        <f>AA24-Z24</f>
        <v/>
      </c>
      <c r="AC24" s="680" t="n"/>
      <c r="AD24" s="798" t="n"/>
      <c r="AE24" s="680" t="n"/>
      <c r="AF24" s="796" t="n"/>
      <c r="AG24" s="680" t="n"/>
      <c r="AH24" s="796" t="n"/>
      <c r="AI24" s="680" t="n"/>
      <c r="AJ24" s="796" t="n"/>
      <c r="AK24" s="680" t="n"/>
      <c r="AL24" s="796" t="n"/>
      <c r="AM24" s="615">
        <f>AC24+AE24+AG24+AI24+AK24</f>
        <v/>
      </c>
      <c r="AN24" s="1045">
        <f>AD24+AF24+AH24+AJ24+AL24</f>
        <v/>
      </c>
      <c r="AO24" s="1035">
        <f>AN24-AM24</f>
        <v/>
      </c>
      <c r="AP24" s="680" t="n"/>
      <c r="AQ24" s="798" t="n"/>
      <c r="AR24" s="680" t="n"/>
      <c r="AS24" s="796" t="n"/>
      <c r="AT24" s="680" t="n"/>
      <c r="AU24" s="796" t="n"/>
      <c r="AV24" s="680" t="n"/>
      <c r="AW24" s="796" t="n"/>
      <c r="AX24" s="680" t="n"/>
      <c r="AY24" s="798" t="n"/>
      <c r="AZ24" s="615">
        <f>AP24+AR24+AT24+AV24+AX24</f>
        <v/>
      </c>
      <c r="BA24" s="1045">
        <f>AQ24+AS24+AU24+AW24+AY24</f>
        <v/>
      </c>
      <c r="BB24" s="1035">
        <f>BA24-AZ24</f>
        <v/>
      </c>
      <c r="BC24" s="680" t="n"/>
      <c r="BD24" s="798" t="n"/>
      <c r="BE24" s="680" t="n"/>
      <c r="BF24" s="796" t="n"/>
      <c r="BG24" s="680" t="n"/>
      <c r="BH24" s="796" t="n"/>
      <c r="BI24" s="680" t="n"/>
      <c r="BJ24" s="796" t="n"/>
      <c r="BK24" s="680" t="n"/>
      <c r="BL24" s="796" t="n"/>
      <c r="BM24" s="680" t="n"/>
      <c r="BN24" s="796" t="n"/>
      <c r="BO24" s="680" t="n"/>
      <c r="BP24" s="796" t="n"/>
      <c r="BQ24" s="615">
        <f>BC24+BE24+BG24+BI24+BK24+BM24+BO24</f>
        <v/>
      </c>
      <c r="BR24" s="1046">
        <f>BD24+BF24+BH24+BJ24+BL24+BN24+BP24</f>
        <v/>
      </c>
      <c r="BS24" s="1037">
        <f>BR24-BQ24</f>
        <v/>
      </c>
      <c r="BT24" s="1047">
        <f>Z24+AM24+AZ24+BQ24+M24</f>
        <v/>
      </c>
      <c r="BU24" s="1048">
        <f>AA24+AN24+BA24+BR24+N24</f>
        <v/>
      </c>
      <c r="BV24" s="1049">
        <f>BT24-BU24</f>
        <v/>
      </c>
    </row>
    <row r="25">
      <c r="A25" s="1062" t="inlineStr">
        <is>
          <t>9-БАЗИЛИК 5 (АКСАЙ)</t>
        </is>
      </c>
      <c r="B25" s="604" t="inlineStr">
        <is>
          <t>Приход</t>
        </is>
      </c>
      <c r="C25" s="680" t="n"/>
      <c r="D25" s="798" t="n"/>
      <c r="E25" s="680" t="n"/>
      <c r="F25" s="796" t="n"/>
      <c r="G25" s="680" t="n"/>
      <c r="H25" s="796" t="n"/>
      <c r="I25" s="680" t="n"/>
      <c r="J25" s="796" t="n"/>
      <c r="K25" s="680" t="n"/>
      <c r="L25" s="796" t="n"/>
      <c r="M25" s="1043">
        <f>C25+E25+G25+I25+K25</f>
        <v/>
      </c>
      <c r="N25" s="1044">
        <f>D25+F25+H25+J25+L25</f>
        <v/>
      </c>
      <c r="O25" s="1031">
        <f>N25-M25</f>
        <v/>
      </c>
      <c r="P25" s="680" t="n"/>
      <c r="Q25" s="798" t="n"/>
      <c r="R25" s="680" t="n"/>
      <c r="S25" s="796" t="n"/>
      <c r="T25" s="680" t="n"/>
      <c r="U25" s="796" t="n"/>
      <c r="V25" s="680" t="n"/>
      <c r="W25" s="796" t="n"/>
      <c r="X25" s="680" t="n"/>
      <c r="Y25" s="796" t="n"/>
      <c r="Z25" s="1043">
        <f>P25+R25+T25+V25+X25</f>
        <v/>
      </c>
      <c r="AA25" s="1044">
        <f>Q25+S25+U25+W25+Y25</f>
        <v/>
      </c>
      <c r="AB25" s="1031">
        <f>AA25-Z25</f>
        <v/>
      </c>
      <c r="AC25" s="680" t="n"/>
      <c r="AD25" s="798" t="n"/>
      <c r="AE25" s="680" t="n"/>
      <c r="AF25" s="796" t="n"/>
      <c r="AG25" s="680" t="n"/>
      <c r="AH25" s="796" t="n"/>
      <c r="AI25" s="680" t="n"/>
      <c r="AJ25" s="796" t="n"/>
      <c r="AK25" s="680" t="n"/>
      <c r="AL25" s="796" t="n"/>
      <c r="AM25" s="615">
        <f>AC25+AE25+AG25+AI25+AK25</f>
        <v/>
      </c>
      <c r="AN25" s="1045">
        <f>AD25+AF25+AH25+AJ25+AL25</f>
        <v/>
      </c>
      <c r="AO25" s="1035">
        <f>AN25-AM25</f>
        <v/>
      </c>
      <c r="AP25" s="680" t="n"/>
      <c r="AQ25" s="798" t="n"/>
      <c r="AR25" s="680" t="n"/>
      <c r="AS25" s="796" t="n"/>
      <c r="AT25" s="680" t="n"/>
      <c r="AU25" s="796" t="n"/>
      <c r="AV25" s="680" t="n"/>
      <c r="AW25" s="796" t="n"/>
      <c r="AX25" s="680" t="n"/>
      <c r="AY25" s="798" t="n"/>
      <c r="AZ25" s="615">
        <f>AP25+AR25+AT25+AV25+AX25</f>
        <v/>
      </c>
      <c r="BA25" s="1045">
        <f>AQ25+AS25+AU25+AW25+AY25</f>
        <v/>
      </c>
      <c r="BB25" s="1035">
        <f>BA25-AZ25</f>
        <v/>
      </c>
      <c r="BC25" s="680" t="n"/>
      <c r="BD25" s="798" t="n"/>
      <c r="BE25" s="680" t="n"/>
      <c r="BF25" s="796" t="n"/>
      <c r="BG25" s="680" t="n"/>
      <c r="BH25" s="796" t="n"/>
      <c r="BI25" s="680" t="n"/>
      <c r="BJ25" s="796" t="n"/>
      <c r="BK25" s="680" t="n"/>
      <c r="BL25" s="796" t="n"/>
      <c r="BM25" s="680" t="n"/>
      <c r="BN25" s="796" t="n"/>
      <c r="BO25" s="680" t="n"/>
      <c r="BP25" s="796" t="n"/>
      <c r="BQ25" s="615">
        <f>BC25+BE25+BG25+BI25+BK25+BM25+BO25</f>
        <v/>
      </c>
      <c r="BR25" s="1046">
        <f>BD25+BF25+BH25+BJ25+BL25+BN25+BP25</f>
        <v/>
      </c>
      <c r="BS25" s="1037">
        <f>BR25-BQ25</f>
        <v/>
      </c>
      <c r="BT25" s="1047">
        <f>Z25+AM25+AZ25+BQ25+M25</f>
        <v/>
      </c>
      <c r="BU25" s="1048">
        <f>AA25+AN25+BA25+BR25+N25</f>
        <v/>
      </c>
      <c r="BV25" s="1049">
        <f>BT25-BU25</f>
        <v/>
      </c>
    </row>
    <row r="26">
      <c r="A26" s="591" t="inlineStr">
        <is>
          <t>2-Алматушка (нал)</t>
        </is>
      </c>
      <c r="B26" s="604" t="inlineStr">
        <is>
          <t>Приход</t>
        </is>
      </c>
      <c r="C26" s="680" t="n"/>
      <c r="D26" s="798" t="n"/>
      <c r="E26" s="680" t="n"/>
      <c r="F26" s="796" t="n"/>
      <c r="G26" s="680" t="n"/>
      <c r="H26" s="796" t="n"/>
      <c r="I26" s="680" t="n"/>
      <c r="J26" s="796" t="n"/>
      <c r="K26" s="680" t="n"/>
      <c r="L26" s="796" t="n"/>
      <c r="M26" s="1043">
        <f>C26+E26+G26+I26+K26</f>
        <v/>
      </c>
      <c r="N26" s="1044">
        <f>D26+F26+H26+J26+L26</f>
        <v/>
      </c>
      <c r="O26" s="1031">
        <f>N26-M26</f>
        <v/>
      </c>
      <c r="P26" s="680" t="n"/>
      <c r="Q26" s="798" t="n"/>
      <c r="R26" s="680" t="n"/>
      <c r="S26" s="796" t="n"/>
      <c r="T26" s="680" t="n"/>
      <c r="U26" s="796" t="n"/>
      <c r="V26" s="680" t="n"/>
      <c r="W26" s="796" t="n"/>
      <c r="X26" s="680" t="n"/>
      <c r="Y26" s="796" t="n"/>
      <c r="Z26" s="1043">
        <f>P26+R26+T26+V26+X26</f>
        <v/>
      </c>
      <c r="AA26" s="1044">
        <f>Q26+S26+U26+W26+Y26</f>
        <v/>
      </c>
      <c r="AB26" s="1031">
        <f>AA26-Z26</f>
        <v/>
      </c>
      <c r="AC26" s="680" t="n"/>
      <c r="AD26" s="798" t="n"/>
      <c r="AE26" s="680" t="n"/>
      <c r="AF26" s="796" t="n"/>
      <c r="AG26" s="680" t="n"/>
      <c r="AH26" s="796" t="n"/>
      <c r="AI26" s="680" t="n"/>
      <c r="AJ26" s="796" t="n"/>
      <c r="AK26" s="680" t="n"/>
      <c r="AL26" s="796" t="n"/>
      <c r="AM26" s="615">
        <f>AC26+AE26+AG26+AI26+AK26</f>
        <v/>
      </c>
      <c r="AN26" s="1045">
        <f>AD26+AF26+AH26+AJ26+AL26</f>
        <v/>
      </c>
      <c r="AO26" s="1035">
        <f>AN26-AM26</f>
        <v/>
      </c>
      <c r="AP26" s="680" t="n"/>
      <c r="AQ26" s="798" t="n"/>
      <c r="AR26" s="680" t="n"/>
      <c r="AS26" s="796" t="n"/>
      <c r="AT26" s="680" t="n"/>
      <c r="AU26" s="796" t="n"/>
      <c r="AV26" s="680" t="n"/>
      <c r="AW26" s="798" t="n"/>
      <c r="AX26" s="680" t="n"/>
      <c r="AY26" s="798" t="n"/>
      <c r="AZ26" s="615">
        <f>AP26+AR26+AT26+AV26+AX26</f>
        <v/>
      </c>
      <c r="BA26" s="1045">
        <f>AQ26+AS26+AU26+AW26+AY26</f>
        <v/>
      </c>
      <c r="BB26" s="1035">
        <f>BA26-AZ26</f>
        <v/>
      </c>
      <c r="BC26" s="680" t="n"/>
      <c r="BD26" s="798" t="n"/>
      <c r="BE26" s="680" t="n"/>
      <c r="BF26" s="796" t="n"/>
      <c r="BG26" s="680" t="n"/>
      <c r="BH26" s="796" t="n"/>
      <c r="BI26" s="680" t="n"/>
      <c r="BJ26" s="796" t="n"/>
      <c r="BK26" s="680" t="n"/>
      <c r="BL26" s="796" t="n"/>
      <c r="BM26" s="680" t="n"/>
      <c r="BN26" s="796" t="n"/>
      <c r="BO26" s="680" t="n"/>
      <c r="BP26" s="796" t="n"/>
      <c r="BQ26" s="615">
        <f>BC26+BE26+BG26+BI26+BK26+BM26+BO26</f>
        <v/>
      </c>
      <c r="BR26" s="1046">
        <f>BD26+BF26+BH26+BJ26+BL26+BN26+BP26</f>
        <v/>
      </c>
      <c r="BS26" s="1037">
        <f>BR26-BQ26</f>
        <v/>
      </c>
      <c r="BT26" s="1047">
        <f>Z26+AM26+AZ26+BQ26+M26</f>
        <v/>
      </c>
      <c r="BU26" s="1048">
        <f>AA26+AN26+BA26+BR26+N26</f>
        <v/>
      </c>
      <c r="BV26" s="1049">
        <f>BT26-BU26</f>
        <v/>
      </c>
    </row>
    <row r="27">
      <c r="A27" s="591" t="inlineStr">
        <is>
          <t>1-Basilic номер1 (нал)</t>
        </is>
      </c>
      <c r="B27" s="604" t="inlineStr">
        <is>
          <t>Приход</t>
        </is>
      </c>
      <c r="C27" s="680" t="n"/>
      <c r="D27" s="798" t="n"/>
      <c r="E27" s="680" t="n"/>
      <c r="F27" s="796" t="n"/>
      <c r="G27" s="680" t="n"/>
      <c r="H27" s="796" t="n"/>
      <c r="I27" s="680" t="n"/>
      <c r="J27" s="796" t="n"/>
      <c r="K27" s="680" t="n"/>
      <c r="L27" s="796" t="n"/>
      <c r="M27" s="1043">
        <f>C27+E27+G27+I27+K27</f>
        <v/>
      </c>
      <c r="N27" s="1044">
        <f>D27+F27+H27+J27+L27</f>
        <v/>
      </c>
      <c r="O27" s="1031">
        <f>N27-M27</f>
        <v/>
      </c>
      <c r="P27" s="680" t="n"/>
      <c r="Q27" s="798" t="n"/>
      <c r="R27" s="680" t="n"/>
      <c r="S27" s="796" t="n"/>
      <c r="T27" s="680" t="n"/>
      <c r="U27" s="796" t="n"/>
      <c r="V27" s="680" t="n"/>
      <c r="W27" s="796" t="n"/>
      <c r="X27" s="680" t="n"/>
      <c r="Y27" s="796" t="n"/>
      <c r="Z27" s="1043">
        <f>P27+R27+T27+V27+X27</f>
        <v/>
      </c>
      <c r="AA27" s="1044">
        <f>Q27+S27+U27+W27+Y27</f>
        <v/>
      </c>
      <c r="AB27" s="1031">
        <f>AA27-Z27</f>
        <v/>
      </c>
      <c r="AC27" s="680" t="n"/>
      <c r="AD27" s="798" t="n"/>
      <c r="AE27" s="680" t="n"/>
      <c r="AF27" s="796" t="n"/>
      <c r="AG27" s="680" t="n"/>
      <c r="AH27" s="796" t="n"/>
      <c r="AI27" s="680" t="n"/>
      <c r="AJ27" s="796" t="n"/>
      <c r="AK27" s="680" t="n"/>
      <c r="AL27" s="796" t="n"/>
      <c r="AM27" s="615">
        <f>AC27+AE27+AG27+AI27+AK27</f>
        <v/>
      </c>
      <c r="AN27" s="1045">
        <f>AD27+AF27+AH27+AJ27+AL27</f>
        <v/>
      </c>
      <c r="AO27" s="1035">
        <f>AN27-AM27</f>
        <v/>
      </c>
      <c r="AP27" s="680" t="n"/>
      <c r="AQ27" s="798" t="n"/>
      <c r="AR27" s="680" t="n"/>
      <c r="AS27" s="796" t="n"/>
      <c r="AT27" s="680" t="n"/>
      <c r="AU27" s="796" t="n"/>
      <c r="AV27" s="680" t="n"/>
      <c r="AW27" s="798" t="n"/>
      <c r="AX27" s="680" t="n"/>
      <c r="AY27" s="798" t="n"/>
      <c r="AZ27" s="615">
        <f>AP27+AR27+AT27+AV27+AX27</f>
        <v/>
      </c>
      <c r="BA27" s="1045">
        <f>AQ27+AS27+AU27+AW27+AY27</f>
        <v/>
      </c>
      <c r="BB27" s="1035">
        <f>BA27-AZ27</f>
        <v/>
      </c>
      <c r="BC27" s="680" t="n"/>
      <c r="BD27" s="798" t="n"/>
      <c r="BE27" s="615" t="n">
        <v>1000000</v>
      </c>
      <c r="BF27" s="796" t="n"/>
      <c r="BG27" s="680" t="n"/>
      <c r="BH27" s="796" t="n"/>
      <c r="BI27" s="680" t="n"/>
      <c r="BJ27" s="796" t="n"/>
      <c r="BK27" s="680" t="n"/>
      <c r="BL27" s="796" t="n"/>
      <c r="BM27" s="680" t="n"/>
      <c r="BN27" s="796" t="n"/>
      <c r="BO27" s="680" t="n"/>
      <c r="BP27" s="796" t="n"/>
      <c r="BQ27" s="615">
        <f>BC27+BE27+BG27+BI27+BK27+BM27+BO27</f>
        <v/>
      </c>
      <c r="BR27" s="1046">
        <f>BD27+BF27+BH27+BJ27+BL27+BN27+BP27</f>
        <v/>
      </c>
      <c r="BS27" s="1037">
        <f>BR27-BQ27</f>
        <v/>
      </c>
      <c r="BT27" s="1047">
        <f>Z27+AM27+AZ27+BQ27+M27</f>
        <v/>
      </c>
      <c r="BU27" s="1048">
        <f>AA27+AN27+BA27+BR27+N27</f>
        <v/>
      </c>
      <c r="BV27" s="1049">
        <f>BT27-BU27</f>
        <v/>
      </c>
    </row>
    <row r="28">
      <c r="A28" s="591" t="inlineStr">
        <is>
          <t>Частное лицо (Покупатель)</t>
        </is>
      </c>
      <c r="B28" s="604" t="inlineStr">
        <is>
          <t>Приход</t>
        </is>
      </c>
      <c r="C28" s="680" t="n"/>
      <c r="D28" s="798" t="n"/>
      <c r="E28" s="680" t="n"/>
      <c r="F28" s="796" t="n"/>
      <c r="G28" s="680" t="n"/>
      <c r="H28" s="796" t="n"/>
      <c r="I28" s="680" t="n"/>
      <c r="J28" s="796" t="n"/>
      <c r="K28" s="680" t="n"/>
      <c r="L28" s="801" t="n">
        <v>195037</v>
      </c>
      <c r="M28" s="1043">
        <f>C28+E28+G28+I28+K28</f>
        <v/>
      </c>
      <c r="N28" s="1044">
        <f>D28+F28+H28+J28+L28</f>
        <v/>
      </c>
      <c r="O28" s="1031">
        <f>N28-M28</f>
        <v/>
      </c>
      <c r="P28" s="680" t="n"/>
      <c r="Q28" s="798" t="n"/>
      <c r="R28" s="680" t="n"/>
      <c r="S28" s="796" t="n"/>
      <c r="T28" s="680" t="n"/>
      <c r="U28" s="799" t="n">
        <v>228846</v>
      </c>
      <c r="V28" s="615" t="n">
        <v>200000</v>
      </c>
      <c r="W28" s="796" t="n">
        <v>484010</v>
      </c>
      <c r="X28" s="680" t="n"/>
      <c r="Y28" s="796" t="n"/>
      <c r="Z28" s="1043">
        <f>P28+R28+T28+V28+X28</f>
        <v/>
      </c>
      <c r="AA28" s="1044">
        <f>Q28+S28+U28+W28+Y28</f>
        <v/>
      </c>
      <c r="AB28" s="1031">
        <f>AA28-Z28</f>
        <v/>
      </c>
      <c r="AC28" s="680" t="n"/>
      <c r="AD28" s="798" t="n"/>
      <c r="AE28" s="680" t="n"/>
      <c r="AF28" s="796" t="n"/>
      <c r="AG28" s="680" t="n"/>
      <c r="AH28" s="796" t="n"/>
      <c r="AI28" s="615" t="n">
        <v>400000</v>
      </c>
      <c r="AJ28" s="796" t="n"/>
      <c r="AK28" s="680" t="n"/>
      <c r="AL28" s="796" t="n"/>
      <c r="AM28" s="615">
        <f>AC28+AE28+AG28+AI28+AK28</f>
        <v/>
      </c>
      <c r="AN28" s="1045">
        <f>AD28+AF28+AH28+AJ28+AL28</f>
        <v/>
      </c>
      <c r="AO28" s="1035">
        <f>AN28-AM28</f>
        <v/>
      </c>
      <c r="AP28" s="680" t="n"/>
      <c r="AQ28" s="798" t="n"/>
      <c r="AR28" s="680" t="n"/>
      <c r="AS28" s="796" t="n"/>
      <c r="AT28" s="680" t="n"/>
      <c r="AU28" s="796" t="n"/>
      <c r="AV28" s="615" t="n">
        <v>200000</v>
      </c>
      <c r="AW28" s="798" t="n"/>
      <c r="AX28" s="680" t="n"/>
      <c r="AY28" s="798" t="n"/>
      <c r="AZ28" s="615">
        <f>AP28+AR28+AT28+AV28+AX28</f>
        <v/>
      </c>
      <c r="BA28" s="1045">
        <f>AQ28+AS28+AU28+AW28+AY28</f>
        <v/>
      </c>
      <c r="BB28" s="1035">
        <f>BA28-AZ28</f>
        <v/>
      </c>
      <c r="BC28" s="680" t="n"/>
      <c r="BD28" s="798" t="n"/>
      <c r="BE28" s="615" t="n">
        <v>200000</v>
      </c>
      <c r="BF28" s="796" t="n"/>
      <c r="BG28" s="680" t="n"/>
      <c r="BH28" s="796" t="n"/>
      <c r="BI28" s="680" t="n"/>
      <c r="BJ28" s="796" t="n"/>
      <c r="BK28" s="680" t="n"/>
      <c r="BL28" s="796" t="n"/>
      <c r="BM28" s="680" t="n"/>
      <c r="BN28" s="796" t="n"/>
      <c r="BO28" s="680" t="n"/>
      <c r="BP28" s="796" t="n"/>
      <c r="BQ28" s="615">
        <f>BC28+BE28+BG28+BI28+BK28+BM28+BO28</f>
        <v/>
      </c>
      <c r="BR28" s="1046">
        <f>BD28+BF28+BH28+BJ28+BL28+BN28+BP28</f>
        <v/>
      </c>
      <c r="BS28" s="1037">
        <f>BR28-BQ28</f>
        <v/>
      </c>
      <c r="BT28" s="1047">
        <f>Z28+AM28+AZ28+BQ28+M28</f>
        <v/>
      </c>
      <c r="BU28" s="1048">
        <f>AA28+AN28+BA28+BR28+N28</f>
        <v/>
      </c>
      <c r="BV28" s="1049">
        <f>BT28-BU28</f>
        <v/>
      </c>
    </row>
    <row r="29">
      <c r="A29" s="591" t="inlineStr">
        <is>
          <t>98-FOOD vending : СКЛАД АППАРАТ №1 (ФЗ Ермагамбет)</t>
        </is>
      </c>
      <c r="B29" s="604" t="inlineStr">
        <is>
          <t>Приход</t>
        </is>
      </c>
      <c r="C29" s="680" t="n"/>
      <c r="D29" s="798" t="n"/>
      <c r="E29" s="680" t="n"/>
      <c r="F29" s="796" t="n"/>
      <c r="G29" s="680" t="n"/>
      <c r="H29" s="796" t="n"/>
      <c r="I29" s="680" t="n"/>
      <c r="J29" s="796" t="n"/>
      <c r="K29" s="680" t="n"/>
      <c r="L29" s="796" t="n"/>
      <c r="M29" s="1043">
        <f>C29+E29+G29+I29+K29</f>
        <v/>
      </c>
      <c r="N29" s="1044">
        <f>D29+F29+H29+J29+L29</f>
        <v/>
      </c>
      <c r="O29" s="1031">
        <f>N29-M29</f>
        <v/>
      </c>
      <c r="P29" s="680" t="n"/>
      <c r="Q29" s="798" t="n"/>
      <c r="R29" s="680" t="n"/>
      <c r="S29" s="796" t="n">
        <v>1500000</v>
      </c>
      <c r="T29" s="680" t="n"/>
      <c r="U29" s="796" t="n"/>
      <c r="V29" s="680" t="n"/>
      <c r="W29" s="796" t="n"/>
      <c r="X29" s="680" t="n"/>
      <c r="Y29" s="796" t="n"/>
      <c r="Z29" s="1043">
        <f>P29+R29+T29+V29+X29</f>
        <v/>
      </c>
      <c r="AA29" s="1044">
        <f>Q29+S29+U29+W29+Y29</f>
        <v/>
      </c>
      <c r="AB29" s="1031">
        <f>AA29-Z29</f>
        <v/>
      </c>
      <c r="AC29" s="680" t="n"/>
      <c r="AD29" s="798" t="n"/>
      <c r="AE29" s="680" t="n"/>
      <c r="AF29" s="796" t="n"/>
      <c r="AG29" s="680" t="n"/>
      <c r="AH29" s="796" t="n"/>
      <c r="AI29" s="680" t="n"/>
      <c r="AJ29" s="796" t="n"/>
      <c r="AK29" s="680" t="n"/>
      <c r="AL29" s="796" t="n"/>
      <c r="AM29" s="615">
        <f>AC29+AE29+AG29+AI29+AK29</f>
        <v/>
      </c>
      <c r="AN29" s="1045">
        <f>AD29+AF29+AH29+AJ29+AL29</f>
        <v/>
      </c>
      <c r="AO29" s="1035">
        <f>AN29-AM29</f>
        <v/>
      </c>
      <c r="AP29" s="680" t="n"/>
      <c r="AQ29" s="798" t="n"/>
      <c r="AR29" s="680" t="n"/>
      <c r="AS29" s="796" t="n"/>
      <c r="AT29" s="680" t="n"/>
      <c r="AU29" s="796" t="n"/>
      <c r="AV29" s="680" t="n"/>
      <c r="AW29" s="796" t="n"/>
      <c r="AX29" s="680" t="n"/>
      <c r="AY29" s="798" t="n"/>
      <c r="AZ29" s="615">
        <f>AP29+AR29+AT29+AV29+AX29</f>
        <v/>
      </c>
      <c r="BA29" s="1045">
        <f>AQ29+AS29+AU29+AW29+AY29</f>
        <v/>
      </c>
      <c r="BB29" s="1035">
        <f>BA29-AZ29</f>
        <v/>
      </c>
      <c r="BC29" s="680" t="n"/>
      <c r="BD29" s="798" t="n"/>
      <c r="BE29" s="680" t="n"/>
      <c r="BF29" s="796" t="n"/>
      <c r="BG29" s="680" t="n"/>
      <c r="BH29" s="796" t="n"/>
      <c r="BI29" s="680" t="n"/>
      <c r="BJ29" s="796" t="n"/>
      <c r="BK29" s="680" t="n"/>
      <c r="BL29" s="796" t="n"/>
      <c r="BM29" s="680" t="n"/>
      <c r="BN29" s="796" t="n"/>
      <c r="BO29" s="680" t="n"/>
      <c r="BP29" s="796" t="n"/>
      <c r="BQ29" s="615">
        <f>BC29+BE29+BG29+BI29+BK29+BM29+BO29</f>
        <v/>
      </c>
      <c r="BR29" s="1046">
        <f>BD29+BF29+BH29+BJ29+BL29+BN29+BP29</f>
        <v/>
      </c>
      <c r="BS29" s="1037">
        <f>BR29-BQ29</f>
        <v/>
      </c>
      <c r="BT29" s="1047">
        <f>Z29+AM29+AZ29+BQ29+M29</f>
        <v/>
      </c>
      <c r="BU29" s="1048">
        <f>AA29+AN29+BA29+BR29+N29</f>
        <v/>
      </c>
      <c r="BV29" s="1049">
        <f>BT29-BU29</f>
        <v/>
      </c>
    </row>
    <row r="30">
      <c r="A30" s="627" t="inlineStr">
        <is>
          <t>Итого по кассе</t>
        </is>
      </c>
      <c r="B30" s="596" t="inlineStr">
        <is>
          <t>Приход</t>
        </is>
      </c>
      <c r="C30" s="783" t="n">
        <v>0</v>
      </c>
      <c r="D30" s="786">
        <f>SUM(D21:D29)</f>
        <v/>
      </c>
      <c r="E30" s="783">
        <f>SUM(E21:E29)</f>
        <v/>
      </c>
      <c r="F30" s="784">
        <f>SUM(F21:F29)</f>
        <v/>
      </c>
      <c r="G30" s="783">
        <f>SUM(G21:G29)</f>
        <v/>
      </c>
      <c r="H30" s="784">
        <f>SUM(H21:H29)</f>
        <v/>
      </c>
      <c r="I30" s="783">
        <f>SUM(I21:I29)</f>
        <v/>
      </c>
      <c r="J30" s="784">
        <f>SUM(J21:J29)</f>
        <v/>
      </c>
      <c r="K30" s="783">
        <f>SUM(K21:K29)</f>
        <v/>
      </c>
      <c r="L30" s="784">
        <f>SUM(L21:L29)</f>
        <v/>
      </c>
      <c r="M30" s="783">
        <f>SUM(M21:M29)</f>
        <v/>
      </c>
      <c r="N30" s="784">
        <f>SUM(N21:N29)</f>
        <v/>
      </c>
      <c r="O30" s="1031">
        <f>N30-M30</f>
        <v/>
      </c>
      <c r="P30" s="783">
        <f>SUM(P21:P29)</f>
        <v/>
      </c>
      <c r="Q30" s="786">
        <f>SUM(Q21:Q29)</f>
        <v/>
      </c>
      <c r="R30" s="783">
        <f>SUM(R21:R29)</f>
        <v/>
      </c>
      <c r="S30" s="784">
        <f>SUM(S21:S29)</f>
        <v/>
      </c>
      <c r="T30" s="783">
        <f>SUM(T21:T29)</f>
        <v/>
      </c>
      <c r="U30" s="784">
        <f>SUM(U21:U29)</f>
        <v/>
      </c>
      <c r="V30" s="783">
        <f>SUM(V21:V29)</f>
        <v/>
      </c>
      <c r="W30" s="784">
        <f>SUM(W21:W29)</f>
        <v/>
      </c>
      <c r="X30" s="783">
        <f>SUM(X21:X29)</f>
        <v/>
      </c>
      <c r="Y30" s="784">
        <f>SUM(Y21:Y29)</f>
        <v/>
      </c>
      <c r="Z30" s="783">
        <f>SUM(Z21:Z29)</f>
        <v/>
      </c>
      <c r="AA30" s="784">
        <f>SUM(AA21:AA29)</f>
        <v/>
      </c>
      <c r="AB30" s="1031">
        <f>AA30-Z30</f>
        <v/>
      </c>
      <c r="AC30" s="783">
        <f>SUM(AC21:AC29)</f>
        <v/>
      </c>
      <c r="AD30" s="786">
        <f>SUM(AD21:AD29)</f>
        <v/>
      </c>
      <c r="AE30" s="783">
        <f>SUM(AE21:AE29)</f>
        <v/>
      </c>
      <c r="AF30" s="784">
        <f>SUM(AF21:AF29)</f>
        <v/>
      </c>
      <c r="AG30" s="783">
        <f>SUM(AG21:AG29)</f>
        <v/>
      </c>
      <c r="AH30" s="784">
        <f>SUM(AH21:AH29)</f>
        <v/>
      </c>
      <c r="AI30" s="783">
        <f>SUM(AI21:AI29)</f>
        <v/>
      </c>
      <c r="AJ30" s="784">
        <f>SUM(AJ21:AJ29)</f>
        <v/>
      </c>
      <c r="AK30" s="783">
        <f>SUM(AK21:AK29)</f>
        <v/>
      </c>
      <c r="AL30" s="784">
        <f>SUM(AL21:AL29)</f>
        <v/>
      </c>
      <c r="AM30" s="783">
        <f>SUM(AM21:AM29)</f>
        <v/>
      </c>
      <c r="AN30" s="784">
        <f>SUM(AN21:AN29)</f>
        <v/>
      </c>
      <c r="AO30" s="1034">
        <f>SUM(AO21:AO29)</f>
        <v/>
      </c>
      <c r="AP30" s="783">
        <f>SUM(AP21:AP29)</f>
        <v/>
      </c>
      <c r="AQ30" s="784">
        <f>SUM(AQ21:AQ29)</f>
        <v/>
      </c>
      <c r="AR30" s="783">
        <f>SUM(AR21:AR29)</f>
        <v/>
      </c>
      <c r="AS30" s="784">
        <f>SUM(AS21:AS29)</f>
        <v/>
      </c>
      <c r="AT30" s="783">
        <f>SUM(AT21:AT29)</f>
        <v/>
      </c>
      <c r="AU30" s="784">
        <f>SUM(AU21:AU29)</f>
        <v/>
      </c>
      <c r="AV30" s="783">
        <f>SUM(AV21:AV29)</f>
        <v/>
      </c>
      <c r="AW30" s="784">
        <f>SUM(AW21:AW29)</f>
        <v/>
      </c>
      <c r="AX30" s="783">
        <f>SUM(AX21:AX29)</f>
        <v/>
      </c>
      <c r="AY30" s="786">
        <f>SUM(AY21:AY29)</f>
        <v/>
      </c>
      <c r="AZ30" s="783">
        <f>SUM(AZ21:AZ29)</f>
        <v/>
      </c>
      <c r="BA30" s="784">
        <f>SUM(BA21:BA29)</f>
        <v/>
      </c>
      <c r="BB30" s="1035">
        <f>BA30-AZ30</f>
        <v/>
      </c>
      <c r="BC30" s="783">
        <f>SUM(BC21:BC29)</f>
        <v/>
      </c>
      <c r="BD30" s="786">
        <f>SUM(BD21:BD29)</f>
        <v/>
      </c>
      <c r="BE30" s="783">
        <f>SUM(BE21:BE29)</f>
        <v/>
      </c>
      <c r="BF30" s="784">
        <f>SUM(BF21:BF29)</f>
        <v/>
      </c>
      <c r="BG30" s="783">
        <f>SUM(BG21:BG29)</f>
        <v/>
      </c>
      <c r="BH30" s="784">
        <f>SUM(BH21:BH29)</f>
        <v/>
      </c>
      <c r="BI30" s="783">
        <f>SUM(BI21:BI29)</f>
        <v/>
      </c>
      <c r="BJ30" s="784">
        <f>SUM(BJ21:BJ29)</f>
        <v/>
      </c>
      <c r="BK30" s="783">
        <f>SUM(BK21:BK29)</f>
        <v/>
      </c>
      <c r="BL30" s="784">
        <f>SUM(BL21:BL29)</f>
        <v/>
      </c>
      <c r="BM30" s="783">
        <f>SUM(BM21:BM29)</f>
        <v/>
      </c>
      <c r="BN30" s="784">
        <f>SUM(BN21:BN29)</f>
        <v/>
      </c>
      <c r="BO30" s="783">
        <f>SUM(BO21:BO29)</f>
        <v/>
      </c>
      <c r="BP30" s="784">
        <f>SUM(BP21:BP29)</f>
        <v/>
      </c>
      <c r="BQ30" s="783">
        <f>SUM(BQ21:BQ29)</f>
        <v/>
      </c>
      <c r="BR30" s="784">
        <f>SUM(BR21:BR29)</f>
        <v/>
      </c>
      <c r="BS30" s="1037">
        <f>BR30-BQ30</f>
        <v/>
      </c>
      <c r="BT30" s="1063">
        <f>SUM(BT21:BT29)</f>
        <v/>
      </c>
      <c r="BU30" s="1064">
        <f>SUM(BU21:BU29)</f>
        <v/>
      </c>
      <c r="BV30" s="1049">
        <f>BT30-BU30</f>
        <v/>
      </c>
    </row>
    <row r="31">
      <c r="A31" s="629" t="inlineStr">
        <is>
          <t>1.Выручка</t>
        </is>
      </c>
      <c r="B31" s="630" t="inlineStr">
        <is>
          <t>Приход</t>
        </is>
      </c>
      <c r="C31" s="628" t="n">
        <v>0</v>
      </c>
      <c r="D31" s="628">
        <f>D20+D30</f>
        <v/>
      </c>
      <c r="E31" s="628">
        <f>E20+E30</f>
        <v/>
      </c>
      <c r="F31" s="628">
        <f>F20+F30</f>
        <v/>
      </c>
      <c r="G31" s="628">
        <f>G20+G30</f>
        <v/>
      </c>
      <c r="H31" s="628">
        <f>H20+H30</f>
        <v/>
      </c>
      <c r="I31" s="628">
        <f>I20+I30</f>
        <v/>
      </c>
      <c r="J31" s="628">
        <f>J20+J30</f>
        <v/>
      </c>
      <c r="K31" s="628">
        <f>K20+K30</f>
        <v/>
      </c>
      <c r="L31" s="628">
        <f>L20+L30</f>
        <v/>
      </c>
      <c r="M31" s="1065">
        <f>M30+M20</f>
        <v/>
      </c>
      <c r="N31" s="1065">
        <f>N30+N20</f>
        <v/>
      </c>
      <c r="O31" s="1065">
        <f>N31-M31</f>
        <v/>
      </c>
      <c r="P31" s="628">
        <f>P20+P30</f>
        <v/>
      </c>
      <c r="Q31" s="628">
        <f>Q20+Q30</f>
        <v/>
      </c>
      <c r="R31" s="628">
        <f>R20+R30</f>
        <v/>
      </c>
      <c r="S31" s="628">
        <f>S20+S30</f>
        <v/>
      </c>
      <c r="T31" s="628">
        <f>T20+T30</f>
        <v/>
      </c>
      <c r="U31" s="628">
        <f>U20+U30</f>
        <v/>
      </c>
      <c r="V31" s="628">
        <f>V20+V30</f>
        <v/>
      </c>
      <c r="W31" s="628">
        <f>W20+W30</f>
        <v/>
      </c>
      <c r="X31" s="628">
        <f>X20+X30</f>
        <v/>
      </c>
      <c r="Y31" s="628">
        <f>Y20+Y30</f>
        <v/>
      </c>
      <c r="Z31" s="1065">
        <f>Z30+Z20</f>
        <v/>
      </c>
      <c r="AA31" s="1065">
        <f>AA30+AA20</f>
        <v/>
      </c>
      <c r="AB31" s="1065">
        <f>AA31-Z31</f>
        <v/>
      </c>
      <c r="AC31" s="628">
        <f>AC20+AC30</f>
        <v/>
      </c>
      <c r="AD31" s="628">
        <f>AD20+AD30</f>
        <v/>
      </c>
      <c r="AE31" s="628">
        <f>AE20+AE30</f>
        <v/>
      </c>
      <c r="AF31" s="628">
        <f>AF20+AF30</f>
        <v/>
      </c>
      <c r="AG31" s="628">
        <f>AG20+AG30</f>
        <v/>
      </c>
      <c r="AH31" s="628">
        <f>AH20+AH30</f>
        <v/>
      </c>
      <c r="AI31" s="628">
        <f>AI20+AI30</f>
        <v/>
      </c>
      <c r="AJ31" s="628">
        <f>AJ20+AJ30</f>
        <v/>
      </c>
      <c r="AK31" s="628">
        <f>AK20+AK30</f>
        <v/>
      </c>
      <c r="AL31" s="628">
        <f>AL20+AL30</f>
        <v/>
      </c>
      <c r="AM31" s="628">
        <f>AM20+AM30</f>
        <v/>
      </c>
      <c r="AN31" s="628">
        <f>AN20+AN30</f>
        <v/>
      </c>
      <c r="AO31" s="1034">
        <f>AN31-AM31</f>
        <v/>
      </c>
      <c r="AP31" s="628">
        <f>AP20+AP30</f>
        <v/>
      </c>
      <c r="AQ31" s="628">
        <f>AQ20+AQ30</f>
        <v/>
      </c>
      <c r="AR31" s="628">
        <f>AR20+AR30</f>
        <v/>
      </c>
      <c r="AS31" s="628">
        <f>AS20+AS30</f>
        <v/>
      </c>
      <c r="AT31" s="628">
        <f>AT20+AT30</f>
        <v/>
      </c>
      <c r="AU31" s="628">
        <f>AU20+AU30</f>
        <v/>
      </c>
      <c r="AV31" s="628">
        <f>AV20+AV30</f>
        <v/>
      </c>
      <c r="AW31" s="628">
        <f>AW20+AW30</f>
        <v/>
      </c>
      <c r="AX31" s="628">
        <f>AX20+AX30</f>
        <v/>
      </c>
      <c r="AY31" s="628">
        <f>AY20+AY30</f>
        <v/>
      </c>
      <c r="AZ31" s="628">
        <f>AZ20+AZ30</f>
        <v/>
      </c>
      <c r="BA31" s="628">
        <f>BA20+BA30</f>
        <v/>
      </c>
      <c r="BB31" s="628">
        <f>BA31-AZ31</f>
        <v/>
      </c>
      <c r="BC31" s="628">
        <f>BC20+BC30</f>
        <v/>
      </c>
      <c r="BD31" s="628">
        <f>BD20+BD30</f>
        <v/>
      </c>
      <c r="BE31" s="628">
        <f>BE20+BE30</f>
        <v/>
      </c>
      <c r="BF31" s="628">
        <f>BF20+BF30</f>
        <v/>
      </c>
      <c r="BG31" s="628">
        <f>BG20+BG30</f>
        <v/>
      </c>
      <c r="BH31" s="628">
        <f>BH20+BH30</f>
        <v/>
      </c>
      <c r="BI31" s="628">
        <f>BI20+BI30</f>
        <v/>
      </c>
      <c r="BJ31" s="628">
        <f>BJ20+BJ30</f>
        <v/>
      </c>
      <c r="BK31" s="628">
        <f>BK20+BK30</f>
        <v/>
      </c>
      <c r="BL31" s="628">
        <f>BL20+BL30</f>
        <v/>
      </c>
      <c r="BM31" s="628">
        <f>BM20+BM30</f>
        <v/>
      </c>
      <c r="BN31" s="628">
        <f>BN20+BN30</f>
        <v/>
      </c>
      <c r="BO31" s="628">
        <f>BO20+BO30</f>
        <v/>
      </c>
      <c r="BP31" s="628">
        <f>BP20+BP30</f>
        <v/>
      </c>
      <c r="BQ31" s="628">
        <f>BQ20+BQ30</f>
        <v/>
      </c>
      <c r="BR31" s="628">
        <f>BR20+BR30</f>
        <v/>
      </c>
      <c r="BS31" s="1037">
        <f>BR31-BQ31</f>
        <v/>
      </c>
      <c r="BT31" s="1066">
        <f>BT20+BT30</f>
        <v/>
      </c>
      <c r="BU31" s="1067">
        <f>BU20+BU30</f>
        <v/>
      </c>
      <c r="BV31" s="1068">
        <f>BT31-BU31</f>
        <v/>
      </c>
    </row>
    <row r="32">
      <c r="A32" s="633" t="inlineStr">
        <is>
          <t>IT-обслуживание,телефония,интернет</t>
        </is>
      </c>
      <c r="B32" s="604" t="inlineStr">
        <is>
          <t>Расход</t>
        </is>
      </c>
      <c r="C32" s="680" t="n"/>
      <c r="D32" s="796" t="n"/>
      <c r="E32" s="680" t="n"/>
      <c r="F32" s="796" t="n"/>
      <c r="G32" s="647" t="n">
        <v>-82240</v>
      </c>
      <c r="H32" s="641">
        <f>-85400-85177</f>
        <v/>
      </c>
      <c r="I32" s="642" t="n">
        <v>-220400</v>
      </c>
      <c r="J32" s="634" t="n"/>
      <c r="K32" s="642" t="n">
        <v>-80000</v>
      </c>
      <c r="L32" s="634" t="n"/>
      <c r="M32" s="1069">
        <f>C32+E32+G32+I32+K32</f>
        <v/>
      </c>
      <c r="N32" s="1044">
        <f>D32+F32+H32+J32+L32</f>
        <v/>
      </c>
      <c r="O32" s="1070">
        <f>N32-M32</f>
        <v/>
      </c>
      <c r="P32" s="643" t="n"/>
      <c r="Q32" s="634" t="n"/>
      <c r="R32" s="1071" t="n">
        <v>-120000</v>
      </c>
      <c r="S32" s="796" t="n"/>
      <c r="T32" s="680" t="n"/>
      <c r="U32" s="796" t="n"/>
      <c r="V32" s="680" t="n"/>
      <c r="W32" s="796" t="n"/>
      <c r="X32" s="680" t="n"/>
      <c r="Y32" s="796" t="n"/>
      <c r="Z32" s="810">
        <f>P32+T32+R32+V32+X32</f>
        <v/>
      </c>
      <c r="AA32" s="1044">
        <f>Q32+S32+U32+W32+Y32</f>
        <v/>
      </c>
      <c r="AB32" s="1070">
        <f>AA32-Z32</f>
        <v/>
      </c>
      <c r="AC32" s="680" t="n"/>
      <c r="AD32" s="796" t="n"/>
      <c r="AE32" s="680" t="n"/>
      <c r="AF32" s="796" t="n"/>
      <c r="AG32" s="680" t="n"/>
      <c r="AH32" s="796" t="n"/>
      <c r="AI32" s="680" t="n"/>
      <c r="AJ32" s="796" t="n"/>
      <c r="AK32" s="680" t="n"/>
      <c r="AL32" s="796" t="n"/>
      <c r="AM32" s="645">
        <f>AC32+AE32+AG32+AI32+AK32</f>
        <v/>
      </c>
      <c r="AN32" s="1072">
        <f>AD32+AF32+AH32+AJ32+AL32</f>
        <v/>
      </c>
      <c r="AO32" s="1073">
        <f>AN32-AM32</f>
        <v/>
      </c>
      <c r="AP32" s="637" t="n"/>
      <c r="AQ32" s="796" t="n"/>
      <c r="AR32" s="680" t="n"/>
      <c r="AS32" s="796" t="n"/>
      <c r="AT32" s="680" t="n"/>
      <c r="AU32" s="796" t="n"/>
      <c r="AV32" s="637" t="n"/>
      <c r="AW32" s="796" t="n"/>
      <c r="AX32" s="680" t="n"/>
      <c r="AY32" s="798" t="n"/>
      <c r="AZ32" s="645">
        <f>AP32+AR32+AT32+AV32+AX32</f>
        <v/>
      </c>
      <c r="BA32" s="1072">
        <f>AQ32+AS32+AU32+AW32+AY32</f>
        <v/>
      </c>
      <c r="BB32" s="1035">
        <f>BA32-AZ32</f>
        <v/>
      </c>
      <c r="BC32" s="1074" t="n">
        <v>-40472</v>
      </c>
      <c r="BD32" s="796" t="n"/>
      <c r="BE32" s="645" t="n">
        <v>-90000</v>
      </c>
      <c r="BF32" s="796" t="n"/>
      <c r="BG32" s="680" t="n"/>
      <c r="BH32" s="796" t="n"/>
      <c r="BI32" s="680" t="n"/>
      <c r="BJ32" s="796" t="n"/>
      <c r="BK32" s="680" t="n"/>
      <c r="BL32" s="796" t="n"/>
      <c r="BM32" s="680" t="n"/>
      <c r="BN32" s="796" t="n"/>
      <c r="BO32" s="680" t="n"/>
      <c r="BP32" s="796" t="n"/>
      <c r="BQ32" s="647">
        <f>BC32+BE32+BG32+BI32+BK32+BM32+BO32</f>
        <v/>
      </c>
      <c r="BR32" s="1046">
        <f>BD32+BF32+BH32+BJ32+BL32+BN32+BP32</f>
        <v/>
      </c>
      <c r="BS32" s="1037">
        <f>BR32-BQ32</f>
        <v/>
      </c>
      <c r="BT32" s="1075">
        <f>Z32+AM32+AZ32+BQ32+M32</f>
        <v/>
      </c>
      <c r="BU32" s="1076">
        <f>AA32+AN32+BA32+BR32+N32</f>
        <v/>
      </c>
      <c r="BV32" s="1049">
        <f>BT32-BU32</f>
        <v/>
      </c>
    </row>
    <row r="33">
      <c r="A33" s="633" t="inlineStr">
        <is>
          <t>Авансы поставщикам</t>
        </is>
      </c>
      <c r="B33" s="604" t="inlineStr">
        <is>
          <t>Расход</t>
        </is>
      </c>
      <c r="C33" s="680" t="n"/>
      <c r="D33" s="796" t="n"/>
      <c r="E33" s="680" t="n"/>
      <c r="F33" s="796" t="n"/>
      <c r="G33" s="643" t="n"/>
      <c r="H33" s="634" t="n"/>
      <c r="I33" s="643" t="n"/>
      <c r="J33" s="634" t="n"/>
      <c r="K33" s="643" t="n"/>
      <c r="L33" s="634" t="n"/>
      <c r="M33" s="1069">
        <f>C33+E33+G33+I33+K33</f>
        <v/>
      </c>
      <c r="N33" s="1044">
        <f>D33+F33+H33+J33+L33</f>
        <v/>
      </c>
      <c r="O33" s="1070">
        <f>N33-M33</f>
        <v/>
      </c>
      <c r="P33" s="643" t="n"/>
      <c r="Q33" s="634" t="n"/>
      <c r="R33" s="680" t="n"/>
      <c r="S33" s="796" t="n"/>
      <c r="T33" s="680" t="n"/>
      <c r="U33" s="796" t="n"/>
      <c r="V33" s="680" t="n"/>
      <c r="W33" s="796" t="n"/>
      <c r="X33" s="680" t="n"/>
      <c r="Y33" s="796" t="n"/>
      <c r="Z33" s="810">
        <f>P33+T33+R33+V33+X33</f>
        <v/>
      </c>
      <c r="AA33" s="1044">
        <f>Q33+S33+U33+W33+Y33</f>
        <v/>
      </c>
      <c r="AB33" s="1070">
        <f>AA33-Z33</f>
        <v/>
      </c>
      <c r="AC33" s="680" t="n"/>
      <c r="AD33" s="796" t="n"/>
      <c r="AE33" s="680" t="n"/>
      <c r="AF33" s="796" t="n"/>
      <c r="AG33" s="680" t="n"/>
      <c r="AH33" s="796" t="n"/>
      <c r="AI33" s="680" t="n"/>
      <c r="AJ33" s="796" t="n"/>
      <c r="AK33" s="680" t="n"/>
      <c r="AL33" s="796" t="n"/>
      <c r="AM33" s="645">
        <f>AC33+AE33+AG33+AI33+AK33</f>
        <v/>
      </c>
      <c r="AN33" s="1072">
        <f>AD33+AF33+AH33+AJ33+AL33</f>
        <v/>
      </c>
      <c r="AO33" s="1073">
        <f>AN33-AM33</f>
        <v/>
      </c>
      <c r="AP33" s="680" t="n"/>
      <c r="AQ33" s="796" t="n"/>
      <c r="AR33" s="680" t="n"/>
      <c r="AS33" s="796" t="n"/>
      <c r="AT33" s="680" t="n"/>
      <c r="AU33" s="796" t="n"/>
      <c r="AV33" s="680" t="n"/>
      <c r="AW33" s="796" t="n"/>
      <c r="AX33" s="680" t="n"/>
      <c r="AY33" s="798" t="n"/>
      <c r="AZ33" s="645">
        <f>AP33+AR33+AT33+AV33+AX33</f>
        <v/>
      </c>
      <c r="BA33" s="1072">
        <f>AQ33+AS33+AU33+AW33+AY33</f>
        <v/>
      </c>
      <c r="BB33" s="1035">
        <f>BA33-AZ33</f>
        <v/>
      </c>
      <c r="BC33" s="680" t="n"/>
      <c r="BD33" s="796" t="n"/>
      <c r="BE33" s="680" t="n"/>
      <c r="BF33" s="796" t="n"/>
      <c r="BG33" s="680" t="n"/>
      <c r="BH33" s="796" t="n"/>
      <c r="BI33" s="680" t="n"/>
      <c r="BJ33" s="796" t="n"/>
      <c r="BK33" s="680" t="n"/>
      <c r="BL33" s="796" t="n"/>
      <c r="BM33" s="680" t="n"/>
      <c r="BN33" s="796" t="n"/>
      <c r="BO33" s="680" t="n"/>
      <c r="BP33" s="796" t="n"/>
      <c r="BQ33" s="647">
        <f>BC33+BE33+BG33+BI33+BK33+BM33+BO33</f>
        <v/>
      </c>
      <c r="BR33" s="1046">
        <f>BD33+BF33+BH33+BJ33+BL33+BN33+BP33</f>
        <v/>
      </c>
      <c r="BS33" s="1037">
        <f>BR33-BQ33</f>
        <v/>
      </c>
      <c r="BT33" s="1075">
        <f>Z33+AM33+AZ33+BQ33+M33</f>
        <v/>
      </c>
      <c r="BU33" s="1076">
        <f>AA33+AN33+BA33+BR33+N33</f>
        <v/>
      </c>
      <c r="BV33" s="1049">
        <f>BT33-BU33</f>
        <v/>
      </c>
    </row>
    <row r="34">
      <c r="A34" s="633" t="inlineStr">
        <is>
          <t>Административные расходы</t>
        </is>
      </c>
      <c r="B34" s="604" t="inlineStr">
        <is>
          <t>Расход</t>
        </is>
      </c>
      <c r="C34" s="643" t="n"/>
      <c r="D34" s="796" t="n"/>
      <c r="E34" s="643" t="n"/>
      <c r="F34" s="796" t="n"/>
      <c r="G34" s="643" t="n"/>
      <c r="H34" s="641">
        <f>-4000-1950</f>
        <v/>
      </c>
      <c r="I34" s="642" t="n">
        <v>-3000</v>
      </c>
      <c r="J34" s="641" t="n">
        <v>-6050</v>
      </c>
      <c r="K34" s="642" t="n">
        <v>-3000</v>
      </c>
      <c r="L34" s="641">
        <f>-5300-44700</f>
        <v/>
      </c>
      <c r="M34" s="1069">
        <f>C34+E34+G34+I34+K34</f>
        <v/>
      </c>
      <c r="N34" s="1044">
        <f>D34+F34+H34+J34+L34</f>
        <v/>
      </c>
      <c r="O34" s="1070">
        <f>N34-M34</f>
        <v/>
      </c>
      <c r="P34" s="642" t="n">
        <v>-3000</v>
      </c>
      <c r="Q34" s="641">
        <f>-950000-220400-1300</f>
        <v/>
      </c>
      <c r="R34" s="642">
        <f>-3000-400000</f>
        <v/>
      </c>
      <c r="S34" s="804">
        <f>-400000-1300</f>
        <v/>
      </c>
      <c r="T34" s="649" t="n">
        <v>-3000</v>
      </c>
      <c r="U34" s="796">
        <f>-24300-4000</f>
        <v/>
      </c>
      <c r="V34" s="642" t="n">
        <v>-3000</v>
      </c>
      <c r="W34" s="796">
        <f>-204000</f>
        <v/>
      </c>
      <c r="X34" s="642" t="n">
        <v>-3000</v>
      </c>
      <c r="Y34" s="796">
        <f>-18050-1300</f>
        <v/>
      </c>
      <c r="Z34" s="810">
        <f>P34+T34+R34+V34+X34</f>
        <v/>
      </c>
      <c r="AA34" s="1044">
        <f>Q34+S34+U34+W34+Y34</f>
        <v/>
      </c>
      <c r="AB34" s="1070">
        <f>AA34-Z34</f>
        <v/>
      </c>
      <c r="AC34" s="642" t="n">
        <v>-3000</v>
      </c>
      <c r="AD34" s="796" t="n"/>
      <c r="AE34" s="642" t="n">
        <v>-30000</v>
      </c>
      <c r="AF34" s="796" t="n"/>
      <c r="AG34" s="642" t="n">
        <v>-32400</v>
      </c>
      <c r="AH34" s="796" t="n"/>
      <c r="AI34" s="642" t="n">
        <v>-30000</v>
      </c>
      <c r="AJ34" s="796" t="n"/>
      <c r="AK34" s="643" t="n"/>
      <c r="AL34" s="796" t="n"/>
      <c r="AM34" s="645">
        <f>AC34+AE34+AG34+AI34+AK34</f>
        <v/>
      </c>
      <c r="AN34" s="1072">
        <f>AD34+AF34+AH34+AJ34+AL34</f>
        <v/>
      </c>
      <c r="AO34" s="1073">
        <f>AN34-AM34</f>
        <v/>
      </c>
      <c r="AP34" s="645" t="n">
        <v>-3000</v>
      </c>
      <c r="AQ34" s="796" t="n"/>
      <c r="AR34" s="645" t="n">
        <v>-3000</v>
      </c>
      <c r="AS34" s="796" t="n"/>
      <c r="AT34" s="645" t="n">
        <v>-3000</v>
      </c>
      <c r="AU34" s="796" t="n"/>
      <c r="AV34" s="642" t="n">
        <v>-30000</v>
      </c>
      <c r="AW34" s="796" t="n"/>
      <c r="AX34" s="642" t="n">
        <v>-3000</v>
      </c>
      <c r="AY34" s="798" t="n"/>
      <c r="AZ34" s="645">
        <f>AP34+AR34+AT34+AV34+AX34</f>
        <v/>
      </c>
      <c r="BA34" s="1072">
        <f>AQ34+AS34+AU34+AW34+AY34</f>
        <v/>
      </c>
      <c r="BB34" s="1035">
        <f>BA34-AZ34</f>
        <v/>
      </c>
      <c r="BC34" s="642" t="n">
        <v>-3000</v>
      </c>
      <c r="BD34" s="796" t="n"/>
      <c r="BE34" s="642" t="n">
        <v>-3000</v>
      </c>
      <c r="BF34" s="796" t="n"/>
      <c r="BG34" s="642" t="n">
        <v>-3000</v>
      </c>
      <c r="BH34" s="796" t="n"/>
      <c r="BI34" s="642" t="n">
        <v>-3000</v>
      </c>
      <c r="BJ34" s="796" t="n"/>
      <c r="BK34" s="643" t="n"/>
      <c r="BL34" s="796" t="n"/>
      <c r="BM34" s="680" t="n"/>
      <c r="BN34" s="796" t="n"/>
      <c r="BO34" s="680" t="n"/>
      <c r="BP34" s="796" t="n"/>
      <c r="BQ34" s="647">
        <f>BC34+BE34+BG34+BI34+BK34+BM34+BO34</f>
        <v/>
      </c>
      <c r="BR34" s="1046">
        <f>BD34+BF34+BH34+BJ34+BL34+BN34+BP34</f>
        <v/>
      </c>
      <c r="BS34" s="1037">
        <f>BR34-BQ34</f>
        <v/>
      </c>
      <c r="BT34" s="1075">
        <f>Z34+AM34+AZ34+BQ34+M34</f>
        <v/>
      </c>
      <c r="BU34" s="1076">
        <f>AA34+AN34+BA34+BR34+N34</f>
        <v/>
      </c>
      <c r="BV34" s="1049">
        <f>BT34-BU34</f>
        <v/>
      </c>
    </row>
    <row r="35">
      <c r="A35" s="633" t="inlineStr">
        <is>
          <t>Возврат ВФП</t>
        </is>
      </c>
      <c r="B35" s="604" t="inlineStr">
        <is>
          <t>Расход</t>
        </is>
      </c>
      <c r="C35" s="680" t="n"/>
      <c r="D35" s="796" t="n"/>
      <c r="E35" s="680" t="n"/>
      <c r="F35" s="796" t="n"/>
      <c r="G35" s="643" t="n"/>
      <c r="H35" s="634" t="n"/>
      <c r="I35" s="643" t="n"/>
      <c r="J35" s="634" t="n"/>
      <c r="K35" s="643" t="n"/>
      <c r="L35" s="634" t="n"/>
      <c r="M35" s="1069">
        <f>C35+E35+G35+I35+K35</f>
        <v/>
      </c>
      <c r="N35" s="1044">
        <f>D35+F35+H35+J35+L35</f>
        <v/>
      </c>
      <c r="O35" s="1070">
        <f>N35-M35</f>
        <v/>
      </c>
      <c r="P35" s="643" t="n"/>
      <c r="Q35" s="634" t="n"/>
      <c r="R35" s="680" t="n"/>
      <c r="S35" s="796" t="n"/>
      <c r="T35" s="680" t="n"/>
      <c r="U35" s="796" t="n"/>
      <c r="V35" s="680" t="n"/>
      <c r="W35" s="796" t="n"/>
      <c r="X35" s="680" t="n"/>
      <c r="Y35" s="796" t="n"/>
      <c r="Z35" s="810">
        <f>P35+T35+R35+V35+X35</f>
        <v/>
      </c>
      <c r="AA35" s="1044">
        <f>Q35+S35+U35+W35+Y35</f>
        <v/>
      </c>
      <c r="AB35" s="1070">
        <f>AA35-Z35</f>
        <v/>
      </c>
      <c r="AC35" s="680" t="n"/>
      <c r="AD35" s="796" t="n"/>
      <c r="AE35" s="680" t="n"/>
      <c r="AF35" s="796" t="n"/>
      <c r="AG35" s="680" t="n"/>
      <c r="AH35" s="796" t="n"/>
      <c r="AI35" s="680" t="n"/>
      <c r="AJ35" s="796" t="n"/>
      <c r="AK35" s="680" t="n"/>
      <c r="AL35" s="796" t="n"/>
      <c r="AM35" s="645">
        <f>AC35+AE35+AG35+AI35+AK35</f>
        <v/>
      </c>
      <c r="AN35" s="1072">
        <f>AD35+AF35+AH35+AJ35+AL35</f>
        <v/>
      </c>
      <c r="AO35" s="1073">
        <f>AN35-AM35</f>
        <v/>
      </c>
      <c r="AP35" s="680" t="n"/>
      <c r="AQ35" s="796" t="n"/>
      <c r="AR35" s="680" t="n"/>
      <c r="AS35" s="796" t="n"/>
      <c r="AT35" s="680" t="n"/>
      <c r="AU35" s="796" t="n"/>
      <c r="AV35" s="680" t="n"/>
      <c r="AW35" s="796" t="n"/>
      <c r="AX35" s="680" t="n"/>
      <c r="AY35" s="798" t="n"/>
      <c r="AZ35" s="645">
        <f>AP35+AR35+AT35+AV35+AX35</f>
        <v/>
      </c>
      <c r="BA35" s="1072">
        <f>AQ35+AS35+AU35+AW35+AY35</f>
        <v/>
      </c>
      <c r="BB35" s="1035">
        <f>BA35-AZ35</f>
        <v/>
      </c>
      <c r="BC35" s="643" t="n"/>
      <c r="BD35" s="796" t="n"/>
      <c r="BE35" s="680" t="n"/>
      <c r="BF35" s="796" t="n"/>
      <c r="BG35" s="680" t="n"/>
      <c r="BH35" s="796" t="n"/>
      <c r="BI35" s="680" t="n"/>
      <c r="BJ35" s="796" t="n"/>
      <c r="BK35" s="680" t="n"/>
      <c r="BL35" s="796" t="n"/>
      <c r="BM35" s="680" t="n"/>
      <c r="BN35" s="796" t="n"/>
      <c r="BO35" s="680" t="n"/>
      <c r="BP35" s="796" t="n"/>
      <c r="BQ35" s="647">
        <f>BC35+BE35+BG35+BI35+BK35+BM35+BO35</f>
        <v/>
      </c>
      <c r="BR35" s="1046">
        <f>BD35+BF35+BH35+BJ35+BL35+BN35+BP35</f>
        <v/>
      </c>
      <c r="BS35" s="1037">
        <f>BR35-BQ35</f>
        <v/>
      </c>
      <c r="BT35" s="1075">
        <f>Z35+AM35+AZ35+BQ35+M35</f>
        <v/>
      </c>
      <c r="BU35" s="1076">
        <f>AA35+AN35+BA35+BR35+N35</f>
        <v/>
      </c>
      <c r="BV35" s="1049">
        <f>BT35-BU35</f>
        <v/>
      </c>
    </row>
    <row r="36">
      <c r="A36" s="604" t="inlineStr">
        <is>
          <t>Представительские расходы</t>
        </is>
      </c>
      <c r="B36" s="604" t="inlineStr">
        <is>
          <t>Расход</t>
        </is>
      </c>
      <c r="C36" s="680" t="n"/>
      <c r="D36" s="796" t="n"/>
      <c r="E36" s="680" t="n"/>
      <c r="F36" s="796" t="n"/>
      <c r="G36" s="643" t="n"/>
      <c r="H36" s="634" t="n"/>
      <c r="I36" s="643" t="n"/>
      <c r="J36" s="634" t="n"/>
      <c r="K36" s="643" t="n"/>
      <c r="L36" s="634" t="n"/>
      <c r="M36" s="1069">
        <f>C36+E36+G36+I36+K36</f>
        <v/>
      </c>
      <c r="N36" s="1044">
        <f>D36+F36+H36+J36+L36</f>
        <v/>
      </c>
      <c r="O36" s="1070">
        <f>N36-M36</f>
        <v/>
      </c>
      <c r="P36" s="643" t="n"/>
      <c r="Q36" s="634" t="n"/>
      <c r="R36" s="680" t="n"/>
      <c r="S36" s="796" t="n"/>
      <c r="T36" s="680" t="n"/>
      <c r="U36" s="796" t="n"/>
      <c r="V36" s="680" t="n"/>
      <c r="W36" s="796" t="n"/>
      <c r="X36" s="680" t="n"/>
      <c r="Y36" s="796" t="n"/>
      <c r="Z36" s="810">
        <f>P36+T36+R36+V36+X36</f>
        <v/>
      </c>
      <c r="AA36" s="1044">
        <f>Q36+S36+U36+W36+Y36</f>
        <v/>
      </c>
      <c r="AB36" s="1070">
        <f>AA36-Z36</f>
        <v/>
      </c>
      <c r="AC36" s="680" t="n"/>
      <c r="AD36" s="796" t="n"/>
      <c r="AE36" s="680" t="n"/>
      <c r="AF36" s="796" t="n"/>
      <c r="AG36" s="680" t="n"/>
      <c r="AH36" s="796" t="n"/>
      <c r="AI36" s="680" t="n"/>
      <c r="AJ36" s="796" t="n"/>
      <c r="AK36" s="680" t="n"/>
      <c r="AL36" s="796" t="n"/>
      <c r="AM36" s="645">
        <f>AC36+AE36+AG36+AI36+AK36</f>
        <v/>
      </c>
      <c r="AN36" s="1072">
        <f>AD36+AF36+AH36+AJ36+AL36</f>
        <v/>
      </c>
      <c r="AO36" s="1073">
        <f>AN36-AM36</f>
        <v/>
      </c>
      <c r="AP36" s="680" t="n"/>
      <c r="AQ36" s="796" t="n"/>
      <c r="AR36" s="680" t="n"/>
      <c r="AS36" s="796" t="n"/>
      <c r="AT36" s="680" t="n"/>
      <c r="AU36" s="796" t="n"/>
      <c r="AV36" s="680" t="n"/>
      <c r="AW36" s="796" t="n"/>
      <c r="AX36" s="680" t="n"/>
      <c r="AY36" s="798" t="n"/>
      <c r="AZ36" s="645">
        <f>AP36+AR36+AT36+AV36+AX36</f>
        <v/>
      </c>
      <c r="BA36" s="1072">
        <f>AQ36+AS36+AU36+AW36+AY36</f>
        <v/>
      </c>
      <c r="BB36" s="1035">
        <f>BA36-AZ36</f>
        <v/>
      </c>
      <c r="BC36" s="643" t="n"/>
      <c r="BD36" s="796" t="n"/>
      <c r="BE36" s="680" t="n"/>
      <c r="BF36" s="796" t="n"/>
      <c r="BG36" s="680" t="n"/>
      <c r="BH36" s="796" t="n"/>
      <c r="BI36" s="680" t="n"/>
      <c r="BJ36" s="796" t="n"/>
      <c r="BK36" s="680" t="n"/>
      <c r="BL36" s="796" t="n"/>
      <c r="BM36" s="680" t="n"/>
      <c r="BN36" s="796" t="n"/>
      <c r="BO36" s="680" t="n"/>
      <c r="BP36" s="796" t="n"/>
      <c r="BQ36" s="647">
        <f>BC36+BE36+BG36+BI36+BK36+BM36+BO36</f>
        <v/>
      </c>
      <c r="BR36" s="1046">
        <f>BD36+BF36+BH36+BJ36+BL36+BN36+BP36</f>
        <v/>
      </c>
      <c r="BS36" s="1037">
        <f>BR36-BQ36</f>
        <v/>
      </c>
      <c r="BT36" s="1075">
        <f>Z36+AM36+AZ36+BQ36+M36</f>
        <v/>
      </c>
      <c r="BU36" s="1076">
        <f>AA36+AN36+BA36+BR36+N36</f>
        <v/>
      </c>
      <c r="BV36" s="1049">
        <f>BT36-BU36</f>
        <v/>
      </c>
    </row>
    <row r="37">
      <c r="A37" s="633" t="inlineStr">
        <is>
          <t>Аренда помещений</t>
        </is>
      </c>
      <c r="B37" s="604" t="inlineStr">
        <is>
          <t>Расход</t>
        </is>
      </c>
      <c r="C37" s="680" t="n"/>
      <c r="D37" s="796" t="n"/>
      <c r="E37" s="680" t="n"/>
      <c r="F37" s="796" t="n"/>
      <c r="G37" s="643" t="n"/>
      <c r="H37" s="634" t="n"/>
      <c r="I37" s="643" t="n"/>
      <c r="J37" s="634" t="n"/>
      <c r="K37" s="643" t="n"/>
      <c r="L37" s="634" t="n"/>
      <c r="M37" s="1069">
        <f>C37+E37+G37+I37+K37</f>
        <v/>
      </c>
      <c r="N37" s="1044">
        <f>D37+F37+H37+J37+L37</f>
        <v/>
      </c>
      <c r="O37" s="1070">
        <f>N37-M37</f>
        <v/>
      </c>
      <c r="P37" s="643" t="n"/>
      <c r="Q37" s="634" t="n"/>
      <c r="R37" s="680" t="n"/>
      <c r="S37" s="796" t="n"/>
      <c r="T37" s="680" t="n"/>
      <c r="U37" s="796" t="n"/>
      <c r="V37" s="643" t="n"/>
      <c r="W37" s="796" t="n"/>
      <c r="X37" s="680" t="n"/>
      <c r="Y37" s="796" t="n"/>
      <c r="Z37" s="810">
        <f>P37+T37+R37+V37+X37</f>
        <v/>
      </c>
      <c r="AA37" s="1044">
        <f>Q37+S37+U37+W37+Y37</f>
        <v/>
      </c>
      <c r="AB37" s="1070">
        <f>AA37-Z37</f>
        <v/>
      </c>
      <c r="AC37" s="680" t="n"/>
      <c r="AD37" s="796" t="n"/>
      <c r="AE37" s="645" t="n">
        <v>-6655000</v>
      </c>
      <c r="AF37" s="796" t="n"/>
      <c r="AG37" s="680" t="n"/>
      <c r="AH37" s="796" t="n"/>
      <c r="AI37" s="680" t="n"/>
      <c r="AJ37" s="796" t="n"/>
      <c r="AK37" s="680" t="n"/>
      <c r="AL37" s="796" t="n"/>
      <c r="AM37" s="645">
        <f>AC37+AE37+AG37+AI37+AK37</f>
        <v/>
      </c>
      <c r="AN37" s="1072">
        <f>AD37+AF37+AH37+AJ37+AL37</f>
        <v/>
      </c>
      <c r="AO37" s="1073">
        <f>AN37-AM37</f>
        <v/>
      </c>
      <c r="AP37" s="680" t="n"/>
      <c r="AQ37" s="796" t="n"/>
      <c r="AR37" s="680" t="n"/>
      <c r="AS37" s="796" t="n"/>
      <c r="AT37" s="680" t="n"/>
      <c r="AU37" s="796" t="n"/>
      <c r="AV37" s="680" t="n"/>
      <c r="AW37" s="796" t="n"/>
      <c r="AX37" s="680" t="n"/>
      <c r="AY37" s="798" t="n"/>
      <c r="AZ37" s="645">
        <f>AP37+AR37+AT37+AV37+AX37</f>
        <v/>
      </c>
      <c r="BA37" s="1072">
        <f>AQ37+AS37+AU37+AW37+AY37</f>
        <v/>
      </c>
      <c r="BB37" s="1035">
        <f>BA37-AZ37</f>
        <v/>
      </c>
      <c r="BC37" s="643" t="n"/>
      <c r="BD37" s="796" t="n"/>
      <c r="BE37" s="680" t="n"/>
      <c r="BF37" s="796" t="n"/>
      <c r="BG37" s="680" t="n"/>
      <c r="BH37" s="796" t="n"/>
      <c r="BI37" s="680" t="n"/>
      <c r="BJ37" s="796" t="n"/>
      <c r="BK37" s="680" t="n"/>
      <c r="BL37" s="796" t="n"/>
      <c r="BM37" s="680" t="n"/>
      <c r="BN37" s="796" t="n"/>
      <c r="BO37" s="680" t="n"/>
      <c r="BP37" s="796" t="n"/>
      <c r="BQ37" s="647">
        <f>BC37+BE37+BG37+BI37+BK37+BM37+BO37</f>
        <v/>
      </c>
      <c r="BR37" s="1046">
        <f>BD37+BF37+BH37+BJ37+BL37+BN37+BP37</f>
        <v/>
      </c>
      <c r="BS37" s="1037">
        <f>BR37-BQ37</f>
        <v/>
      </c>
      <c r="BT37" s="1075">
        <f>Z37+AM37+AZ37+BQ37+M37</f>
        <v/>
      </c>
      <c r="BU37" s="1076">
        <f>AA37+AN37+BA37+BR37+N37</f>
        <v/>
      </c>
      <c r="BV37" s="1049">
        <f>BT37-BU37</f>
        <v/>
      </c>
    </row>
    <row r="38">
      <c r="A38" s="633" t="inlineStr">
        <is>
          <t>Газ</t>
        </is>
      </c>
      <c r="B38" s="604" t="inlineStr">
        <is>
          <t>Расход</t>
        </is>
      </c>
      <c r="C38" s="680" t="n"/>
      <c r="D38" s="796" t="n"/>
      <c r="E38" s="680" t="n"/>
      <c r="F38" s="796" t="n"/>
      <c r="G38" s="643" t="n"/>
      <c r="H38" s="634" t="n"/>
      <c r="I38" s="643" t="n"/>
      <c r="J38" s="634" t="n"/>
      <c r="K38" s="643" t="n"/>
      <c r="L38" s="634" t="n"/>
      <c r="M38" s="1069">
        <f>C38+E38+G38+I38+K38</f>
        <v/>
      </c>
      <c r="N38" s="1044">
        <f>D38+F38+H38+J38+L38</f>
        <v/>
      </c>
      <c r="O38" s="1070">
        <f>N38-M38</f>
        <v/>
      </c>
      <c r="P38" s="643" t="n"/>
      <c r="Q38" s="634" t="n"/>
      <c r="R38" s="680" t="n"/>
      <c r="S38" s="796" t="n"/>
      <c r="T38" s="680" t="n"/>
      <c r="U38" s="796" t="n"/>
      <c r="V38" s="680" t="n"/>
      <c r="W38" s="796" t="n"/>
      <c r="X38" s="680" t="n"/>
      <c r="Y38" s="796" t="n"/>
      <c r="Z38" s="810">
        <f>P38+T38+R38+V38+X38</f>
        <v/>
      </c>
      <c r="AA38" s="1044">
        <f>Q38+S38+U38+W38+Y38</f>
        <v/>
      </c>
      <c r="AB38" s="1070">
        <f>AA38-Z38</f>
        <v/>
      </c>
      <c r="AC38" s="680" t="n"/>
      <c r="AD38" s="796" t="n"/>
      <c r="AE38" s="680" t="n"/>
      <c r="AF38" s="796" t="n"/>
      <c r="AG38" s="680" t="n"/>
      <c r="AH38" s="796" t="n"/>
      <c r="AI38" s="680" t="n"/>
      <c r="AJ38" s="796" t="n"/>
      <c r="AK38" s="680" t="n"/>
      <c r="AL38" s="796" t="n"/>
      <c r="AM38" s="645">
        <f>AC38+AE38+AG38+AI38+AK38</f>
        <v/>
      </c>
      <c r="AN38" s="1072">
        <f>AD38+AF38+AH38+AJ38+AL38</f>
        <v/>
      </c>
      <c r="AO38" s="1073">
        <f>AN38-AM38</f>
        <v/>
      </c>
      <c r="AP38" s="680" t="n"/>
      <c r="AQ38" s="796" t="n"/>
      <c r="AR38" s="680" t="n"/>
      <c r="AS38" s="796" t="n"/>
      <c r="AT38" s="680" t="n"/>
      <c r="AU38" s="796" t="n"/>
      <c r="AV38" s="680" t="n"/>
      <c r="AW38" s="796" t="n"/>
      <c r="AX38" s="680" t="n"/>
      <c r="AY38" s="798" t="n"/>
      <c r="AZ38" s="645">
        <f>AP38+AR38+AT38+AV38+AX38</f>
        <v/>
      </c>
      <c r="BA38" s="1072">
        <f>AQ38+AS38+AU38+AW38+AY38</f>
        <v/>
      </c>
      <c r="BB38" s="1035">
        <f>BA38-AZ38</f>
        <v/>
      </c>
      <c r="BC38" s="645" t="n">
        <v>-630000</v>
      </c>
      <c r="BD38" s="796" t="n"/>
      <c r="BE38" s="680" t="n"/>
      <c r="BF38" s="796" t="n"/>
      <c r="BG38" s="680" t="n"/>
      <c r="BH38" s="796" t="n"/>
      <c r="BI38" s="680" t="n"/>
      <c r="BJ38" s="796" t="n"/>
      <c r="BK38" s="680" t="n"/>
      <c r="BL38" s="796" t="n"/>
      <c r="BM38" s="680" t="n"/>
      <c r="BN38" s="796" t="n"/>
      <c r="BO38" s="680" t="n"/>
      <c r="BP38" s="796" t="n"/>
      <c r="BQ38" s="647">
        <f>BC38+BE38+BG38+BI38+BK38+BM38+BO38</f>
        <v/>
      </c>
      <c r="BR38" s="1046">
        <f>BD38+BF38+BH38+BJ38+BL38+BN38+BP38</f>
        <v/>
      </c>
      <c r="BS38" s="1037">
        <f>BR38-BQ38</f>
        <v/>
      </c>
      <c r="BT38" s="1075">
        <f>Z38+AM38+AZ38+BQ38+M38</f>
        <v/>
      </c>
      <c r="BU38" s="1076">
        <f>AA38+AN38+BA38+BR38+N38</f>
        <v/>
      </c>
      <c r="BV38" s="1049">
        <f>BT38-BU38</f>
        <v/>
      </c>
    </row>
    <row r="39">
      <c r="A39" s="633" t="inlineStr">
        <is>
          <t>Маркетинг</t>
        </is>
      </c>
      <c r="B39" s="604" t="inlineStr">
        <is>
          <t>Расход</t>
        </is>
      </c>
      <c r="C39" s="680" t="n"/>
      <c r="D39" s="796" t="n"/>
      <c r="E39" s="680" t="n"/>
      <c r="F39" s="796" t="n"/>
      <c r="G39" s="643" t="n"/>
      <c r="H39" s="634" t="n"/>
      <c r="I39" s="643" t="n"/>
      <c r="J39" s="634" t="n"/>
      <c r="K39" s="643" t="n"/>
      <c r="L39" s="634" t="n"/>
      <c r="M39" s="1069">
        <f>C39+E39+G39+I39+K39</f>
        <v/>
      </c>
      <c r="N39" s="1044">
        <f>D39+F39+H39+J39+L39</f>
        <v/>
      </c>
      <c r="O39" s="1070">
        <f>N39-M39</f>
        <v/>
      </c>
      <c r="P39" s="643" t="n"/>
      <c r="Q39" s="634" t="n"/>
      <c r="R39" s="680" t="n"/>
      <c r="S39" s="796" t="n"/>
      <c r="T39" s="680" t="n"/>
      <c r="U39" s="796" t="n">
        <v>-1000000</v>
      </c>
      <c r="V39" s="680" t="n"/>
      <c r="W39" s="796" t="n"/>
      <c r="X39" s="680" t="n"/>
      <c r="Y39" s="796" t="n"/>
      <c r="Z39" s="810">
        <f>P39+T39+R39+V39+X39</f>
        <v/>
      </c>
      <c r="AA39" s="1044">
        <f>Q39+S39+U39+W39+Y39</f>
        <v/>
      </c>
      <c r="AB39" s="1070">
        <f>AA39-Z39</f>
        <v/>
      </c>
      <c r="AC39" s="680" t="n"/>
      <c r="AD39" s="796" t="n"/>
      <c r="AE39" s="680" t="n"/>
      <c r="AF39" s="796" t="n"/>
      <c r="AG39" s="680" t="n"/>
      <c r="AH39" s="796" t="n"/>
      <c r="AI39" s="680" t="n"/>
      <c r="AJ39" s="796" t="n"/>
      <c r="AK39" s="680" t="n"/>
      <c r="AL39" s="796" t="n"/>
      <c r="AM39" s="645">
        <f>AC39+AE39+AG39+AI39+AK39</f>
        <v/>
      </c>
      <c r="AN39" s="1072">
        <f>AD39+AF39+AH39+AJ39+AL39</f>
        <v/>
      </c>
      <c r="AO39" s="1073">
        <f>AN39-AM39</f>
        <v/>
      </c>
      <c r="AP39" s="680" t="n"/>
      <c r="AQ39" s="796" t="n"/>
      <c r="AR39" s="680" t="n"/>
      <c r="AS39" s="796" t="n"/>
      <c r="AT39" s="680" t="n"/>
      <c r="AU39" s="796" t="n"/>
      <c r="AV39" s="680" t="n"/>
      <c r="AW39" s="796" t="n"/>
      <c r="AX39" s="680" t="n"/>
      <c r="AY39" s="798" t="n"/>
      <c r="AZ39" s="645">
        <f>AP39+AR39+AT39+AV39+AX39</f>
        <v/>
      </c>
      <c r="BA39" s="1072">
        <f>AQ39+AS39+AU39+AW39+AY39</f>
        <v/>
      </c>
      <c r="BB39" s="1035">
        <f>BA39-AZ39</f>
        <v/>
      </c>
      <c r="BC39" s="643" t="n"/>
      <c r="BD39" s="796" t="n"/>
      <c r="BE39" s="680" t="n"/>
      <c r="BF39" s="796" t="n"/>
      <c r="BG39" s="680" t="n"/>
      <c r="BH39" s="796" t="n"/>
      <c r="BI39" s="680" t="n"/>
      <c r="BJ39" s="796" t="n"/>
      <c r="BK39" s="680" t="n"/>
      <c r="BL39" s="796" t="n"/>
      <c r="BM39" s="680" t="n"/>
      <c r="BN39" s="796" t="n"/>
      <c r="BO39" s="680" t="n"/>
      <c r="BP39" s="796" t="n"/>
      <c r="BQ39" s="647">
        <f>BC39+BE39+BG39+BI39+BK39+BM39+BO39</f>
        <v/>
      </c>
      <c r="BR39" s="1046">
        <f>BD39+BF39+BH39+BJ39+BL39+BN39+BP39</f>
        <v/>
      </c>
      <c r="BS39" s="1037">
        <f>BR39-BQ39</f>
        <v/>
      </c>
      <c r="BT39" s="1075">
        <f>Z39+AM39+AZ39+BQ39+M39</f>
        <v/>
      </c>
      <c r="BU39" s="1076">
        <f>AA39+AN39+BA39+BR39+N39</f>
        <v/>
      </c>
      <c r="BV39" s="1049">
        <f>BT39-BU39</f>
        <v/>
      </c>
    </row>
    <row r="40">
      <c r="A40" s="633" t="inlineStr">
        <is>
          <t>Мусор</t>
        </is>
      </c>
      <c r="B40" s="604" t="inlineStr">
        <is>
          <t>Расход</t>
        </is>
      </c>
      <c r="C40" s="680" t="n"/>
      <c r="D40" s="796" t="n"/>
      <c r="E40" s="680" t="n"/>
      <c r="F40" s="796" t="n"/>
      <c r="G40" s="643" t="n"/>
      <c r="H40" s="634" t="n"/>
      <c r="I40" s="643" t="n"/>
      <c r="J40" s="634" t="n"/>
      <c r="K40" s="643" t="n"/>
      <c r="L40" s="634" t="n"/>
      <c r="M40" s="1069">
        <f>C40+E40+G40+I40+K40</f>
        <v/>
      </c>
      <c r="N40" s="1044">
        <f>D40+F40+H40+J40+L40</f>
        <v/>
      </c>
      <c r="O40" s="1070">
        <f>N40-M40</f>
        <v/>
      </c>
      <c r="P40" s="643" t="n"/>
      <c r="Q40" s="634" t="n"/>
      <c r="R40" s="680" t="n"/>
      <c r="S40" s="796" t="n"/>
      <c r="T40" s="680" t="n"/>
      <c r="U40" s="796" t="n">
        <v>-7000</v>
      </c>
      <c r="V40" s="680" t="n"/>
      <c r="W40" s="796" t="n"/>
      <c r="X40" s="680" t="n"/>
      <c r="Y40" s="796" t="n"/>
      <c r="Z40" s="810">
        <f>P40+T40+R40+V40+X40</f>
        <v/>
      </c>
      <c r="AA40" s="1044">
        <f>Q40+S40+U40+W40+Y40</f>
        <v/>
      </c>
      <c r="AB40" s="1070">
        <f>AA40-Z40</f>
        <v/>
      </c>
      <c r="AC40" s="680" t="n"/>
      <c r="AD40" s="796" t="n"/>
      <c r="AE40" s="680" t="n"/>
      <c r="AF40" s="796" t="n"/>
      <c r="AG40" s="680" t="n"/>
      <c r="AH40" s="796" t="n"/>
      <c r="AI40" s="680" t="n"/>
      <c r="AJ40" s="796" t="n"/>
      <c r="AK40" s="645" t="n">
        <v>-100000</v>
      </c>
      <c r="AL40" s="796" t="n"/>
      <c r="AM40" s="645">
        <f>AC40+AE40+AG40+AI40+AK40</f>
        <v/>
      </c>
      <c r="AN40" s="1072">
        <f>AD40+AF40+AH40+AJ40+AL40</f>
        <v/>
      </c>
      <c r="AO40" s="1073">
        <f>AN40-AM40</f>
        <v/>
      </c>
      <c r="AP40" s="680" t="n"/>
      <c r="AQ40" s="796" t="n"/>
      <c r="AR40" s="680" t="n"/>
      <c r="AS40" s="796" t="n"/>
      <c r="AT40" s="680" t="n"/>
      <c r="AU40" s="796" t="n"/>
      <c r="AV40" s="680" t="n"/>
      <c r="AW40" s="796" t="n"/>
      <c r="AX40" s="647" t="n">
        <v>-100000</v>
      </c>
      <c r="AY40" s="798" t="n"/>
      <c r="AZ40" s="645">
        <f>AP40+AR40+AT40+AV40+AX40</f>
        <v/>
      </c>
      <c r="BA40" s="1072">
        <f>AQ40+AS40+AU40+AW40+AY40</f>
        <v/>
      </c>
      <c r="BB40" s="1035">
        <f>BA40-AZ40</f>
        <v/>
      </c>
      <c r="BC40" s="642" t="n">
        <v>-850000</v>
      </c>
      <c r="BD40" s="796" t="n"/>
      <c r="BE40" s="680" t="n"/>
      <c r="BF40" s="796" t="n"/>
      <c r="BG40" s="680" t="n"/>
      <c r="BH40" s="796" t="n"/>
      <c r="BI40" s="680" t="n"/>
      <c r="BJ40" s="796" t="n"/>
      <c r="BK40" s="680" t="n"/>
      <c r="BL40" s="796" t="n"/>
      <c r="BM40" s="680" t="n"/>
      <c r="BN40" s="796" t="n"/>
      <c r="BO40" s="680" t="n"/>
      <c r="BP40" s="796" t="n"/>
      <c r="BQ40" s="647">
        <f>BC40+BE40+BG40+BI40+BK40+BM40+BO40</f>
        <v/>
      </c>
      <c r="BR40" s="1046">
        <f>BD40+BF40+BH40+BJ40+BL40+BN40+BP40</f>
        <v/>
      </c>
      <c r="BS40" s="1037">
        <f>BR40-BQ40</f>
        <v/>
      </c>
      <c r="BT40" s="1075">
        <f>Z40+AM40+AZ40+BQ40+M40</f>
        <v/>
      </c>
      <c r="BU40" s="1076">
        <f>AA40+AN40+BA40+BR40+N40</f>
        <v/>
      </c>
      <c r="BV40" s="1049">
        <f>BT40-BU40</f>
        <v/>
      </c>
    </row>
    <row r="41">
      <c r="A41" s="633" t="inlineStr">
        <is>
          <t>Налоги и другие платежи в бюджет</t>
        </is>
      </c>
      <c r="B41" s="604" t="inlineStr">
        <is>
          <t>Расход</t>
        </is>
      </c>
      <c r="C41" s="680" t="n"/>
      <c r="D41" s="796" t="n"/>
      <c r="E41" s="680" t="n"/>
      <c r="F41" s="796" t="n"/>
      <c r="G41" s="643" t="n"/>
      <c r="H41" s="634" t="n"/>
      <c r="I41" s="680" t="n"/>
      <c r="J41" s="634" t="n"/>
      <c r="K41" s="643" t="n"/>
      <c r="L41" s="641" t="n">
        <v>-4000000</v>
      </c>
      <c r="M41" s="1069">
        <f>C41+E41+G41+I41+K41</f>
        <v/>
      </c>
      <c r="N41" s="1044">
        <f>D41+F41+H41+J41+L41</f>
        <v/>
      </c>
      <c r="O41" s="1070">
        <f>N41-M41</f>
        <v/>
      </c>
      <c r="P41" s="680" t="n"/>
      <c r="Q41" s="641" t="n">
        <v>-2000000</v>
      </c>
      <c r="R41" s="680" t="n"/>
      <c r="S41" s="804" t="n">
        <v>-7000000</v>
      </c>
      <c r="T41" s="680" t="n"/>
      <c r="U41" s="796" t="n"/>
      <c r="V41" s="680" t="n"/>
      <c r="W41" s="796" t="n"/>
      <c r="X41" s="680" t="n"/>
      <c r="Y41" s="796" t="n">
        <v>-1104937</v>
      </c>
      <c r="Z41" s="810">
        <f>P41+T41+R41+V41+X41</f>
        <v/>
      </c>
      <c r="AA41" s="1044">
        <f>Q41+S41+U41+W41+Y41</f>
        <v/>
      </c>
      <c r="AB41" s="1070">
        <f>AA41-Z41</f>
        <v/>
      </c>
      <c r="AC41" s="680" t="n"/>
      <c r="AD41" s="796" t="n"/>
      <c r="AE41" s="680" t="n"/>
      <c r="AF41" s="796" t="n"/>
      <c r="AG41" s="680" t="n"/>
      <c r="AH41" s="796" t="n"/>
      <c r="AI41" s="680" t="n"/>
      <c r="AJ41" s="796" t="n"/>
      <c r="AK41" s="645" t="n">
        <v>-8000000</v>
      </c>
      <c r="AL41" s="796" t="n"/>
      <c r="AM41" s="645">
        <f>AC41+AE41+AG41+AI41+AK41</f>
        <v/>
      </c>
      <c r="AN41" s="1072">
        <f>AD41+AF41+AH41+AJ41+AL41</f>
        <v/>
      </c>
      <c r="AO41" s="1073">
        <f>AN41-AM41</f>
        <v/>
      </c>
      <c r="AP41" s="680" t="n"/>
      <c r="AQ41" s="796" t="n"/>
      <c r="AR41" s="680" t="n"/>
      <c r="AS41" s="796" t="n"/>
      <c r="AT41" s="680" t="n"/>
      <c r="AU41" s="796" t="n"/>
      <c r="AV41" s="645" t="n">
        <v>-14104937</v>
      </c>
      <c r="AW41" s="796" t="n"/>
      <c r="AX41" s="645" t="n">
        <v>-427718</v>
      </c>
      <c r="AY41" s="798" t="n"/>
      <c r="AZ41" s="645">
        <f>AP41+AR41+AT41+AV41+AX41</f>
        <v/>
      </c>
      <c r="BA41" s="1072">
        <f>AQ41+AS41+AU41+AW41+AY41</f>
        <v/>
      </c>
      <c r="BB41" s="1035">
        <f>BA41-AZ41</f>
        <v/>
      </c>
      <c r="BC41" s="643" t="n"/>
      <c r="BD41" s="796" t="n"/>
      <c r="BE41" s="642" t="n">
        <v>-12000000</v>
      </c>
      <c r="BF41" s="796" t="n"/>
      <c r="BG41" s="680" t="n"/>
      <c r="BH41" s="796" t="n"/>
      <c r="BI41" s="680" t="n"/>
      <c r="BJ41" s="796" t="n"/>
      <c r="BK41" s="680" t="n"/>
      <c r="BL41" s="796" t="n"/>
      <c r="BM41" s="680" t="n"/>
      <c r="BN41" s="796" t="n"/>
      <c r="BO41" s="680" t="n"/>
      <c r="BP41" s="796" t="n"/>
      <c r="BQ41" s="647">
        <f>BC41+BE41+BG41+BI41+BK41+BM41+BO41</f>
        <v/>
      </c>
      <c r="BR41" s="1046">
        <f>BD41+BF41+BH41+BJ41+BL41+BN41+BP41</f>
        <v/>
      </c>
      <c r="BS41" s="1037">
        <f>BR41-BQ41</f>
        <v/>
      </c>
      <c r="BT41" s="1075">
        <f>Z41+AM41+AZ41+BQ41+M41</f>
        <v/>
      </c>
      <c r="BU41" s="1076">
        <f>AA41+AN41+BA41+BR41+N41</f>
        <v/>
      </c>
      <c r="BV41" s="1049">
        <f>BT41-BU41</f>
        <v/>
      </c>
    </row>
    <row r="42">
      <c r="A42" s="633" t="inlineStr">
        <is>
          <t>Оплата труда</t>
        </is>
      </c>
      <c r="B42" s="604" t="inlineStr">
        <is>
          <t>Расход</t>
        </is>
      </c>
      <c r="C42" s="680" t="n"/>
      <c r="D42" s="796" t="n"/>
      <c r="E42" s="680" t="n"/>
      <c r="F42" s="796" t="n"/>
      <c r="G42" s="643" t="n"/>
      <c r="H42" s="634" t="n"/>
      <c r="I42" s="643" t="n"/>
      <c r="J42" s="634" t="n"/>
      <c r="K42" s="680" t="n"/>
      <c r="L42" s="634" t="n"/>
      <c r="M42" s="1069">
        <f>C42+E42+G42+I42+K42</f>
        <v/>
      </c>
      <c r="N42" s="1044">
        <f>D42+F42+H42+J42+L42</f>
        <v/>
      </c>
      <c r="O42" s="1070">
        <f>N42-M42</f>
        <v/>
      </c>
      <c r="P42" s="643" t="n"/>
      <c r="Q42" s="634" t="n"/>
      <c r="R42" s="642" t="n">
        <v>-14340000</v>
      </c>
      <c r="S42" s="796" t="n"/>
      <c r="T42" s="680" t="n"/>
      <c r="U42" s="796" t="n"/>
      <c r="V42" s="680" t="n"/>
      <c r="W42" s="796" t="n">
        <v>-15223100</v>
      </c>
      <c r="X42" s="680" t="n"/>
      <c r="Y42" s="796" t="n"/>
      <c r="Z42" s="810">
        <f>P42+T42+R42+V42+X42</f>
        <v/>
      </c>
      <c r="AA42" s="1044">
        <f>Q42+S42+U42+W42+Y42</f>
        <v/>
      </c>
      <c r="AB42" s="1070">
        <f>AA42-Z42</f>
        <v/>
      </c>
      <c r="AC42" s="680" t="n"/>
      <c r="AD42" s="796" t="n"/>
      <c r="AE42" s="680" t="n"/>
      <c r="AF42" s="796" t="n"/>
      <c r="AG42" s="680" t="n"/>
      <c r="AH42" s="796" t="n"/>
      <c r="AI42" s="680" t="n"/>
      <c r="AJ42" s="796" t="n"/>
      <c r="AK42" s="680" t="n"/>
      <c r="AL42" s="796" t="n"/>
      <c r="AM42" s="645">
        <f>AC42+AE42+AG42+AI42+AK42</f>
        <v/>
      </c>
      <c r="AN42" s="1072">
        <f>AD42+AF42+AH42+AJ42+AL42</f>
        <v/>
      </c>
      <c r="AO42" s="1073">
        <f>AN42-AM42</f>
        <v/>
      </c>
      <c r="AP42" s="680" t="n"/>
      <c r="AQ42" s="796" t="n"/>
      <c r="AR42" s="680" t="n"/>
      <c r="AS42" s="796" t="n"/>
      <c r="AT42" s="680" t="n"/>
      <c r="AU42" s="796" t="n"/>
      <c r="AV42" s="647" t="n">
        <v>-1700000</v>
      </c>
      <c r="AW42" s="796" t="n"/>
      <c r="AX42" s="680" t="n"/>
      <c r="AY42" s="798" t="n"/>
      <c r="AZ42" s="645">
        <f>AP42+AR42+AT42+AV42+AX42</f>
        <v/>
      </c>
      <c r="BA42" s="1072">
        <f>AQ42+AS42+AU42+AW42+AY42</f>
        <v/>
      </c>
      <c r="BB42" s="1035">
        <f>BA42-AZ42</f>
        <v/>
      </c>
      <c r="BC42" s="680" t="n"/>
      <c r="BD42" s="796" t="n"/>
      <c r="BE42" s="680" t="n"/>
      <c r="BF42" s="796" t="n"/>
      <c r="BG42" s="680" t="n"/>
      <c r="BH42" s="796" t="n"/>
      <c r="BI42" s="680" t="n"/>
      <c r="BJ42" s="796" t="n"/>
      <c r="BK42" s="680" t="n"/>
      <c r="BL42" s="796" t="n"/>
      <c r="BM42" s="680" t="n"/>
      <c r="BN42" s="796" t="n"/>
      <c r="BO42" s="680" t="n"/>
      <c r="BP42" s="796" t="n"/>
      <c r="BQ42" s="647">
        <f>BC42+BE42+BG42+BI42+BK42+BM42+BO42</f>
        <v/>
      </c>
      <c r="BR42" s="1046">
        <f>BD42+BF42+BH42+BJ42+BL42+BN42+BP42</f>
        <v/>
      </c>
      <c r="BS42" s="1037">
        <f>BR42-BQ42</f>
        <v/>
      </c>
      <c r="BT42" s="1075">
        <f>Z42+AM42+AZ42+BQ42+M42</f>
        <v/>
      </c>
      <c r="BU42" s="1076">
        <f>AA42+AN42+BA42+BR42+N42</f>
        <v/>
      </c>
      <c r="BV42" s="1049">
        <f>BT42-BU42</f>
        <v/>
      </c>
    </row>
    <row r="43">
      <c r="A43" s="633" t="inlineStr">
        <is>
          <t>Охрана</t>
        </is>
      </c>
      <c r="B43" s="604" t="inlineStr">
        <is>
          <t>Расход</t>
        </is>
      </c>
      <c r="C43" s="680" t="n"/>
      <c r="D43" s="796" t="n"/>
      <c r="E43" s="680" t="n"/>
      <c r="F43" s="796" t="n"/>
      <c r="G43" s="643" t="n"/>
      <c r="H43" s="634" t="n"/>
      <c r="I43" s="643" t="n"/>
      <c r="J43" s="634" t="n"/>
      <c r="K43" s="643" t="n"/>
      <c r="L43" s="634" t="n"/>
      <c r="M43" s="1069">
        <f>C43+E43+G43+I43+K43</f>
        <v/>
      </c>
      <c r="N43" s="1044">
        <f>D43+F43+H43+J43+L43</f>
        <v/>
      </c>
      <c r="O43" s="1070">
        <f>N43-M43</f>
        <v/>
      </c>
      <c r="P43" s="680" t="n"/>
      <c r="Q43" s="634" t="n"/>
      <c r="R43" s="680" t="n"/>
      <c r="S43" s="796" t="n"/>
      <c r="T43" s="680" t="n"/>
      <c r="U43" s="796" t="n"/>
      <c r="V43" s="680" t="n"/>
      <c r="W43" s="796" t="n"/>
      <c r="X43" s="680" t="n"/>
      <c r="Y43" s="796" t="n"/>
      <c r="Z43" s="810">
        <f>P43+T43+R43+V43+X43</f>
        <v/>
      </c>
      <c r="AA43" s="1044">
        <f>Q43+S43+U43+W43+Y43</f>
        <v/>
      </c>
      <c r="AB43" s="1070">
        <f>AA43-Z43</f>
        <v/>
      </c>
      <c r="AC43" s="680" t="n"/>
      <c r="AD43" s="796" t="n"/>
      <c r="AE43" s="645" t="n">
        <v>-1000000</v>
      </c>
      <c r="AF43" s="796" t="n"/>
      <c r="AG43" s="680" t="n"/>
      <c r="AH43" s="796" t="n"/>
      <c r="AI43" s="680" t="n"/>
      <c r="AJ43" s="796" t="n"/>
      <c r="AK43" s="680" t="n"/>
      <c r="AL43" s="796" t="n"/>
      <c r="AM43" s="645">
        <f>AC43+AE43+AG43+AI43+AK43</f>
        <v/>
      </c>
      <c r="AN43" s="1072">
        <f>AD43+AF43+AH43+AJ43+AL43</f>
        <v/>
      </c>
      <c r="AO43" s="1073">
        <f>AN43-AM43</f>
        <v/>
      </c>
      <c r="AP43" s="680" t="n"/>
      <c r="AQ43" s="796" t="n"/>
      <c r="AR43" s="680" t="n"/>
      <c r="AS43" s="796" t="n"/>
      <c r="AT43" s="680" t="n"/>
      <c r="AU43" s="796" t="n"/>
      <c r="AV43" s="680" t="n"/>
      <c r="AW43" s="796" t="n"/>
      <c r="AX43" s="680" t="n"/>
      <c r="AY43" s="798" t="n"/>
      <c r="AZ43" s="645">
        <f>AP43+AR43+AT43+AV43+AX43</f>
        <v/>
      </c>
      <c r="BA43" s="1072">
        <f>AQ43+AS43+AU43+AW43+AY43</f>
        <v/>
      </c>
      <c r="BB43" s="1035">
        <f>BA43-AZ43</f>
        <v/>
      </c>
      <c r="BC43" s="643" t="n"/>
      <c r="BD43" s="796" t="n"/>
      <c r="BE43" s="680" t="n"/>
      <c r="BF43" s="796" t="n"/>
      <c r="BG43" s="680" t="n"/>
      <c r="BH43" s="796" t="n"/>
      <c r="BI43" s="680" t="n"/>
      <c r="BJ43" s="796" t="n"/>
      <c r="BK43" s="680" t="n"/>
      <c r="BL43" s="796" t="n"/>
      <c r="BM43" s="680" t="n"/>
      <c r="BN43" s="796" t="n"/>
      <c r="BO43" s="680" t="n"/>
      <c r="BP43" s="796" t="n"/>
      <c r="BQ43" s="647">
        <f>BC43+BE43+BG43+BI43+BK43+BM43+BO43</f>
        <v/>
      </c>
      <c r="BR43" s="1046">
        <f>BD43+BF43+BH43+BJ43+BL43+BN43+BP43</f>
        <v/>
      </c>
      <c r="BS43" s="1037">
        <f>BR43-BQ43</f>
        <v/>
      </c>
      <c r="BT43" s="1075">
        <f>Z43+AM43+AZ43+BQ43+M43</f>
        <v/>
      </c>
      <c r="BU43" s="1076">
        <f>AA43+AN43+BA43+BR43+N43</f>
        <v/>
      </c>
      <c r="BV43" s="1049">
        <f>BT43-BU43</f>
        <v/>
      </c>
    </row>
    <row r="44">
      <c r="A44" s="633" t="inlineStr">
        <is>
          <t>Платежи поставщикам Прочее</t>
        </is>
      </c>
      <c r="B44" s="604" t="inlineStr">
        <is>
          <t>Расход</t>
        </is>
      </c>
      <c r="C44" s="680" t="n"/>
      <c r="D44" s="796" t="n"/>
      <c r="E44" s="680" t="n"/>
      <c r="F44" s="796" t="n"/>
      <c r="G44" s="642" t="n">
        <v>-180000</v>
      </c>
      <c r="H44" s="634" t="n"/>
      <c r="I44" s="643" t="n"/>
      <c r="J44" s="634" t="n"/>
      <c r="K44" s="643" t="n"/>
      <c r="L44" s="634" t="n"/>
      <c r="M44" s="1069">
        <f>C44+E44+G44+I44+K44</f>
        <v/>
      </c>
      <c r="N44" s="1044">
        <f>D44+F44+H44+J44+L44</f>
        <v/>
      </c>
      <c r="O44" s="1070">
        <f>N44-M44</f>
        <v/>
      </c>
      <c r="P44" s="680" t="n"/>
      <c r="Q44" s="634" t="n"/>
      <c r="R44" s="680" t="n"/>
      <c r="S44" s="796" t="n"/>
      <c r="T44" s="680" t="n"/>
      <c r="U44" s="796" t="n"/>
      <c r="V44" s="680" t="n"/>
      <c r="W44" s="796" t="n"/>
      <c r="X44" s="680" t="n"/>
      <c r="Y44" s="796" t="n"/>
      <c r="Z44" s="810">
        <f>P44+T44+R44+V44+X44</f>
        <v/>
      </c>
      <c r="AA44" s="1044">
        <f>Q44+S44+U44+W44+Y44</f>
        <v/>
      </c>
      <c r="AB44" s="1070">
        <f>AA44-Z44</f>
        <v/>
      </c>
      <c r="AC44" s="680" t="n"/>
      <c r="AD44" s="796" t="n"/>
      <c r="AE44" s="680" t="n"/>
      <c r="AF44" s="796" t="n"/>
      <c r="AG44" s="680" t="n"/>
      <c r="AH44" s="796" t="n"/>
      <c r="AI44" s="680" t="n"/>
      <c r="AJ44" s="796" t="n"/>
      <c r="AK44" s="680" t="n"/>
      <c r="AL44" s="796" t="n"/>
      <c r="AM44" s="645">
        <f>AC44+AE44+AG44+AI44+AK44</f>
        <v/>
      </c>
      <c r="AN44" s="1072">
        <f>AD44+AF44+AH44+AJ44+AL44</f>
        <v/>
      </c>
      <c r="AO44" s="1073">
        <f>AN44-AM44</f>
        <v/>
      </c>
      <c r="AP44" s="680" t="n"/>
      <c r="AQ44" s="796" t="n"/>
      <c r="AR44" s="680" t="n"/>
      <c r="AS44" s="796" t="n"/>
      <c r="AT44" s="680" t="n"/>
      <c r="AU44" s="796" t="n"/>
      <c r="AV44" s="680" t="n"/>
      <c r="AW44" s="796" t="n"/>
      <c r="AX44" s="680" t="n"/>
      <c r="AY44" s="798" t="n"/>
      <c r="AZ44" s="645">
        <f>AP44+AR44+AT44+AV44+AX44</f>
        <v/>
      </c>
      <c r="BA44" s="1072">
        <f>AQ44+AS44+AU44+AW44+AY44</f>
        <v/>
      </c>
      <c r="BB44" s="1035">
        <f>BA44-AZ44</f>
        <v/>
      </c>
      <c r="BC44" s="643" t="n"/>
      <c r="BD44" s="796" t="n"/>
      <c r="BE44" s="680" t="n"/>
      <c r="BF44" s="796" t="n"/>
      <c r="BG44" s="680" t="n"/>
      <c r="BH44" s="796" t="n"/>
      <c r="BI44" s="680" t="n"/>
      <c r="BJ44" s="796" t="n"/>
      <c r="BK44" s="680" t="n"/>
      <c r="BL44" s="796" t="n"/>
      <c r="BM44" s="680" t="n"/>
      <c r="BN44" s="796" t="n"/>
      <c r="BO44" s="680" t="n"/>
      <c r="BP44" s="796" t="n"/>
      <c r="BQ44" s="647">
        <f>BC44+BE44+BG44+BI44+BK44+BM44+BO44</f>
        <v/>
      </c>
      <c r="BR44" s="1046">
        <f>BD44+BF44+BH44+BJ44+BL44+BN44+BP44</f>
        <v/>
      </c>
      <c r="BS44" s="1037">
        <f>BR44-BQ44</f>
        <v/>
      </c>
      <c r="BT44" s="1075">
        <f>Z44+AM44+AZ44+BQ44+M44</f>
        <v/>
      </c>
      <c r="BU44" s="1076">
        <f>AA44+AN44+BA44+BR44+N44</f>
        <v/>
      </c>
      <c r="BV44" s="1049">
        <f>BT44-BU44</f>
        <v/>
      </c>
    </row>
    <row r="45">
      <c r="A45" s="633" t="inlineStr">
        <is>
          <t xml:space="preserve">Производственные расходы </t>
        </is>
      </c>
      <c r="B45" s="604" t="inlineStr">
        <is>
          <t>Расход</t>
        </is>
      </c>
      <c r="C45" s="680" t="n"/>
      <c r="D45" s="796" t="n"/>
      <c r="E45" s="680" t="n"/>
      <c r="F45" s="796" t="n"/>
      <c r="G45" s="643" t="n"/>
      <c r="H45" s="634" t="n"/>
      <c r="I45" s="643" t="n"/>
      <c r="J45" s="634" t="n"/>
      <c r="K45" s="643" t="n"/>
      <c r="L45" s="641" t="n">
        <v>-1800000</v>
      </c>
      <c r="M45" s="1069">
        <f>C45+E45+G45+I45+K45</f>
        <v/>
      </c>
      <c r="N45" s="1044">
        <f>D45+F45+H45+J45+L45</f>
        <v/>
      </c>
      <c r="O45" s="1070">
        <f>N45-M45</f>
        <v/>
      </c>
      <c r="P45" s="680" t="n"/>
      <c r="Q45" s="641">
        <f>-335000</f>
        <v/>
      </c>
      <c r="R45" s="680" t="n"/>
      <c r="S45" s="804" t="n">
        <v>-300000</v>
      </c>
      <c r="T45" s="643" t="n"/>
      <c r="U45" s="796" t="n"/>
      <c r="V45" s="680" t="n"/>
      <c r="W45" s="796" t="n"/>
      <c r="X45" s="680" t="n"/>
      <c r="Y45" s="796" t="n">
        <v>-300000</v>
      </c>
      <c r="Z45" s="810">
        <f>P45+T45+R45+V45+X45</f>
        <v/>
      </c>
      <c r="AA45" s="1044">
        <f>Q45+S45+U45+W45+Y45</f>
        <v/>
      </c>
      <c r="AB45" s="1070">
        <f>AA45-Z45</f>
        <v/>
      </c>
      <c r="AC45" s="680" t="n"/>
      <c r="AD45" s="796" t="n"/>
      <c r="AE45" s="680" t="n"/>
      <c r="AF45" s="796" t="n"/>
      <c r="AG45" s="645" t="n">
        <v>-88300</v>
      </c>
      <c r="AH45" s="796" t="n"/>
      <c r="AI45" s="680" t="n"/>
      <c r="AJ45" s="796" t="n"/>
      <c r="AK45" s="680" t="n"/>
      <c r="AL45" s="796" t="n"/>
      <c r="AM45" s="645">
        <f>AC45+AE45+AG45+AI45+AK45</f>
        <v/>
      </c>
      <c r="AN45" s="1072">
        <f>AD45+AF45+AH45+AJ45+AL45</f>
        <v/>
      </c>
      <c r="AO45" s="1073">
        <f>AN45-AM45</f>
        <v/>
      </c>
      <c r="AP45" s="680" t="n"/>
      <c r="AQ45" s="796" t="n"/>
      <c r="AR45" s="649" t="n">
        <v>-150000</v>
      </c>
      <c r="AS45" s="796" t="n"/>
      <c r="AT45" s="680" t="n"/>
      <c r="AU45" s="796" t="n"/>
      <c r="AV45" s="680" t="n"/>
      <c r="AW45" s="796" t="n"/>
      <c r="AX45" s="680" t="n"/>
      <c r="AY45" s="798" t="n"/>
      <c r="AZ45" s="645">
        <f>AP45+AR45+AT45+AV45+AX45</f>
        <v/>
      </c>
      <c r="BA45" s="1072">
        <f>AQ45+AS45+AU45+AW45+AY45</f>
        <v/>
      </c>
      <c r="BB45" s="1035">
        <f>BA45-AZ45</f>
        <v/>
      </c>
      <c r="BC45" s="643" t="n"/>
      <c r="BD45" s="796" t="n"/>
      <c r="BE45" s="680" t="n"/>
      <c r="BF45" s="796" t="n"/>
      <c r="BG45" s="680" t="n"/>
      <c r="BH45" s="796" t="n"/>
      <c r="BI45" s="680" t="n"/>
      <c r="BJ45" s="796" t="n"/>
      <c r="BK45" s="680" t="n"/>
      <c r="BL45" s="796" t="n"/>
      <c r="BM45" s="680" t="n"/>
      <c r="BN45" s="796" t="n"/>
      <c r="BO45" s="680" t="n"/>
      <c r="BP45" s="796" t="n"/>
      <c r="BQ45" s="647">
        <f>BC45+BE45+BG45+BI45+BK45+BM45+BO45</f>
        <v/>
      </c>
      <c r="BR45" s="1046">
        <f>BD45+BF45+BH45+BJ45+BL45+BN45+BP45</f>
        <v/>
      </c>
      <c r="BS45" s="1037">
        <f>BR45-BQ45</f>
        <v/>
      </c>
      <c r="BT45" s="1075">
        <f>Z45+AM45+AZ45+BQ45+M45</f>
        <v/>
      </c>
      <c r="BU45" s="1076">
        <f>AA45+AN45+BA45+BR45+N45</f>
        <v/>
      </c>
      <c r="BV45" s="1049">
        <f>BT45-BU45</f>
        <v/>
      </c>
    </row>
    <row r="46">
      <c r="A46" s="633" t="inlineStr">
        <is>
          <t>Инвентарь</t>
        </is>
      </c>
      <c r="B46" s="604" t="inlineStr">
        <is>
          <t>Расход</t>
        </is>
      </c>
      <c r="C46" s="680" t="n"/>
      <c r="D46" s="796" t="n"/>
      <c r="E46" s="680" t="n"/>
      <c r="F46" s="796" t="n"/>
      <c r="G46" s="643" t="n"/>
      <c r="H46" s="634" t="n"/>
      <c r="I46" s="643" t="n"/>
      <c r="J46" s="634" t="n"/>
      <c r="K46" s="643" t="n"/>
      <c r="L46" s="634" t="n"/>
      <c r="M46" s="1069">
        <f>C46+E46+G46+I46+K46</f>
        <v/>
      </c>
      <c r="N46" s="1044">
        <f>D46+F46+H46+J46+L46</f>
        <v/>
      </c>
      <c r="O46" s="1070">
        <f>N46-M46</f>
        <v/>
      </c>
      <c r="P46" s="643" t="n"/>
      <c r="Q46" s="634" t="n"/>
      <c r="R46" s="680" t="n"/>
      <c r="S46" s="796" t="n"/>
      <c r="T46" s="680" t="n"/>
      <c r="U46" s="796" t="n"/>
      <c r="V46" s="680" t="n"/>
      <c r="W46" s="796" t="n"/>
      <c r="X46" s="680" t="n"/>
      <c r="Y46" s="796" t="n"/>
      <c r="Z46" s="810">
        <f>P46+T46+R46+V46+X46</f>
        <v/>
      </c>
      <c r="AA46" s="1044">
        <f>Q46+S46+U46+W46+Y46</f>
        <v/>
      </c>
      <c r="AB46" s="1070">
        <f>AA46-Z46</f>
        <v/>
      </c>
      <c r="AC46" s="680" t="n"/>
      <c r="AD46" s="796" t="n"/>
      <c r="AE46" s="680" t="n"/>
      <c r="AF46" s="796" t="n"/>
      <c r="AG46" s="680" t="n"/>
      <c r="AH46" s="796" t="n"/>
      <c r="AI46" s="680" t="n"/>
      <c r="AJ46" s="796" t="n"/>
      <c r="AK46" s="680" t="n"/>
      <c r="AL46" s="796" t="n"/>
      <c r="AM46" s="645">
        <f>AC46+AE46+AG46+AI46+AK46</f>
        <v/>
      </c>
      <c r="AN46" s="1072">
        <f>AD46+AF46+AH46+AJ46+AL46</f>
        <v/>
      </c>
      <c r="AO46" s="1073">
        <f>AN46-AM46</f>
        <v/>
      </c>
      <c r="AP46" s="680" t="n"/>
      <c r="AQ46" s="796" t="n"/>
      <c r="AR46" s="680" t="n"/>
      <c r="AS46" s="796" t="n"/>
      <c r="AT46" s="680" t="n"/>
      <c r="AU46" s="796" t="n"/>
      <c r="AV46" s="680" t="n"/>
      <c r="AW46" s="796" t="n"/>
      <c r="AX46" s="680" t="n"/>
      <c r="AY46" s="798" t="n"/>
      <c r="AZ46" s="645">
        <f>AP46+AR46+AT46+AV46+AX46</f>
        <v/>
      </c>
      <c r="BA46" s="1072">
        <f>AQ46+AS46+AU46+AW46+AY46</f>
        <v/>
      </c>
      <c r="BB46" s="1035">
        <f>BA46-AZ46</f>
        <v/>
      </c>
      <c r="BC46" s="643" t="n"/>
      <c r="BD46" s="796" t="n"/>
      <c r="BE46" s="680" t="n"/>
      <c r="BF46" s="796" t="n"/>
      <c r="BG46" s="680" t="n"/>
      <c r="BH46" s="796" t="n"/>
      <c r="BI46" s="680" t="n"/>
      <c r="BJ46" s="796" t="n"/>
      <c r="BK46" s="680" t="n"/>
      <c r="BL46" s="796" t="n"/>
      <c r="BM46" s="680" t="n"/>
      <c r="BN46" s="796" t="n"/>
      <c r="BO46" s="680" t="n"/>
      <c r="BP46" s="796" t="n"/>
      <c r="BQ46" s="647">
        <f>BC46+BE46+BG46+BI46+BK46+BM46+BO46</f>
        <v/>
      </c>
      <c r="BR46" s="1046">
        <f>BD46+BF46+BH46+BJ46+BL46+BN46+BP46</f>
        <v/>
      </c>
      <c r="BS46" s="1037">
        <f>BR46-BQ46</f>
        <v/>
      </c>
      <c r="BT46" s="1075">
        <f>Z46+AM46+AZ46+BQ46+M46</f>
        <v/>
      </c>
      <c r="BU46" s="1076">
        <f>AA46+AN46+BA46+BR46+N46</f>
        <v/>
      </c>
      <c r="BV46" s="1049">
        <f>BT46-BU46</f>
        <v/>
      </c>
    </row>
    <row r="47">
      <c r="A47" s="633" t="inlineStr">
        <is>
          <t>Униформа</t>
        </is>
      </c>
      <c r="B47" s="604" t="inlineStr">
        <is>
          <t>Расход</t>
        </is>
      </c>
      <c r="C47" s="680" t="n"/>
      <c r="D47" s="796" t="n"/>
      <c r="E47" s="680" t="n"/>
      <c r="F47" s="796" t="n"/>
      <c r="G47" s="643" t="n"/>
      <c r="H47" s="634" t="n"/>
      <c r="I47" s="643" t="n"/>
      <c r="J47" s="634" t="n"/>
      <c r="K47" s="642" t="n">
        <v>-150000</v>
      </c>
      <c r="L47" s="634" t="n"/>
      <c r="M47" s="1069">
        <f>C47+E47+G47+I47+K47</f>
        <v/>
      </c>
      <c r="N47" s="1044">
        <f>D47+F47+H47+J47+L47</f>
        <v/>
      </c>
      <c r="O47" s="1070">
        <f>N47-M47</f>
        <v/>
      </c>
      <c r="P47" s="643" t="n"/>
      <c r="Q47" s="641" t="n">
        <v>-39900</v>
      </c>
      <c r="R47" s="680" t="n"/>
      <c r="S47" s="796" t="n"/>
      <c r="T47" s="680" t="n"/>
      <c r="U47" s="796" t="n"/>
      <c r="V47" s="680" t="n"/>
      <c r="W47" s="796" t="n"/>
      <c r="X47" s="680" t="n"/>
      <c r="Y47" s="796" t="n"/>
      <c r="Z47" s="810">
        <f>P47+T47+R47+V47+X47</f>
        <v/>
      </c>
      <c r="AA47" s="1044">
        <f>Q47+S47+U47+W47+Y47</f>
        <v/>
      </c>
      <c r="AB47" s="1070">
        <f>AA47-Z47</f>
        <v/>
      </c>
      <c r="AC47" s="680" t="n"/>
      <c r="AD47" s="796" t="n"/>
      <c r="AE47" s="680" t="n"/>
      <c r="AF47" s="796" t="n"/>
      <c r="AG47" s="680" t="n"/>
      <c r="AH47" s="796" t="n"/>
      <c r="AI47" s="680" t="n"/>
      <c r="AJ47" s="796" t="n"/>
      <c r="AK47" s="680" t="n"/>
      <c r="AL47" s="796" t="n"/>
      <c r="AM47" s="645">
        <f>AC47+AE47+AG47+AI47+AK47</f>
        <v/>
      </c>
      <c r="AN47" s="1072">
        <f>AD47+AF47+AH47+AJ47+AL47</f>
        <v/>
      </c>
      <c r="AO47" s="1073">
        <f>AN47-AM47</f>
        <v/>
      </c>
      <c r="AP47" s="680" t="n"/>
      <c r="AQ47" s="796" t="n"/>
      <c r="AR47" s="680" t="n"/>
      <c r="AS47" s="796" t="n"/>
      <c r="AT47" s="680" t="n"/>
      <c r="AU47" s="796" t="n"/>
      <c r="AV47" s="680" t="n"/>
      <c r="AW47" s="796" t="n"/>
      <c r="AX47" s="680" t="n"/>
      <c r="AY47" s="798" t="n"/>
      <c r="AZ47" s="645">
        <f>AP47+AR47+AT47+AV47+AX47</f>
        <v/>
      </c>
      <c r="BA47" s="1072">
        <f>AQ47+AS47+AU47+AW47+AY47</f>
        <v/>
      </c>
      <c r="BB47" s="1035">
        <f>BA47-AZ47</f>
        <v/>
      </c>
      <c r="BC47" s="643" t="n"/>
      <c r="BD47" s="796" t="n"/>
      <c r="BE47" s="680" t="n"/>
      <c r="BF47" s="796" t="n"/>
      <c r="BG47" s="680" t="n"/>
      <c r="BH47" s="796" t="n"/>
      <c r="BI47" s="680" t="n"/>
      <c r="BJ47" s="796" t="n"/>
      <c r="BK47" s="680" t="n"/>
      <c r="BL47" s="796" t="n"/>
      <c r="BM47" s="680" t="n"/>
      <c r="BN47" s="796" t="n"/>
      <c r="BO47" s="680" t="n"/>
      <c r="BP47" s="796" t="n"/>
      <c r="BQ47" s="647">
        <f>BC47+BE47+BG47+BI47+BK47+BM47+BO47</f>
        <v/>
      </c>
      <c r="BR47" s="1046">
        <f>BD47+BF47+BH47+BJ47+BL47+BN47+BP47</f>
        <v/>
      </c>
      <c r="BS47" s="1037">
        <f>BR47-BQ47</f>
        <v/>
      </c>
      <c r="BT47" s="1075">
        <f>Z47+AM47+AZ47+BQ47+M47</f>
        <v/>
      </c>
      <c r="BU47" s="1076">
        <f>AA47+AN47+BA47+BR47+N47</f>
        <v/>
      </c>
      <c r="BV47" s="1049">
        <f>BT47-BU47</f>
        <v/>
      </c>
    </row>
    <row r="48">
      <c r="A48" s="633" t="inlineStr">
        <is>
          <t>Упаковка</t>
        </is>
      </c>
      <c r="B48" s="604" t="inlineStr">
        <is>
          <t>Расход</t>
        </is>
      </c>
      <c r="C48" s="680" t="n"/>
      <c r="D48" s="796" t="n"/>
      <c r="E48" s="643" t="n"/>
      <c r="F48" s="796" t="n"/>
      <c r="G48" s="643" t="n"/>
      <c r="H48" s="634" t="n"/>
      <c r="I48" s="643" t="n"/>
      <c r="J48" s="641">
        <f>-510400</f>
        <v/>
      </c>
      <c r="K48" s="642" t="n">
        <v>-2000000</v>
      </c>
      <c r="L48" s="641" t="n">
        <v>-287020</v>
      </c>
      <c r="M48" s="1069">
        <f>C48+E48+G48+I48+K48</f>
        <v/>
      </c>
      <c r="N48" s="1044">
        <f>D48+F48+H48+J48+L48</f>
        <v/>
      </c>
      <c r="O48" s="1070">
        <f>N48-M48</f>
        <v/>
      </c>
      <c r="P48" s="643" t="n"/>
      <c r="Q48" s="641" t="n">
        <v>-132000</v>
      </c>
      <c r="R48" s="649" t="n">
        <v>-2500000</v>
      </c>
      <c r="S48" s="804" t="n">
        <v>-569817</v>
      </c>
      <c r="T48" s="680" t="n"/>
      <c r="U48" s="796" t="n"/>
      <c r="V48" s="680" t="n"/>
      <c r="W48" s="796" t="n">
        <v>-500000</v>
      </c>
      <c r="X48" s="649" t="n">
        <v>-2000000</v>
      </c>
      <c r="Y48" s="796" t="n">
        <v>-1791400</v>
      </c>
      <c r="Z48" s="810">
        <f>P48+T48+R48+V48+X48</f>
        <v/>
      </c>
      <c r="AA48" s="1044">
        <f>Q48+S48+U48+W48+Y48</f>
        <v/>
      </c>
      <c r="AB48" s="1070">
        <f>AA48-Z48</f>
        <v/>
      </c>
      <c r="AC48" s="680" t="n"/>
      <c r="AD48" s="796" t="n"/>
      <c r="AE48" s="643" t="n"/>
      <c r="AF48" s="796" t="n"/>
      <c r="AG48" s="642" t="n">
        <v>-1500000</v>
      </c>
      <c r="AH48" s="796" t="n"/>
      <c r="AI48" s="645" t="n">
        <v>-900000</v>
      </c>
      <c r="AJ48" s="796" t="n"/>
      <c r="AK48" s="649" t="n">
        <v>-600000</v>
      </c>
      <c r="AL48" s="796" t="n"/>
      <c r="AM48" s="645">
        <f>AC48+AE48+AG48+AI48+AK48</f>
        <v/>
      </c>
      <c r="AN48" s="1072">
        <f>AD48+AF48+AH48+AJ48+AL48</f>
        <v/>
      </c>
      <c r="AO48" s="1073">
        <f>AN48-AM48</f>
        <v/>
      </c>
      <c r="AP48" s="680" t="n"/>
      <c r="AQ48" s="796" t="n"/>
      <c r="AR48" s="645" t="n">
        <v>-1000000</v>
      </c>
      <c r="AS48" s="796" t="n"/>
      <c r="AT48" s="643" t="n"/>
      <c r="AU48" s="796" t="n"/>
      <c r="AV48" s="647" t="n">
        <v>-1000000</v>
      </c>
      <c r="AW48" s="796" t="n"/>
      <c r="AX48" s="649" t="n">
        <v>-2000000</v>
      </c>
      <c r="AY48" s="798" t="n"/>
      <c r="AZ48" s="645">
        <f>AP48+AR48+AT48+AV48+AX48</f>
        <v/>
      </c>
      <c r="BA48" s="1072">
        <f>AQ48+AS48+AU48+AW48+AY48</f>
        <v/>
      </c>
      <c r="BB48" s="1035">
        <f>BA48-AZ48</f>
        <v/>
      </c>
      <c r="BC48" s="643" t="n"/>
      <c r="BD48" s="796" t="n"/>
      <c r="BE48" s="642" t="n">
        <v>-2000000</v>
      </c>
      <c r="BF48" s="796" t="n"/>
      <c r="BG48" s="680" t="n"/>
      <c r="BH48" s="796" t="n"/>
      <c r="BI48" s="680" t="n"/>
      <c r="BJ48" s="796" t="n"/>
      <c r="BK48" s="680" t="n"/>
      <c r="BL48" s="796" t="n"/>
      <c r="BM48" s="680" t="n"/>
      <c r="BN48" s="796" t="n"/>
      <c r="BO48" s="680" t="n"/>
      <c r="BP48" s="796" t="n"/>
      <c r="BQ48" s="647">
        <f>BC48+BE48+BG48+BI48+BK48+BM48+BO48</f>
        <v/>
      </c>
      <c r="BR48" s="1046">
        <f>BD48+BF48+BH48+BJ48+BL48+BN48+BP48</f>
        <v/>
      </c>
      <c r="BS48" s="1037">
        <f>BR48-BQ48</f>
        <v/>
      </c>
      <c r="BT48" s="1075">
        <f>Z48+AM48+AZ48+BQ48+M48</f>
        <v/>
      </c>
      <c r="BU48" s="1076">
        <f>AA48+AN48+BA48+BR48+N48</f>
        <v/>
      </c>
      <c r="BV48" s="1049">
        <f>BT48-BU48</f>
        <v/>
      </c>
    </row>
    <row r="49">
      <c r="A49" s="633" t="inlineStr">
        <is>
          <t>Хоз.товара</t>
        </is>
      </c>
      <c r="B49" s="604" t="inlineStr">
        <is>
          <t>Расход</t>
        </is>
      </c>
      <c r="C49" s="680" t="n"/>
      <c r="D49" s="796" t="n"/>
      <c r="E49" s="680" t="n"/>
      <c r="F49" s="796" t="n"/>
      <c r="G49" s="643" t="n"/>
      <c r="H49" s="634" t="n"/>
      <c r="I49" s="643" t="n"/>
      <c r="J49" s="634" t="n"/>
      <c r="K49" s="643" t="n"/>
      <c r="L49" s="634" t="n"/>
      <c r="M49" s="1069">
        <f>C49+E49+G49+I49+K49</f>
        <v/>
      </c>
      <c r="N49" s="1044">
        <f>D49+F49+H49+J49+L49</f>
        <v/>
      </c>
      <c r="O49" s="1070">
        <f>N49-M49</f>
        <v/>
      </c>
      <c r="P49" s="643" t="n"/>
      <c r="Q49" s="634" t="n"/>
      <c r="R49" s="680" t="n"/>
      <c r="S49" s="804" t="n">
        <v>-340760</v>
      </c>
      <c r="T49" s="680" t="n"/>
      <c r="U49" s="796" t="n"/>
      <c r="V49" s="680" t="n"/>
      <c r="W49" s="796" t="n"/>
      <c r="X49" s="680" t="n"/>
      <c r="Y49" s="796" t="n"/>
      <c r="Z49" s="810">
        <f>P49+T49+R49+V49+X49</f>
        <v/>
      </c>
      <c r="AA49" s="1044">
        <f>Q49+S49+U49+W49+Y49</f>
        <v/>
      </c>
      <c r="AB49" s="1070">
        <f>AA49-Z49</f>
        <v/>
      </c>
      <c r="AC49" s="680" t="n"/>
      <c r="AD49" s="796" t="n"/>
      <c r="AE49" s="680" t="n"/>
      <c r="AF49" s="796" t="n"/>
      <c r="AG49" s="680" t="n"/>
      <c r="AH49" s="796" t="n"/>
      <c r="AI49" s="680" t="n"/>
      <c r="AJ49" s="796" t="n"/>
      <c r="AK49" s="649" t="n">
        <v>-300000</v>
      </c>
      <c r="AL49" s="796" t="n"/>
      <c r="AM49" s="645">
        <f>AC49+AE49+AG49+AI49+AK49</f>
        <v/>
      </c>
      <c r="AN49" s="1072">
        <f>AD49+AF49+AH49+AJ49+AL49</f>
        <v/>
      </c>
      <c r="AO49" s="1073">
        <f>AN49-AM49</f>
        <v/>
      </c>
      <c r="AP49" s="680" t="n"/>
      <c r="AQ49" s="796" t="n"/>
      <c r="AR49" s="680" t="n"/>
      <c r="AS49" s="796" t="n"/>
      <c r="AT49" s="680" t="n"/>
      <c r="AU49" s="796" t="n"/>
      <c r="AV49" s="680" t="n"/>
      <c r="AW49" s="796" t="n"/>
      <c r="AX49" s="680" t="n"/>
      <c r="AY49" s="798" t="n"/>
      <c r="AZ49" s="645">
        <f>AP49+AR49+AT49+AV49+AX49</f>
        <v/>
      </c>
      <c r="BA49" s="1072">
        <f>AQ49+AS49+AU49+AW49+AY49</f>
        <v/>
      </c>
      <c r="BB49" s="1035">
        <f>BA49-AZ49</f>
        <v/>
      </c>
      <c r="BC49" s="643" t="n"/>
      <c r="BD49" s="796" t="n"/>
      <c r="BE49" s="680" t="n"/>
      <c r="BF49" s="796" t="n"/>
      <c r="BG49" s="680" t="n"/>
      <c r="BH49" s="796" t="n"/>
      <c r="BI49" s="680" t="n"/>
      <c r="BJ49" s="796" t="n"/>
      <c r="BK49" s="680" t="n"/>
      <c r="BL49" s="796" t="n"/>
      <c r="BM49" s="643" t="n"/>
      <c r="BN49" s="796" t="n"/>
      <c r="BO49" s="680" t="n"/>
      <c r="BP49" s="796" t="n"/>
      <c r="BQ49" s="647">
        <f>BC49+BE49+BG49+BI49+BK49+BM49+BO49</f>
        <v/>
      </c>
      <c r="BR49" s="1046">
        <f>BD49+BF49+BH49+BJ49+BL49+BN49+BP49</f>
        <v/>
      </c>
      <c r="BS49" s="1037">
        <f>BR49-BQ49</f>
        <v/>
      </c>
      <c r="BT49" s="1075">
        <f>Z49+AM49+AZ49+BQ49+M49</f>
        <v/>
      </c>
      <c r="BU49" s="1076">
        <f>AA49+AN49+BA49+BR49+N49</f>
        <v/>
      </c>
      <c r="BV49" s="1049">
        <f>BT49-BU49</f>
        <v/>
      </c>
    </row>
    <row r="50">
      <c r="A50" s="633" t="inlineStr">
        <is>
          <t>Погашение кредита и %%</t>
        </is>
      </c>
      <c r="B50" s="604" t="inlineStr">
        <is>
          <t>Расход</t>
        </is>
      </c>
      <c r="C50" s="680" t="n"/>
      <c r="D50" s="796" t="n"/>
      <c r="E50" s="680" t="n"/>
      <c r="F50" s="796" t="n"/>
      <c r="G50" s="643" t="n"/>
      <c r="H50" s="634" t="n"/>
      <c r="I50" s="643" t="n"/>
      <c r="J50" s="634" t="n"/>
      <c r="K50" s="643" t="n"/>
      <c r="L50" s="634" t="n"/>
      <c r="M50" s="1069">
        <f>C50+E50+G50+I50+K50</f>
        <v/>
      </c>
      <c r="N50" s="1044">
        <f>D50+F50+H50+J50+L50</f>
        <v/>
      </c>
      <c r="O50" s="1070">
        <f>N50-M50</f>
        <v/>
      </c>
      <c r="P50" s="643" t="n"/>
      <c r="Q50" s="634" t="n"/>
      <c r="R50" s="680" t="n"/>
      <c r="S50" s="796" t="n"/>
      <c r="T50" s="680" t="n"/>
      <c r="U50" s="796" t="n"/>
      <c r="V50" s="680" t="n"/>
      <c r="W50" s="796" t="n"/>
      <c r="X50" s="680" t="n"/>
      <c r="Y50" s="796" t="n"/>
      <c r="Z50" s="810">
        <f>P50+T50+R50+V50+X50</f>
        <v/>
      </c>
      <c r="AA50" s="1044">
        <f>Q50+S50+U50+W50+Y50</f>
        <v/>
      </c>
      <c r="AB50" s="1070">
        <f>AA50-Z50</f>
        <v/>
      </c>
      <c r="AC50" s="680" t="n"/>
      <c r="AD50" s="796" t="n"/>
      <c r="AE50" s="680" t="n"/>
      <c r="AF50" s="796" t="n"/>
      <c r="AG50" s="680" t="n"/>
      <c r="AH50" s="796" t="n"/>
      <c r="AI50" s="680" t="n"/>
      <c r="AJ50" s="796" t="n"/>
      <c r="AK50" s="680" t="n"/>
      <c r="AL50" s="796" t="n"/>
      <c r="AM50" s="645">
        <f>AC50+AE50+AG50+AI50+AK50</f>
        <v/>
      </c>
      <c r="AN50" s="1072">
        <f>AD50+AF50+AH50+AJ50+AL50</f>
        <v/>
      </c>
      <c r="AO50" s="1073">
        <f>AN50-AM50</f>
        <v/>
      </c>
      <c r="AP50" s="680" t="n"/>
      <c r="AQ50" s="796" t="n"/>
      <c r="AR50" s="680" t="n"/>
      <c r="AS50" s="796" t="n"/>
      <c r="AT50" s="680" t="n"/>
      <c r="AU50" s="796" t="n"/>
      <c r="AV50" s="680" t="n"/>
      <c r="AW50" s="796" t="n"/>
      <c r="AX50" s="680" t="n"/>
      <c r="AY50" s="798" t="n"/>
      <c r="AZ50" s="645">
        <f>AP50+AR50+AT50+AV50+AX50</f>
        <v/>
      </c>
      <c r="BA50" s="1072">
        <f>AQ50+AS50+AU50+AW50+AY50</f>
        <v/>
      </c>
      <c r="BB50" s="1035">
        <f>BA50-AZ50</f>
        <v/>
      </c>
      <c r="BC50" s="649" t="n">
        <v>-1198352</v>
      </c>
      <c r="BD50" s="796" t="n"/>
      <c r="BE50" s="680" t="n"/>
      <c r="BF50" s="796" t="n"/>
      <c r="BG50" s="680" t="n"/>
      <c r="BH50" s="796" t="n"/>
      <c r="BI50" s="649">
        <f>-915358-1770150</f>
        <v/>
      </c>
      <c r="BJ50" s="796" t="n"/>
      <c r="BK50" s="680" t="n"/>
      <c r="BL50" s="796" t="n"/>
      <c r="BM50" s="680" t="n"/>
      <c r="BN50" s="796" t="n"/>
      <c r="BO50" s="680" t="n"/>
      <c r="BP50" s="796" t="n"/>
      <c r="BQ50" s="647">
        <f>BC50+BE50+BG50+BI50+BK50+BM50+BO50</f>
        <v/>
      </c>
      <c r="BR50" s="1046">
        <f>BD50+BF50+BH50+BJ50+BL50+BN50+BP50</f>
        <v/>
      </c>
      <c r="BS50" s="1037">
        <f>BR50-BQ50</f>
        <v/>
      </c>
      <c r="BT50" s="1075">
        <f>Z50+AM50+AZ50+BQ50+M50</f>
        <v/>
      </c>
      <c r="BU50" s="1076">
        <f>AA50+AN50+BA50+BR50+N50</f>
        <v/>
      </c>
      <c r="BV50" s="1049">
        <f>BT50-BU50</f>
        <v/>
      </c>
    </row>
    <row r="51">
      <c r="A51" s="633" t="inlineStr">
        <is>
          <t>Расходы по реализации Разные(Логистика)</t>
        </is>
      </c>
      <c r="B51" s="604" t="inlineStr">
        <is>
          <t>Расход</t>
        </is>
      </c>
      <c r="C51" s="680" t="n"/>
      <c r="D51" s="796" t="n"/>
      <c r="E51" s="680" t="n"/>
      <c r="F51" s="796" t="n"/>
      <c r="G51" s="643" t="n"/>
      <c r="H51" s="634" t="n"/>
      <c r="I51" s="649" t="n">
        <v>-2000000</v>
      </c>
      <c r="J51" s="634" t="n"/>
      <c r="K51" s="643" t="n"/>
      <c r="L51" s="634" t="n"/>
      <c r="M51" s="1069">
        <f>C51+E51+G51+I51+K51</f>
        <v/>
      </c>
      <c r="N51" s="1044">
        <f>D51+F51+H51+J51+L51</f>
        <v/>
      </c>
      <c r="O51" s="1070">
        <f>N51-M51</f>
        <v/>
      </c>
      <c r="P51" s="643" t="n"/>
      <c r="Q51" s="634" t="n"/>
      <c r="R51" s="680" t="n"/>
      <c r="S51" s="796" t="n"/>
      <c r="T51" s="680" t="n"/>
      <c r="U51" s="796" t="n"/>
      <c r="V51" s="680" t="n"/>
      <c r="W51" s="796" t="n"/>
      <c r="X51" s="649" t="n">
        <v>-2725000</v>
      </c>
      <c r="Y51" s="796" t="n"/>
      <c r="Z51" s="810">
        <f>P51+T51+R51+V51+X51</f>
        <v/>
      </c>
      <c r="AA51" s="1044">
        <f>Q51+S51+U51+W51+Y51</f>
        <v/>
      </c>
      <c r="AB51" s="1070">
        <f>AA51-Z51</f>
        <v/>
      </c>
      <c r="AC51" s="680" t="n"/>
      <c r="AD51" s="796" t="n"/>
      <c r="AE51" s="680" t="n"/>
      <c r="AF51" s="796" t="n"/>
      <c r="AG51" s="680" t="n"/>
      <c r="AH51" s="796" t="n"/>
      <c r="AI51" s="680" t="n"/>
      <c r="AJ51" s="796" t="n"/>
      <c r="AK51" s="649" t="n">
        <v>-1500000</v>
      </c>
      <c r="AL51" s="796" t="n"/>
      <c r="AM51" s="645">
        <f>AC51+AE51+AG51+AI51+AK51</f>
        <v/>
      </c>
      <c r="AN51" s="1072">
        <f>AD51+AF51+AH51+AJ51+AL51</f>
        <v/>
      </c>
      <c r="AO51" s="1073">
        <f>AN51-AM51</f>
        <v/>
      </c>
      <c r="AP51" s="680" t="n"/>
      <c r="AQ51" s="796" t="n"/>
      <c r="AR51" s="680" t="n"/>
      <c r="AS51" s="796" t="n"/>
      <c r="AT51" s="680" t="n"/>
      <c r="AU51" s="796" t="n"/>
      <c r="AV51" s="680" t="n"/>
      <c r="AW51" s="796" t="n"/>
      <c r="AX51" s="649" t="n">
        <v>-2000000</v>
      </c>
      <c r="AY51" s="798" t="n"/>
      <c r="AZ51" s="645">
        <f>AP51+AR51+AT51+AV51+AX51</f>
        <v/>
      </c>
      <c r="BA51" s="1072">
        <f>AQ51+AS51+AU51+AW51+AY51</f>
        <v/>
      </c>
      <c r="BB51" s="1035">
        <f>BA51-AZ51</f>
        <v/>
      </c>
      <c r="BC51" s="643" t="n"/>
      <c r="BD51" s="796" t="n"/>
      <c r="BE51" s="680" t="n"/>
      <c r="BF51" s="796" t="n"/>
      <c r="BG51" s="680" t="n"/>
      <c r="BH51" s="796" t="n"/>
      <c r="BI51" s="680" t="n"/>
      <c r="BJ51" s="796" t="n"/>
      <c r="BK51" s="680" t="n"/>
      <c r="BL51" s="796" t="n"/>
      <c r="BM51" s="680" t="n"/>
      <c r="BN51" s="796" t="n"/>
      <c r="BO51" s="680" t="n"/>
      <c r="BP51" s="796" t="n"/>
      <c r="BQ51" s="647">
        <f>BC51+BE51+BG51+BI51+BK51+BM51+BO51</f>
        <v/>
      </c>
      <c r="BR51" s="1046">
        <f>BD51+BF51+BH51+BJ51+BL51+BN51+BP51</f>
        <v/>
      </c>
      <c r="BS51" s="1037">
        <f>BR51-BQ51</f>
        <v/>
      </c>
      <c r="BT51" s="1075">
        <f>Z51+AM51+AZ51+BQ51+M51</f>
        <v/>
      </c>
      <c r="BU51" s="1076">
        <f>AA51+AN51+BA51+BR51+N51</f>
        <v/>
      </c>
      <c r="BV51" s="1049">
        <f>BT51-BU51</f>
        <v/>
      </c>
    </row>
    <row r="52">
      <c r="A52" s="633" t="inlineStr">
        <is>
          <t>Ремонт помещений</t>
        </is>
      </c>
      <c r="B52" s="604" t="inlineStr">
        <is>
          <t>Расход</t>
        </is>
      </c>
      <c r="C52" s="680" t="n"/>
      <c r="D52" s="796" t="n"/>
      <c r="E52" s="680" t="n"/>
      <c r="F52" s="796" t="n"/>
      <c r="G52" s="643" t="n"/>
      <c r="H52" s="634" t="n"/>
      <c r="I52" s="643" t="n"/>
      <c r="J52" s="634" t="n"/>
      <c r="K52" s="643" t="n"/>
      <c r="L52" s="634" t="n"/>
      <c r="M52" s="1069">
        <f>C52+E52+G52+I52+K52</f>
        <v/>
      </c>
      <c r="N52" s="1044">
        <f>D52+F52+H52+J52+L52</f>
        <v/>
      </c>
      <c r="O52" s="1070">
        <f>N52-M52</f>
        <v/>
      </c>
      <c r="P52" s="643" t="n"/>
      <c r="Q52" s="634" t="n"/>
      <c r="R52" s="680" t="n"/>
      <c r="S52" s="796" t="n"/>
      <c r="T52" s="680" t="n"/>
      <c r="U52" s="796" t="n"/>
      <c r="V52" s="680" t="n"/>
      <c r="W52" s="796" t="n"/>
      <c r="X52" s="680" t="n"/>
      <c r="Y52" s="796" t="n"/>
      <c r="Z52" s="810">
        <f>P52+T52+R52+V52+X52</f>
        <v/>
      </c>
      <c r="AA52" s="1044">
        <f>Q52+S52+U52+W52+Y52</f>
        <v/>
      </c>
      <c r="AB52" s="1070">
        <f>AA52-Z52</f>
        <v/>
      </c>
      <c r="AC52" s="680" t="n"/>
      <c r="AD52" s="796" t="n"/>
      <c r="AE52" s="680" t="n"/>
      <c r="AF52" s="796" t="n"/>
      <c r="AG52" s="680" t="n"/>
      <c r="AH52" s="796" t="n"/>
      <c r="AI52" s="680" t="n"/>
      <c r="AJ52" s="796" t="n"/>
      <c r="AK52" s="680" t="n"/>
      <c r="AL52" s="796" t="n"/>
      <c r="AM52" s="645">
        <f>AC52+AE52+AG52+AI52+AK52</f>
        <v/>
      </c>
      <c r="AN52" s="1072">
        <f>AD52+AF52+AH52+AJ52+AL52</f>
        <v/>
      </c>
      <c r="AO52" s="1073">
        <f>AN52-AM52</f>
        <v/>
      </c>
      <c r="AP52" s="680" t="n"/>
      <c r="AQ52" s="796" t="n"/>
      <c r="AR52" s="680" t="n"/>
      <c r="AS52" s="796" t="n"/>
      <c r="AT52" s="680" t="n"/>
      <c r="AU52" s="796" t="n"/>
      <c r="AV52" s="680" t="n"/>
      <c r="AW52" s="796" t="n"/>
      <c r="AX52" s="680" t="n"/>
      <c r="AY52" s="798" t="n"/>
      <c r="AZ52" s="645">
        <f>AP52+AR52+AT52+AV52+AX52</f>
        <v/>
      </c>
      <c r="BA52" s="1072">
        <f>AQ52+AS52+AU52+AW52+AY52</f>
        <v/>
      </c>
      <c r="BB52" s="1035">
        <f>BA52-AZ52</f>
        <v/>
      </c>
      <c r="BC52" s="643" t="n"/>
      <c r="BD52" s="796" t="n"/>
      <c r="BE52" s="680" t="n"/>
      <c r="BF52" s="796" t="n"/>
      <c r="BG52" s="680" t="n"/>
      <c r="BH52" s="796" t="n"/>
      <c r="BI52" s="680" t="n"/>
      <c r="BJ52" s="796" t="n"/>
      <c r="BK52" s="680" t="n"/>
      <c r="BL52" s="796" t="n"/>
      <c r="BM52" s="680" t="n"/>
      <c r="BN52" s="796" t="n"/>
      <c r="BO52" s="680" t="n"/>
      <c r="BP52" s="796" t="n"/>
      <c r="BQ52" s="647">
        <f>BC52+BE52+BG52+BI52+BK52+BM52+BO52</f>
        <v/>
      </c>
      <c r="BR52" s="1046">
        <f>BD52+BF52+BH52+BJ52+BL52+BN52+BP52</f>
        <v/>
      </c>
      <c r="BS52" s="1037">
        <f>BR52-BQ52</f>
        <v/>
      </c>
      <c r="BT52" s="1075">
        <f>Z52+AM52+AZ52+BQ52+M52</f>
        <v/>
      </c>
      <c r="BU52" s="1076">
        <f>AA52+AN52+BA52+BR52+N52</f>
        <v/>
      </c>
      <c r="BV52" s="1049">
        <f>BT52-BU52</f>
        <v/>
      </c>
    </row>
    <row r="53">
      <c r="A53" s="633" t="inlineStr">
        <is>
          <t>Ремонт оборудования</t>
        </is>
      </c>
      <c r="B53" s="604" t="inlineStr">
        <is>
          <t>Расход</t>
        </is>
      </c>
      <c r="C53" s="680" t="n"/>
      <c r="D53" s="796" t="n"/>
      <c r="E53" s="680" t="n"/>
      <c r="F53" s="796" t="n"/>
      <c r="G53" s="643" t="n"/>
      <c r="H53" s="634" t="n"/>
      <c r="I53" s="643" t="n"/>
      <c r="J53" s="634" t="n"/>
      <c r="K53" s="643" t="n"/>
      <c r="L53" s="634" t="n"/>
      <c r="M53" s="1069">
        <f>C53+E53+G53+I53+K53</f>
        <v/>
      </c>
      <c r="N53" s="1044">
        <f>D53+F53+H53+J53+L53</f>
        <v/>
      </c>
      <c r="O53" s="1070">
        <f>N53-M53</f>
        <v/>
      </c>
      <c r="P53" s="643" t="n"/>
      <c r="Q53" s="634" t="n"/>
      <c r="R53" s="680" t="n"/>
      <c r="S53" s="796" t="n"/>
      <c r="T53" s="680" t="n"/>
      <c r="U53" s="796" t="n"/>
      <c r="V53" s="680" t="n"/>
      <c r="W53" s="796" t="n"/>
      <c r="X53" s="680" t="n"/>
      <c r="Y53" s="796" t="n"/>
      <c r="Z53" s="810">
        <f>P53+T53+R53+V53+X53</f>
        <v/>
      </c>
      <c r="AA53" s="1044">
        <f>Q53+S53+U53+W53+Y53</f>
        <v/>
      </c>
      <c r="AB53" s="1070">
        <f>AA53-Z53</f>
        <v/>
      </c>
      <c r="AC53" s="680" t="n"/>
      <c r="AD53" s="796" t="n"/>
      <c r="AE53" s="680" t="n"/>
      <c r="AF53" s="796" t="n"/>
      <c r="AG53" s="680" t="n"/>
      <c r="AH53" s="796" t="n"/>
      <c r="AI53" s="680" t="n"/>
      <c r="AJ53" s="796" t="n"/>
      <c r="AK53" s="680" t="n"/>
      <c r="AL53" s="796" t="n"/>
      <c r="AM53" s="645">
        <f>AC53+AE53+AG53+AI53+AK53</f>
        <v/>
      </c>
      <c r="AN53" s="1072">
        <f>AD53+AF53+AH53+AJ53+AL53</f>
        <v/>
      </c>
      <c r="AO53" s="1073">
        <f>AN53-AM53</f>
        <v/>
      </c>
      <c r="AP53" s="680" t="n"/>
      <c r="AQ53" s="796" t="n"/>
      <c r="AR53" s="680" t="n"/>
      <c r="AS53" s="796" t="n"/>
      <c r="AT53" s="680" t="n"/>
      <c r="AU53" s="796" t="n"/>
      <c r="AV53" s="680" t="n"/>
      <c r="AW53" s="796" t="n"/>
      <c r="AX53" s="680" t="n"/>
      <c r="AY53" s="798" t="n"/>
      <c r="AZ53" s="645">
        <f>AP53+AR53+AT53+AV53+AX53</f>
        <v/>
      </c>
      <c r="BA53" s="1072">
        <f>AQ53+AS53+AU53+AW53+AY53</f>
        <v/>
      </c>
      <c r="BB53" s="1035">
        <f>BA53-AZ53</f>
        <v/>
      </c>
      <c r="BC53" s="643" t="n"/>
      <c r="BD53" s="796" t="n"/>
      <c r="BE53" s="680" t="n"/>
      <c r="BF53" s="796" t="n"/>
      <c r="BG53" s="680" t="n"/>
      <c r="BH53" s="796" t="n"/>
      <c r="BI53" s="680" t="n"/>
      <c r="BJ53" s="796" t="n"/>
      <c r="BK53" s="680" t="n"/>
      <c r="BL53" s="796" t="n"/>
      <c r="BM53" s="680" t="n"/>
      <c r="BN53" s="796" t="n"/>
      <c r="BO53" s="680" t="n"/>
      <c r="BP53" s="796" t="n"/>
      <c r="BQ53" s="647">
        <f>BC53+BE53+BG53+BI53+BK53+BM53+BO53</f>
        <v/>
      </c>
      <c r="BR53" s="1046">
        <f>BD53+BF53+BH53+BJ53+BL53+BN53+BP53</f>
        <v/>
      </c>
      <c r="BS53" s="1037">
        <f>BR53-BQ53</f>
        <v/>
      </c>
      <c r="BT53" s="1075">
        <f>Z53+AM53+AZ53+BQ53+M53</f>
        <v/>
      </c>
      <c r="BU53" s="1076">
        <f>AA53+AN53+BA53+BR53+N53</f>
        <v/>
      </c>
      <c r="BV53" s="1049">
        <f>BT53-BU53</f>
        <v/>
      </c>
    </row>
    <row r="54">
      <c r="A54" s="633" t="inlineStr">
        <is>
          <t>Приобретение основных средств</t>
        </is>
      </c>
      <c r="B54" s="604" t="inlineStr">
        <is>
          <t>Расход</t>
        </is>
      </c>
      <c r="C54" s="680" t="n"/>
      <c r="D54" s="796" t="n"/>
      <c r="E54" s="680" t="n"/>
      <c r="F54" s="796" t="n"/>
      <c r="G54" s="643" t="n"/>
      <c r="H54" s="634" t="n"/>
      <c r="I54" s="643" t="n"/>
      <c r="J54" s="634" t="n"/>
      <c r="K54" s="643" t="n"/>
      <c r="L54" s="634" t="n"/>
      <c r="M54" s="1069">
        <f>C54+E54+G54+I54+K54</f>
        <v/>
      </c>
      <c r="N54" s="1044">
        <f>D54+F54+H54+J54+L54</f>
        <v/>
      </c>
      <c r="O54" s="1070">
        <f>N54-M54</f>
        <v/>
      </c>
      <c r="P54" s="643" t="n"/>
      <c r="Q54" s="634" t="n"/>
      <c r="R54" s="680" t="n"/>
      <c r="S54" s="796" t="n"/>
      <c r="T54" s="680" t="n"/>
      <c r="U54" s="796" t="n"/>
      <c r="V54" s="680" t="n"/>
      <c r="W54" s="796" t="n"/>
      <c r="X54" s="680" t="n"/>
      <c r="Y54" s="796" t="n"/>
      <c r="Z54" s="810">
        <f>P54+T54+R54+V54+X54</f>
        <v/>
      </c>
      <c r="AA54" s="1044">
        <f>Q54+S54+U54+W54+Y54</f>
        <v/>
      </c>
      <c r="AB54" s="1070">
        <f>AA54-Z54</f>
        <v/>
      </c>
      <c r="AC54" s="680" t="n"/>
      <c r="AD54" s="796" t="n"/>
      <c r="AE54" s="680" t="n"/>
      <c r="AF54" s="796" t="n"/>
      <c r="AG54" s="680" t="n"/>
      <c r="AH54" s="796" t="n"/>
      <c r="AI54" s="680" t="n"/>
      <c r="AJ54" s="796" t="n"/>
      <c r="AK54" s="680" t="n"/>
      <c r="AL54" s="796" t="n"/>
      <c r="AM54" s="645">
        <f>AC54+AE54+AG54+AI54+AK54</f>
        <v/>
      </c>
      <c r="AN54" s="1072">
        <f>AD54+AF54+AH54+AJ54+AL54</f>
        <v/>
      </c>
      <c r="AO54" s="1073">
        <f>AN54-AM54</f>
        <v/>
      </c>
      <c r="AP54" s="680" t="n"/>
      <c r="AQ54" s="796" t="n"/>
      <c r="AR54" s="680" t="n"/>
      <c r="AS54" s="796" t="n"/>
      <c r="AT54" s="680" t="n"/>
      <c r="AU54" s="796" t="n"/>
      <c r="AV54" s="680" t="n"/>
      <c r="AW54" s="796" t="n"/>
      <c r="AX54" s="680" t="n"/>
      <c r="AY54" s="798" t="n"/>
      <c r="AZ54" s="645">
        <f>AP54+AR54+AT54+AV54+AX54</f>
        <v/>
      </c>
      <c r="BA54" s="1072">
        <f>AQ54+AS54+AU54+AW54+AY54</f>
        <v/>
      </c>
      <c r="BB54" s="1035">
        <f>BA54-AZ54</f>
        <v/>
      </c>
      <c r="BC54" s="643" t="n"/>
      <c r="BD54" s="796" t="n"/>
      <c r="BE54" s="680" t="n"/>
      <c r="BF54" s="796" t="n"/>
      <c r="BG54" s="680" t="n"/>
      <c r="BH54" s="796" t="n"/>
      <c r="BI54" s="680" t="n"/>
      <c r="BJ54" s="796" t="n"/>
      <c r="BK54" s="680" t="n"/>
      <c r="BL54" s="796" t="n"/>
      <c r="BM54" s="680" t="n"/>
      <c r="BN54" s="796" t="n"/>
      <c r="BO54" s="680" t="n"/>
      <c r="BP54" s="796" t="n"/>
      <c r="BQ54" s="647">
        <f>BC54+BE54+BG54+BI54+BK54+BM54+BO54</f>
        <v/>
      </c>
      <c r="BR54" s="1046">
        <f>BD54+BF54+BH54+BJ54+BL54+BN54+BP54</f>
        <v/>
      </c>
      <c r="BS54" s="1037">
        <f>BR54-BQ54</f>
        <v/>
      </c>
      <c r="BT54" s="1075">
        <f>Z54+AM54+AZ54+BQ54+M54</f>
        <v/>
      </c>
      <c r="BU54" s="1076">
        <f>AA54+AN54+BA54+BR54+N54</f>
        <v/>
      </c>
      <c r="BV54" s="1049">
        <f>BT54-BU54</f>
        <v/>
      </c>
    </row>
    <row r="55">
      <c r="A55" s="633" t="inlineStr">
        <is>
          <t>Сырье Платежи поставщикам</t>
        </is>
      </c>
      <c r="B55" s="604" t="inlineStr">
        <is>
          <t>Расход</t>
        </is>
      </c>
      <c r="C55" s="680" t="n"/>
      <c r="D55" s="796" t="n"/>
      <c r="E55" s="643" t="n"/>
      <c r="F55" s="796" t="n"/>
      <c r="G55" s="643" t="n"/>
      <c r="H55" s="641">
        <f>-7743006</f>
        <v/>
      </c>
      <c r="I55" s="643" t="n"/>
      <c r="J55" s="641">
        <f>-7167264</f>
        <v/>
      </c>
      <c r="K55" s="642" t="n">
        <v>-14000000</v>
      </c>
      <c r="L55" s="641">
        <f>-4962122-36000</f>
        <v/>
      </c>
      <c r="M55" s="1069">
        <f>C55+E55+G55+I55+K55</f>
        <v/>
      </c>
      <c r="N55" s="1044">
        <f>D55+F55+H55+J55+L55</f>
        <v/>
      </c>
      <c r="O55" s="1070">
        <f>N55-M55</f>
        <v/>
      </c>
      <c r="P55" s="643" t="n"/>
      <c r="Q55" s="641" t="n">
        <v>-4844150</v>
      </c>
      <c r="R55" s="649" t="n">
        <v>-2000000</v>
      </c>
      <c r="S55" s="804" t="n">
        <v>-4111835</v>
      </c>
      <c r="T55" s="649" t="n">
        <v>-14000000</v>
      </c>
      <c r="U55" s="796">
        <f>-699700-6755898</f>
        <v/>
      </c>
      <c r="V55" s="680" t="n"/>
      <c r="W55" s="796" t="n">
        <v>-1276000</v>
      </c>
      <c r="X55" s="642" t="n">
        <v>-14000000</v>
      </c>
      <c r="Y55" s="796">
        <f>-1986700</f>
        <v/>
      </c>
      <c r="Z55" s="810">
        <f>P55+T55+R55+V55+X55</f>
        <v/>
      </c>
      <c r="AA55" s="1044">
        <f>Q55+S55+U55+W55+Y55</f>
        <v/>
      </c>
      <c r="AB55" s="1070">
        <f>AA55-Z55</f>
        <v/>
      </c>
      <c r="AC55" s="680" t="n"/>
      <c r="AD55" s="796" t="n"/>
      <c r="AE55" s="642" t="n">
        <v>-6000000</v>
      </c>
      <c r="AF55" s="796" t="n"/>
      <c r="AG55" s="642" t="n">
        <v>-10000000</v>
      </c>
      <c r="AH55" s="796" t="n"/>
      <c r="AI55" s="680" t="n"/>
      <c r="AJ55" s="796" t="n"/>
      <c r="AK55" s="642" t="n">
        <v>-13000000</v>
      </c>
      <c r="AL55" s="796" t="n"/>
      <c r="AM55" s="645">
        <f>AC55+AE55+AG55+AI55+AK55</f>
        <v/>
      </c>
      <c r="AN55" s="1072">
        <f>AD55+AF55+AH55+AJ55+AL55</f>
        <v/>
      </c>
      <c r="AO55" s="1073">
        <f>AN55-AM55</f>
        <v/>
      </c>
      <c r="AP55" s="680" t="n"/>
      <c r="AQ55" s="796" t="n"/>
      <c r="AR55" s="642" t="n">
        <v>-12000000</v>
      </c>
      <c r="AS55" s="796" t="n"/>
      <c r="AT55" s="680" t="n"/>
      <c r="AU55" s="796" t="n"/>
      <c r="AV55" s="680" t="n"/>
      <c r="AW55" s="796" t="n"/>
      <c r="AX55" s="642" t="n">
        <v>-12000000</v>
      </c>
      <c r="AY55" s="798" t="n"/>
      <c r="AZ55" s="645">
        <f>AP55+AR55+AT55+AV55+AX55</f>
        <v/>
      </c>
      <c r="BA55" s="1072">
        <f>AQ55+AS55+AU55+AW55+AY55</f>
        <v/>
      </c>
      <c r="BB55" s="1035">
        <f>BA55-AZ55</f>
        <v/>
      </c>
      <c r="BC55" s="1077" t="n">
        <v>-30000000</v>
      </c>
      <c r="BD55" s="796" t="n"/>
      <c r="BE55" s="642" t="n">
        <v>-10000000</v>
      </c>
      <c r="BF55" s="796" t="n"/>
      <c r="BG55" s="680" t="n"/>
      <c r="BH55" s="796" t="n"/>
      <c r="BI55" s="680" t="n"/>
      <c r="BJ55" s="796" t="n"/>
      <c r="BK55" s="643" t="n"/>
      <c r="BL55" s="796" t="n"/>
      <c r="BM55" s="680" t="n"/>
      <c r="BN55" s="796" t="n"/>
      <c r="BO55" s="680" t="n"/>
      <c r="BP55" s="796" t="n"/>
      <c r="BQ55" s="647">
        <f>BC55+BE55+BG55+BI55+BK55+BM55+BO55</f>
        <v/>
      </c>
      <c r="BR55" s="1046">
        <f>BD55+BF55+BH55+BJ55+BL55+BN55+BP55</f>
        <v/>
      </c>
      <c r="BS55" s="1037">
        <f>BR55-BQ55</f>
        <v/>
      </c>
      <c r="BT55" s="1075">
        <f>Z55+AM55+AZ55+BQ55+M55</f>
        <v/>
      </c>
      <c r="BU55" s="1076">
        <f>AA55+AN55+BA55+BR55+N55</f>
        <v/>
      </c>
      <c r="BV55" s="1049">
        <f>BT55-BU55</f>
        <v/>
      </c>
    </row>
    <row r="56">
      <c r="A56" s="633" t="inlineStr">
        <is>
          <t>Электроэнергия</t>
        </is>
      </c>
      <c r="B56" s="604" t="inlineStr">
        <is>
          <t>Расход</t>
        </is>
      </c>
      <c r="C56" s="680" t="n"/>
      <c r="D56" s="796" t="n"/>
      <c r="E56" s="680" t="n"/>
      <c r="F56" s="796" t="n"/>
      <c r="G56" s="680" t="n"/>
      <c r="H56" s="634" t="n"/>
      <c r="I56" s="680" t="n"/>
      <c r="J56" s="634" t="n"/>
      <c r="K56" s="680" t="n"/>
      <c r="L56" s="634" t="n"/>
      <c r="M56" s="1069">
        <f>C56+E56+G56+I56+K56</f>
        <v/>
      </c>
      <c r="N56" s="1044">
        <f>D56+F56+H56+J56+L56</f>
        <v/>
      </c>
      <c r="O56" s="1070">
        <f>N56-M56</f>
        <v/>
      </c>
      <c r="P56" s="680" t="n"/>
      <c r="Q56" s="798" t="n"/>
      <c r="R56" s="680" t="n"/>
      <c r="S56" s="796" t="n"/>
      <c r="T56" s="680" t="n"/>
      <c r="U56" s="796" t="n"/>
      <c r="V56" s="680" t="n"/>
      <c r="W56" s="796" t="n"/>
      <c r="X56" s="680" t="n"/>
      <c r="Y56" s="796" t="n"/>
      <c r="Z56" s="810">
        <f>P56+T56+R56+V56+X56</f>
        <v/>
      </c>
      <c r="AA56" s="1044">
        <f>Q56+S56+U56+W56+Y56</f>
        <v/>
      </c>
      <c r="AB56" s="1070">
        <f>AA56-Z56</f>
        <v/>
      </c>
      <c r="AC56" s="680" t="n"/>
      <c r="AD56" s="796" t="n"/>
      <c r="AE56" s="680" t="n"/>
      <c r="AF56" s="796" t="n"/>
      <c r="AG56" s="680" t="n"/>
      <c r="AH56" s="796" t="n"/>
      <c r="AI56" s="680" t="n"/>
      <c r="AJ56" s="796" t="n"/>
      <c r="AK56" s="680" t="n"/>
      <c r="AL56" s="796" t="n"/>
      <c r="AM56" s="645">
        <f>AC56+AE56+AG56+AI56+AK56</f>
        <v/>
      </c>
      <c r="AN56" s="1072">
        <f>AD56+AF56+AH56+AJ56+AL56</f>
        <v/>
      </c>
      <c r="AO56" s="1073">
        <f>AN56-AM56</f>
        <v/>
      </c>
      <c r="AP56" s="680" t="n"/>
      <c r="AQ56" s="796" t="n"/>
      <c r="AR56" s="680" t="n"/>
      <c r="AS56" s="796" t="n"/>
      <c r="AT56" s="680" t="n"/>
      <c r="AU56" s="796" t="n"/>
      <c r="AV56" s="680" t="n"/>
      <c r="AW56" s="796" t="n"/>
      <c r="AX56" s="680" t="n"/>
      <c r="AY56" s="798" t="n"/>
      <c r="AZ56" s="645">
        <f>AP56+AR56+AT56+AV56+AX56</f>
        <v/>
      </c>
      <c r="BA56" s="1072">
        <f>AQ56+AS56+AU56+AW56+AY56</f>
        <v/>
      </c>
      <c r="BB56" s="1035">
        <f>BA56-AZ56</f>
        <v/>
      </c>
      <c r="BC56" s="645" t="n">
        <v>-6100000</v>
      </c>
      <c r="BD56" s="796" t="n"/>
      <c r="BE56" s="680" t="n"/>
      <c r="BF56" s="796" t="n"/>
      <c r="BG56" s="680" t="n"/>
      <c r="BH56" s="796" t="n"/>
      <c r="BI56" s="680" t="n"/>
      <c r="BJ56" s="796" t="n"/>
      <c r="BK56" s="680" t="n"/>
      <c r="BL56" s="796" t="n"/>
      <c r="BM56" s="680" t="n"/>
      <c r="BN56" s="796" t="n"/>
      <c r="BO56" s="680" t="n"/>
      <c r="BP56" s="796" t="n"/>
      <c r="BQ56" s="647">
        <f>BC56+BE56+BG56+BI56+BK56+BM56+BO56</f>
        <v/>
      </c>
      <c r="BR56" s="1046">
        <f>BD56+BF56+BH56+BJ56+BL56+BN56+BP56</f>
        <v/>
      </c>
      <c r="BS56" s="1037">
        <f>BR56-BQ56</f>
        <v/>
      </c>
      <c r="BT56" s="1075">
        <f>Z56+AM56+AZ56+BQ56+M56</f>
        <v/>
      </c>
      <c r="BU56" s="1076">
        <f>AA56+AN56+BA56+BR56+N56</f>
        <v/>
      </c>
      <c r="BV56" s="1049">
        <f>BT56-BU56</f>
        <v/>
      </c>
    </row>
    <row r="57">
      <c r="A57" s="651" t="inlineStr">
        <is>
          <t>Итого по банку</t>
        </is>
      </c>
      <c r="B57" s="652" t="inlineStr">
        <is>
          <t>Расход</t>
        </is>
      </c>
      <c r="C57" s="650" t="n">
        <v>0</v>
      </c>
      <c r="D57" s="650">
        <f>SUM(D32:D56)</f>
        <v/>
      </c>
      <c r="E57" s="650">
        <f>SUM(E32:E56)</f>
        <v/>
      </c>
      <c r="F57" s="650">
        <f>SUM(F32:F56)</f>
        <v/>
      </c>
      <c r="G57" s="650">
        <f>SUM(G32:G56)</f>
        <v/>
      </c>
      <c r="H57" s="650">
        <f>SUM(H32:H56)</f>
        <v/>
      </c>
      <c r="I57" s="650">
        <f>SUM(I32:I56)</f>
        <v/>
      </c>
      <c r="J57" s="650">
        <f>SUM(J32:J56)</f>
        <v/>
      </c>
      <c r="K57" s="650">
        <f>SUM(K32:K56)</f>
        <v/>
      </c>
      <c r="L57" s="650">
        <f>SUM(L32:L56)</f>
        <v/>
      </c>
      <c r="M57" s="1078">
        <f>SUM(M32:M56)</f>
        <v/>
      </c>
      <c r="N57" s="1078">
        <f>SUM(N32:N56)</f>
        <v/>
      </c>
      <c r="O57" s="1079">
        <f>N57-M57</f>
        <v/>
      </c>
      <c r="P57" s="650">
        <f>SUM(P32:P56)</f>
        <v/>
      </c>
      <c r="Q57" s="650">
        <f>SUM(Q32:Q56)</f>
        <v/>
      </c>
      <c r="R57" s="650">
        <f>SUM(R32:R56)</f>
        <v/>
      </c>
      <c r="S57" s="650">
        <f>SUM(S32:S56)</f>
        <v/>
      </c>
      <c r="T57" s="650">
        <f>SUM(T32:T56)</f>
        <v/>
      </c>
      <c r="U57" s="650">
        <f>SUM(U32:U56)</f>
        <v/>
      </c>
      <c r="V57" s="650">
        <f>SUM(V32:V56)</f>
        <v/>
      </c>
      <c r="W57" s="650">
        <f>SUM(W32:W56)</f>
        <v/>
      </c>
      <c r="X57" s="650">
        <f>SUM(X32:X56)</f>
        <v/>
      </c>
      <c r="Y57" s="650">
        <f>SUM(Y32:Y56)</f>
        <v/>
      </c>
      <c r="Z57" s="1078">
        <f>SUM(Z32:Z56)</f>
        <v/>
      </c>
      <c r="AA57" s="1078">
        <f>SUM(AA32:AA56)</f>
        <v/>
      </c>
      <c r="AB57" s="1031">
        <f>AA57-Z57</f>
        <v/>
      </c>
      <c r="AC57" s="650">
        <f>SUM(AC32:AC56)</f>
        <v/>
      </c>
      <c r="AD57" s="650">
        <f>SUM(AD32:AD56)</f>
        <v/>
      </c>
      <c r="AE57" s="650">
        <f>SUM(AE32:AE56)</f>
        <v/>
      </c>
      <c r="AF57" s="650">
        <f>SUM(AF32:AF56)</f>
        <v/>
      </c>
      <c r="AG57" s="650">
        <f>SUM(AG32:AG56)</f>
        <v/>
      </c>
      <c r="AH57" s="650">
        <f>SUM(AH32:AH56)</f>
        <v/>
      </c>
      <c r="AI57" s="650">
        <f>SUM(AI32:AI56)</f>
        <v/>
      </c>
      <c r="AJ57" s="650">
        <f>SUM(AJ32:AJ56)</f>
        <v/>
      </c>
      <c r="AK57" s="650">
        <f>SUM(AK32:AK56)</f>
        <v/>
      </c>
      <c r="AL57" s="650">
        <f>SUM(AL32:AL56)</f>
        <v/>
      </c>
      <c r="AM57" s="650">
        <f>SUM(AM32:AM56)</f>
        <v/>
      </c>
      <c r="AN57" s="650">
        <f>SUM(AN32:AN56)</f>
        <v/>
      </c>
      <c r="AO57" s="1034">
        <f>AN57-AM57</f>
        <v/>
      </c>
      <c r="AP57" s="650">
        <f>SUM(AP32:AP56)</f>
        <v/>
      </c>
      <c r="AQ57" s="650">
        <f>SUM(AQ32:AQ56)</f>
        <v/>
      </c>
      <c r="AR57" s="650">
        <f>SUM(AR32:AR56)</f>
        <v/>
      </c>
      <c r="AS57" s="650">
        <f>SUM(AS32:AS56)</f>
        <v/>
      </c>
      <c r="AT57" s="650">
        <f>SUM(AT32:AT56)</f>
        <v/>
      </c>
      <c r="AU57" s="650">
        <f>SUM(AU32:AU56)</f>
        <v/>
      </c>
      <c r="AV57" s="650">
        <f>SUM(AV32:AV56)</f>
        <v/>
      </c>
      <c r="AW57" s="650">
        <f>SUM(AW32:AW56)</f>
        <v/>
      </c>
      <c r="AX57" s="650">
        <f>SUM(AX32:AX56)</f>
        <v/>
      </c>
      <c r="AY57" s="650">
        <f>SUM(AY32:AY56)</f>
        <v/>
      </c>
      <c r="AZ57" s="650">
        <f>SUM(AZ32:AZ56)</f>
        <v/>
      </c>
      <c r="BA57" s="650">
        <f>SUM(BA32:BA56)</f>
        <v/>
      </c>
      <c r="BB57" s="1035">
        <f>BA57-AZ57</f>
        <v/>
      </c>
      <c r="BC57" s="650">
        <f>SUM(BC32:BC56)</f>
        <v/>
      </c>
      <c r="BD57" s="650">
        <f>SUM(BD32:BD56)</f>
        <v/>
      </c>
      <c r="BE57" s="650">
        <f>SUM(BE32:BE56)</f>
        <v/>
      </c>
      <c r="BF57" s="650">
        <f>SUM(BF32:BF56)</f>
        <v/>
      </c>
      <c r="BG57" s="650">
        <f>SUM(BG32:BG56)</f>
        <v/>
      </c>
      <c r="BH57" s="650">
        <f>SUM(BH32:BH56)</f>
        <v/>
      </c>
      <c r="BI57" s="650">
        <f>SUM(BI32:BI56)</f>
        <v/>
      </c>
      <c r="BJ57" s="650">
        <f>SUM(BJ32:BJ56)</f>
        <v/>
      </c>
      <c r="BK57" s="650">
        <f>SUM(BK32:BK56)</f>
        <v/>
      </c>
      <c r="BL57" s="650">
        <f>SUM(BL32:BL56)</f>
        <v/>
      </c>
      <c r="BM57" s="650">
        <f>SUM(BM32:BM56)</f>
        <v/>
      </c>
      <c r="BN57" s="650">
        <f>SUM(BN32:BN56)</f>
        <v/>
      </c>
      <c r="BO57" s="650">
        <f>SUM(BO32:BO56)</f>
        <v/>
      </c>
      <c r="BP57" s="650">
        <f>SUM(BP32:BP56)</f>
        <v/>
      </c>
      <c r="BQ57" s="650">
        <f>SUM(BQ32:BQ56)</f>
        <v/>
      </c>
      <c r="BR57" s="650">
        <f>SUM(BR32:BR56)</f>
        <v/>
      </c>
      <c r="BS57" s="1037">
        <f>BR57-BQ57</f>
        <v/>
      </c>
      <c r="BT57" s="1080">
        <f>SUM(BT32:BT56)</f>
        <v/>
      </c>
      <c r="BU57" s="1081">
        <f>SUM(BU32:BU56)</f>
        <v/>
      </c>
      <c r="BV57" s="1082">
        <f>BT57-BU57</f>
        <v/>
      </c>
    </row>
    <row r="58">
      <c r="A58" s="633" t="inlineStr">
        <is>
          <t>Подотчет (Рынок сырье, Рынок ТМЦ)</t>
        </is>
      </c>
      <c r="B58" s="604" t="inlineStr">
        <is>
          <t>Расход</t>
        </is>
      </c>
      <c r="C58" s="680" t="n"/>
      <c r="D58" s="796" t="n"/>
      <c r="E58" s="680" t="n"/>
      <c r="F58" s="796" t="n"/>
      <c r="G58" s="680" t="n"/>
      <c r="H58" s="804">
        <f>-500000</f>
        <v/>
      </c>
      <c r="I58" s="649" t="n">
        <v>-500000</v>
      </c>
      <c r="J58" s="796" t="n"/>
      <c r="K58" s="649" t="n">
        <v>-500000</v>
      </c>
      <c r="L58" s="796" t="n"/>
      <c r="M58" s="1069">
        <f>C58+E58+G58+I58+K58</f>
        <v/>
      </c>
      <c r="N58" s="1044">
        <f>D58+F58+H58+J58+L58</f>
        <v/>
      </c>
      <c r="O58" s="1070">
        <f>N58-M58</f>
        <v/>
      </c>
      <c r="P58" s="649" t="n">
        <v>-300000</v>
      </c>
      <c r="Q58" s="798" t="n"/>
      <c r="R58" s="649" t="n">
        <v>-500000</v>
      </c>
      <c r="S58" s="796" t="n"/>
      <c r="T58" s="649" t="n">
        <v>-600000</v>
      </c>
      <c r="U58" s="796" t="n">
        <v>-500000</v>
      </c>
      <c r="V58" s="649" t="n">
        <v>-500000</v>
      </c>
      <c r="W58" s="796" t="n">
        <v>-600000</v>
      </c>
      <c r="X58" s="649" t="n">
        <v>-500000</v>
      </c>
      <c r="Y58" s="796" t="n"/>
      <c r="Z58" s="810">
        <f>P58+T58+R58+V58+X58</f>
        <v/>
      </c>
      <c r="AA58" s="1044">
        <f>Q58+S58+U58+W58+Y58</f>
        <v/>
      </c>
      <c r="AB58" s="1070">
        <f>AA58-Z58</f>
        <v/>
      </c>
      <c r="AC58" s="649" t="n">
        <v>-500000</v>
      </c>
      <c r="AD58" s="796" t="n"/>
      <c r="AE58" s="649" t="n">
        <v>-100000</v>
      </c>
      <c r="AF58" s="796" t="n"/>
      <c r="AG58" s="649" t="n">
        <v>-600000</v>
      </c>
      <c r="AH58" s="796" t="n"/>
      <c r="AI58" s="649" t="n">
        <v>-600000</v>
      </c>
      <c r="AJ58" s="796" t="n"/>
      <c r="AK58" s="649" t="n">
        <v>-500000</v>
      </c>
      <c r="AL58" s="796" t="n"/>
      <c r="AM58" s="645">
        <f>AC58+AE58+AG58+AI58+AK58</f>
        <v/>
      </c>
      <c r="AN58" s="1072">
        <f>AD58+AF58+AH58+AJ58+AL58</f>
        <v/>
      </c>
      <c r="AO58" s="1073">
        <f>AN58-AM58</f>
        <v/>
      </c>
      <c r="AP58" s="680" t="n"/>
      <c r="AQ58" s="796" t="n"/>
      <c r="AR58" s="649" t="n">
        <v>-600000</v>
      </c>
      <c r="AS58" s="796" t="n"/>
      <c r="AT58" s="649" t="n">
        <v>-600000</v>
      </c>
      <c r="AU58" s="796" t="n"/>
      <c r="AV58" s="649" t="n">
        <v>-1000000</v>
      </c>
      <c r="AW58" s="796" t="n"/>
      <c r="AX58" s="680" t="n"/>
      <c r="AY58" s="798" t="n"/>
      <c r="AZ58" s="645">
        <f>AP58+AR58+AT58+AV58+AX58</f>
        <v/>
      </c>
      <c r="BA58" s="1072">
        <f>AQ58+AS58+AU58+AW58+AY58</f>
        <v/>
      </c>
      <c r="BB58" s="1035">
        <f>BA58-AZ58</f>
        <v/>
      </c>
      <c r="BC58" s="649" t="n">
        <v>-600000</v>
      </c>
      <c r="BD58" s="796" t="n"/>
      <c r="BE58" s="649" t="n">
        <v>-600000</v>
      </c>
      <c r="BF58" s="796" t="n"/>
      <c r="BG58" s="649" t="n">
        <v>-500000</v>
      </c>
      <c r="BH58" s="796" t="n"/>
      <c r="BI58" s="680" t="n"/>
      <c r="BJ58" s="796" t="n"/>
      <c r="BK58" s="680" t="n"/>
      <c r="BL58" s="796" t="n"/>
      <c r="BM58" s="680" t="n"/>
      <c r="BN58" s="796" t="n"/>
      <c r="BO58" s="680" t="n"/>
      <c r="BP58" s="796" t="n"/>
      <c r="BQ58" s="647">
        <f>BC58+BE58+BG58+BI58+BK58+BM58+BO58</f>
        <v/>
      </c>
      <c r="BR58" s="1046">
        <f>BD58+BF58+BH58+BJ79+BL58+BN58+BP58</f>
        <v/>
      </c>
      <c r="BS58" s="1037">
        <f>BR58-BQ58</f>
        <v/>
      </c>
      <c r="BT58" s="1075">
        <f>Z58+AM58+AZ58+BQ58+M58</f>
        <v/>
      </c>
      <c r="BU58" s="1076">
        <f>AA58+AN58+BA58+BR58+N58</f>
        <v/>
      </c>
      <c r="BV58" s="1049">
        <f>BT58-BU58</f>
        <v/>
      </c>
    </row>
    <row r="59">
      <c r="A59" s="633" t="inlineStr">
        <is>
          <t>Административные расходы</t>
        </is>
      </c>
      <c r="B59" s="604" t="inlineStr">
        <is>
          <t>Расход</t>
        </is>
      </c>
      <c r="C59" s="680" t="n"/>
      <c r="D59" s="796" t="n"/>
      <c r="E59" s="680" t="n"/>
      <c r="F59" s="796" t="n"/>
      <c r="G59" s="680" t="n"/>
      <c r="H59" s="804">
        <f>-2580</f>
        <v/>
      </c>
      <c r="I59" s="805" t="n">
        <v>-109000</v>
      </c>
      <c r="J59" s="796" t="n"/>
      <c r="K59" s="649" t="n">
        <v>-15000</v>
      </c>
      <c r="L59" s="804" t="n">
        <v>-9203</v>
      </c>
      <c r="M59" s="1069">
        <f>C59+E59+G59+I59+K59</f>
        <v/>
      </c>
      <c r="N59" s="1044">
        <f>D59+F59+H59+J59+L59</f>
        <v/>
      </c>
      <c r="O59" s="1070">
        <f>N59-M59</f>
        <v/>
      </c>
      <c r="P59" s="680" t="n"/>
      <c r="Q59" s="806" t="n">
        <v>-70000</v>
      </c>
      <c r="R59" s="680" t="n"/>
      <c r="S59" s="796">
        <f>-28500-3530</f>
        <v/>
      </c>
      <c r="T59" s="680" t="n"/>
      <c r="U59" s="796" t="n"/>
      <c r="V59" s="680" t="n"/>
      <c r="W59" s="796" t="n"/>
      <c r="X59" s="649" t="n">
        <v>-15000</v>
      </c>
      <c r="Y59" s="796" t="n"/>
      <c r="Z59" s="810">
        <f>P59+T59+R59+V59+X59</f>
        <v/>
      </c>
      <c r="AA59" s="1044">
        <f>Q59+S59+U59+W59+Y59</f>
        <v/>
      </c>
      <c r="AB59" s="1070">
        <f>AA59-Z59</f>
        <v/>
      </c>
      <c r="AC59" s="680" t="n"/>
      <c r="AD59" s="796" t="n"/>
      <c r="AE59" s="680" t="n"/>
      <c r="AF59" s="796" t="n"/>
      <c r="AG59" s="680" t="n"/>
      <c r="AH59" s="796" t="n"/>
      <c r="AI59" s="680" t="n"/>
      <c r="AJ59" s="796" t="n"/>
      <c r="AK59" s="649" t="n">
        <v>-15000</v>
      </c>
      <c r="AL59" s="796" t="n"/>
      <c r="AM59" s="645">
        <f>AC59+AE59+AG59+AI59+AK59</f>
        <v/>
      </c>
      <c r="AN59" s="1072">
        <f>AD59+AF59+AH59+AJ59+AL59</f>
        <v/>
      </c>
      <c r="AO59" s="1073">
        <f>AN59-AM59</f>
        <v/>
      </c>
      <c r="AP59" s="649" t="n">
        <v>-3000</v>
      </c>
      <c r="AQ59" s="796" t="n"/>
      <c r="AR59" s="680" t="n"/>
      <c r="AS59" s="796" t="n"/>
      <c r="AT59" s="680" t="n"/>
      <c r="AU59" s="796" t="n"/>
      <c r="AV59" s="649" t="n">
        <v>-38000</v>
      </c>
      <c r="AW59" s="796" t="n"/>
      <c r="AX59" s="649" t="n">
        <v>-15000</v>
      </c>
      <c r="AY59" s="798" t="n"/>
      <c r="AZ59" s="645">
        <f>AP59+AR59+AT59+AV59+AX59</f>
        <v/>
      </c>
      <c r="BA59" s="1072">
        <f>AQ59+AS59+AU59+AW59+AY59</f>
        <v/>
      </c>
      <c r="BB59" s="1035">
        <f>BA59-AZ59</f>
        <v/>
      </c>
      <c r="BC59" s="680" t="n"/>
      <c r="BD59" s="796" t="n"/>
      <c r="BE59" s="680" t="n"/>
      <c r="BF59" s="796" t="n"/>
      <c r="BG59" s="680" t="n"/>
      <c r="BH59" s="796" t="n"/>
      <c r="BI59" s="680" t="n"/>
      <c r="BJ59" s="796" t="n"/>
      <c r="BK59" s="680" t="n"/>
      <c r="BL59" s="796" t="n"/>
      <c r="BM59" s="680" t="n"/>
      <c r="BN59" s="796" t="n"/>
      <c r="BO59" s="680" t="n"/>
      <c r="BP59" s="796" t="n"/>
      <c r="BQ59" s="647">
        <f>BC59+BE59+BG59+BI59+BK59+BM59+BO59</f>
        <v/>
      </c>
      <c r="BR59" s="1046">
        <f>BD59+BF59+BH59+BJ59+BL59+BN59+BP59</f>
        <v/>
      </c>
      <c r="BS59" s="1037">
        <f>BR59-BQ59</f>
        <v/>
      </c>
      <c r="BT59" s="1075">
        <f>Z59+AM59+AZ59+BQ59+M59</f>
        <v/>
      </c>
      <c r="BU59" s="1076">
        <f>AA59+AN59+BA59+BR59+N59</f>
        <v/>
      </c>
      <c r="BV59" s="1049">
        <f>BT59-BU59</f>
        <v/>
      </c>
    </row>
    <row r="60">
      <c r="A60" s="633" t="inlineStr">
        <is>
          <t>Представительские расходы</t>
        </is>
      </c>
      <c r="B60" s="604" t="inlineStr">
        <is>
          <t>Расход</t>
        </is>
      </c>
      <c r="C60" s="680" t="n"/>
      <c r="D60" s="796" t="n"/>
      <c r="E60" s="680" t="n"/>
      <c r="F60" s="796" t="n"/>
      <c r="G60" s="680" t="n"/>
      <c r="H60" s="796" t="n"/>
      <c r="I60" s="680" t="n"/>
      <c r="J60" s="796" t="n"/>
      <c r="K60" s="649" t="n">
        <v>-60329</v>
      </c>
      <c r="L60" s="796" t="n"/>
      <c r="M60" s="1069">
        <f>C60+E60+G60+I60+K60</f>
        <v/>
      </c>
      <c r="N60" s="1044">
        <f>D60+F60+H60+J60+L60</f>
        <v/>
      </c>
      <c r="O60" s="1070">
        <f>N60-M60</f>
        <v/>
      </c>
      <c r="P60" s="680" t="n"/>
      <c r="Q60" s="798" t="n"/>
      <c r="R60" s="680" t="n"/>
      <c r="S60" s="796" t="n"/>
      <c r="T60" s="680" t="n"/>
      <c r="U60" s="796" t="n"/>
      <c r="V60" s="680" t="n"/>
      <c r="W60" s="796">
        <f>-42000</f>
        <v/>
      </c>
      <c r="X60" s="680" t="n"/>
      <c r="Y60" s="796" t="n"/>
      <c r="Z60" s="810">
        <f>P60+T60+R60+V60+X60</f>
        <v/>
      </c>
      <c r="AA60" s="1044">
        <f>Q60+S60+U60+W60+Y60</f>
        <v/>
      </c>
      <c r="AB60" s="1070">
        <f>AA60-Z60</f>
        <v/>
      </c>
      <c r="AC60" s="680" t="n"/>
      <c r="AD60" s="796" t="n"/>
      <c r="AE60" s="680" t="n"/>
      <c r="AF60" s="796" t="n"/>
      <c r="AG60" s="680" t="n"/>
      <c r="AH60" s="796" t="n"/>
      <c r="AI60" s="680" t="n"/>
      <c r="AJ60" s="796" t="n"/>
      <c r="AK60" s="680" t="n"/>
      <c r="AL60" s="796" t="n"/>
      <c r="AM60" s="645">
        <f>AC60+AE60+AG60+AI60+AK60</f>
        <v/>
      </c>
      <c r="AN60" s="1072">
        <f>AD60+AF60+AH60+AJ60+AL60</f>
        <v/>
      </c>
      <c r="AO60" s="1073">
        <f>AN60-AM60</f>
        <v/>
      </c>
      <c r="AP60" s="680" t="n"/>
      <c r="AQ60" s="796" t="n"/>
      <c r="AR60" s="680" t="n"/>
      <c r="AS60" s="796" t="n"/>
      <c r="AT60" s="680" t="n"/>
      <c r="AU60" s="796" t="n"/>
      <c r="AV60" s="680" t="n"/>
      <c r="AW60" s="796" t="n"/>
      <c r="AX60" s="680" t="n"/>
      <c r="AY60" s="798" t="n"/>
      <c r="AZ60" s="645">
        <f>AP60+AR60+AT60+AV60+AX60</f>
        <v/>
      </c>
      <c r="BA60" s="1072">
        <f>AQ60+AS60+AU60+AW60+AY60</f>
        <v/>
      </c>
      <c r="BB60" s="1035">
        <f>BA60-AZ60</f>
        <v/>
      </c>
      <c r="BC60" s="680" t="n"/>
      <c r="BD60" s="796" t="n"/>
      <c r="BE60" s="680" t="n"/>
      <c r="BF60" s="796" t="n"/>
      <c r="BG60" s="680" t="n"/>
      <c r="BH60" s="796" t="n"/>
      <c r="BI60" s="680" t="n"/>
      <c r="BJ60" s="796" t="n"/>
      <c r="BK60" s="680" t="n"/>
      <c r="BL60" s="796" t="n"/>
      <c r="BM60" s="680" t="n"/>
      <c r="BN60" s="796" t="n"/>
      <c r="BO60" s="680" t="n"/>
      <c r="BP60" s="796" t="n"/>
      <c r="BQ60" s="647">
        <f>BC60+BE60+BG60+BI60+BK60+BM60+BO60</f>
        <v/>
      </c>
      <c r="BR60" s="1046">
        <f>BD60+BF60+BH60+BJ60+BL60+BN60+BP60</f>
        <v/>
      </c>
      <c r="BS60" s="1037">
        <f>BR60-BQ60</f>
        <v/>
      </c>
      <c r="BT60" s="1075">
        <f>Z60+AM60+AZ60+BQ60+M60</f>
        <v/>
      </c>
      <c r="BU60" s="1076">
        <f>AA60+AN60+BA60+BR60+N60</f>
        <v/>
      </c>
      <c r="BV60" s="1049">
        <f>BT60-BU60</f>
        <v/>
      </c>
    </row>
    <row r="61">
      <c r="A61" s="633" t="inlineStr">
        <is>
          <t>Аренда квартир</t>
        </is>
      </c>
      <c r="B61" s="604" t="inlineStr">
        <is>
          <t>Расход</t>
        </is>
      </c>
      <c r="C61" s="680" t="n"/>
      <c r="D61" s="796" t="n"/>
      <c r="E61" s="680" t="n"/>
      <c r="F61" s="796" t="n"/>
      <c r="G61" s="680" t="n"/>
      <c r="H61" s="796" t="n"/>
      <c r="I61" s="680" t="n"/>
      <c r="J61" s="796" t="n"/>
      <c r="K61" s="680" t="n"/>
      <c r="L61" s="796" t="n"/>
      <c r="M61" s="1069">
        <f>C61+E61+G61+I61+K61</f>
        <v/>
      </c>
      <c r="N61" s="1044">
        <f>D61+F61+H61+J61+L61</f>
        <v/>
      </c>
      <c r="O61" s="1070">
        <f>N61-M61</f>
        <v/>
      </c>
      <c r="P61" s="680" t="n"/>
      <c r="Q61" s="798" t="n"/>
      <c r="R61" s="680" t="n"/>
      <c r="S61" s="796" t="n"/>
      <c r="T61" s="680" t="n"/>
      <c r="U61" s="796" t="n"/>
      <c r="V61" s="680" t="n"/>
      <c r="W61" s="796" t="n"/>
      <c r="X61" s="680" t="n"/>
      <c r="Y61" s="796" t="n"/>
      <c r="Z61" s="810">
        <f>P61+T61+R61+V61+X61</f>
        <v/>
      </c>
      <c r="AA61" s="1044">
        <f>Q61+S61+U61+W61+Y61</f>
        <v/>
      </c>
      <c r="AB61" s="1070">
        <f>AA61-Z61</f>
        <v/>
      </c>
      <c r="AC61" s="645">
        <f>-175000-300000</f>
        <v/>
      </c>
      <c r="AD61" s="796" t="n"/>
      <c r="AE61" s="680" t="n"/>
      <c r="AF61" s="796" t="n"/>
      <c r="AG61" s="680" t="n"/>
      <c r="AH61" s="796" t="n"/>
      <c r="AI61" s="680" t="n"/>
      <c r="AJ61" s="796" t="n"/>
      <c r="AK61" s="680" t="n"/>
      <c r="AL61" s="796" t="n"/>
      <c r="AM61" s="645">
        <f>AC61+AE61+AG61+AI61+AK61</f>
        <v/>
      </c>
      <c r="AN61" s="1072">
        <f>AD61+AF61+AH61+AJ61+AL61</f>
        <v/>
      </c>
      <c r="AO61" s="1073">
        <f>AN61-AM61</f>
        <v/>
      </c>
      <c r="AP61" s="680" t="n"/>
      <c r="AQ61" s="796" t="n"/>
      <c r="AR61" s="680" t="n"/>
      <c r="AS61" s="796" t="n"/>
      <c r="AT61" s="680" t="n"/>
      <c r="AU61" s="796" t="n"/>
      <c r="AV61" s="645" t="n">
        <v>-350149</v>
      </c>
      <c r="AW61" s="796" t="n"/>
      <c r="AX61" s="680" t="n"/>
      <c r="AY61" s="798" t="n"/>
      <c r="AZ61" s="645">
        <f>AP61+AR61+AT61+AV61+AX61</f>
        <v/>
      </c>
      <c r="BA61" s="1072">
        <f>AQ61+AS61+AU61+AW61+AY61</f>
        <v/>
      </c>
      <c r="BB61" s="1035">
        <f>BA61-AZ61</f>
        <v/>
      </c>
      <c r="BC61" s="680" t="n"/>
      <c r="BD61" s="796" t="n"/>
      <c r="BE61" s="680" t="n"/>
      <c r="BF61" s="796" t="n"/>
      <c r="BG61" s="680" t="n"/>
      <c r="BH61" s="796" t="n"/>
      <c r="BI61" s="680" t="n"/>
      <c r="BJ61" s="796" t="n"/>
      <c r="BK61" s="680" t="n"/>
      <c r="BL61" s="796" t="n"/>
      <c r="BM61" s="680" t="n"/>
      <c r="BN61" s="796" t="n"/>
      <c r="BO61" s="680" t="n"/>
      <c r="BP61" s="796" t="n"/>
      <c r="BQ61" s="647">
        <f>BC61+BE61+BG61+BI61+BK61+BM61+BO61</f>
        <v/>
      </c>
      <c r="BR61" s="1046">
        <f>BD61+BF61+BH61+BJ61+BL61+BN61+BP61</f>
        <v/>
      </c>
      <c r="BS61" s="1037">
        <f>BR61-BQ61</f>
        <v/>
      </c>
      <c r="BT61" s="1075">
        <f>Z61+AM61+AZ61+BQ61+M61</f>
        <v/>
      </c>
      <c r="BU61" s="1076">
        <f>AA61+AN61+BA61+BR61+N61</f>
        <v/>
      </c>
      <c r="BV61" s="1049">
        <f>BT61-BU61</f>
        <v/>
      </c>
    </row>
    <row r="62">
      <c r="A62" s="633" t="inlineStr">
        <is>
          <t>Налоги и другие платежи в бюджет</t>
        </is>
      </c>
      <c r="B62" s="604" t="inlineStr">
        <is>
          <t>Расход</t>
        </is>
      </c>
      <c r="C62" s="680" t="n"/>
      <c r="D62" s="796" t="n"/>
      <c r="E62" s="680" t="n"/>
      <c r="F62" s="807" t="n">
        <v>-746</v>
      </c>
      <c r="G62" s="680" t="n"/>
      <c r="H62" s="796" t="n"/>
      <c r="I62" s="680" t="n"/>
      <c r="J62" s="796" t="n"/>
      <c r="K62" s="680" t="n"/>
      <c r="L62" s="796" t="n"/>
      <c r="M62" s="1069">
        <f>C62+E62+G62+I62+K62</f>
        <v/>
      </c>
      <c r="N62" s="1044">
        <f>D62+F62+H62+J62+L62</f>
        <v/>
      </c>
      <c r="O62" s="1070">
        <f>N62-M62</f>
        <v/>
      </c>
      <c r="P62" s="680" t="n"/>
      <c r="Q62" s="798" t="n"/>
      <c r="R62" s="680" t="n"/>
      <c r="S62" s="796" t="n"/>
      <c r="T62" s="680" t="n"/>
      <c r="U62" s="796" t="n"/>
      <c r="V62" s="680" t="n"/>
      <c r="W62" s="796" t="n"/>
      <c r="X62" s="680" t="n"/>
      <c r="Y62" s="796" t="n"/>
      <c r="Z62" s="810">
        <f>P62+T62+R62+V62+X62</f>
        <v/>
      </c>
      <c r="AA62" s="1044">
        <f>Q62+S62+U62+W62+Y62</f>
        <v/>
      </c>
      <c r="AB62" s="1070">
        <f>AA62-Z62</f>
        <v/>
      </c>
      <c r="AC62" s="680" t="n"/>
      <c r="AD62" s="796" t="n"/>
      <c r="AE62" s="680" t="n"/>
      <c r="AF62" s="796" t="n"/>
      <c r="AG62" s="680" t="n"/>
      <c r="AH62" s="796" t="n"/>
      <c r="AI62" s="680" t="n"/>
      <c r="AJ62" s="796" t="n"/>
      <c r="AK62" s="680" t="n"/>
      <c r="AL62" s="796" t="n"/>
      <c r="AM62" s="645">
        <f>AC62+AE62+AG62+AI62+AK62</f>
        <v/>
      </c>
      <c r="AN62" s="1072">
        <f>AD62+AF62+AH62+AJ62+AL62</f>
        <v/>
      </c>
      <c r="AO62" s="1073">
        <f>AN62-AM62</f>
        <v/>
      </c>
      <c r="AP62" s="680" t="n"/>
      <c r="AQ62" s="796" t="n"/>
      <c r="AR62" s="680" t="n"/>
      <c r="AS62" s="796" t="n"/>
      <c r="AT62" s="680" t="n"/>
      <c r="AU62" s="796" t="n"/>
      <c r="AV62" s="680" t="n"/>
      <c r="AW62" s="796" t="n"/>
      <c r="AX62" s="680" t="n"/>
      <c r="AY62" s="798" t="n"/>
      <c r="AZ62" s="645">
        <f>AP62+AR62+AT62+AV62+AX62</f>
        <v/>
      </c>
      <c r="BA62" s="1072">
        <f>AQ62+AS62+AU62+AW62+AY62</f>
        <v/>
      </c>
      <c r="BB62" s="1035">
        <f>BA62-AZ62</f>
        <v/>
      </c>
      <c r="BC62" s="680" t="n"/>
      <c r="BD62" s="796" t="n"/>
      <c r="BE62" s="680" t="n"/>
      <c r="BF62" s="796" t="n"/>
      <c r="BG62" s="680" t="n"/>
      <c r="BH62" s="796" t="n"/>
      <c r="BI62" s="680" t="n"/>
      <c r="BJ62" s="796" t="n"/>
      <c r="BK62" s="680" t="n"/>
      <c r="BL62" s="796" t="n"/>
      <c r="BM62" s="680" t="n"/>
      <c r="BN62" s="796" t="n"/>
      <c r="BO62" s="680" t="n"/>
      <c r="BP62" s="796" t="n"/>
      <c r="BQ62" s="647">
        <f>BC62+BE62+BG62+BI62+BK62+BM62+BO62</f>
        <v/>
      </c>
      <c r="BR62" s="1046">
        <f>BD62+BF62+BH62+BJ62+BL62+BN62+BP62</f>
        <v/>
      </c>
      <c r="BS62" s="1037">
        <f>BR62-BQ62</f>
        <v/>
      </c>
      <c r="BT62" s="1075">
        <f>Z62+AM62+AZ62+BQ62+M62</f>
        <v/>
      </c>
      <c r="BU62" s="1076">
        <f>AA62+AN62+BA62+BR62+N62</f>
        <v/>
      </c>
      <c r="BV62" s="1049">
        <f>BT62-BU62</f>
        <v/>
      </c>
    </row>
    <row r="63">
      <c r="A63" s="633" t="inlineStr">
        <is>
          <t>Маркетинг</t>
        </is>
      </c>
      <c r="B63" s="604" t="inlineStr">
        <is>
          <t>Расход</t>
        </is>
      </c>
      <c r="C63" s="680" t="n"/>
      <c r="D63" s="796" t="n"/>
      <c r="E63" s="680" t="n"/>
      <c r="F63" s="796" t="n"/>
      <c r="G63" s="680" t="n"/>
      <c r="H63" s="796" t="n"/>
      <c r="I63" s="680" t="n"/>
      <c r="J63" s="796" t="n"/>
      <c r="K63" s="680" t="n"/>
      <c r="L63" s="796" t="n"/>
      <c r="M63" s="1069">
        <f>C63+E63+G63+I63+K63</f>
        <v/>
      </c>
      <c r="N63" s="1044">
        <f>D63+F63+H63+J63+L63</f>
        <v/>
      </c>
      <c r="O63" s="1070">
        <f>N63-M63</f>
        <v/>
      </c>
      <c r="P63" s="680" t="n"/>
      <c r="Q63" s="798" t="n"/>
      <c r="R63" s="680" t="n"/>
      <c r="S63" s="796" t="n"/>
      <c r="T63" s="680" t="n"/>
      <c r="U63" s="796" t="n"/>
      <c r="V63" s="649" t="n">
        <v>-450000</v>
      </c>
      <c r="W63" s="796" t="n"/>
      <c r="X63" s="680" t="n"/>
      <c r="Y63" s="796" t="n"/>
      <c r="Z63" s="810">
        <f>P63+T63+R63+V63+X63</f>
        <v/>
      </c>
      <c r="AA63" s="1044">
        <f>Q63+S63+U63+W63+Y63</f>
        <v/>
      </c>
      <c r="AB63" s="1070">
        <f>AA63-Z63</f>
        <v/>
      </c>
      <c r="AC63" s="680" t="n"/>
      <c r="AD63" s="796" t="n"/>
      <c r="AE63" s="680" t="n"/>
      <c r="AF63" s="796" t="n"/>
      <c r="AG63" s="680" t="n"/>
      <c r="AH63" s="796" t="n"/>
      <c r="AI63" s="680" t="n"/>
      <c r="AJ63" s="796" t="n"/>
      <c r="AK63" s="680" t="n"/>
      <c r="AL63" s="796" t="n"/>
      <c r="AM63" s="645">
        <f>AC63+AE63+AG63+AI63+AK63</f>
        <v/>
      </c>
      <c r="AN63" s="1072">
        <f>AD63+AF63+AH63+AJ63+AL63</f>
        <v/>
      </c>
      <c r="AO63" s="1073">
        <f>AN63-AM63</f>
        <v/>
      </c>
      <c r="AP63" s="680" t="n"/>
      <c r="AQ63" s="796" t="n"/>
      <c r="AR63" s="680" t="n"/>
      <c r="AS63" s="796" t="n"/>
      <c r="AT63" s="680" t="n"/>
      <c r="AU63" s="796" t="n"/>
      <c r="AV63" s="680" t="n"/>
      <c r="AW63" s="796" t="n"/>
      <c r="AX63" s="680" t="n"/>
      <c r="AY63" s="798" t="n"/>
      <c r="AZ63" s="645">
        <f>AP63+AR63+AT63+AV63+AX63</f>
        <v/>
      </c>
      <c r="BA63" s="1072">
        <f>AQ63+AS63+AU63+AW63+AY63</f>
        <v/>
      </c>
      <c r="BB63" s="1035">
        <f>BA63-AZ63</f>
        <v/>
      </c>
      <c r="BC63" s="680" t="n"/>
      <c r="BD63" s="796" t="n"/>
      <c r="BE63" s="680" t="n"/>
      <c r="BF63" s="796" t="n"/>
      <c r="BG63" s="680" t="n"/>
      <c r="BH63" s="796" t="n"/>
      <c r="BI63" s="680" t="n"/>
      <c r="BJ63" s="796" t="n"/>
      <c r="BK63" s="680" t="n"/>
      <c r="BL63" s="796" t="n"/>
      <c r="BM63" s="680" t="n"/>
      <c r="BN63" s="796" t="n"/>
      <c r="BO63" s="680" t="n"/>
      <c r="BP63" s="796" t="n"/>
      <c r="BQ63" s="647">
        <f>BC63+BE63+BG63+BI63+BK63+BM63+BO63</f>
        <v/>
      </c>
      <c r="BR63" s="1046">
        <f>BD63+BF63+BH63+BJ63+BL63+BN63+BP63</f>
        <v/>
      </c>
      <c r="BS63" s="1037">
        <f>BR63-BQ63</f>
        <v/>
      </c>
      <c r="BT63" s="1075">
        <f>Z63+AM63+AZ63+BQ63+M63</f>
        <v/>
      </c>
      <c r="BU63" s="1076">
        <f>AA63+AN63+BA63+BR63+N63</f>
        <v/>
      </c>
      <c r="BV63" s="1049">
        <f>BT63-BU63</f>
        <v/>
      </c>
    </row>
    <row r="64">
      <c r="A64" s="633" t="inlineStr">
        <is>
          <t>Оплата труда</t>
        </is>
      </c>
      <c r="B64" s="604" t="inlineStr">
        <is>
          <t>Расход</t>
        </is>
      </c>
      <c r="C64" s="680" t="n"/>
      <c r="D64" s="796" t="n"/>
      <c r="E64" s="680" t="n"/>
      <c r="F64" s="796" t="n"/>
      <c r="G64" s="680" t="n"/>
      <c r="H64" s="804">
        <f>-100000-40000</f>
        <v/>
      </c>
      <c r="I64" s="680" t="n"/>
      <c r="J64" s="804" t="n">
        <v>-1261000</v>
      </c>
      <c r="K64" s="649" t="n">
        <v>-2500000</v>
      </c>
      <c r="L64" s="804" t="n">
        <v>-3223404</v>
      </c>
      <c r="M64" s="1069">
        <f>C64+E64+G64+I64+K64</f>
        <v/>
      </c>
      <c r="N64" s="1044">
        <f>D64+F64+H64+J64+L64</f>
        <v/>
      </c>
      <c r="O64" s="1070">
        <f>N64-M64</f>
        <v/>
      </c>
      <c r="P64" s="680" t="n"/>
      <c r="Q64" s="798" t="n"/>
      <c r="R64" s="649" t="n">
        <v>-1000000</v>
      </c>
      <c r="S64" s="796" t="n">
        <v>-2481189</v>
      </c>
      <c r="T64" s="649" t="n">
        <v>-2000000</v>
      </c>
      <c r="U64" s="796" t="n">
        <v>-2346182</v>
      </c>
      <c r="V64" s="810" t="n">
        <v>-2000000</v>
      </c>
      <c r="W64" s="796" t="n">
        <v>-812301</v>
      </c>
      <c r="X64" s="649" t="n">
        <v>-1500000</v>
      </c>
      <c r="Y64" s="796" t="n"/>
      <c r="Z64" s="810">
        <f>P64+T64+R64+V64+X64</f>
        <v/>
      </c>
      <c r="AA64" s="1044">
        <f>Q64+S64+U64+W64+Y64</f>
        <v/>
      </c>
      <c r="AB64" s="1070">
        <f>AA64-Z64</f>
        <v/>
      </c>
      <c r="AC64" s="647" t="n">
        <v>-650000</v>
      </c>
      <c r="AD64" s="796" t="n"/>
      <c r="AE64" s="680" t="n"/>
      <c r="AF64" s="796" t="n"/>
      <c r="AG64" s="649" t="n">
        <v>-12500000</v>
      </c>
      <c r="AH64" s="796" t="n"/>
      <c r="AI64" s="645" t="n">
        <v>-8000000</v>
      </c>
      <c r="AJ64" s="796" t="n"/>
      <c r="AK64" s="649" t="n">
        <v>-7000000</v>
      </c>
      <c r="AL64" s="796" t="n"/>
      <c r="AM64" s="645">
        <f>AC64+AE64+AG64+AI64+AK64</f>
        <v/>
      </c>
      <c r="AN64" s="1072">
        <f>AD64+AF64+AH64+AJ64+AL64</f>
        <v/>
      </c>
      <c r="AO64" s="1073">
        <f>AN64-AM64</f>
        <v/>
      </c>
      <c r="AP64" s="680" t="n"/>
      <c r="AQ64" s="796" t="n"/>
      <c r="AR64" s="680" t="n"/>
      <c r="AS64" s="796" t="n"/>
      <c r="AT64" s="680" t="n"/>
      <c r="AU64" s="796" t="n"/>
      <c r="AV64" s="645">
        <f>-6000000</f>
        <v/>
      </c>
      <c r="AW64" s="796" t="n"/>
      <c r="AX64" s="649" t="n">
        <v>-7000000</v>
      </c>
      <c r="AY64" s="798" t="n"/>
      <c r="AZ64" s="645">
        <f>AP64+AR64+AT64+AV64+AX64</f>
        <v/>
      </c>
      <c r="BA64" s="1072">
        <f>AQ64+AS64+AU64+AW64+AY64</f>
        <v/>
      </c>
      <c r="BB64" s="1035">
        <f>BA64-AZ64</f>
        <v/>
      </c>
      <c r="BC64" s="649" t="n">
        <v>-5000000</v>
      </c>
      <c r="BD64" s="796" t="n"/>
      <c r="BE64" s="649" t="n">
        <v>-2000000</v>
      </c>
      <c r="BF64" s="796" t="n"/>
      <c r="BG64" s="680" t="n"/>
      <c r="BH64" s="796" t="n"/>
      <c r="BI64" s="647" t="n">
        <v>-2000000</v>
      </c>
      <c r="BJ64" s="796" t="n"/>
      <c r="BK64" s="680" t="n"/>
      <c r="BL64" s="796" t="n"/>
      <c r="BM64" s="680" t="n"/>
      <c r="BN64" s="796" t="n"/>
      <c r="BO64" s="680" t="n"/>
      <c r="BP64" s="796" t="n"/>
      <c r="BQ64" s="647">
        <f>BC64+BE64+BG64+BI64+BK64+BM64+BO64</f>
        <v/>
      </c>
      <c r="BR64" s="1046">
        <f>BD64+BF64+BH64+BJ64+BL64+BN64+BP64</f>
        <v/>
      </c>
      <c r="BS64" s="1037">
        <f>BR64-BQ64</f>
        <v/>
      </c>
      <c r="BT64" s="1075">
        <f>Z64+AM64+AZ64+BQ64+M64</f>
        <v/>
      </c>
      <c r="BU64" s="1076">
        <f>AA64+AN64+BA64+BR64+N64</f>
        <v/>
      </c>
      <c r="BV64" s="1049">
        <f>BT64-BU64</f>
        <v/>
      </c>
    </row>
    <row r="65">
      <c r="A65" s="633" t="inlineStr">
        <is>
          <t>Платежи поставщикам Прочее</t>
        </is>
      </c>
      <c r="B65" s="604" t="inlineStr">
        <is>
          <t>Расход</t>
        </is>
      </c>
      <c r="C65" s="680" t="n"/>
      <c r="D65" s="796" t="n"/>
      <c r="E65" s="680" t="n"/>
      <c r="F65" s="796" t="n"/>
      <c r="G65" s="680" t="n"/>
      <c r="H65" s="796" t="n"/>
      <c r="I65" s="680" t="n"/>
      <c r="J65" s="796" t="n"/>
      <c r="K65" s="680" t="n"/>
      <c r="L65" s="796" t="n"/>
      <c r="M65" s="1069">
        <f>C65+E65+G65+I65+K65</f>
        <v/>
      </c>
      <c r="N65" s="1044">
        <f>D65+F65+H65+J65+L65</f>
        <v/>
      </c>
      <c r="O65" s="1070">
        <f>N65-M65</f>
        <v/>
      </c>
      <c r="P65" s="680" t="n"/>
      <c r="Q65" s="798" t="n"/>
      <c r="R65" s="680" t="n"/>
      <c r="S65" s="796" t="n"/>
      <c r="T65" s="680" t="n"/>
      <c r="U65" s="796" t="n"/>
      <c r="V65" s="680" t="n"/>
      <c r="W65" s="796" t="n"/>
      <c r="X65" s="680" t="n"/>
      <c r="Y65" s="796" t="n"/>
      <c r="Z65" s="810">
        <f>P65+T65+R65+V65+X65</f>
        <v/>
      </c>
      <c r="AA65" s="1044">
        <f>Q65+S65+U65+W65+Y65</f>
        <v/>
      </c>
      <c r="AB65" s="1070">
        <f>AA65-Z65</f>
        <v/>
      </c>
      <c r="AC65" s="680" t="n"/>
      <c r="AD65" s="796" t="n"/>
      <c r="AE65" s="680" t="n"/>
      <c r="AF65" s="796" t="n"/>
      <c r="AG65" s="680" t="n"/>
      <c r="AH65" s="796" t="n"/>
      <c r="AI65" s="680" t="n"/>
      <c r="AJ65" s="796" t="n"/>
      <c r="AK65" s="680" t="n"/>
      <c r="AL65" s="796" t="n"/>
      <c r="AM65" s="645">
        <f>AC65+AE65+AG65+AI65+AK65</f>
        <v/>
      </c>
      <c r="AN65" s="1072">
        <f>AD65+AF65+AH65+AJ65+AL65</f>
        <v/>
      </c>
      <c r="AO65" s="1073">
        <f>AN65-AM65</f>
        <v/>
      </c>
      <c r="AP65" s="680" t="n"/>
      <c r="AQ65" s="796" t="n"/>
      <c r="AR65" s="680" t="n"/>
      <c r="AS65" s="796" t="n"/>
      <c r="AT65" s="680" t="n"/>
      <c r="AU65" s="796" t="n"/>
      <c r="AV65" s="680" t="n"/>
      <c r="AW65" s="796" t="n"/>
      <c r="AX65" s="680" t="n"/>
      <c r="AY65" s="798" t="n"/>
      <c r="AZ65" s="645">
        <f>AP65+AR65+AT65+AV65+AX65</f>
        <v/>
      </c>
      <c r="BA65" s="1072">
        <f>AQ65+AS65+AU65+AW65+AY65</f>
        <v/>
      </c>
      <c r="BB65" s="1035">
        <f>BA65-AZ65</f>
        <v/>
      </c>
      <c r="BC65" s="680" t="n"/>
      <c r="BD65" s="796" t="n"/>
      <c r="BE65" s="680" t="n"/>
      <c r="BF65" s="796" t="n"/>
      <c r="BG65" s="680" t="n"/>
      <c r="BH65" s="796" t="n"/>
      <c r="BI65" s="680" t="n"/>
      <c r="BJ65" s="796" t="n"/>
      <c r="BK65" s="680" t="n"/>
      <c r="BL65" s="796" t="n"/>
      <c r="BM65" s="680" t="n"/>
      <c r="BN65" s="796" t="n"/>
      <c r="BO65" s="680" t="n"/>
      <c r="BP65" s="796" t="n"/>
      <c r="BQ65" s="647">
        <f>BC65+BE65+BG65+BI65+BK65+BM65+BO65</f>
        <v/>
      </c>
      <c r="BR65" s="1046">
        <f>BD65+BF65+BH65+BJ65+BL65+BN65+BP65</f>
        <v/>
      </c>
      <c r="BS65" s="1037">
        <f>BR65-BQ65</f>
        <v/>
      </c>
      <c r="BT65" s="1075">
        <f>Z65+AM65+AZ65+BQ65+M65</f>
        <v/>
      </c>
      <c r="BU65" s="1076">
        <f>AA65+AN65+BA65+BR65+N65</f>
        <v/>
      </c>
      <c r="BV65" s="1049">
        <f>BT65-BU65</f>
        <v/>
      </c>
    </row>
    <row r="66">
      <c r="A66" s="633" t="inlineStr">
        <is>
          <t xml:space="preserve">Производственные расходы </t>
        </is>
      </c>
      <c r="B66" s="604" t="inlineStr">
        <is>
          <t>Расход</t>
        </is>
      </c>
      <c r="C66" s="680" t="n"/>
      <c r="D66" s="796" t="n"/>
      <c r="E66" s="680" t="n"/>
      <c r="F66" s="796" t="n"/>
      <c r="G66" s="680" t="n"/>
      <c r="H66" s="796" t="n"/>
      <c r="I66" s="649" t="n">
        <v>-48000</v>
      </c>
      <c r="J66" s="804">
        <f>-48000</f>
        <v/>
      </c>
      <c r="K66" s="680" t="n"/>
      <c r="L66" s="796" t="n"/>
      <c r="M66" s="1069">
        <f>C66+E66+G66+I66+K66</f>
        <v/>
      </c>
      <c r="N66" s="1044">
        <f>D66+F66+H66+J66+L66</f>
        <v/>
      </c>
      <c r="O66" s="1070">
        <f>N66-M66</f>
        <v/>
      </c>
      <c r="P66" s="809" t="n">
        <v>-48000</v>
      </c>
      <c r="Q66" s="806" t="n">
        <v>-48000</v>
      </c>
      <c r="R66" s="680" t="n"/>
      <c r="S66" s="796">
        <f>-30000</f>
        <v/>
      </c>
      <c r="T66" s="680" t="n"/>
      <c r="U66" s="796" t="n"/>
      <c r="V66" s="810" t="n">
        <v>-48000</v>
      </c>
      <c r="W66" s="796" t="n"/>
      <c r="X66" s="680" t="n"/>
      <c r="Y66" s="796" t="n"/>
      <c r="Z66" s="810">
        <f>P66+T66+R66+V66+X66</f>
        <v/>
      </c>
      <c r="AA66" s="1044">
        <f>Q66+S66+U66+W66+Y66</f>
        <v/>
      </c>
      <c r="AB66" s="1070">
        <f>AA66-Z66</f>
        <v/>
      </c>
      <c r="AC66" s="645" t="n">
        <v>-42000</v>
      </c>
      <c r="AD66" s="796" t="n"/>
      <c r="AE66" s="645" t="n">
        <v>-42000</v>
      </c>
      <c r="AF66" s="796" t="n"/>
      <c r="AG66" s="680" t="n"/>
      <c r="AH66" s="796" t="n"/>
      <c r="AI66" s="680" t="n"/>
      <c r="AJ66" s="796" t="n"/>
      <c r="AK66" s="680" t="n"/>
      <c r="AL66" s="796" t="n"/>
      <c r="AM66" s="645">
        <f>AC66+AE66+AG66+AI66+AK66</f>
        <v/>
      </c>
      <c r="AN66" s="1072">
        <f>AD66+AF66+AH66+AJ66+AL66</f>
        <v/>
      </c>
      <c r="AO66" s="1073">
        <f>AN66-AM66</f>
        <v/>
      </c>
      <c r="AP66" s="680" t="n"/>
      <c r="AQ66" s="796" t="n"/>
      <c r="AR66" s="645" t="n">
        <v>-48000</v>
      </c>
      <c r="AS66" s="796" t="n"/>
      <c r="AT66" s="680" t="n"/>
      <c r="AU66" s="796" t="n"/>
      <c r="AV66" s="645" t="n">
        <v>-48000</v>
      </c>
      <c r="AW66" s="796" t="n"/>
      <c r="AX66" s="680" t="n"/>
      <c r="AY66" s="798" t="n"/>
      <c r="AZ66" s="645">
        <f>AP66+AR66+AT66+AV66+AX66</f>
        <v/>
      </c>
      <c r="BA66" s="1072">
        <f>AQ66+AS66+AU66+AW66+AY66</f>
        <v/>
      </c>
      <c r="BB66" s="1035">
        <f>BA66-AZ66</f>
        <v/>
      </c>
      <c r="BC66" s="680" t="n"/>
      <c r="BD66" s="796" t="n"/>
      <c r="BE66" s="649" t="n">
        <v>-48000</v>
      </c>
      <c r="BF66" s="796" t="n"/>
      <c r="BG66" s="680" t="n"/>
      <c r="BH66" s="796" t="n"/>
      <c r="BI66" s="680" t="n"/>
      <c r="BJ66" s="796" t="n"/>
      <c r="BK66" s="680" t="n"/>
      <c r="BL66" s="796" t="n"/>
      <c r="BM66" s="680" t="n"/>
      <c r="BN66" s="796" t="n"/>
      <c r="BO66" s="680" t="n"/>
      <c r="BP66" s="796" t="n"/>
      <c r="BQ66" s="647">
        <f>BC66+BE66+BG66+BI66+BK66+BM66+BO66</f>
        <v/>
      </c>
      <c r="BR66" s="1046">
        <f>BD66+BF66+BH66+BJ66+BL66+BN66+BP66</f>
        <v/>
      </c>
      <c r="BS66" s="1037">
        <f>BR66-BQ66</f>
        <v/>
      </c>
      <c r="BT66" s="1075">
        <f>Z66+AM66+AZ66+BQ66+M66</f>
        <v/>
      </c>
      <c r="BU66" s="1076">
        <f>AA66+AN66+BA66+BR66+N66</f>
        <v/>
      </c>
      <c r="BV66" s="1049">
        <f>BT66-BU66</f>
        <v/>
      </c>
    </row>
    <row r="67">
      <c r="A67" s="633" t="inlineStr">
        <is>
          <t>Инвентарь</t>
        </is>
      </c>
      <c r="B67" s="604" t="inlineStr">
        <is>
          <t>Расход</t>
        </is>
      </c>
      <c r="C67" s="680" t="n"/>
      <c r="D67" s="796" t="n"/>
      <c r="E67" s="680" t="n"/>
      <c r="F67" s="796" t="n"/>
      <c r="G67" s="680" t="n"/>
      <c r="H67" s="796" t="n"/>
      <c r="I67" s="649">
        <f>-15000-69000</f>
        <v/>
      </c>
      <c r="J67" s="796" t="n"/>
      <c r="K67" s="649" t="n">
        <v>-144600</v>
      </c>
      <c r="L67" s="796" t="n"/>
      <c r="M67" s="1069">
        <f>C67+E67+G67+I67+K67</f>
        <v/>
      </c>
      <c r="N67" s="1044">
        <f>D67+F67+H67+J67+L67</f>
        <v/>
      </c>
      <c r="O67" s="1070">
        <f>N67-M67</f>
        <v/>
      </c>
      <c r="P67" s="649">
        <f>-15000-27000</f>
        <v/>
      </c>
      <c r="Q67" s="798" t="n"/>
      <c r="R67" s="649" t="n">
        <v>-40000</v>
      </c>
      <c r="S67" s="796" t="n"/>
      <c r="T67" s="680" t="n"/>
      <c r="U67" s="796" t="n"/>
      <c r="V67" s="680" t="n"/>
      <c r="W67" s="796" t="n"/>
      <c r="X67" s="680" t="n"/>
      <c r="Y67" s="796" t="n"/>
      <c r="Z67" s="810">
        <f>P67+T67+R67+V67+X67</f>
        <v/>
      </c>
      <c r="AA67" s="1044">
        <f>Q67+S67+U67+W67+Y67</f>
        <v/>
      </c>
      <c r="AB67" s="1070">
        <f>AA67-Z67</f>
        <v/>
      </c>
      <c r="AC67" s="680" t="n"/>
      <c r="AD67" s="796" t="n"/>
      <c r="AE67" s="649">
        <f>-116000-19100</f>
        <v/>
      </c>
      <c r="AF67" s="796" t="n"/>
      <c r="AG67" s="680" t="n"/>
      <c r="AH67" s="796" t="n"/>
      <c r="AI67" s="680" t="n"/>
      <c r="AJ67" s="796" t="n"/>
      <c r="AK67" s="680" t="n"/>
      <c r="AL67" s="796" t="n"/>
      <c r="AM67" s="645">
        <f>AC67+AE67+AG67+AI67+AK67</f>
        <v/>
      </c>
      <c r="AN67" s="1072">
        <f>AD67+AF67+AH67+AJ67+AL67</f>
        <v/>
      </c>
      <c r="AO67" s="1073">
        <f>AN67-AM67</f>
        <v/>
      </c>
      <c r="AP67" s="680" t="n"/>
      <c r="AQ67" s="796" t="n"/>
      <c r="AR67" s="645" t="n">
        <v>-32000</v>
      </c>
      <c r="AS67" s="796" t="n"/>
      <c r="AT67" s="649" t="n">
        <v>-35000</v>
      </c>
      <c r="AU67" s="796" t="n"/>
      <c r="AV67" s="680" t="n"/>
      <c r="AW67" s="796" t="n"/>
      <c r="AX67" s="680" t="n"/>
      <c r="AY67" s="798" t="n"/>
      <c r="AZ67" s="645">
        <f>AP67+AR67+AT67+AV67+AX67</f>
        <v/>
      </c>
      <c r="BA67" s="1072">
        <f>AQ67+AS67+AU67+AW67+AY67</f>
        <v/>
      </c>
      <c r="BB67" s="1035">
        <f>BA67-AZ67</f>
        <v/>
      </c>
      <c r="BC67" s="680" t="n"/>
      <c r="BD67" s="796" t="n"/>
      <c r="BE67" s="680" t="n"/>
      <c r="BF67" s="796" t="n"/>
      <c r="BG67" s="680" t="n"/>
      <c r="BH67" s="796" t="n"/>
      <c r="BI67" s="680" t="n"/>
      <c r="BJ67" s="796" t="n"/>
      <c r="BK67" s="680" t="n"/>
      <c r="BL67" s="796" t="n"/>
      <c r="BM67" s="680" t="n"/>
      <c r="BN67" s="796" t="n"/>
      <c r="BO67" s="680" t="n"/>
      <c r="BP67" s="796" t="n"/>
      <c r="BQ67" s="647">
        <f>BC67+BE67+BG67+BI67+BK67+BM67+BO67</f>
        <v/>
      </c>
      <c r="BR67" s="1046">
        <f>BD67+BF67+BH67+BJ67+BL67+BN67+BP67</f>
        <v/>
      </c>
      <c r="BS67" s="1037">
        <f>BR67-BQ67</f>
        <v/>
      </c>
      <c r="BT67" s="1075">
        <f>Z67+AM67+AZ67+BQ67+M67</f>
        <v/>
      </c>
      <c r="BU67" s="1076">
        <f>AA67+AN67+BA67+BR67+N67</f>
        <v/>
      </c>
      <c r="BV67" s="1049">
        <f>BT67-BU67</f>
        <v/>
      </c>
    </row>
    <row r="68">
      <c r="A68" s="633" t="inlineStr">
        <is>
          <t>Погашение кредита и %%</t>
        </is>
      </c>
      <c r="B68" s="604" t="inlineStr">
        <is>
          <t>Расход</t>
        </is>
      </c>
      <c r="C68" s="680" t="n"/>
      <c r="D68" s="796" t="n"/>
      <c r="E68" s="680" t="n"/>
      <c r="F68" s="796" t="n"/>
      <c r="G68" s="680" t="n"/>
      <c r="H68" s="796" t="n"/>
      <c r="I68" s="680" t="n"/>
      <c r="J68" s="796" t="n"/>
      <c r="K68" s="680" t="n"/>
      <c r="L68" s="796" t="n"/>
      <c r="M68" s="1069">
        <f>C68+E68+G68+I68+K68</f>
        <v/>
      </c>
      <c r="N68" s="1044">
        <f>D68+F68+H68+J68+L68</f>
        <v/>
      </c>
      <c r="O68" s="1070">
        <f>N68-M68</f>
        <v/>
      </c>
      <c r="P68" s="680" t="n"/>
      <c r="Q68" s="798" t="n"/>
      <c r="R68" s="680" t="n"/>
      <c r="S68" s="796" t="n"/>
      <c r="T68" s="680" t="n"/>
      <c r="U68" s="796" t="n"/>
      <c r="V68" s="680" t="n"/>
      <c r="W68" s="796" t="n"/>
      <c r="X68" s="680" t="n"/>
      <c r="Y68" s="796" t="n"/>
      <c r="Z68" s="810">
        <f>P68+T68+R68+V68+X68</f>
        <v/>
      </c>
      <c r="AA68" s="1044">
        <f>Q68+S68+U68+W68+Y68</f>
        <v/>
      </c>
      <c r="AB68" s="1070">
        <f>AA68-Z68</f>
        <v/>
      </c>
      <c r="AC68" s="680" t="n"/>
      <c r="AD68" s="796" t="n"/>
      <c r="AE68" s="680" t="n"/>
      <c r="AF68" s="796" t="n"/>
      <c r="AG68" s="680" t="n"/>
      <c r="AH68" s="796" t="n"/>
      <c r="AI68" s="680" t="n"/>
      <c r="AJ68" s="796" t="n"/>
      <c r="AK68" s="680" t="n"/>
      <c r="AL68" s="796" t="n"/>
      <c r="AM68" s="645">
        <f>AC68+AE68+AG68+AI68+AK68</f>
        <v/>
      </c>
      <c r="AN68" s="1072">
        <f>AD68+AF68+AH68+AJ68+AL68</f>
        <v/>
      </c>
      <c r="AO68" s="1073">
        <f>AN68-AM68</f>
        <v/>
      </c>
      <c r="AP68" s="680" t="n"/>
      <c r="AQ68" s="796" t="n"/>
      <c r="AR68" s="680" t="n"/>
      <c r="AS68" s="796" t="n"/>
      <c r="AT68" s="680" t="n"/>
      <c r="AU68" s="796" t="n"/>
      <c r="AV68" s="680" t="n"/>
      <c r="AW68" s="796" t="n"/>
      <c r="AX68" s="680" t="n"/>
      <c r="AY68" s="798" t="n"/>
      <c r="AZ68" s="645">
        <f>AP68+AR68+AT68+AV68+AX68</f>
        <v/>
      </c>
      <c r="BA68" s="1072">
        <f>AQ68+AS68+AU68+AW68+AY68</f>
        <v/>
      </c>
      <c r="BB68" s="1035">
        <f>BA68-AZ68</f>
        <v/>
      </c>
      <c r="BC68" s="680" t="n"/>
      <c r="BD68" s="796" t="n"/>
      <c r="BE68" s="680" t="n"/>
      <c r="BF68" s="796" t="n"/>
      <c r="BG68" s="680" t="n"/>
      <c r="BH68" s="796" t="n"/>
      <c r="BI68" s="680" t="n"/>
      <c r="BJ68" s="796" t="n"/>
      <c r="BK68" s="680" t="n"/>
      <c r="BL68" s="796" t="n"/>
      <c r="BM68" s="680" t="n"/>
      <c r="BN68" s="796" t="n"/>
      <c r="BO68" s="680" t="n"/>
      <c r="BP68" s="796" t="n"/>
      <c r="BQ68" s="647">
        <f>BC68+BE68+BG68+BI68+BK68+BM68+BO68</f>
        <v/>
      </c>
      <c r="BR68" s="1046">
        <f>BD68+BF68+BH68+BJ68+BL68+BN68+BP68</f>
        <v/>
      </c>
      <c r="BS68" s="1037">
        <f>BR68-BQ68</f>
        <v/>
      </c>
      <c r="BT68" s="1075">
        <f>Z68+AM68+AZ68+BQ68+M68</f>
        <v/>
      </c>
      <c r="BU68" s="1076">
        <f>AA68+AN68+BA68+BR68+N68</f>
        <v/>
      </c>
      <c r="BV68" s="1049">
        <f>BT68-BU68</f>
        <v/>
      </c>
    </row>
    <row r="69">
      <c r="A69" s="633" t="inlineStr">
        <is>
          <t>Хоз.товара</t>
        </is>
      </c>
      <c r="B69" s="604" t="inlineStr">
        <is>
          <t>Расход</t>
        </is>
      </c>
      <c r="C69" s="680" t="n"/>
      <c r="D69" s="796" t="n"/>
      <c r="E69" s="680" t="n"/>
      <c r="F69" s="796" t="n"/>
      <c r="G69" s="680" t="n"/>
      <c r="H69" s="796" t="n"/>
      <c r="I69" s="680" t="n"/>
      <c r="J69" s="796" t="n"/>
      <c r="K69" s="680" t="n"/>
      <c r="L69" s="796" t="n"/>
      <c r="M69" s="1069">
        <f>C69+E69+G69+I69+K69</f>
        <v/>
      </c>
      <c r="N69" s="1044">
        <f>D69+F69+H69+J69+L69</f>
        <v/>
      </c>
      <c r="O69" s="1070">
        <f>N69-M69</f>
        <v/>
      </c>
      <c r="P69" s="680" t="n"/>
      <c r="Q69" s="798" t="n"/>
      <c r="R69" s="680" t="n"/>
      <c r="S69" s="796" t="n"/>
      <c r="T69" s="680" t="n"/>
      <c r="U69" s="796" t="n"/>
      <c r="V69" s="680" t="n"/>
      <c r="W69" s="796" t="n"/>
      <c r="X69" s="680" t="n"/>
      <c r="Y69" s="796" t="n"/>
      <c r="Z69" s="810">
        <f>P69+T69+R69+V69+X69</f>
        <v/>
      </c>
      <c r="AA69" s="1044">
        <f>Q69+S69+U69+W69+Y69</f>
        <v/>
      </c>
      <c r="AB69" s="1070">
        <f>AA69-Z69</f>
        <v/>
      </c>
      <c r="AC69" s="680" t="n"/>
      <c r="AD69" s="796" t="n"/>
      <c r="AE69" s="680" t="n"/>
      <c r="AF69" s="796" t="n"/>
      <c r="AG69" s="680" t="n"/>
      <c r="AH69" s="796" t="n"/>
      <c r="AI69" s="680" t="n"/>
      <c r="AJ69" s="796" t="n"/>
      <c r="AK69" s="680" t="n"/>
      <c r="AL69" s="796" t="n"/>
      <c r="AM69" s="645">
        <f>AC69+AE69+AG69+AI69+AK69</f>
        <v/>
      </c>
      <c r="AN69" s="1072">
        <f>AD69+AF69+AH69+AJ69+AL69</f>
        <v/>
      </c>
      <c r="AO69" s="1073">
        <f>AN69-AM69</f>
        <v/>
      </c>
      <c r="AP69" s="680" t="n"/>
      <c r="AQ69" s="796" t="n"/>
      <c r="AR69" s="680" t="n"/>
      <c r="AS69" s="796" t="n"/>
      <c r="AT69" s="680" t="n"/>
      <c r="AU69" s="796" t="n"/>
      <c r="AV69" s="680" t="n"/>
      <c r="AW69" s="796" t="n"/>
      <c r="AX69" s="680" t="n"/>
      <c r="AY69" s="798" t="n"/>
      <c r="AZ69" s="645">
        <f>AP69+AR69+AT69+AV69+AX69</f>
        <v/>
      </c>
      <c r="BA69" s="1072">
        <f>AQ69+AS69+AU69+AW69+AY69</f>
        <v/>
      </c>
      <c r="BB69" s="1035">
        <f>BA69-AZ69</f>
        <v/>
      </c>
      <c r="BC69" s="680" t="n"/>
      <c r="BD69" s="796" t="n"/>
      <c r="BE69" s="680" t="n"/>
      <c r="BF69" s="796" t="n"/>
      <c r="BG69" s="680" t="n"/>
      <c r="BH69" s="796" t="n"/>
      <c r="BI69" s="680" t="n"/>
      <c r="BJ69" s="796" t="n"/>
      <c r="BK69" s="680" t="n"/>
      <c r="BL69" s="796" t="n"/>
      <c r="BM69" s="680" t="n"/>
      <c r="BN69" s="796" t="n"/>
      <c r="BO69" s="680" t="n"/>
      <c r="BP69" s="796" t="n"/>
      <c r="BQ69" s="647">
        <f>BC69+BE69+BG69+BI69+BK69+BM69+BO69</f>
        <v/>
      </c>
      <c r="BR69" s="1046">
        <f>BD69+BF69+BH69+BJ69+BL69+BN69+BP69</f>
        <v/>
      </c>
      <c r="BS69" s="1037">
        <f>BR69-BQ69</f>
        <v/>
      </c>
      <c r="BT69" s="1075">
        <f>Z69+AM69+AZ69+BQ69+M69</f>
        <v/>
      </c>
      <c r="BU69" s="1076">
        <f>AA69+AN69+BA69+BR69+N69</f>
        <v/>
      </c>
      <c r="BV69" s="1049">
        <f>BT69-BU69</f>
        <v/>
      </c>
    </row>
    <row r="70">
      <c r="A70" s="633" t="inlineStr">
        <is>
          <t>Канц.товары</t>
        </is>
      </c>
      <c r="B70" s="604" t="inlineStr">
        <is>
          <t>Расход</t>
        </is>
      </c>
      <c r="C70" s="680" t="n"/>
      <c r="D70" s="796" t="n"/>
      <c r="E70" s="680" t="n"/>
      <c r="F70" s="796" t="n"/>
      <c r="G70" s="680" t="n"/>
      <c r="H70" s="796" t="n"/>
      <c r="I70" s="680" t="n"/>
      <c r="J70" s="796" t="n"/>
      <c r="K70" s="680" t="n"/>
      <c r="L70" s="796" t="n"/>
      <c r="M70" s="1069">
        <f>C70+E70+G70+I70+K70</f>
        <v/>
      </c>
      <c r="N70" s="1044">
        <f>D70+F70+H70+J70+L70</f>
        <v/>
      </c>
      <c r="O70" s="1070">
        <f>N70-M70</f>
        <v/>
      </c>
      <c r="P70" s="680" t="n"/>
      <c r="Q70" s="798" t="n"/>
      <c r="R70" s="680" t="n"/>
      <c r="S70" s="796" t="n"/>
      <c r="T70" s="680" t="n"/>
      <c r="U70" s="796" t="n"/>
      <c r="V70" s="680" t="n"/>
      <c r="W70" s="796" t="n"/>
      <c r="X70" s="680" t="n"/>
      <c r="Y70" s="796" t="n"/>
      <c r="Z70" s="810">
        <f>P70+T70+R70+V70+X70</f>
        <v/>
      </c>
      <c r="AA70" s="1044">
        <f>Q70+S70+U70+W70+Y70</f>
        <v/>
      </c>
      <c r="AB70" s="1070">
        <f>AA70-Z70</f>
        <v/>
      </c>
      <c r="AC70" s="680" t="n"/>
      <c r="AD70" s="796" t="n"/>
      <c r="AE70" s="680" t="n"/>
      <c r="AF70" s="796" t="n"/>
      <c r="AG70" s="680" t="n"/>
      <c r="AH70" s="796" t="n"/>
      <c r="AI70" s="680" t="n"/>
      <c r="AJ70" s="796" t="n"/>
      <c r="AK70" s="680" t="n"/>
      <c r="AL70" s="796" t="n"/>
      <c r="AM70" s="645">
        <f>AC70+AE70+AG70+AI70+AK70</f>
        <v/>
      </c>
      <c r="AN70" s="1072">
        <f>AD70+AF70+AH70+AJ70+AL70</f>
        <v/>
      </c>
      <c r="AO70" s="1073">
        <f>AN70-AM70</f>
        <v/>
      </c>
      <c r="AP70" s="680" t="n"/>
      <c r="AQ70" s="796" t="n"/>
      <c r="AR70" s="680" t="n"/>
      <c r="AS70" s="796" t="n"/>
      <c r="AT70" s="680" t="n"/>
      <c r="AU70" s="796" t="n"/>
      <c r="AV70" s="680" t="n"/>
      <c r="AW70" s="796" t="n"/>
      <c r="AX70" s="680" t="n"/>
      <c r="AY70" s="798" t="n"/>
      <c r="AZ70" s="645">
        <f>AP70+AR70+AT70+AV70+AX70</f>
        <v/>
      </c>
      <c r="BA70" s="1072">
        <f>AQ70+AS70+AU70+AW70+AY70</f>
        <v/>
      </c>
      <c r="BB70" s="1035">
        <f>BA70-AZ70</f>
        <v/>
      </c>
      <c r="BC70" s="680" t="n"/>
      <c r="BD70" s="796" t="n"/>
      <c r="BE70" s="680" t="n"/>
      <c r="BF70" s="796" t="n"/>
      <c r="BG70" s="680" t="n"/>
      <c r="BH70" s="796" t="n"/>
      <c r="BI70" s="680" t="n"/>
      <c r="BJ70" s="796" t="n"/>
      <c r="BK70" s="680" t="n"/>
      <c r="BL70" s="796" t="n"/>
      <c r="BM70" s="680" t="n"/>
      <c r="BN70" s="796" t="n"/>
      <c r="BO70" s="680" t="n"/>
      <c r="BP70" s="796" t="n"/>
      <c r="BQ70" s="647">
        <f>BC70+BE70+BG70+BI70+BK70+BM70+BO70</f>
        <v/>
      </c>
      <c r="BR70" s="1046">
        <f>BD70+BF70+BH70+BJ70+BL70+BN70+BP70</f>
        <v/>
      </c>
      <c r="BS70" s="1037">
        <f>BR70-BQ70</f>
        <v/>
      </c>
      <c r="BT70" s="1075">
        <f>Z70+AM70+AZ70+BQ70+M70</f>
        <v/>
      </c>
      <c r="BU70" s="1076">
        <f>AA70+AN70+BA70+BR70+N70</f>
        <v/>
      </c>
      <c r="BV70" s="1049">
        <f>BT70-BU70</f>
        <v/>
      </c>
    </row>
    <row r="71">
      <c r="A71" s="633" t="inlineStr">
        <is>
          <t>Расходы по реализации Разные</t>
        </is>
      </c>
      <c r="B71" s="604" t="inlineStr">
        <is>
          <t>Расход</t>
        </is>
      </c>
      <c r="C71" s="680" t="n"/>
      <c r="D71" s="796" t="n"/>
      <c r="E71" s="680" t="n"/>
      <c r="F71" s="796" t="n"/>
      <c r="G71" s="680" t="n"/>
      <c r="H71" s="796" t="n"/>
      <c r="I71" s="680" t="n"/>
      <c r="J71" s="804" t="n">
        <v>-8000</v>
      </c>
      <c r="K71" s="680" t="n"/>
      <c r="L71" s="796" t="n"/>
      <c r="M71" s="1069">
        <f>C71+E71+G71+I71+K71</f>
        <v/>
      </c>
      <c r="N71" s="1044">
        <f>D71+F71+H71+J71+L71</f>
        <v/>
      </c>
      <c r="O71" s="1070">
        <f>N71-M71</f>
        <v/>
      </c>
      <c r="P71" s="680" t="n"/>
      <c r="Q71" s="798" t="n"/>
      <c r="R71" s="680" t="n"/>
      <c r="S71" s="796" t="n"/>
      <c r="T71" s="680" t="n"/>
      <c r="U71" s="796" t="n"/>
      <c r="V71" s="680" t="n"/>
      <c r="W71" s="796">
        <f>-9000</f>
        <v/>
      </c>
      <c r="X71" s="680" t="n"/>
      <c r="Y71" s="796" t="n"/>
      <c r="Z71" s="810">
        <f>P71+T71+R71+V71+X71</f>
        <v/>
      </c>
      <c r="AA71" s="1044">
        <f>Q71+S71+U71+W71+Y71</f>
        <v/>
      </c>
      <c r="AB71" s="1070">
        <f>AA71-Z71</f>
        <v/>
      </c>
      <c r="AC71" s="680" t="n"/>
      <c r="AD71" s="796" t="n"/>
      <c r="AE71" s="680" t="n"/>
      <c r="AF71" s="796" t="n"/>
      <c r="AG71" s="680" t="n"/>
      <c r="AH71" s="796" t="n"/>
      <c r="AI71" s="680" t="n"/>
      <c r="AJ71" s="796" t="n"/>
      <c r="AK71" s="680" t="n"/>
      <c r="AL71" s="796" t="n"/>
      <c r="AM71" s="645">
        <f>AC71+AE71+AG71+AI71+AK71</f>
        <v/>
      </c>
      <c r="AN71" s="1072">
        <f>AD71+AF71+AH71+AJ71+AL71</f>
        <v/>
      </c>
      <c r="AO71" s="1073">
        <f>AN71-AM71</f>
        <v/>
      </c>
      <c r="AP71" s="680" t="n"/>
      <c r="AQ71" s="796" t="n"/>
      <c r="AR71" s="680" t="n"/>
      <c r="AS71" s="796" t="n"/>
      <c r="AT71" s="680" t="n"/>
      <c r="AU71" s="796" t="n"/>
      <c r="AV71" s="680" t="n"/>
      <c r="AW71" s="796" t="n"/>
      <c r="AX71" s="680" t="n"/>
      <c r="AY71" s="798" t="n"/>
      <c r="AZ71" s="645">
        <f>AP71+AR71+AT71+AV71+AX71</f>
        <v/>
      </c>
      <c r="BA71" s="1072">
        <f>AQ71+AS71+AU71+AW71+AY71</f>
        <v/>
      </c>
      <c r="BB71" s="1035">
        <f>BA71-AZ71</f>
        <v/>
      </c>
      <c r="BC71" s="680" t="n"/>
      <c r="BD71" s="796" t="n"/>
      <c r="BE71" s="680" t="n"/>
      <c r="BF71" s="796" t="n"/>
      <c r="BG71" s="680" t="n"/>
      <c r="BH71" s="796" t="n"/>
      <c r="BI71" s="680" t="n"/>
      <c r="BJ71" s="796" t="n"/>
      <c r="BK71" s="680" t="n"/>
      <c r="BL71" s="796" t="n"/>
      <c r="BM71" s="680" t="n"/>
      <c r="BN71" s="796" t="n"/>
      <c r="BO71" s="680" t="n"/>
      <c r="BP71" s="796" t="n"/>
      <c r="BQ71" s="647">
        <f>BC71+BE71+BG71+BI71+BK71+BM71+BO71</f>
        <v/>
      </c>
      <c r="BR71" s="1046">
        <f>BD71+BF71+BH71+BJ71+BL71+BN71+BP71</f>
        <v/>
      </c>
      <c r="BS71" s="1037">
        <f>BR71-BQ71</f>
        <v/>
      </c>
      <c r="BT71" s="1075">
        <f>Z71+AM71+AZ71+BQ71+M71</f>
        <v/>
      </c>
      <c r="BU71" s="1076">
        <f>AA71+AN71+BA71+BR71+N71</f>
        <v/>
      </c>
      <c r="BV71" s="1049">
        <f>BT71-BU71</f>
        <v/>
      </c>
    </row>
    <row r="72">
      <c r="A72" s="633" t="inlineStr">
        <is>
          <t>Ремонт помещений</t>
        </is>
      </c>
      <c r="B72" s="604" t="inlineStr">
        <is>
          <t>Расход</t>
        </is>
      </c>
      <c r="C72" s="680" t="n"/>
      <c r="D72" s="796" t="n"/>
      <c r="E72" s="680" t="n"/>
      <c r="F72" s="796" t="n"/>
      <c r="G72" s="680" t="n"/>
      <c r="H72" s="796" t="n"/>
      <c r="I72" s="680" t="n"/>
      <c r="J72" s="796" t="n"/>
      <c r="K72" s="680" t="n"/>
      <c r="L72" s="796" t="n"/>
      <c r="M72" s="1069">
        <f>C72+E72+G72+I72+K72</f>
        <v/>
      </c>
      <c r="N72" s="1044">
        <f>D72+F72+H72+J72+L72</f>
        <v/>
      </c>
      <c r="O72" s="1070">
        <f>N72-M72</f>
        <v/>
      </c>
      <c r="P72" s="680" t="n"/>
      <c r="Q72" s="798" t="n"/>
      <c r="R72" s="680" t="n"/>
      <c r="S72" s="796" t="n"/>
      <c r="T72" s="680" t="n"/>
      <c r="U72" s="796" t="n"/>
      <c r="V72" s="680" t="n"/>
      <c r="W72" s="796" t="n"/>
      <c r="X72" s="680" t="n"/>
      <c r="Y72" s="796" t="n"/>
      <c r="Z72" s="810">
        <f>P72+T72+R72+V72+X72</f>
        <v/>
      </c>
      <c r="AA72" s="1044">
        <f>Q72+S72+U72+W72+Y72</f>
        <v/>
      </c>
      <c r="AB72" s="1070">
        <f>AA72-Z72</f>
        <v/>
      </c>
      <c r="AC72" s="680" t="n"/>
      <c r="AD72" s="796" t="n"/>
      <c r="AE72" s="680" t="n"/>
      <c r="AF72" s="796" t="n"/>
      <c r="AG72" s="680" t="n"/>
      <c r="AH72" s="796" t="n"/>
      <c r="AI72" s="680" t="n"/>
      <c r="AJ72" s="796" t="n"/>
      <c r="AK72" s="680" t="n"/>
      <c r="AL72" s="796" t="n"/>
      <c r="AM72" s="645">
        <f>AC72+AE72+AG72+AI72+AK72</f>
        <v/>
      </c>
      <c r="AN72" s="1072">
        <f>AD72+AF72+AH72+AJ72+AL72</f>
        <v/>
      </c>
      <c r="AO72" s="1073">
        <f>AN72-AM72</f>
        <v/>
      </c>
      <c r="AP72" s="680" t="n"/>
      <c r="AQ72" s="796" t="n"/>
      <c r="AR72" s="680" t="n"/>
      <c r="AS72" s="796" t="n"/>
      <c r="AT72" s="680" t="n"/>
      <c r="AU72" s="796" t="n"/>
      <c r="AV72" s="680" t="n"/>
      <c r="AW72" s="796" t="n"/>
      <c r="AX72" s="680" t="n"/>
      <c r="AY72" s="798" t="n"/>
      <c r="AZ72" s="645">
        <f>AP72+AR72+AT72+AV72+AX72</f>
        <v/>
      </c>
      <c r="BA72" s="1072">
        <f>AQ72+AS72+AU72+AW72+AY72</f>
        <v/>
      </c>
      <c r="BB72" s="1035">
        <f>BA72-AZ72</f>
        <v/>
      </c>
      <c r="BC72" s="680" t="n"/>
      <c r="BD72" s="796" t="n"/>
      <c r="BE72" s="680" t="n"/>
      <c r="BF72" s="796" t="n"/>
      <c r="BG72" s="680" t="n"/>
      <c r="BH72" s="796" t="n"/>
      <c r="BI72" s="680" t="n"/>
      <c r="BJ72" s="796" t="n"/>
      <c r="BK72" s="680" t="n"/>
      <c r="BL72" s="796" t="n"/>
      <c r="BM72" s="680" t="n"/>
      <c r="BN72" s="796" t="n"/>
      <c r="BO72" s="680" t="n"/>
      <c r="BP72" s="796" t="n"/>
      <c r="BQ72" s="647">
        <f>BC72+BE72+BG72+BI72+BK72+BM72+BO72</f>
        <v/>
      </c>
      <c r="BR72" s="1046">
        <f>BD72+BF72+BH72+BJ72+BL72+BN72+BP72</f>
        <v/>
      </c>
      <c r="BS72" s="1037">
        <f>BR72-BQ72</f>
        <v/>
      </c>
      <c r="BT72" s="1075">
        <f>Z72+AM72+AZ72+BQ72+M72</f>
        <v/>
      </c>
      <c r="BU72" s="1076">
        <f>AA72+AN72+BA72+BR72+N72</f>
        <v/>
      </c>
      <c r="BV72" s="1049">
        <f>BT72-BU72</f>
        <v/>
      </c>
    </row>
    <row r="73">
      <c r="A73" s="633" t="inlineStr">
        <is>
          <t>Ремонт оборудования</t>
        </is>
      </c>
      <c r="B73" s="604" t="inlineStr">
        <is>
          <t>Расход</t>
        </is>
      </c>
      <c r="C73" s="680" t="n"/>
      <c r="D73" s="796" t="n"/>
      <c r="E73" s="680" t="n"/>
      <c r="F73" s="796" t="n"/>
      <c r="G73" s="680" t="n"/>
      <c r="H73" s="796" t="n"/>
      <c r="I73" s="649" t="n">
        <v>-171500</v>
      </c>
      <c r="J73" s="804">
        <f>-75000</f>
        <v/>
      </c>
      <c r="K73" s="680" t="n"/>
      <c r="L73" s="796" t="n"/>
      <c r="M73" s="1069">
        <f>C73+E73+G73+I73+K73</f>
        <v/>
      </c>
      <c r="N73" s="1044">
        <f>D73+F73+H73+J73+L73</f>
        <v/>
      </c>
      <c r="O73" s="1070">
        <f>N73-M73</f>
        <v/>
      </c>
      <c r="P73" s="680" t="n"/>
      <c r="Q73" s="798" t="n"/>
      <c r="R73" s="649" t="n">
        <v>-212000</v>
      </c>
      <c r="S73" s="796" t="n"/>
      <c r="T73" s="680" t="n"/>
      <c r="U73" s="796" t="n"/>
      <c r="V73" s="680" t="n"/>
      <c r="W73" s="796" t="n"/>
      <c r="X73" s="680" t="n"/>
      <c r="Y73" s="796" t="n"/>
      <c r="Z73" s="810">
        <f>P73+T73+R73+V73+X73</f>
        <v/>
      </c>
      <c r="AA73" s="1044">
        <f>Q73+S73+U73+W73+Y73</f>
        <v/>
      </c>
      <c r="AB73" s="1070">
        <f>AA73-Z73</f>
        <v/>
      </c>
      <c r="AC73" s="680" t="n"/>
      <c r="AD73" s="796" t="n"/>
      <c r="AE73" s="645" t="n">
        <v>-148000</v>
      </c>
      <c r="AF73" s="796" t="n"/>
      <c r="AG73" s="680" t="n"/>
      <c r="AH73" s="796" t="n"/>
      <c r="AI73" s="680" t="n"/>
      <c r="AJ73" s="796" t="n"/>
      <c r="AK73" s="680" t="n"/>
      <c r="AL73" s="796" t="n"/>
      <c r="AM73" s="645">
        <f>AC73+AE73+AG73+AI73+AK73</f>
        <v/>
      </c>
      <c r="AN73" s="1072">
        <f>AD73+AF73+AH73+AJ73+AL73</f>
        <v/>
      </c>
      <c r="AO73" s="1073">
        <f>AN73-AM73</f>
        <v/>
      </c>
      <c r="AP73" s="680" t="n"/>
      <c r="AQ73" s="796" t="n"/>
      <c r="AR73" s="680" t="n"/>
      <c r="AS73" s="796" t="n"/>
      <c r="AT73" s="649" t="n">
        <v>-187500</v>
      </c>
      <c r="AU73" s="796" t="n"/>
      <c r="AV73" s="680" t="n"/>
      <c r="AW73" s="796" t="n"/>
      <c r="AX73" s="680" t="n"/>
      <c r="AY73" s="798" t="n"/>
      <c r="AZ73" s="645">
        <f>AP73+AR73+AT73+AV73+AX73</f>
        <v/>
      </c>
      <c r="BA73" s="1072">
        <f>AQ73+AS73+AU73+AW73+AY73</f>
        <v/>
      </c>
      <c r="BB73" s="1035">
        <f>BA73-AZ73</f>
        <v/>
      </c>
      <c r="BC73" s="680" t="n"/>
      <c r="BD73" s="796" t="n"/>
      <c r="BE73" s="680" t="n"/>
      <c r="BF73" s="796" t="n"/>
      <c r="BG73" s="680" t="n"/>
      <c r="BH73" s="796" t="n"/>
      <c r="BI73" s="680" t="n"/>
      <c r="BJ73" s="796" t="n"/>
      <c r="BK73" s="680" t="n"/>
      <c r="BL73" s="796" t="n"/>
      <c r="BM73" s="680" t="n"/>
      <c r="BN73" s="796" t="n"/>
      <c r="BO73" s="680" t="n"/>
      <c r="BP73" s="796" t="n"/>
      <c r="BQ73" s="647">
        <f>BC73+BE73+BG73+BI73+BK73+BM73+BO73</f>
        <v/>
      </c>
      <c r="BR73" s="1046">
        <f>BD73+BF73+BH73+BJ73+BL73+BN73+BP73</f>
        <v/>
      </c>
      <c r="BS73" s="1037">
        <f>BR73-BQ73</f>
        <v/>
      </c>
      <c r="BT73" s="1075">
        <f>Z73+AM73+AZ73+BQ73+M73</f>
        <v/>
      </c>
      <c r="BU73" s="1076">
        <f>AA73+AN73+BA73+BR73+N73</f>
        <v/>
      </c>
      <c r="BV73" s="1049">
        <f>BT73-BU73</f>
        <v/>
      </c>
    </row>
    <row r="74">
      <c r="A74" s="633" t="inlineStr">
        <is>
          <t>Приобретение основных средств</t>
        </is>
      </c>
      <c r="B74" s="604" t="inlineStr">
        <is>
          <t>Расход</t>
        </is>
      </c>
      <c r="C74" s="680" t="n"/>
      <c r="D74" s="796" t="n"/>
      <c r="E74" s="680" t="n"/>
      <c r="F74" s="796" t="n"/>
      <c r="G74" s="680" t="n"/>
      <c r="H74" s="796" t="n"/>
      <c r="I74" s="680" t="n"/>
      <c r="J74" s="796" t="n"/>
      <c r="K74" s="680" t="n"/>
      <c r="L74" s="796" t="n"/>
      <c r="M74" s="1069">
        <f>C74+E74+G74+I74+K74</f>
        <v/>
      </c>
      <c r="N74" s="1044">
        <f>D74+F74+H74+J74+L74</f>
        <v/>
      </c>
      <c r="O74" s="1070">
        <f>N74-M74</f>
        <v/>
      </c>
      <c r="P74" s="680" t="n"/>
      <c r="Q74" s="798" t="n"/>
      <c r="R74" s="680" t="n"/>
      <c r="S74" s="796" t="n"/>
      <c r="T74" s="680" t="n"/>
      <c r="U74" s="796" t="n"/>
      <c r="V74" s="680" t="n"/>
      <c r="W74" s="796" t="n"/>
      <c r="X74" s="680" t="n"/>
      <c r="Y74" s="796" t="n"/>
      <c r="Z74" s="810">
        <f>P74+T74+R74+V74+X74</f>
        <v/>
      </c>
      <c r="AA74" s="1044">
        <f>Q74+S74+U74+W74+Y74</f>
        <v/>
      </c>
      <c r="AB74" s="1070">
        <f>AA74-Z74</f>
        <v/>
      </c>
      <c r="AC74" s="680" t="n"/>
      <c r="AD74" s="796" t="n"/>
      <c r="AE74" s="680" t="n"/>
      <c r="AF74" s="796" t="n"/>
      <c r="AG74" s="680" t="n"/>
      <c r="AH74" s="796" t="n"/>
      <c r="AI74" s="680" t="n"/>
      <c r="AJ74" s="796" t="n"/>
      <c r="AK74" s="680" t="n"/>
      <c r="AL74" s="796" t="n"/>
      <c r="AM74" s="645">
        <f>AC74+AE74+AG74+AI74+AK74</f>
        <v/>
      </c>
      <c r="AN74" s="1072">
        <f>AD74+AF74+AH74+AJ74+AL74</f>
        <v/>
      </c>
      <c r="AO74" s="1073">
        <f>AN74-AM74</f>
        <v/>
      </c>
      <c r="AP74" s="680" t="n"/>
      <c r="AQ74" s="796" t="n"/>
      <c r="AR74" s="680" t="n"/>
      <c r="AS74" s="796" t="n"/>
      <c r="AT74" s="680" t="n"/>
      <c r="AU74" s="796" t="n"/>
      <c r="AV74" s="680" t="n"/>
      <c r="AW74" s="796" t="n"/>
      <c r="AX74" s="680" t="n"/>
      <c r="AY74" s="798" t="n"/>
      <c r="AZ74" s="645">
        <f>AP74+AR74+AT74+AV74+AX74</f>
        <v/>
      </c>
      <c r="BA74" s="1072">
        <f>AQ74+AS74+AU74+AW74+AY74</f>
        <v/>
      </c>
      <c r="BB74" s="1035">
        <f>BA74-AZ74</f>
        <v/>
      </c>
      <c r="BC74" s="680" t="n"/>
      <c r="BD74" s="796" t="n"/>
      <c r="BE74" s="680" t="n"/>
      <c r="BF74" s="796" t="n"/>
      <c r="BG74" s="680" t="n"/>
      <c r="BH74" s="796" t="n"/>
      <c r="BI74" s="680" t="n"/>
      <c r="BJ74" s="796" t="n"/>
      <c r="BK74" s="680" t="n"/>
      <c r="BL74" s="796" t="n"/>
      <c r="BM74" s="680" t="n"/>
      <c r="BN74" s="796" t="n"/>
      <c r="BO74" s="680" t="n"/>
      <c r="BP74" s="796" t="n"/>
      <c r="BQ74" s="647">
        <f>BC74+BE74+BG74+BI74+BK74+BM74+BO74</f>
        <v/>
      </c>
      <c r="BR74" s="1046">
        <f>BD74+BF74+BH74+BJ74+BL74+BN74+BP74</f>
        <v/>
      </c>
      <c r="BS74" s="1037">
        <f>BR74-BQ74</f>
        <v/>
      </c>
      <c r="BT74" s="1075">
        <f>Z74+AM74+AZ74+BQ74+M74</f>
        <v/>
      </c>
      <c r="BU74" s="1076">
        <f>AA74+AN74+BA74+BR74+N74</f>
        <v/>
      </c>
      <c r="BV74" s="1049">
        <f>BT74-BU74</f>
        <v/>
      </c>
    </row>
    <row r="75">
      <c r="A75" s="633" t="inlineStr">
        <is>
          <t>Сырье Платежи поставщикам</t>
        </is>
      </c>
      <c r="B75" s="604" t="inlineStr">
        <is>
          <t>Расход</t>
        </is>
      </c>
      <c r="C75" s="680" t="n"/>
      <c r="D75" s="796" t="n"/>
      <c r="E75" s="680" t="n"/>
      <c r="F75" s="796" t="n"/>
      <c r="G75" s="680" t="n"/>
      <c r="H75" s="804">
        <f>-248600</f>
        <v/>
      </c>
      <c r="I75" s="680" t="n"/>
      <c r="J75" s="796" t="n"/>
      <c r="K75" s="680" t="n"/>
      <c r="L75" s="804" t="n">
        <v>-1770795</v>
      </c>
      <c r="M75" s="1069">
        <f>C75+E75+G75+I75+K75</f>
        <v/>
      </c>
      <c r="N75" s="1044">
        <f>D75+F75+H75+J75+L75</f>
        <v/>
      </c>
      <c r="O75" s="1070">
        <f>N75-M75</f>
        <v/>
      </c>
      <c r="P75" s="680" t="n"/>
      <c r="Q75" s="806" t="n">
        <v>-12600</v>
      </c>
      <c r="R75" s="680" t="n"/>
      <c r="S75" s="796">
        <f>-500000</f>
        <v/>
      </c>
      <c r="T75" s="680" t="n"/>
      <c r="U75" s="796" t="n">
        <v>-84000</v>
      </c>
      <c r="V75" s="680" t="n"/>
      <c r="W75" s="796" t="n"/>
      <c r="X75" s="680" t="n"/>
      <c r="Y75" s="796" t="n"/>
      <c r="Z75" s="810">
        <f>P75+T75+R75+V75+X75</f>
        <v/>
      </c>
      <c r="AA75" s="1044">
        <f>Q75+S75+U75+W75+Y75</f>
        <v/>
      </c>
      <c r="AB75" s="1070">
        <f>AA75-Z75</f>
        <v/>
      </c>
      <c r="AC75" s="680" t="n"/>
      <c r="AD75" s="796" t="n"/>
      <c r="AE75" s="680" t="n"/>
      <c r="AF75" s="796" t="n"/>
      <c r="AG75" s="680" t="n"/>
      <c r="AH75" s="796" t="n"/>
      <c r="AI75" s="680" t="n"/>
      <c r="AJ75" s="796" t="n"/>
      <c r="AK75" s="680" t="n"/>
      <c r="AL75" s="796" t="n"/>
      <c r="AM75" s="645">
        <f>AC75+AE75+AG75+AI75+AK75</f>
        <v/>
      </c>
      <c r="AN75" s="1072">
        <f>AD75+AF75+AH75+AJ75+AL75</f>
        <v/>
      </c>
      <c r="AO75" s="1073">
        <f>AN75-AM75</f>
        <v/>
      </c>
      <c r="AP75" s="680" t="n"/>
      <c r="AQ75" s="796" t="n"/>
      <c r="AR75" s="680" t="n"/>
      <c r="AS75" s="796" t="n"/>
      <c r="AT75" s="680" t="n"/>
      <c r="AU75" s="796" t="n"/>
      <c r="AV75" s="680" t="n"/>
      <c r="AW75" s="796" t="n"/>
      <c r="AX75" s="680" t="n"/>
      <c r="AY75" s="798" t="n"/>
      <c r="AZ75" s="645">
        <f>AP75+AR75+AT75+AV75+AX75</f>
        <v/>
      </c>
      <c r="BA75" s="1072">
        <f>AQ75+AS75+AU75+AW75+AY75</f>
        <v/>
      </c>
      <c r="BB75" s="1035">
        <f>BA75-AZ75</f>
        <v/>
      </c>
      <c r="BC75" s="680" t="n"/>
      <c r="BD75" s="796" t="n"/>
      <c r="BE75" s="680" t="n"/>
      <c r="BF75" s="796" t="n"/>
      <c r="BG75" s="680" t="n"/>
      <c r="BH75" s="1006" t="n"/>
      <c r="BI75" s="680" t="n"/>
      <c r="BJ75" s="796" t="n"/>
      <c r="BK75" s="680" t="n"/>
      <c r="BL75" s="796" t="n"/>
      <c r="BM75" s="680" t="n"/>
      <c r="BN75" s="796" t="n"/>
      <c r="BO75" s="680" t="n"/>
      <c r="BP75" s="796" t="n"/>
      <c r="BQ75" s="647">
        <f>BC75+BE75+BG75+BI75+BK75+BM75+BO75</f>
        <v/>
      </c>
      <c r="BR75" s="1046">
        <f>BD75+BF75+BH75+BJ75+BL75+BN75+BP75</f>
        <v/>
      </c>
      <c r="BS75" s="1037">
        <f>BR75-BQ75</f>
        <v/>
      </c>
      <c r="BT75" s="1075">
        <f>Z75+AM75+AZ75+BQ75+M75</f>
        <v/>
      </c>
      <c r="BU75" s="1076">
        <f>AA75+AN75+BA75+BR75+N75</f>
        <v/>
      </c>
      <c r="BV75" s="1049">
        <f>BT75-BU75</f>
        <v/>
      </c>
    </row>
    <row r="76">
      <c r="A76" s="661" t="inlineStr">
        <is>
          <t>Итого по кассе</t>
        </is>
      </c>
      <c r="B76" s="662" t="inlineStr">
        <is>
          <t>Расход</t>
        </is>
      </c>
      <c r="C76" s="660" t="n">
        <v>0</v>
      </c>
      <c r="D76" s="660">
        <f>SUM(D58:D75)</f>
        <v/>
      </c>
      <c r="E76" s="660">
        <f>SUM(E58:E75)</f>
        <v/>
      </c>
      <c r="F76" s="660">
        <f>SUM(F58:F75)</f>
        <v/>
      </c>
      <c r="G76" s="660">
        <f>SUM(G58:G75)</f>
        <v/>
      </c>
      <c r="H76" s="660">
        <f>SUM(H58:H75)</f>
        <v/>
      </c>
      <c r="I76" s="660">
        <f>SUM(I58:I75)</f>
        <v/>
      </c>
      <c r="J76" s="660">
        <f>SUM(J58:J75)</f>
        <v/>
      </c>
      <c r="K76" s="660">
        <f>SUM(K58:K75)</f>
        <v/>
      </c>
      <c r="L76" s="660">
        <f>SUM(L58:L75)</f>
        <v/>
      </c>
      <c r="M76" s="1083">
        <f>SUM(M58:M75)</f>
        <v/>
      </c>
      <c r="N76" s="1083">
        <f>SUM(N58:N75)</f>
        <v/>
      </c>
      <c r="O76" s="1079">
        <f>N76-M76</f>
        <v/>
      </c>
      <c r="P76" s="660">
        <f>SUM(P58:P75)</f>
        <v/>
      </c>
      <c r="Q76" s="660">
        <f>SUM(Q58:Q75)</f>
        <v/>
      </c>
      <c r="R76" s="660">
        <f>SUM(R58:R75)</f>
        <v/>
      </c>
      <c r="S76" s="660">
        <f>SUM(S58:S75)</f>
        <v/>
      </c>
      <c r="T76" s="660">
        <f>SUM(T58:T75)</f>
        <v/>
      </c>
      <c r="U76" s="660">
        <f>SUM(U58:U75)</f>
        <v/>
      </c>
      <c r="V76" s="660">
        <f>SUM(V58:V75)</f>
        <v/>
      </c>
      <c r="W76" s="660">
        <f>SUM(W58:W75)</f>
        <v/>
      </c>
      <c r="X76" s="660">
        <f>SUM(X58:X75)</f>
        <v/>
      </c>
      <c r="Y76" s="660">
        <f>SUM(Y58:Y75)</f>
        <v/>
      </c>
      <c r="Z76" s="1083">
        <f>SUM(Z58:Z75)</f>
        <v/>
      </c>
      <c r="AA76" s="1083">
        <f>SUM(AA58:AA75)</f>
        <v/>
      </c>
      <c r="AB76" s="1031">
        <f>AA76-Z76</f>
        <v/>
      </c>
      <c r="AC76" s="660">
        <f>SUM(AC58:AC75)</f>
        <v/>
      </c>
      <c r="AD76" s="660">
        <f>SUM(AD58:AD75)</f>
        <v/>
      </c>
      <c r="AE76" s="660">
        <f>SUM(AE58:AE75)</f>
        <v/>
      </c>
      <c r="AF76" s="660">
        <f>SUM(AF58:AF75)</f>
        <v/>
      </c>
      <c r="AG76" s="660">
        <f>SUM(AG58:AG75)</f>
        <v/>
      </c>
      <c r="AH76" s="660">
        <f>SUM(AH58:AH75)</f>
        <v/>
      </c>
      <c r="AI76" s="660">
        <f>SUM(AI58:AI75)</f>
        <v/>
      </c>
      <c r="AJ76" s="660">
        <f>SUM(AJ58:AJ75)</f>
        <v/>
      </c>
      <c r="AK76" s="660">
        <f>SUM(AK58:AK75)</f>
        <v/>
      </c>
      <c r="AL76" s="660">
        <f>SUM(AL58:AL75)</f>
        <v/>
      </c>
      <c r="AM76" s="660">
        <f>SUM(AM58:AM75)</f>
        <v/>
      </c>
      <c r="AN76" s="660">
        <f>SUM(AN58:AN75)</f>
        <v/>
      </c>
      <c r="AO76" s="1034">
        <f>AN76-AM76</f>
        <v/>
      </c>
      <c r="AP76" s="660">
        <f>SUM(AP58:AP75)</f>
        <v/>
      </c>
      <c r="AQ76" s="660">
        <f>SUM(AQ58:AQ75)</f>
        <v/>
      </c>
      <c r="AR76" s="660">
        <f>SUM(AR58:AR75)</f>
        <v/>
      </c>
      <c r="AS76" s="660">
        <f>SUM(AS58:AS75)</f>
        <v/>
      </c>
      <c r="AT76" s="660">
        <f>SUM(AT58:AT75)</f>
        <v/>
      </c>
      <c r="AU76" s="660">
        <f>SUM(AU58:AU75)</f>
        <v/>
      </c>
      <c r="AV76" s="660">
        <f>SUM(AV58:AV75)</f>
        <v/>
      </c>
      <c r="AW76" s="660">
        <f>SUM(AW58:AW75)</f>
        <v/>
      </c>
      <c r="AX76" s="660">
        <f>SUM(AX58:AX75)</f>
        <v/>
      </c>
      <c r="AY76" s="660">
        <f>SUM(AY58:AY75)</f>
        <v/>
      </c>
      <c r="AZ76" s="660">
        <f>SUM(AZ58:AZ75)</f>
        <v/>
      </c>
      <c r="BA76" s="660">
        <f>SUM(BA58:BA75)</f>
        <v/>
      </c>
      <c r="BB76" s="1035">
        <f>BA76-AZ76</f>
        <v/>
      </c>
      <c r="BC76" s="660">
        <f>SUM(BC58:BC75)</f>
        <v/>
      </c>
      <c r="BD76" s="660">
        <f>SUM(BD58:BD75)</f>
        <v/>
      </c>
      <c r="BE76" s="660">
        <f>SUM(BE58:BE75)</f>
        <v/>
      </c>
      <c r="BF76" s="660">
        <f>SUM(BF58:BF75)</f>
        <v/>
      </c>
      <c r="BG76" s="660">
        <f>SUM(BG58:BG75)</f>
        <v/>
      </c>
      <c r="BH76" s="660">
        <f>SUM(BH58:BH75)</f>
        <v/>
      </c>
      <c r="BI76" s="660">
        <f>SUM(BI58:BI75)</f>
        <v/>
      </c>
      <c r="BJ76" s="660">
        <f>SUM(BJ58:BJ75)</f>
        <v/>
      </c>
      <c r="BK76" s="660">
        <f>SUM(BK58:BK75)</f>
        <v/>
      </c>
      <c r="BL76" s="660">
        <f>SUM(BL58:BL75)</f>
        <v/>
      </c>
      <c r="BM76" s="660">
        <f>SUM(BM58:BM75)</f>
        <v/>
      </c>
      <c r="BN76" s="660">
        <f>SUM(BN58:BN75)</f>
        <v/>
      </c>
      <c r="BO76" s="660">
        <f>SUM(BO58:BO75)</f>
        <v/>
      </c>
      <c r="BP76" s="660">
        <f>SUM(BP58:BP75)</f>
        <v/>
      </c>
      <c r="BQ76" s="660">
        <f>SUM(BQ58:BQ75)</f>
        <v/>
      </c>
      <c r="BR76" s="660">
        <f>SUM(BR58:BR75)</f>
        <v/>
      </c>
      <c r="BS76" s="1037">
        <f>BR76-BQ76</f>
        <v/>
      </c>
      <c r="BT76" s="1084">
        <f>SUM(BT58:BT75)</f>
        <v/>
      </c>
      <c r="BU76" s="1085">
        <f>SUM(BU58:BU75)</f>
        <v/>
      </c>
      <c r="BV76" s="1082">
        <f>BT76-BU76</f>
        <v/>
      </c>
    </row>
    <row r="77">
      <c r="A77" s="1086" t="inlineStr">
        <is>
          <t>ИТОГО РАСХОДЫ</t>
        </is>
      </c>
      <c r="B77" s="1087" t="n"/>
      <c r="C77" s="1088" t="n">
        <v>0</v>
      </c>
      <c r="D77" s="1088">
        <f>D57+D76</f>
        <v/>
      </c>
      <c r="E77" s="1088">
        <f>E57+E76</f>
        <v/>
      </c>
      <c r="F77" s="1088">
        <f>F57+F76</f>
        <v/>
      </c>
      <c r="G77" s="1088">
        <f>G57+G76</f>
        <v/>
      </c>
      <c r="H77" s="1088">
        <f>H57+H76</f>
        <v/>
      </c>
      <c r="I77" s="1088">
        <f>I57+I76</f>
        <v/>
      </c>
      <c r="J77" s="1088">
        <f>J57+J76</f>
        <v/>
      </c>
      <c r="K77" s="1088">
        <f>K57+K76</f>
        <v/>
      </c>
      <c r="L77" s="1088">
        <f>L57+L76</f>
        <v/>
      </c>
      <c r="M77" s="1088">
        <f>M57+M76</f>
        <v/>
      </c>
      <c r="N77" s="1088">
        <f>N57+N76</f>
        <v/>
      </c>
      <c r="O77" s="1088">
        <f>O57+O76</f>
        <v/>
      </c>
      <c r="P77" s="1088">
        <f>P57+P76</f>
        <v/>
      </c>
      <c r="Q77" s="1088">
        <f>Q57+Q76</f>
        <v/>
      </c>
      <c r="R77" s="1088">
        <f>R57+R76</f>
        <v/>
      </c>
      <c r="S77" s="1088">
        <f>S57+S76</f>
        <v/>
      </c>
      <c r="T77" s="1088">
        <f>T57+T76</f>
        <v/>
      </c>
      <c r="U77" s="1088">
        <f>U57+U76</f>
        <v/>
      </c>
      <c r="V77" s="1088">
        <f>V57+V76</f>
        <v/>
      </c>
      <c r="W77" s="1088">
        <f>W57+W76</f>
        <v/>
      </c>
      <c r="X77" s="1088">
        <f>X57+X76</f>
        <v/>
      </c>
      <c r="Y77" s="1088">
        <f>Y57+Y76</f>
        <v/>
      </c>
      <c r="Z77" s="1088">
        <f>Z57+Z76</f>
        <v/>
      </c>
      <c r="AA77" s="1088">
        <f>AA57+AA76</f>
        <v/>
      </c>
      <c r="AB77" s="1088">
        <f>AB57+AB76</f>
        <v/>
      </c>
      <c r="AC77" s="1088">
        <f>AC57+AC76</f>
        <v/>
      </c>
      <c r="AD77" s="1088">
        <f>AD57+AD76</f>
        <v/>
      </c>
      <c r="AE77" s="1088">
        <f>AE57+AE76</f>
        <v/>
      </c>
      <c r="AF77" s="1088">
        <f>AF57+AF76</f>
        <v/>
      </c>
      <c r="AG77" s="1088">
        <f>AG57+AG76</f>
        <v/>
      </c>
      <c r="AH77" s="1088">
        <f>AH57+AH76</f>
        <v/>
      </c>
      <c r="AI77" s="1088">
        <f>AI57+AI76</f>
        <v/>
      </c>
      <c r="AJ77" s="1088">
        <f>AJ57+AJ76</f>
        <v/>
      </c>
      <c r="AK77" s="1088">
        <f>AK57+AK76</f>
        <v/>
      </c>
      <c r="AL77" s="1088">
        <f>AL57+AL76</f>
        <v/>
      </c>
      <c r="AM77" s="1088">
        <f>AM57+AM76</f>
        <v/>
      </c>
      <c r="AN77" s="1088">
        <f>AN57+AN76</f>
        <v/>
      </c>
      <c r="AO77" s="1088">
        <f>AO57+AO76</f>
        <v/>
      </c>
      <c r="AP77" s="1088">
        <f>AP57+AP76</f>
        <v/>
      </c>
      <c r="AQ77" s="1088">
        <f>AQ57+AQ76</f>
        <v/>
      </c>
      <c r="AR77" s="1088">
        <f>AR57+AR76</f>
        <v/>
      </c>
      <c r="AS77" s="1088">
        <f>AS57+AS76</f>
        <v/>
      </c>
      <c r="AT77" s="1088">
        <f>AT57+AT76</f>
        <v/>
      </c>
      <c r="AU77" s="1088">
        <f>AU57+AU76</f>
        <v/>
      </c>
      <c r="AV77" s="1088">
        <f>AV57+AV76</f>
        <v/>
      </c>
      <c r="AW77" s="1088">
        <f>AW57+AW76</f>
        <v/>
      </c>
      <c r="AX77" s="1088">
        <f>AX57+AX76</f>
        <v/>
      </c>
      <c r="AY77" s="1088">
        <f>AY57+AY76</f>
        <v/>
      </c>
      <c r="AZ77" s="1088">
        <f>AZ57+AZ76</f>
        <v/>
      </c>
      <c r="BA77" s="1088">
        <f>BA57+BA76</f>
        <v/>
      </c>
      <c r="BB77" s="1089" t="n"/>
      <c r="BC77" s="1088">
        <f>BC57+BC76</f>
        <v/>
      </c>
      <c r="BD77" s="1088">
        <f>BD57+BD76</f>
        <v/>
      </c>
      <c r="BE77" s="1088">
        <f>BE57+BE76</f>
        <v/>
      </c>
      <c r="BF77" s="1088">
        <f>BF57+BF76</f>
        <v/>
      </c>
      <c r="BG77" s="1088">
        <f>BG57+BG76</f>
        <v/>
      </c>
      <c r="BH77" s="1088">
        <f>BH57+BH76</f>
        <v/>
      </c>
      <c r="BI77" s="1088">
        <f>BI57+BI76</f>
        <v/>
      </c>
      <c r="BJ77" s="1088">
        <f>BJ57+BJ76</f>
        <v/>
      </c>
      <c r="BK77" s="1088">
        <f>BK57+BK76</f>
        <v/>
      </c>
      <c r="BL77" s="1088">
        <f>BL57+BL76</f>
        <v/>
      </c>
      <c r="BM77" s="1088">
        <f>BM57+BM76</f>
        <v/>
      </c>
      <c r="BN77" s="1088">
        <f>BN57+BN76</f>
        <v/>
      </c>
      <c r="BO77" s="1088">
        <f>BO57+BO76</f>
        <v/>
      </c>
      <c r="BP77" s="1088">
        <f>BP57+BP76</f>
        <v/>
      </c>
      <c r="BQ77" s="1088">
        <f>BQ57+BQ76</f>
        <v/>
      </c>
      <c r="BR77" s="1088">
        <f>BR57+BR76</f>
        <v/>
      </c>
      <c r="BS77" s="1088">
        <f>BS57+BS76</f>
        <v/>
      </c>
      <c r="BT77" s="1088">
        <f>BT57+BT76</f>
        <v/>
      </c>
      <c r="BU77" s="1088">
        <f>BU57+BU76</f>
        <v/>
      </c>
      <c r="BV77" s="1049">
        <f>BT77-BU77</f>
        <v/>
      </c>
    </row>
    <row r="78">
      <c r="A78" s="671" t="inlineStr">
        <is>
          <t>Операционная деятельность</t>
        </is>
      </c>
      <c r="B78" s="672" t="n"/>
      <c r="C78" s="667" t="n">
        <v>0</v>
      </c>
      <c r="D78" s="811">
        <f>D31-(-D57-D76)</f>
        <v/>
      </c>
      <c r="E78" s="667">
        <f>E31-(-E57-E76)</f>
        <v/>
      </c>
      <c r="F78" s="811">
        <f>F31-(-F57-F76)</f>
        <v/>
      </c>
      <c r="G78" s="667">
        <f>G31-(-G57-G76)</f>
        <v/>
      </c>
      <c r="H78" s="811">
        <f>H31-(-H57-H76)</f>
        <v/>
      </c>
      <c r="I78" s="667">
        <f>I31-(-I57-I76)</f>
        <v/>
      </c>
      <c r="J78" s="811">
        <f>J31-(-J57-J76)</f>
        <v/>
      </c>
      <c r="K78" s="667">
        <f>K31-(-K57-K76)</f>
        <v/>
      </c>
      <c r="L78" s="811">
        <f>L31-(-L57-L76)</f>
        <v/>
      </c>
      <c r="M78" s="1090">
        <f>M31-(-M57-M76)</f>
        <v/>
      </c>
      <c r="N78" s="1091">
        <f>N31-(-N57-N76)</f>
        <v/>
      </c>
      <c r="O78" s="1031">
        <f>N78-M78</f>
        <v/>
      </c>
      <c r="P78" s="667">
        <f>P31-(-P57-P76)</f>
        <v/>
      </c>
      <c r="Q78" s="812" t="n"/>
      <c r="R78" s="667">
        <f>R31-(-R57-R76)</f>
        <v/>
      </c>
      <c r="S78" s="811">
        <f>S31-(-S57-S76)</f>
        <v/>
      </c>
      <c r="T78" s="667">
        <f>T31-(-T57-T76)</f>
        <v/>
      </c>
      <c r="U78" s="811">
        <f>U31-(-U57-U76)</f>
        <v/>
      </c>
      <c r="V78" s="667">
        <f>V31-(-V57-V76)</f>
        <v/>
      </c>
      <c r="W78" s="811">
        <f>W31-(-W57-W76)</f>
        <v/>
      </c>
      <c r="X78" s="667">
        <f>X31-(-X57-X76)</f>
        <v/>
      </c>
      <c r="Y78" s="811">
        <f>Y31-(-Y57-Y76)</f>
        <v/>
      </c>
      <c r="Z78" s="1090">
        <f>Z31-(-Z57-Z76)</f>
        <v/>
      </c>
      <c r="AA78" s="1091">
        <f>AA31-(-AA57-AA76)</f>
        <v/>
      </c>
      <c r="AB78" s="1031">
        <f>AA78-Z78</f>
        <v/>
      </c>
      <c r="AC78" s="667">
        <f>AC31-(-AC57-AC76)</f>
        <v/>
      </c>
      <c r="AD78" s="811">
        <f>AD31-(-AD57-AD76)</f>
        <v/>
      </c>
      <c r="AE78" s="667">
        <f>AE31-(-AE57-AE76)</f>
        <v/>
      </c>
      <c r="AF78" s="811">
        <f>AF31-(-AF57-AF76)</f>
        <v/>
      </c>
      <c r="AG78" s="667">
        <f>AG31-(-AG57-AG76)</f>
        <v/>
      </c>
      <c r="AH78" s="811">
        <f>AH31-(-AH57-AH76)</f>
        <v/>
      </c>
      <c r="AI78" s="667">
        <f>AI31-(-AI57-AI76)</f>
        <v/>
      </c>
      <c r="AJ78" s="811">
        <f>AJ31-(-AJ57-AJ76)</f>
        <v/>
      </c>
      <c r="AK78" s="673" t="n"/>
      <c r="AL78" s="813" t="n"/>
      <c r="AM78" s="1090">
        <f>AM31-(-AM57-AM76)</f>
        <v/>
      </c>
      <c r="AN78" s="1091">
        <f>AN31-(-AN57-AN76)</f>
        <v/>
      </c>
      <c r="AO78" s="1034">
        <f>AN78-AM78</f>
        <v/>
      </c>
      <c r="AP78" s="667">
        <f>AP31-(-AP57-AP76)</f>
        <v/>
      </c>
      <c r="AQ78" s="811">
        <f>AQ31-(-AQ57-AQ76)</f>
        <v/>
      </c>
      <c r="AR78" s="667">
        <f>AR31-(-AR57-AR76)</f>
        <v/>
      </c>
      <c r="AS78" s="811">
        <f>AS31-(-AS57-AS76)</f>
        <v/>
      </c>
      <c r="AT78" s="667">
        <f>AT31-(-AU58-AT76)</f>
        <v/>
      </c>
      <c r="AU78" s="811">
        <f>AU31-(-AU57-AU76)</f>
        <v/>
      </c>
      <c r="AV78" s="667">
        <f>AV31-(-AV76)</f>
        <v/>
      </c>
      <c r="AW78" s="814">
        <f>AW31-(-AW57-AW76)</f>
        <v/>
      </c>
      <c r="AX78" s="667">
        <f>AX31-(-AY58-AX76)</f>
        <v/>
      </c>
      <c r="AY78" s="815">
        <f>AY31-(-AY57-AY76)</f>
        <v/>
      </c>
      <c r="AZ78" s="811">
        <f>AZ31-(-AZ57-AZ76)</f>
        <v/>
      </c>
      <c r="BA78" s="811">
        <f>BA31-(-BA57-BA76)</f>
        <v/>
      </c>
      <c r="BB78" s="1035">
        <f>BA78-AZ78</f>
        <v/>
      </c>
      <c r="BC78" s="667">
        <f>BC31-(-BC57-BC76)</f>
        <v/>
      </c>
      <c r="BD78" s="811">
        <f>BD31-(-BD57-BD76)</f>
        <v/>
      </c>
      <c r="BE78" s="667">
        <f>BE31-(-BE57-BE76)</f>
        <v/>
      </c>
      <c r="BF78" s="811">
        <f>BF31-(-BF57-BF76)</f>
        <v/>
      </c>
      <c r="BG78" s="667">
        <f>BG31-(-BG57-BG76)</f>
        <v/>
      </c>
      <c r="BH78" s="811">
        <f>BH31-(-BH57-BH76)</f>
        <v/>
      </c>
      <c r="BI78" s="667">
        <f>BI31-(-BI57-BI76)</f>
        <v/>
      </c>
      <c r="BJ78" s="811">
        <f>BJ31-(-BJ57-BJ76)</f>
        <v/>
      </c>
      <c r="BK78" s="667">
        <f>BK31-(-BK57-BK76)</f>
        <v/>
      </c>
      <c r="BL78" s="811">
        <f>BL31-(-BL57-BL76)</f>
        <v/>
      </c>
      <c r="BM78" s="667">
        <f>BM31-(-BM57-BM76)</f>
        <v/>
      </c>
      <c r="BN78" s="811">
        <f>BN31-(-BN57-BN76)</f>
        <v/>
      </c>
      <c r="BO78" s="667">
        <f>BO31-(-BO57-BO76)</f>
        <v/>
      </c>
      <c r="BP78" s="811">
        <f>BP31-(-BP57-BP76)</f>
        <v/>
      </c>
      <c r="BQ78" s="667">
        <f>BQ31-(-BQ57-BQ76)</f>
        <v/>
      </c>
      <c r="BR78" s="811">
        <f>BR31-(-BR57-BR76)</f>
        <v/>
      </c>
      <c r="BS78" s="1037">
        <f>BR78-BQ78</f>
        <v/>
      </c>
      <c r="BT78" s="1092">
        <f>BT31-(-BT57-BT76)</f>
        <v/>
      </c>
      <c r="BU78" s="1093">
        <f>BU31-(-BU57-BU76)</f>
        <v/>
      </c>
      <c r="BV78" s="1094" t="n"/>
    </row>
    <row r="79">
      <c r="A79" s="1218" t="inlineStr">
        <is>
          <t>ВФП Учредители поступление (НАЛ)</t>
        </is>
      </c>
      <c r="B79" s="678" t="inlineStr">
        <is>
          <t>Приход</t>
        </is>
      </c>
      <c r="C79" s="674" t="n"/>
      <c r="D79" s="822" t="n"/>
      <c r="E79" s="674" t="n"/>
      <c r="F79" s="822" t="n"/>
      <c r="G79" s="674" t="n"/>
      <c r="H79" s="822" t="n"/>
      <c r="I79" s="674" t="n"/>
      <c r="J79" s="822" t="n"/>
      <c r="K79" s="674" t="n"/>
      <c r="L79" s="822" t="n"/>
      <c r="M79" s="1043">
        <f>C79+E79+G79+I79+K79</f>
        <v/>
      </c>
      <c r="N79" s="1044">
        <f>D79+F79+H79+J79+L79</f>
        <v/>
      </c>
      <c r="O79" s="1070">
        <f>N79-M79</f>
        <v/>
      </c>
      <c r="P79" s="674" t="n"/>
      <c r="Q79" s="817" t="n"/>
      <c r="R79" s="674" t="n"/>
      <c r="S79" s="822" t="n"/>
      <c r="T79" s="674" t="n"/>
      <c r="U79" s="822" t="n"/>
      <c r="V79" s="674" t="n"/>
      <c r="W79" s="822" t="n"/>
      <c r="X79" s="674" t="n"/>
      <c r="Y79" s="818" t="n"/>
      <c r="Z79" s="810">
        <f>P79+T79+R79+V79+X79</f>
        <v/>
      </c>
      <c r="AA79" s="1044">
        <f>Q79+S79+U79+W79+Y79</f>
        <v/>
      </c>
      <c r="AB79" s="1070">
        <f>AA79-Z79</f>
        <v/>
      </c>
      <c r="AC79" s="674" t="n"/>
      <c r="AD79" s="822" t="n"/>
      <c r="AE79" s="674" t="n"/>
      <c r="AF79" s="822" t="n"/>
      <c r="AG79" s="674" t="n"/>
      <c r="AH79" s="822" t="n"/>
      <c r="AI79" s="674" t="n"/>
      <c r="AJ79" s="822" t="n"/>
      <c r="AK79" s="674" t="n"/>
      <c r="AL79" s="822" t="n"/>
      <c r="AM79" s="645">
        <f>AC79+AE79+AG79+AI79+AK79</f>
        <v/>
      </c>
      <c r="AN79" s="1072">
        <f>AD79+AF79+AH79+AJ79+AL79</f>
        <v/>
      </c>
      <c r="AO79" s="1073">
        <f>AN79-AM79</f>
        <v/>
      </c>
      <c r="AP79" s="674" t="n"/>
      <c r="AQ79" s="822" t="n"/>
      <c r="AR79" s="674" t="n"/>
      <c r="AS79" s="822" t="n"/>
      <c r="AT79" s="674" t="n"/>
      <c r="AU79" s="822" t="n"/>
      <c r="AV79" s="674" t="n"/>
      <c r="AW79" s="818" t="n"/>
      <c r="AX79" s="674" t="n"/>
      <c r="AY79" s="817" t="n"/>
      <c r="AZ79" s="645">
        <f>AP79+AR79+AT79+AV79+AX79</f>
        <v/>
      </c>
      <c r="BA79" s="1072">
        <f>AQ79+AS79+AU79+AW79+AY79</f>
        <v/>
      </c>
      <c r="BB79" s="1035">
        <f>BA79-AZ79</f>
        <v/>
      </c>
      <c r="BC79" s="674" t="n"/>
      <c r="BD79" s="822" t="n"/>
      <c r="BE79" s="674" t="n"/>
      <c r="BF79" s="822" t="n"/>
      <c r="BG79" s="674" t="n"/>
      <c r="BH79" s="822" t="n"/>
      <c r="BI79" s="674" t="n"/>
      <c r="BJ79" s="822" t="n"/>
      <c r="BK79" s="674" t="n"/>
      <c r="BL79" s="822" t="n"/>
      <c r="BM79" s="674" t="n"/>
      <c r="BN79" s="822" t="n"/>
      <c r="BO79" s="674" t="n"/>
      <c r="BP79" s="822" t="n"/>
      <c r="BQ79" s="647">
        <f>BC79+BE79+BG79+BI79+BK79+BM79+BO79</f>
        <v/>
      </c>
      <c r="BR79" s="1046">
        <f>BD79+BF79+BH79+BJ79+BL79+BN79+BP79</f>
        <v/>
      </c>
      <c r="BS79" s="1037">
        <f>BR79-BQ79</f>
        <v/>
      </c>
      <c r="BT79" s="1095">
        <f>Z79+AM79+AZ79+BQ79</f>
        <v/>
      </c>
      <c r="BU79" s="1096">
        <f>N79+AA79+AN79+BA79+BR79</f>
        <v/>
      </c>
      <c r="BV79" s="1094" t="n"/>
    </row>
    <row r="80">
      <c r="A80" s="1219" t="n"/>
      <c r="B80" s="604" t="inlineStr">
        <is>
          <t>Расход</t>
        </is>
      </c>
      <c r="C80" s="680" t="n"/>
      <c r="D80" s="796" t="n"/>
      <c r="E80" s="680" t="n"/>
      <c r="F80" s="796" t="n"/>
      <c r="G80" s="680" t="n"/>
      <c r="H80" s="796" t="n"/>
      <c r="I80" s="680" t="n"/>
      <c r="J80" s="796" t="n"/>
      <c r="K80" s="680" t="n"/>
      <c r="L80" s="796" t="n"/>
      <c r="M80" s="1043">
        <f>C80+E80+G80+I80+K80</f>
        <v/>
      </c>
      <c r="N80" s="1044">
        <f>D80+F80+H80+J80+L80</f>
        <v/>
      </c>
      <c r="O80" s="1070">
        <f>N80-M80</f>
        <v/>
      </c>
      <c r="P80" s="680" t="n"/>
      <c r="Q80" s="817" t="n"/>
      <c r="R80" s="680" t="n"/>
      <c r="S80" s="796" t="n"/>
      <c r="T80" s="680" t="n"/>
      <c r="U80" s="822" t="n"/>
      <c r="V80" s="680" t="n"/>
      <c r="W80" s="796" t="n"/>
      <c r="X80" s="680" t="n"/>
      <c r="Y80" s="796" t="n"/>
      <c r="Z80" s="810">
        <f>P80+T80+R80+V80+X80</f>
        <v/>
      </c>
      <c r="AA80" s="1044">
        <f>Q80+S80+U80+W80+Y80</f>
        <v/>
      </c>
      <c r="AB80" s="1070">
        <f>AA80-Z80</f>
        <v/>
      </c>
      <c r="AC80" s="674" t="n"/>
      <c r="AD80" s="822" t="n"/>
      <c r="AE80" s="674" t="n"/>
      <c r="AF80" s="822" t="n"/>
      <c r="AG80" s="674" t="n"/>
      <c r="AH80" s="822" t="n"/>
      <c r="AI80" s="674" t="n"/>
      <c r="AJ80" s="822" t="n"/>
      <c r="AK80" s="674" t="n"/>
      <c r="AL80" s="822" t="n"/>
      <c r="AM80" s="645">
        <f>AC80+AE80+AG80+AI80+AK80</f>
        <v/>
      </c>
      <c r="AN80" s="1072">
        <f>AD80+AF80+AH80+AJ80+AL80</f>
        <v/>
      </c>
      <c r="AO80" s="1073">
        <f>AN80-AM80</f>
        <v/>
      </c>
      <c r="AP80" s="674" t="n"/>
      <c r="AQ80" s="822" t="n"/>
      <c r="AR80" s="674" t="n"/>
      <c r="AS80" s="822" t="n"/>
      <c r="AT80" s="674" t="n"/>
      <c r="AU80" s="822" t="n"/>
      <c r="AV80" s="674" t="n"/>
      <c r="AW80" s="818" t="n"/>
      <c r="AX80" s="674" t="n"/>
      <c r="AY80" s="817" t="n"/>
      <c r="AZ80" s="645">
        <f>AP80+AR80+AT80+AV80+AX80</f>
        <v/>
      </c>
      <c r="BA80" s="1072">
        <f>AQ80+AS80+AU80+AW80+AY80</f>
        <v/>
      </c>
      <c r="BB80" s="1035">
        <f>BA80-AZ80</f>
        <v/>
      </c>
      <c r="BC80" s="674" t="n"/>
      <c r="BD80" s="822" t="n"/>
      <c r="BE80" s="674" t="n"/>
      <c r="BF80" s="822" t="n"/>
      <c r="BG80" s="674" t="n"/>
      <c r="BH80" s="822" t="n"/>
      <c r="BI80" s="674" t="n"/>
      <c r="BJ80" s="822" t="n"/>
      <c r="BK80" s="674" t="n"/>
      <c r="BL80" s="822" t="n"/>
      <c r="BM80" s="674" t="n"/>
      <c r="BN80" s="822" t="n"/>
      <c r="BO80" s="674" t="n"/>
      <c r="BP80" s="822" t="n"/>
      <c r="BQ80" s="647">
        <f>BC80+BE80+BG80+BI80+BK80+BM80+BO80</f>
        <v/>
      </c>
      <c r="BR80" s="1046">
        <f>BD80+BF80+BH80+BJ80+BL80+BN80+BP80</f>
        <v/>
      </c>
      <c r="BS80" s="1037">
        <f>BR80-BQ80</f>
        <v/>
      </c>
      <c r="BT80" s="1095">
        <f>Z80+AM80+AZ80+BQ80</f>
        <v/>
      </c>
      <c r="BU80" s="1096">
        <f>N80+AA80+AN80+BA80+BR80</f>
        <v/>
      </c>
      <c r="BV80" s="1094" t="n"/>
    </row>
    <row r="81">
      <c r="A81" s="1134" t="inlineStr">
        <is>
          <t>Касса взаиморасчета банк</t>
        </is>
      </c>
      <c r="B81" s="604" t="inlineStr">
        <is>
          <t>Расход</t>
        </is>
      </c>
      <c r="C81" s="819" t="n">
        <v>4000000</v>
      </c>
      <c r="D81" s="796" t="n"/>
      <c r="E81" s="819" t="n">
        <v>500000</v>
      </c>
      <c r="F81" s="822" t="n"/>
      <c r="G81" s="819" t="n">
        <v>2000000</v>
      </c>
      <c r="H81" s="822" t="n"/>
      <c r="I81" s="680" t="n"/>
      <c r="J81" s="820" t="n">
        <v>1575000</v>
      </c>
      <c r="K81" s="680" t="n"/>
      <c r="L81" s="863" t="n">
        <v>4000000</v>
      </c>
      <c r="M81" s="1043">
        <f>C81+E81+G81+I81+K81</f>
        <v/>
      </c>
      <c r="N81" s="1044">
        <f>D81+F81+H81+J81+L81</f>
        <v/>
      </c>
      <c r="O81" s="1070">
        <f>N81-M81</f>
        <v/>
      </c>
      <c r="P81" s="680" t="n"/>
      <c r="Q81" s="821" t="n">
        <v>65000</v>
      </c>
      <c r="R81" s="680" t="n"/>
      <c r="S81" s="822" t="n">
        <v>2888500</v>
      </c>
      <c r="T81" s="680" t="n"/>
      <c r="U81" s="822" t="n">
        <v>-90000</v>
      </c>
      <c r="V81" s="680" t="n"/>
      <c r="W81" s="822" t="n"/>
      <c r="X81" s="680" t="n"/>
      <c r="Y81" s="822" t="n"/>
      <c r="Z81" s="810">
        <f>P81+T81+R81+V81+X81</f>
        <v/>
      </c>
      <c r="AA81" s="1044">
        <f>Q81+S81+U81+W81+Y81</f>
        <v/>
      </c>
      <c r="AB81" s="1070">
        <f>AA81-Z81</f>
        <v/>
      </c>
      <c r="AC81" s="680" t="n"/>
      <c r="AD81" s="822" t="n"/>
      <c r="AE81" s="680" t="n"/>
      <c r="AF81" s="822" t="n"/>
      <c r="AG81" s="680" t="n"/>
      <c r="AH81" s="822" t="n"/>
      <c r="AI81" s="680" t="n"/>
      <c r="AJ81" s="822" t="n"/>
      <c r="AK81" s="680" t="n"/>
      <c r="AL81" s="822" t="n"/>
      <c r="AM81" s="645">
        <f>AC81+AE81+AG81+AI81+AK81</f>
        <v/>
      </c>
      <c r="AN81" s="1072">
        <f>AD81+AF81+AH81+AJ81+AL81</f>
        <v/>
      </c>
      <c r="AO81" s="1073">
        <f>AN81-AM81</f>
        <v/>
      </c>
      <c r="AP81" s="680" t="n"/>
      <c r="AQ81" s="822" t="n"/>
      <c r="AR81" s="680" t="n"/>
      <c r="AS81" s="822" t="n"/>
      <c r="AT81" s="680" t="n"/>
      <c r="AU81" s="822" t="n"/>
      <c r="AV81" s="680" t="n"/>
      <c r="AW81" s="818" t="n"/>
      <c r="AX81" s="680" t="n"/>
      <c r="AY81" s="817" t="n"/>
      <c r="AZ81" s="645">
        <f>AP81+AR81+AT81+AV81+AX81</f>
        <v/>
      </c>
      <c r="BA81" s="1072">
        <f>AQ81+AS81+AU81+AW81+AY81</f>
        <v/>
      </c>
      <c r="BB81" s="1035">
        <f>BA81-AZ81</f>
        <v/>
      </c>
      <c r="BC81" s="674" t="n"/>
      <c r="BD81" s="822" t="n"/>
      <c r="BE81" s="674" t="n"/>
      <c r="BF81" s="822" t="n"/>
      <c r="BG81" s="674" t="n"/>
      <c r="BH81" s="822" t="n"/>
      <c r="BI81" s="674" t="n"/>
      <c r="BJ81" s="822" t="n"/>
      <c r="BK81" s="674" t="n"/>
      <c r="BL81" s="822" t="n"/>
      <c r="BM81" s="674" t="n"/>
      <c r="BN81" s="822" t="n"/>
      <c r="BO81" s="674" t="n"/>
      <c r="BP81" s="822" t="n"/>
      <c r="BQ81" s="647">
        <f>BC81+BE81+BG81+BI81+BK81+BM81+BO81</f>
        <v/>
      </c>
      <c r="BR81" s="1046">
        <f>BD81+BF81+BH81+BJ81+BL81+BN81+BP81</f>
        <v/>
      </c>
      <c r="BS81" s="1037">
        <f>BR81-BQ81</f>
        <v/>
      </c>
      <c r="BT81" s="1095">
        <f>Z81+AM81+AZ81+BQ81+M81</f>
        <v/>
      </c>
      <c r="BU81" s="1096">
        <f>N81+AA81+AN81+BA81+BR81</f>
        <v/>
      </c>
      <c r="BV81" s="1094" t="n"/>
    </row>
    <row r="82">
      <c r="A82" s="1134" t="inlineStr">
        <is>
          <t>Касса взаиморасчета касса</t>
        </is>
      </c>
      <c r="B82" s="678" t="inlineStr">
        <is>
          <t>Приход</t>
        </is>
      </c>
      <c r="C82" s="819" t="n">
        <v>4000000</v>
      </c>
      <c r="D82" s="796" t="n"/>
      <c r="E82" s="819" t="n">
        <v>500000</v>
      </c>
      <c r="F82" s="822" t="n"/>
      <c r="G82" s="819" t="n">
        <v>2000000</v>
      </c>
      <c r="H82" s="796" t="n"/>
      <c r="I82" s="680" t="n"/>
      <c r="J82" s="823" t="n">
        <v>1575000</v>
      </c>
      <c r="K82" s="680" t="n"/>
      <c r="L82" s="864" t="n">
        <v>4000000</v>
      </c>
      <c r="M82" s="1043">
        <f>C82+E82+G82+I82+K82</f>
        <v/>
      </c>
      <c r="N82" s="1044">
        <f>D82+F82+H82+J82+L82</f>
        <v/>
      </c>
      <c r="O82" s="1070">
        <f>N82-M82</f>
        <v/>
      </c>
      <c r="P82" s="680" t="n"/>
      <c r="Q82" s="821" t="n">
        <v>65000</v>
      </c>
      <c r="R82" s="680" t="n"/>
      <c r="S82" s="796">
        <f>8028500-62744</f>
        <v/>
      </c>
      <c r="T82" s="680" t="n"/>
      <c r="U82" s="822" t="n">
        <v>-500</v>
      </c>
      <c r="V82" s="680" t="n"/>
      <c r="W82" s="822" t="n">
        <v>14990</v>
      </c>
      <c r="X82" s="680" t="n"/>
      <c r="Y82" s="822" t="n"/>
      <c r="Z82" s="810">
        <f>P82+T82+R82+V82+X82</f>
        <v/>
      </c>
      <c r="AA82" s="1044">
        <f>Q82+S82+U82+W82+Y82</f>
        <v/>
      </c>
      <c r="AB82" s="1070">
        <f>AA82-Z82</f>
        <v/>
      </c>
      <c r="AC82" s="680" t="n"/>
      <c r="AD82" s="822" t="n"/>
      <c r="AE82" s="680" t="n"/>
      <c r="AF82" s="822" t="n"/>
      <c r="AG82" s="680" t="n"/>
      <c r="AH82" s="822" t="n"/>
      <c r="AI82" s="680" t="n"/>
      <c r="AJ82" s="822" t="n"/>
      <c r="AK82" s="680" t="n"/>
      <c r="AL82" s="822" t="n"/>
      <c r="AM82" s="645">
        <f>AC82+AE82+AG82+AI82+AK82</f>
        <v/>
      </c>
      <c r="AN82" s="1072">
        <f>AD82+AF82+AH82+AJ82+AL82</f>
        <v/>
      </c>
      <c r="AO82" s="1073">
        <f>AN82-AM82</f>
        <v/>
      </c>
      <c r="AP82" s="680" t="n"/>
      <c r="AQ82" s="822" t="n"/>
      <c r="AR82" s="680" t="n"/>
      <c r="AS82" s="822" t="n"/>
      <c r="AT82" s="680" t="n"/>
      <c r="AU82" s="822" t="n"/>
      <c r="AV82" s="680" t="n"/>
      <c r="AW82" s="818" t="n"/>
      <c r="AX82" s="680" t="n"/>
      <c r="AY82" s="817" t="n"/>
      <c r="AZ82" s="645">
        <f>AP82+AR82+AT82+AV82+AX82</f>
        <v/>
      </c>
      <c r="BA82" s="1072">
        <f>AQ82+AS82+AU82+AW82+AY82</f>
        <v/>
      </c>
      <c r="BB82" s="1035">
        <f>BA82-AZ82</f>
        <v/>
      </c>
      <c r="BC82" s="674" t="n"/>
      <c r="BD82" s="822" t="n"/>
      <c r="BE82" s="674" t="n"/>
      <c r="BF82" s="822" t="n"/>
      <c r="BG82" s="674" t="n"/>
      <c r="BH82" s="822" t="n"/>
      <c r="BI82" s="674" t="n"/>
      <c r="BJ82" s="822" t="n"/>
      <c r="BK82" s="674" t="n"/>
      <c r="BL82" s="822" t="n"/>
      <c r="BM82" s="674" t="n"/>
      <c r="BN82" s="822" t="n"/>
      <c r="BO82" s="674" t="n"/>
      <c r="BP82" s="822" t="n"/>
      <c r="BQ82" s="647">
        <f>BC82+BE82+BG82+BI82+BK82+BM82+BO82</f>
        <v/>
      </c>
      <c r="BR82" s="1046">
        <f>BD82+BF82+BH82+BJ82+BL82+BN82+BP82</f>
        <v/>
      </c>
      <c r="BS82" s="1037">
        <f>BR82-BQ82</f>
        <v/>
      </c>
      <c r="BT82" s="1095">
        <f>Z82+AM82+AZ82+BQ82+M82</f>
        <v/>
      </c>
      <c r="BU82" s="1096">
        <f>N82+AA82+AN82+BA82+BR82</f>
        <v/>
      </c>
      <c r="BV82" s="1094" t="n"/>
    </row>
    <row r="83">
      <c r="A83" s="682" t="inlineStr">
        <is>
          <t>Остаток на конец ПО БАНКУ</t>
        </is>
      </c>
      <c r="B83" s="597" t="n"/>
      <c r="C83" s="824" t="n">
        <v>-859672</v>
      </c>
      <c r="D83" s="825">
        <f>D4+D20-(-D57)-D81</f>
        <v/>
      </c>
      <c r="E83" s="826">
        <f>E4+E20-(-E57)-E81</f>
        <v/>
      </c>
      <c r="F83" s="825">
        <f>F4+F20-(-F57)-F81</f>
        <v/>
      </c>
      <c r="G83" s="827">
        <f>G4+G20-(-G57)-G81</f>
        <v/>
      </c>
      <c r="H83" s="683">
        <f>H4+H20-(-H57)-H81</f>
        <v/>
      </c>
      <c r="I83" s="828">
        <f>I4+I20-(-I57)-I81</f>
        <v/>
      </c>
      <c r="J83" s="683">
        <f>J4+J20-(-J57)-J81</f>
        <v/>
      </c>
      <c r="K83" s="865">
        <f>K4+K20-(-K57)-K81</f>
        <v/>
      </c>
      <c r="L83" s="866">
        <f>L4+L20-(-L57)-L81</f>
        <v/>
      </c>
      <c r="M83" s="1097">
        <f>M4+M20-(-M57)-M81</f>
        <v/>
      </c>
      <c r="N83" s="1098">
        <f>L83</f>
        <v/>
      </c>
      <c r="O83" s="1099">
        <f>N83-M83</f>
        <v/>
      </c>
      <c r="P83" s="867">
        <f>P4+P20-(-P57)-P81</f>
        <v/>
      </c>
      <c r="Q83" s="830">
        <f>Q4+Q20-(-Q57)-Q81</f>
        <v/>
      </c>
      <c r="R83" s="831">
        <f>R4+R20-(-R57)-R81</f>
        <v/>
      </c>
      <c r="S83" s="832">
        <f>S4+S20-(-S57)-S81</f>
        <v/>
      </c>
      <c r="T83" s="683">
        <f>T4+T20-(-T57)-T81</f>
        <v/>
      </c>
      <c r="U83" s="832">
        <f>U4+U20-(-U57)-U81</f>
        <v/>
      </c>
      <c r="V83" s="684">
        <f>V4+V20-(-V57)-V81</f>
        <v/>
      </c>
      <c r="W83" s="832">
        <f>W4+W20-(-W57)-W81</f>
        <v/>
      </c>
      <c r="X83" s="685">
        <f>X4+X20-(-X57)-X81</f>
        <v/>
      </c>
      <c r="Y83" s="832">
        <f>Y4+Y20-(-Y57)-Y81+Y79</f>
        <v/>
      </c>
      <c r="Z83" s="1100">
        <f>Z4+Z20-(-Z57)-Z81</f>
        <v/>
      </c>
      <c r="AA83" s="695">
        <f>Y83</f>
        <v/>
      </c>
      <c r="AB83" s="1031">
        <f>AA83-Z83</f>
        <v/>
      </c>
      <c r="AC83" s="686">
        <f>AC4+AC20-(-AC57)-AC81</f>
        <v/>
      </c>
      <c r="AD83" s="695">
        <f>AD4+AD20+AD57-AD81+AD79</f>
        <v/>
      </c>
      <c r="AE83" s="687">
        <f>AE4+AE20-(-AE57)-AE81</f>
        <v/>
      </c>
      <c r="AF83" s="695">
        <f>AF4+AF20+AF57-AF81</f>
        <v/>
      </c>
      <c r="AG83" s="688">
        <f>AG4+AG20-(-AG57)-AG81</f>
        <v/>
      </c>
      <c r="AH83" s="695">
        <f>AH4+AH20-(-AH57)+AH79-AH81</f>
        <v/>
      </c>
      <c r="AI83" s="689">
        <f>AI4+AI20-(-AI57)-AI81</f>
        <v/>
      </c>
      <c r="AJ83" s="695">
        <f>AJ4+AJ20-(-AJ57)-AJ81</f>
        <v/>
      </c>
      <c r="AK83" s="690">
        <f>AK4+AK20-(-AK57)-AK81</f>
        <v/>
      </c>
      <c r="AL83" s="695">
        <f>AL4+AL20-(-AL57)-AL81+AL79</f>
        <v/>
      </c>
      <c r="AM83" s="690">
        <f>AM4+AM20-(-AM57)-AM81</f>
        <v/>
      </c>
      <c r="AN83" s="695">
        <f>AN4+AN20-(-AN57)-AN81+AN79</f>
        <v/>
      </c>
      <c r="AO83" s="1101">
        <f>AN83-AM83</f>
        <v/>
      </c>
      <c r="AP83" s="689">
        <f>AP4+AP20-(-AP57)-AP81</f>
        <v/>
      </c>
      <c r="AQ83" s="695">
        <f>AQ4+AQ20-(-AQ57)-AQ81</f>
        <v/>
      </c>
      <c r="AR83" s="689">
        <f>AR4+AR20-(-AR57)-AR81</f>
        <v/>
      </c>
      <c r="AS83" s="695">
        <f>AS4+AS20-(-AS57)-AS81</f>
        <v/>
      </c>
      <c r="AT83" s="689">
        <f>AT4+AT20-(-AT57)-AT81</f>
        <v/>
      </c>
      <c r="AU83" s="695">
        <f>AU4+AU20-(-AU57)-AU81</f>
        <v/>
      </c>
      <c r="AV83" s="689">
        <f>AV4+AV20-(-AV57)-AV81</f>
        <v/>
      </c>
      <c r="AW83" s="695">
        <f>AW4+AW20-(-AW57)-AW81+AW79</f>
        <v/>
      </c>
      <c r="AX83" s="689">
        <f>AX4+AX20-(-AX57)-AX81</f>
        <v/>
      </c>
      <c r="AY83" s="695">
        <f>AY4+AY20-(-AY57)-AY81+AY79-AY80</f>
        <v/>
      </c>
      <c r="AZ83" s="689">
        <f>AZ4+AZ20-(-AZ57)-AZ81</f>
        <v/>
      </c>
      <c r="BA83" s="695">
        <f>BA4+BA20-(-BA57)-BA81+BA79</f>
        <v/>
      </c>
      <c r="BB83" s="1031">
        <f>BA83-AZ83</f>
        <v/>
      </c>
      <c r="BC83" s="691">
        <f>BC4+BC20-(-BC57)-BC81</f>
        <v/>
      </c>
      <c r="BD83" s="695">
        <f>BD4+BD20-(-BD57)-BD81</f>
        <v/>
      </c>
      <c r="BE83" s="692">
        <f>BE4+BE20-(-BE57)-BE81</f>
        <v/>
      </c>
      <c r="BF83" s="695">
        <f>BF4+BF20-(-BF57)-BF81</f>
        <v/>
      </c>
      <c r="BG83" s="693">
        <f>BG4+BG20-(-BG57)-BG81</f>
        <v/>
      </c>
      <c r="BH83" s="695">
        <f>BH4+BH20-(-BH57)-BH81</f>
        <v/>
      </c>
      <c r="BI83" s="681">
        <f>BI4+BI20-(-BI57)-BI81+BI79-BI80</f>
        <v/>
      </c>
      <c r="BJ83" s="695">
        <f>BJ4+BJ20-(-BJ57)-BJ81</f>
        <v/>
      </c>
      <c r="BK83" s="681">
        <f>BK4+BK20-(-BK57)-BK81</f>
        <v/>
      </c>
      <c r="BL83" s="695">
        <f>BL4+BL20-(-BL57)-BL81</f>
        <v/>
      </c>
      <c r="BM83" s="681">
        <f>BM4+BM20-(-BM57)-BM81</f>
        <v/>
      </c>
      <c r="BN83" s="695">
        <f>BN4+BN20-(-BN57)-BN81</f>
        <v/>
      </c>
      <c r="BO83" s="681">
        <f>BO4+BO20-(-BO57)-BO81</f>
        <v/>
      </c>
      <c r="BP83" s="695">
        <f>BP4+BP20-(-BP57)-BP81</f>
        <v/>
      </c>
      <c r="BQ83" s="681">
        <f>BQ4+BQ20-(-BQ57)-BQ81</f>
        <v/>
      </c>
      <c r="BR83" s="695">
        <f>BR4+BR20-(-BR57)-BR81</f>
        <v/>
      </c>
      <c r="BS83" s="689">
        <f>BS4+BS20-(-BS57)-BS81</f>
        <v/>
      </c>
      <c r="BT83" s="1102">
        <f>BT4+BT20-(-BT57)-BT81</f>
        <v/>
      </c>
      <c r="BU83" s="1103">
        <f>BU4+BU20-(-BU57)-BU81</f>
        <v/>
      </c>
      <c r="BV83" s="1094" t="n"/>
    </row>
    <row r="84">
      <c r="A84" s="682" t="inlineStr">
        <is>
          <t>Остаток на конец ПО КАССЕ</t>
        </is>
      </c>
      <c r="B84" s="597" t="n"/>
      <c r="C84" s="833" t="n">
        <v>4917728</v>
      </c>
      <c r="D84" s="834">
        <f>D5+D30-(-D76)+D79-D80+D82</f>
        <v/>
      </c>
      <c r="E84" s="835">
        <f>E5+E30-(-E76)+E79-E80+E82</f>
        <v/>
      </c>
      <c r="F84" s="834">
        <f>F5+F30-(-F76)+F79-F80+F82</f>
        <v/>
      </c>
      <c r="G84" s="836">
        <f>G5+G30-(-G76)+G79-G80+G82</f>
        <v/>
      </c>
      <c r="H84" s="837">
        <f>H5+H30-(-H76)+H79-H80+H82</f>
        <v/>
      </c>
      <c r="I84" s="827">
        <f>I5+I30-(-I76)+I79-I80+I82</f>
        <v/>
      </c>
      <c r="J84" s="834">
        <f>J5+J30-(-J76)+J79-J80+J82</f>
        <v/>
      </c>
      <c r="K84" s="868">
        <f>K5+K30-(-K76)+K79-K80+K82</f>
        <v/>
      </c>
      <c r="L84" s="837">
        <f>L5+L30-(-L76)+L79-L80+L82</f>
        <v/>
      </c>
      <c r="M84" s="1104">
        <f>M5+M30-(-M76)+M79-M80+M82</f>
        <v/>
      </c>
      <c r="N84" s="1105">
        <f>L84</f>
        <v/>
      </c>
      <c r="O84" s="1106">
        <f>N84-M84</f>
        <v/>
      </c>
      <c r="P84" s="825">
        <f>P5+P30-(-P76)+P79-P80+P82</f>
        <v/>
      </c>
      <c r="Q84" s="838">
        <f>Q5+Q30-(-Q76)+Q79-Q80+Q82</f>
        <v/>
      </c>
      <c r="R84" s="834">
        <f>R5+R30-(-R76)+R79-R80+R82</f>
        <v/>
      </c>
      <c r="S84" s="838">
        <f>S5+S30-(-S76)+S79-S80+S82</f>
        <v/>
      </c>
      <c r="T84" s="696">
        <f>T5+T30-(-T76)+T79-T80+T82</f>
        <v/>
      </c>
      <c r="U84" s="838">
        <f>U5+U30-(-U76)+U79-U80+U82</f>
        <v/>
      </c>
      <c r="V84" s="697">
        <f>V5+V30-(-V76)+V79-V80+V82</f>
        <v/>
      </c>
      <c r="W84" s="838">
        <f>W5+W30-(-W76)+W79-W80+W82</f>
        <v/>
      </c>
      <c r="X84" s="698">
        <f>X5+X30-(-X76)+X79-X80+X82</f>
        <v/>
      </c>
      <c r="Y84" s="838">
        <f>Y5+Y30-(-Y76)-Y80+Y82</f>
        <v/>
      </c>
      <c r="Z84" s="1107">
        <f>Z5+Z30-(-Z76)+Z79-Z80+Z82</f>
        <v/>
      </c>
      <c r="AA84" s="712">
        <f>Y84</f>
        <v/>
      </c>
      <c r="AB84" s="1031">
        <f>AA84-Z84</f>
        <v/>
      </c>
      <c r="AC84" s="699">
        <f>AC5+AC30-(-AC76)+AC79-AC80+AC82</f>
        <v/>
      </c>
      <c r="AD84" s="712">
        <f>AD5+AD30-(-AD76)+AD82</f>
        <v/>
      </c>
      <c r="AE84" s="700">
        <f>AE5+AE30-(-AE76)+AE79-AE80+AE82</f>
        <v/>
      </c>
      <c r="AF84" s="712">
        <f>AF5+AF30-(-AF76)+AF79-AF80+AF82</f>
        <v/>
      </c>
      <c r="AG84" s="701">
        <f>AG5+AG30-(-AG76)+AG79-AG80+AG82</f>
        <v/>
      </c>
      <c r="AH84" s="712">
        <f>AH5+AH30-(-AH76)+AH82</f>
        <v/>
      </c>
      <c r="AI84" s="702">
        <f>AI5+AI30-(-AI76)+AI79-AI80+AI82</f>
        <v/>
      </c>
      <c r="AJ84" s="712">
        <f>AJ5+AJ30-(-AJ76)+AJ79-AJ80+AJ82</f>
        <v/>
      </c>
      <c r="AK84" s="703">
        <f>AK5+AK30-(-AK76)+AK79-AK80+AK82</f>
        <v/>
      </c>
      <c r="AL84" s="712">
        <f>AL5+AL30-(-AL76)+AL82</f>
        <v/>
      </c>
      <c r="AM84" s="703">
        <f>AM5+AM30-(-AM76)+AM79-AM80+AM82</f>
        <v/>
      </c>
      <c r="AN84" s="712">
        <f>AN5+AN30-(-AN76)+AN82</f>
        <v/>
      </c>
      <c r="AO84" s="1101">
        <f>AN84-AM84</f>
        <v/>
      </c>
      <c r="AP84" s="703">
        <f>AP5+AP30-(-AP76)+AP79-AP80+AP82</f>
        <v/>
      </c>
      <c r="AQ84" s="712">
        <f>AQ5+AQ30-(-AQ76)+AQ79-AQ80+AQ82</f>
        <v/>
      </c>
      <c r="AR84" s="704">
        <f>AR5+AR30-(-AR76)+AR79-AR80+AR82</f>
        <v/>
      </c>
      <c r="AS84" s="712">
        <f>AS5+AS30-(-AS76)+AS79-AS80+AS82</f>
        <v/>
      </c>
      <c r="AT84" s="705">
        <f>AT5+AT30-(-AT76)+AT79-AT80+AT82</f>
        <v/>
      </c>
      <c r="AU84" s="712">
        <f>AU5+AU30-(-AU76)+AU79-AU80+AU82</f>
        <v/>
      </c>
      <c r="AV84" s="706">
        <f>AV5+AV30-(-AV76)+AV79-AV80+AV82</f>
        <v/>
      </c>
      <c r="AW84" s="712">
        <f>AW5+AW30-(-AW76)-AW80+AW82</f>
        <v/>
      </c>
      <c r="AX84" s="707">
        <f>AX5+AX30-(-AX76)+AX79-AX80+AX82</f>
        <v/>
      </c>
      <c r="AY84" s="712">
        <f>AY5+AY30-(-AY76)+AY82</f>
        <v/>
      </c>
      <c r="AZ84" s="707">
        <f>AZ5+AZ30-(-AZ76)+AZ79-AZ80+AZ82</f>
        <v/>
      </c>
      <c r="BA84" s="712">
        <f>BA5+BA30-(-BA76)+BA82</f>
        <v/>
      </c>
      <c r="BB84" s="1031">
        <f>BA84-AZ84</f>
        <v/>
      </c>
      <c r="BC84" s="708">
        <f>BC5+BC30-(-BC76)+BC79-BC80+BC82</f>
        <v/>
      </c>
      <c r="BD84" s="712">
        <f>BD5+BD30-(-BD76)+BD79-BD80+BD82</f>
        <v/>
      </c>
      <c r="BE84" s="709">
        <f>BE5+BE30-(-BE76)+BE79-BE80+BE82</f>
        <v/>
      </c>
      <c r="BF84" s="712">
        <f>BF5+BF30-(-BF76)+BF79+BF82</f>
        <v/>
      </c>
      <c r="BG84" s="710">
        <f>BG5+BG30-(-BG76)+BG79-BG80+BG82</f>
        <v/>
      </c>
      <c r="BH84" s="712">
        <f>BH5+BH30-(-BH76)+BH79-BH80+BH82</f>
        <v/>
      </c>
      <c r="BI84" s="694">
        <f>BI5+BI30-(-BI76)+BI82</f>
        <v/>
      </c>
      <c r="BJ84" s="712">
        <f>BJ5+BJ30-(-BJ76)+BJ79-BJ80+BJ82</f>
        <v/>
      </c>
      <c r="BK84" s="694">
        <f>BK5+BK30-(-BK76)+BK79-BK80+BK82</f>
        <v/>
      </c>
      <c r="BL84" s="712">
        <f>BL5+BL30-(-BL76)+BL79-BL80+BL82</f>
        <v/>
      </c>
      <c r="BM84" s="694">
        <f>BM5+BM30-(-BM76)+BM79-BM80+BM82</f>
        <v/>
      </c>
      <c r="BN84" s="712">
        <f>BN5+BN30-(-BN76)+BN79-BN80+BN82</f>
        <v/>
      </c>
      <c r="BO84" s="694">
        <f>BO5+BO30-(-BO76)+BO79-BO80+BO82</f>
        <v/>
      </c>
      <c r="BP84" s="712">
        <f>BP5+BP30-(-BP76)+BP79-BP80+BP82</f>
        <v/>
      </c>
      <c r="BQ84" s="694">
        <f>BQ5+BQ30-(-BQ76)+BQ79-BQ80+BQ82</f>
        <v/>
      </c>
      <c r="BR84" s="707">
        <f>BR5+BR30-(-BR76)+BR79-BR80+BR82</f>
        <v/>
      </c>
      <c r="BS84" s="1108">
        <f>BS5+BS30-(-BS76)+BS79-BS80+BS82</f>
        <v/>
      </c>
      <c r="BT84" s="1109">
        <f>BT5+BT30-(-BT76)+BT79-BT80+BT82</f>
        <v/>
      </c>
      <c r="BU84" s="1110">
        <f>BU5+BU30-(-BU76)+BU79-BU80+BU82</f>
        <v/>
      </c>
      <c r="BV84" s="1094" t="n"/>
    </row>
    <row r="85">
      <c r="A85" s="713" t="inlineStr">
        <is>
          <t>Итого</t>
        </is>
      </c>
      <c r="B85" s="714" t="n"/>
      <c r="C85" s="711" t="n">
        <v>4058056</v>
      </c>
      <c r="D85" s="711">
        <f>D83+D84</f>
        <v/>
      </c>
      <c r="E85" s="711">
        <f>E83+E84</f>
        <v/>
      </c>
      <c r="F85" s="711">
        <f>F83+F84</f>
        <v/>
      </c>
      <c r="G85" s="711">
        <f>G83+G84</f>
        <v/>
      </c>
      <c r="H85" s="711">
        <f>H83+H84</f>
        <v/>
      </c>
      <c r="I85" s="711">
        <f>I83+I84</f>
        <v/>
      </c>
      <c r="J85" s="711">
        <f>J83+J84</f>
        <v/>
      </c>
      <c r="K85" s="711">
        <f>K83+K84</f>
        <v/>
      </c>
      <c r="L85" s="711">
        <f>L83+L84</f>
        <v/>
      </c>
      <c r="M85" s="711">
        <f>M83+M84</f>
        <v/>
      </c>
      <c r="N85" s="711">
        <f>N83+N84</f>
        <v/>
      </c>
      <c r="O85" s="839" t="n"/>
      <c r="P85" s="711">
        <f>P83+P84</f>
        <v/>
      </c>
      <c r="Q85" s="711">
        <f>Q83+Q84</f>
        <v/>
      </c>
      <c r="R85" s="711">
        <f>R83+R84</f>
        <v/>
      </c>
      <c r="S85" s="711">
        <f>S83+S84</f>
        <v/>
      </c>
      <c r="T85" s="711">
        <f>T83+T84</f>
        <v/>
      </c>
      <c r="U85" s="711">
        <f>U83+U84</f>
        <v/>
      </c>
      <c r="V85" s="711">
        <f>V83+V84</f>
        <v/>
      </c>
      <c r="W85" s="711">
        <f>W83+W84</f>
        <v/>
      </c>
      <c r="X85" s="711">
        <f>X83+X84</f>
        <v/>
      </c>
      <c r="Y85" s="711">
        <f>Y83+Y84</f>
        <v/>
      </c>
      <c r="Z85" s="711">
        <f>Z83+Z84</f>
        <v/>
      </c>
      <c r="AA85" s="711">
        <f>AA83+AA84</f>
        <v/>
      </c>
      <c r="AB85" s="839" t="n"/>
      <c r="AC85" s="711">
        <f>AC83+AC84</f>
        <v/>
      </c>
      <c r="AD85" s="711">
        <f>AD83+AD84</f>
        <v/>
      </c>
      <c r="AE85" s="711">
        <f>AE83+AE84</f>
        <v/>
      </c>
      <c r="AF85" s="711">
        <f>AF83+AF84</f>
        <v/>
      </c>
      <c r="AG85" s="711">
        <f>AG83+AG84</f>
        <v/>
      </c>
      <c r="AH85" s="711">
        <f>AH83+AH84</f>
        <v/>
      </c>
      <c r="AI85" s="711">
        <f>AI83+AI84</f>
        <v/>
      </c>
      <c r="AJ85" s="711">
        <f>AJ83+AJ84</f>
        <v/>
      </c>
      <c r="AK85" s="711">
        <f>AK83+AK84</f>
        <v/>
      </c>
      <c r="AL85" s="711">
        <f>AL83+AL84</f>
        <v/>
      </c>
      <c r="AM85" s="711">
        <f>AM83+AM84</f>
        <v/>
      </c>
      <c r="AN85" s="711">
        <f>AN83+AN84</f>
        <v/>
      </c>
      <c r="AO85" s="1111" t="n"/>
      <c r="AP85" s="711">
        <f>AP83+AP84</f>
        <v/>
      </c>
      <c r="AQ85" s="711">
        <f>AQ83+AQ84</f>
        <v/>
      </c>
      <c r="AR85" s="711">
        <f>AR83+AR84</f>
        <v/>
      </c>
      <c r="AS85" s="711">
        <f>AS83+AS84</f>
        <v/>
      </c>
      <c r="AT85" s="711">
        <f>AT83+AT84</f>
        <v/>
      </c>
      <c r="AU85" s="711">
        <f>AU83+AU84</f>
        <v/>
      </c>
      <c r="AV85" s="711">
        <f>AV83+AV84</f>
        <v/>
      </c>
      <c r="AW85" s="711">
        <f>AW83+AW84</f>
        <v/>
      </c>
      <c r="AX85" s="711">
        <f>AX83+AX84</f>
        <v/>
      </c>
      <c r="AY85" s="711">
        <f>AY83+AY84</f>
        <v/>
      </c>
      <c r="AZ85" s="711">
        <f>AZ83+AZ84</f>
        <v/>
      </c>
      <c r="BA85" s="711">
        <f>BA83+BA84</f>
        <v/>
      </c>
      <c r="BB85" s="1111" t="n"/>
      <c r="BC85" s="711">
        <f>BC83+BC84</f>
        <v/>
      </c>
      <c r="BD85" s="711">
        <f>BD83+BD84</f>
        <v/>
      </c>
      <c r="BE85" s="711">
        <f>BE83+BE84</f>
        <v/>
      </c>
      <c r="BF85" s="711">
        <f>BF83+BF84</f>
        <v/>
      </c>
      <c r="BG85" s="711">
        <f>BG83+BG84</f>
        <v/>
      </c>
      <c r="BH85" s="711">
        <f>BH83+BH84</f>
        <v/>
      </c>
      <c r="BI85" s="711">
        <f>BI83+BI84</f>
        <v/>
      </c>
      <c r="BJ85" s="711">
        <f>BJ83+BJ84</f>
        <v/>
      </c>
      <c r="BK85" s="711">
        <f>BK83+BK84</f>
        <v/>
      </c>
      <c r="BL85" s="711">
        <f>BL83+BL84</f>
        <v/>
      </c>
      <c r="BM85" s="711">
        <f>BM83+BM84</f>
        <v/>
      </c>
      <c r="BN85" s="711">
        <f>BN83+BN84</f>
        <v/>
      </c>
      <c r="BO85" s="711">
        <f>BO83+BO84</f>
        <v/>
      </c>
      <c r="BP85" s="1112" t="n"/>
      <c r="BQ85" s="711">
        <f>BQ83+BQ84</f>
        <v/>
      </c>
      <c r="BR85" s="711">
        <f>BR83+BR84</f>
        <v/>
      </c>
      <c r="BS85" s="1113" t="n"/>
      <c r="BT85" s="711">
        <f>BT83+BT84</f>
        <v/>
      </c>
      <c r="BU85" s="711">
        <f>BU83+BU84</f>
        <v/>
      </c>
      <c r="BV85" s="1114" t="n"/>
    </row>
    <row r="86">
      <c r="A86" s="717" t="n"/>
      <c r="B86" s="839" t="n"/>
      <c r="C86" s="839" t="n"/>
      <c r="D86" s="773" t="n"/>
      <c r="E86" s="839" t="n"/>
      <c r="F86" s="773" t="n"/>
      <c r="G86" s="840" t="n"/>
      <c r="H86" s="842" t="n"/>
      <c r="I86" s="842" t="n"/>
      <c r="J86" s="842" t="n"/>
      <c r="K86" s="869" t="n"/>
      <c r="L86" s="869" t="n"/>
      <c r="M86" s="869" t="n"/>
      <c r="N86" s="869" t="n"/>
      <c r="O86" s="1115" t="n"/>
      <c r="P86" s="842" t="n"/>
      <c r="Q86" s="842" t="n"/>
      <c r="R86" s="842" t="n"/>
      <c r="S86" s="842" t="n"/>
      <c r="T86" s="842" t="n"/>
      <c r="U86" s="1027" t="n">
        <v>4778685</v>
      </c>
      <c r="V86" s="842" t="n"/>
      <c r="W86" s="1027" t="n">
        <v>2373606</v>
      </c>
      <c r="X86" s="842" t="n"/>
      <c r="Y86" s="1027" t="n">
        <v>2104029</v>
      </c>
      <c r="Z86" s="842" t="n"/>
      <c r="AA86" s="1027">
        <f>Y83-Y86</f>
        <v/>
      </c>
      <c r="AB86" s="1027" t="n"/>
      <c r="AC86" s="842" t="n"/>
      <c r="AD86" s="842" t="n"/>
      <c r="AE86" s="842" t="n"/>
      <c r="AF86" s="842" t="n"/>
      <c r="AG86" s="842" t="n"/>
      <c r="AH86" s="842" t="n"/>
      <c r="AI86" s="842" t="n"/>
      <c r="AJ86" s="842" t="n"/>
      <c r="AK86" s="842" t="n"/>
      <c r="AL86" s="842" t="n"/>
      <c r="AM86" s="842" t="n"/>
      <c r="AN86" s="842" t="n"/>
      <c r="AO86" s="843" t="n"/>
      <c r="AP86" s="842" t="n"/>
      <c r="AQ86" s="842" t="n"/>
      <c r="AR86" s="842" t="n"/>
      <c r="AS86" s="842" t="n"/>
      <c r="AT86" s="842" t="n"/>
      <c r="AU86" s="842" t="n"/>
      <c r="AV86" s="842" t="n"/>
      <c r="AW86" s="842" t="n"/>
      <c r="AX86" s="1116" t="n"/>
      <c r="AY86" s="1116" t="n"/>
      <c r="AZ86" s="842" t="n"/>
      <c r="BA86" s="842" t="n"/>
      <c r="BB86" s="843" t="n"/>
      <c r="BC86" s="842" t="n"/>
      <c r="BD86" s="842" t="n"/>
      <c r="BE86" s="842" t="n"/>
      <c r="BF86" s="842" t="n"/>
      <c r="BG86" s="842" t="n"/>
      <c r="BH86" s="842" t="n"/>
      <c r="BI86" s="842" t="n"/>
      <c r="BJ86" s="842" t="n"/>
      <c r="BK86" s="842" t="n"/>
      <c r="BL86" s="842" t="n"/>
      <c r="BM86" s="842" t="n"/>
      <c r="BN86" s="842" t="n"/>
      <c r="BO86" s="842" t="n"/>
      <c r="BP86" s="842" t="n"/>
      <c r="BQ86" s="842" t="n"/>
      <c r="BR86" s="842" t="n"/>
      <c r="BS86" s="842" t="n"/>
      <c r="BT86" s="1277" t="inlineStr">
        <is>
          <t>Итого апрель</t>
        </is>
      </c>
      <c r="BV86" s="1117" t="n"/>
    </row>
    <row r="87">
      <c r="A87" s="842" t="n"/>
      <c r="B87" s="842" t="n"/>
      <c r="C87" s="842" t="n"/>
      <c r="D87" s="842" t="n"/>
      <c r="E87" s="842" t="n"/>
      <c r="F87" s="842" t="n"/>
      <c r="G87" s="842" t="n"/>
      <c r="H87" s="842" t="n"/>
      <c r="I87" s="842" t="n"/>
      <c r="J87" s="841" t="n"/>
      <c r="K87" s="242" t="n"/>
      <c r="L87" s="242" t="n"/>
      <c r="M87" s="730" t="inlineStr">
        <is>
          <t>план</t>
        </is>
      </c>
      <c r="N87" s="730" t="inlineStr">
        <is>
          <t>факт</t>
        </is>
      </c>
      <c r="O87" s="1118" t="inlineStr">
        <is>
          <t>отклонение</t>
        </is>
      </c>
      <c r="P87" s="722" t="n"/>
      <c r="Q87" s="842" t="n"/>
      <c r="R87" s="842" t="n"/>
      <c r="S87" s="1027" t="n"/>
      <c r="T87" s="1027" t="n"/>
      <c r="U87" s="1027">
        <f>U83-U86</f>
        <v/>
      </c>
      <c r="V87" s="842" t="n"/>
      <c r="W87" s="1027">
        <f>W83-1853213</f>
        <v/>
      </c>
      <c r="X87" s="242" t="n"/>
      <c r="Y87" s="242" t="n"/>
      <c r="Z87" s="730" t="inlineStr">
        <is>
          <t>план</t>
        </is>
      </c>
      <c r="AA87" s="730" t="inlineStr">
        <is>
          <t>факт</t>
        </is>
      </c>
      <c r="AB87" s="1118" t="inlineStr">
        <is>
          <t>отклонение</t>
        </is>
      </c>
      <c r="AC87" s="842" t="n"/>
      <c r="AD87" s="842" t="n"/>
      <c r="AE87" s="842" t="n"/>
      <c r="AF87" s="842" t="n"/>
      <c r="AG87" s="842" t="n"/>
      <c r="AH87" s="842" t="n"/>
      <c r="AI87" s="842" t="n"/>
      <c r="AJ87" s="842" t="n"/>
      <c r="AK87" s="242" t="n"/>
      <c r="AL87" s="242" t="n"/>
      <c r="AM87" s="730" t="inlineStr">
        <is>
          <t>план</t>
        </is>
      </c>
      <c r="AN87" s="730" t="inlineStr">
        <is>
          <t>факт</t>
        </is>
      </c>
      <c r="AO87" s="1118" t="inlineStr">
        <is>
          <t>отклонение</t>
        </is>
      </c>
      <c r="AP87" s="842" t="n"/>
      <c r="AQ87" s="842" t="n"/>
      <c r="AR87" s="842" t="n"/>
      <c r="AS87" s="842" t="n"/>
      <c r="AT87" s="842" t="n"/>
      <c r="AU87" s="842" t="n"/>
      <c r="AV87" s="842" t="n"/>
      <c r="AW87" s="842" t="n"/>
      <c r="AX87" s="242" t="n"/>
      <c r="AY87" s="242" t="n"/>
      <c r="AZ87" s="730" t="inlineStr">
        <is>
          <t>план</t>
        </is>
      </c>
      <c r="BA87" s="730" t="inlineStr">
        <is>
          <t>факт</t>
        </is>
      </c>
      <c r="BB87" s="1118" t="inlineStr">
        <is>
          <t>отклонение</t>
        </is>
      </c>
      <c r="BC87" s="842" t="n"/>
      <c r="BD87" s="842" t="n"/>
      <c r="BE87" s="842" t="n"/>
      <c r="BF87" s="842" t="n"/>
      <c r="BG87" s="842" t="n"/>
      <c r="BH87" s="842" t="n"/>
      <c r="BI87" s="842" t="n"/>
      <c r="BJ87" s="842" t="n"/>
      <c r="BK87" s="842" t="n"/>
      <c r="BL87" s="842" t="n"/>
      <c r="BM87" s="842" t="n"/>
      <c r="BN87" s="842" t="n"/>
      <c r="BO87" s="842" t="n"/>
      <c r="BP87" s="842" t="n"/>
      <c r="BQ87" s="584" t="n"/>
      <c r="BR87" s="584" t="n"/>
      <c r="BS87" s="584" t="n"/>
      <c r="BT87" s="1119" t="inlineStr">
        <is>
          <t>План</t>
        </is>
      </c>
      <c r="BU87" s="1119" t="inlineStr">
        <is>
          <t>Факт</t>
        </is>
      </c>
      <c r="BV87" s="1120" t="inlineStr">
        <is>
          <t>Отклонение</t>
        </is>
      </c>
    </row>
    <row r="88">
      <c r="A88" s="842" t="n"/>
      <c r="B88" s="842" t="n"/>
      <c r="C88" s="842" t="n"/>
      <c r="D88" s="842" t="n"/>
      <c r="E88" s="842" t="n"/>
      <c r="F88" s="842" t="n"/>
      <c r="G88" s="842" t="n"/>
      <c r="H88" s="842" t="n"/>
      <c r="I88" s="842" t="n"/>
      <c r="J88" s="841" t="n"/>
      <c r="K88" s="730" t="inlineStr">
        <is>
          <t>Выплата поставщикам</t>
        </is>
      </c>
      <c r="L88" s="242" t="n"/>
      <c r="M88" s="1118">
        <f>M33+M44+M48+M49+M55+M58+M75+M65</f>
        <v/>
      </c>
      <c r="N88" s="1118">
        <f>N33+N48+N49+N55+N75+N58+N65+N44</f>
        <v/>
      </c>
      <c r="O88" s="1121">
        <f>M88-N88</f>
        <v/>
      </c>
      <c r="P88" s="722" t="n"/>
      <c r="Q88" s="842" t="n"/>
      <c r="R88" s="842" t="n"/>
      <c r="S88" s="842" t="n"/>
      <c r="T88" s="842" t="n"/>
      <c r="U88" s="842" t="n"/>
      <c r="V88" s="842" t="n"/>
      <c r="W88" s="842" t="n"/>
      <c r="X88" s="730" t="inlineStr">
        <is>
          <t>Выплата поставщикам</t>
        </is>
      </c>
      <c r="Y88" s="242" t="n"/>
      <c r="Z88" s="1118">
        <f>Z33+Z44+Z48+Z49+Z55+Z58+Z75+Z65</f>
        <v/>
      </c>
      <c r="AA88" s="1118">
        <f>AA33+AA48+AA49+AA55+AA75+AA58+AA65</f>
        <v/>
      </c>
      <c r="AB88" s="1121">
        <f>Z88-AA88</f>
        <v/>
      </c>
      <c r="AC88" s="842" t="n"/>
      <c r="AD88" s="842" t="n"/>
      <c r="AE88" s="842" t="n"/>
      <c r="AF88" s="842" t="n"/>
      <c r="AG88" s="842" t="n"/>
      <c r="AH88" s="842" t="n"/>
      <c r="AI88" s="842" t="n"/>
      <c r="AJ88" s="842" t="n"/>
      <c r="AK88" s="730" t="inlineStr">
        <is>
          <t>Выплата поставщикам</t>
        </is>
      </c>
      <c r="AL88" s="242" t="n"/>
      <c r="AM88" s="1118">
        <f>AM33+AM44+AM48+AM49+AM55+AM58+AM75+AM65</f>
        <v/>
      </c>
      <c r="AN88" s="1118">
        <f>AN33+AN48+AN49+AN55+AN75+AN58+AN65</f>
        <v/>
      </c>
      <c r="AO88" s="1121">
        <f>AM88-AN88</f>
        <v/>
      </c>
      <c r="AP88" s="842" t="n"/>
      <c r="AQ88" s="842" t="n"/>
      <c r="AR88" s="842" t="n"/>
      <c r="AS88" s="842" t="n"/>
      <c r="AT88" s="842" t="n"/>
      <c r="AU88" s="842" t="n"/>
      <c r="AV88" s="842" t="n"/>
      <c r="AW88" s="842" t="n"/>
      <c r="AX88" s="730" t="inlineStr">
        <is>
          <t>Выплата поставщикам</t>
        </is>
      </c>
      <c r="AY88" s="242" t="n"/>
      <c r="AZ88" s="1118">
        <f>AZ33+AZ44+AZ48+AZ49+AZ55+AZ58+AZ75+AZ65</f>
        <v/>
      </c>
      <c r="BA88" s="1118">
        <f>BA33+BA48+BA49+BA55+BA75+BA58+BA65</f>
        <v/>
      </c>
      <c r="BB88" s="1121">
        <f>AZ88-BA88</f>
        <v/>
      </c>
      <c r="BC88" s="842" t="n"/>
      <c r="BD88" s="842" t="n"/>
      <c r="BE88" s="842" t="n"/>
      <c r="BF88" s="842" t="n"/>
      <c r="BG88" s="842" t="n"/>
      <c r="BH88" s="842" t="n"/>
      <c r="BI88" s="842" t="n"/>
      <c r="BJ88" s="842" t="n"/>
      <c r="BK88" s="842" t="n"/>
      <c r="BL88" s="842" t="n"/>
      <c r="BM88" s="842" t="n"/>
      <c r="BN88" s="842" t="n"/>
      <c r="BO88" s="842" t="n"/>
      <c r="BP88" s="841" t="n"/>
      <c r="BQ88" s="730" t="inlineStr">
        <is>
          <t>Выплата поставщикам</t>
        </is>
      </c>
      <c r="BR88" s="242" t="n"/>
      <c r="BS88" s="242" t="n"/>
      <c r="BT88" s="1118">
        <f>BT33+BT48+BT49+BT55+BT75+BT58</f>
        <v/>
      </c>
      <c r="BU88" s="1118">
        <f>BU33+BU48+BU49+BU55+BU75+BU58</f>
        <v/>
      </c>
      <c r="BV88" s="1122">
        <f>BT88-BU88</f>
        <v/>
      </c>
    </row>
    <row r="89">
      <c r="A89" s="842" t="n"/>
      <c r="B89" s="842" t="n"/>
      <c r="C89" s="842" t="n"/>
      <c r="D89" s="842" t="n"/>
      <c r="E89" s="842" t="n"/>
      <c r="F89" s="842" t="n"/>
      <c r="G89" s="842" t="n"/>
      <c r="H89" s="842" t="n"/>
      <c r="I89" s="842" t="n"/>
      <c r="J89" s="841" t="n"/>
      <c r="K89" s="730" t="inlineStr">
        <is>
          <t>Налоги</t>
        </is>
      </c>
      <c r="L89" s="242" t="n"/>
      <c r="M89" s="1118">
        <f>M41</f>
        <v/>
      </c>
      <c r="N89" s="1118">
        <f>N62+N41</f>
        <v/>
      </c>
      <c r="O89" s="1121">
        <f>M89-N89</f>
        <v/>
      </c>
      <c r="P89" s="722" t="n"/>
      <c r="Q89" s="842" t="n"/>
      <c r="R89" s="842" t="n"/>
      <c r="S89" s="842" t="n"/>
      <c r="T89" s="842" t="n"/>
      <c r="U89" s="842" t="n"/>
      <c r="V89" s="842" t="n"/>
      <c r="W89" s="842" t="n"/>
      <c r="X89" s="730" t="inlineStr">
        <is>
          <t>Налоги</t>
        </is>
      </c>
      <c r="Y89" s="242" t="n"/>
      <c r="Z89" s="1118">
        <f>Z41</f>
        <v/>
      </c>
      <c r="AA89" s="1118">
        <f>AA41</f>
        <v/>
      </c>
      <c r="AB89" s="1121">
        <f>Z89-AA89</f>
        <v/>
      </c>
      <c r="AC89" s="842" t="n"/>
      <c r="AD89" s="842" t="n"/>
      <c r="AE89" s="842" t="n"/>
      <c r="AF89" s="842" t="n"/>
      <c r="AG89" s="842" t="n"/>
      <c r="AH89" s="842" t="n"/>
      <c r="AI89" s="842" t="n"/>
      <c r="AJ89" s="842" t="n"/>
      <c r="AK89" s="730" t="inlineStr">
        <is>
          <t>Налоги</t>
        </is>
      </c>
      <c r="AL89" s="242" t="n"/>
      <c r="AM89" s="1118">
        <f>AM41</f>
        <v/>
      </c>
      <c r="AN89" s="1118">
        <f>AN41</f>
        <v/>
      </c>
      <c r="AO89" s="1121">
        <f>AM89-AN89</f>
        <v/>
      </c>
      <c r="AP89" s="842" t="n"/>
      <c r="AQ89" s="842" t="n"/>
      <c r="AR89" s="842" t="n"/>
      <c r="AS89" s="842" t="n"/>
      <c r="AT89" s="842" t="n"/>
      <c r="AU89" s="842" t="n"/>
      <c r="AV89" s="842" t="n"/>
      <c r="AW89" s="842" t="n"/>
      <c r="AX89" s="730" t="inlineStr">
        <is>
          <t>Налоги</t>
        </is>
      </c>
      <c r="AY89" s="242" t="n"/>
      <c r="AZ89" s="1118">
        <f>AZ41</f>
        <v/>
      </c>
      <c r="BA89" s="1118">
        <f>BA41+BA62</f>
        <v/>
      </c>
      <c r="BB89" s="1121">
        <f>AZ89-BA89</f>
        <v/>
      </c>
      <c r="BC89" s="842" t="n"/>
      <c r="BD89" s="842" t="n"/>
      <c r="BE89" s="842" t="n"/>
      <c r="BF89" s="842" t="n"/>
      <c r="BG89" s="842" t="n"/>
      <c r="BH89" s="842" t="n"/>
      <c r="BI89" s="842" t="n"/>
      <c r="BJ89" s="842" t="n"/>
      <c r="BK89" s="842" t="n"/>
      <c r="BL89" s="842" t="n"/>
      <c r="BM89" s="842" t="n"/>
      <c r="BN89" s="842" t="n"/>
      <c r="BO89" s="842" t="n"/>
      <c r="BP89" s="841" t="n"/>
      <c r="BQ89" s="730" t="inlineStr">
        <is>
          <t>Налоги</t>
        </is>
      </c>
      <c r="BR89" s="242" t="n"/>
      <c r="BS89" s="242" t="n"/>
      <c r="BT89" s="1118">
        <f>BT41</f>
        <v/>
      </c>
      <c r="BU89" s="1118">
        <f>BU41</f>
        <v/>
      </c>
      <c r="BV89" s="1122">
        <f>BT89-BU89</f>
        <v/>
      </c>
    </row>
    <row r="90">
      <c r="A90" s="842" t="n"/>
      <c r="B90" s="842" t="n"/>
      <c r="C90" s="842" t="n"/>
      <c r="D90" s="842" t="n"/>
      <c r="E90" s="842" t="n"/>
      <c r="F90" s="842" t="n"/>
      <c r="G90" s="842" t="n"/>
      <c r="H90" s="842" t="n"/>
      <c r="I90" s="842" t="n"/>
      <c r="J90" s="841" t="n"/>
      <c r="K90" s="730" t="inlineStr">
        <is>
          <t>Оплата труда</t>
        </is>
      </c>
      <c r="L90" s="242" t="n"/>
      <c r="M90" s="1118">
        <f>M42+M64</f>
        <v/>
      </c>
      <c r="N90" s="1118">
        <f>N42+N64</f>
        <v/>
      </c>
      <c r="O90" s="1121">
        <f>M90-N90</f>
        <v/>
      </c>
      <c r="P90" s="722" t="n"/>
      <c r="Q90" s="842" t="n"/>
      <c r="R90" s="842" t="n"/>
      <c r="S90" s="842" t="n"/>
      <c r="T90" s="842" t="n"/>
      <c r="U90" s="842" t="n"/>
      <c r="V90" s="842" t="n"/>
      <c r="W90" s="842" t="n"/>
      <c r="X90" s="730" t="inlineStr">
        <is>
          <t>Оплата труда</t>
        </is>
      </c>
      <c r="Y90" s="242" t="n"/>
      <c r="Z90" s="1118">
        <f>Z42+Z64</f>
        <v/>
      </c>
      <c r="AA90" s="1118">
        <f>AA42+AA64</f>
        <v/>
      </c>
      <c r="AB90" s="1121">
        <f>Z90-AA90</f>
        <v/>
      </c>
      <c r="AC90" s="842" t="n"/>
      <c r="AD90" s="842" t="n"/>
      <c r="AE90" s="842" t="n"/>
      <c r="AF90" s="842" t="n"/>
      <c r="AG90" s="842" t="n"/>
      <c r="AH90" s="842" t="n"/>
      <c r="AI90" s="842" t="n"/>
      <c r="AJ90" s="842" t="n"/>
      <c r="AK90" s="730" t="inlineStr">
        <is>
          <t>Оплата труда</t>
        </is>
      </c>
      <c r="AL90" s="242" t="n"/>
      <c r="AM90" s="1118">
        <f>AM42+AM64</f>
        <v/>
      </c>
      <c r="AN90" s="1118">
        <f>AN42+AN64</f>
        <v/>
      </c>
      <c r="AO90" s="1121">
        <f>AM90-AN90</f>
        <v/>
      </c>
      <c r="AP90" s="842" t="n"/>
      <c r="AQ90" s="842" t="n"/>
      <c r="AR90" s="842" t="n"/>
      <c r="AS90" s="842" t="n"/>
      <c r="AT90" s="842" t="n"/>
      <c r="AU90" s="842" t="n"/>
      <c r="AV90" s="842" t="n"/>
      <c r="AW90" s="842" t="n"/>
      <c r="AX90" s="730" t="inlineStr">
        <is>
          <t>Оплата труда</t>
        </is>
      </c>
      <c r="AY90" s="242" t="n"/>
      <c r="AZ90" s="1118">
        <f>AZ42+AZ64</f>
        <v/>
      </c>
      <c r="BA90" s="1118">
        <f>BA42+BA64</f>
        <v/>
      </c>
      <c r="BB90" s="1121">
        <f>AZ90-BA90</f>
        <v/>
      </c>
      <c r="BC90" s="842" t="n"/>
      <c r="BD90" s="842" t="n"/>
      <c r="BE90" s="842" t="n"/>
      <c r="BF90" s="842" t="n"/>
      <c r="BG90" s="842" t="n"/>
      <c r="BH90" s="842" t="n"/>
      <c r="BI90" s="842" t="n"/>
      <c r="BJ90" s="842" t="n"/>
      <c r="BK90" s="842" t="n"/>
      <c r="BL90" s="842" t="n"/>
      <c r="BM90" s="842" t="n"/>
      <c r="BN90" s="842" t="n"/>
      <c r="BO90" s="842" t="n"/>
      <c r="BP90" s="841" t="n"/>
      <c r="BQ90" s="730" t="inlineStr">
        <is>
          <t>Оплата труда</t>
        </is>
      </c>
      <c r="BR90" s="242" t="n"/>
      <c r="BS90" s="242" t="n"/>
      <c r="BT90" s="1118">
        <f>BT42+BT64</f>
        <v/>
      </c>
      <c r="BU90" s="1118">
        <f>BU42+BU64</f>
        <v/>
      </c>
      <c r="BV90" s="1122">
        <f>BT90-BU90</f>
        <v/>
      </c>
    </row>
    <row r="91">
      <c r="A91" s="842" t="n"/>
      <c r="B91" s="842" t="n"/>
      <c r="C91" s="842" t="n"/>
      <c r="D91" s="842" t="n"/>
      <c r="E91" s="842" t="n"/>
      <c r="F91" s="842" t="n"/>
      <c r="G91" s="842" t="n"/>
      <c r="H91" s="842" t="n"/>
      <c r="I91" s="842" t="n"/>
      <c r="J91" s="841" t="n"/>
      <c r="K91" s="730" t="inlineStr">
        <is>
          <t>Ремонт</t>
        </is>
      </c>
      <c r="L91" s="242" t="n"/>
      <c r="M91" s="1118">
        <f>M53+M52+M73+M72</f>
        <v/>
      </c>
      <c r="N91" s="1118">
        <f>N53+N52+N72+N73</f>
        <v/>
      </c>
      <c r="O91" s="1121">
        <f>M91-N91</f>
        <v/>
      </c>
      <c r="P91" s="722" t="n"/>
      <c r="Q91" s="842" t="n"/>
      <c r="R91" s="842" t="n"/>
      <c r="S91" s="842" t="n"/>
      <c r="T91" s="842" t="n"/>
      <c r="U91" s="842" t="n"/>
      <c r="V91" s="842" t="n"/>
      <c r="W91" s="842" t="n"/>
      <c r="X91" s="730" t="inlineStr">
        <is>
          <t>Ремонт</t>
        </is>
      </c>
      <c r="Y91" s="242" t="n"/>
      <c r="Z91" s="1118">
        <f>Z53+Z52+Z73+Z72</f>
        <v/>
      </c>
      <c r="AA91" s="1118">
        <f>AA53+AA52+AA72+AA73</f>
        <v/>
      </c>
      <c r="AB91" s="1121">
        <f>Z91-AA91</f>
        <v/>
      </c>
      <c r="AC91" s="842" t="n"/>
      <c r="AD91" s="842" t="n"/>
      <c r="AE91" s="842" t="n"/>
      <c r="AF91" s="842" t="n"/>
      <c r="AG91" s="842" t="n"/>
      <c r="AH91" s="842" t="n"/>
      <c r="AI91" s="842" t="n"/>
      <c r="AJ91" s="842" t="n"/>
      <c r="AK91" s="730" t="inlineStr">
        <is>
          <t>Ремонт</t>
        </is>
      </c>
      <c r="AL91" s="242" t="n"/>
      <c r="AM91" s="1118">
        <f>AM53+AM52+AM73+AM72</f>
        <v/>
      </c>
      <c r="AN91" s="1118">
        <f>AN53+AN52+AN72+AN73</f>
        <v/>
      </c>
      <c r="AO91" s="1121">
        <f>AM91-AN91</f>
        <v/>
      </c>
      <c r="AP91" s="842" t="n"/>
      <c r="AQ91" s="842" t="n"/>
      <c r="AR91" s="842" t="n"/>
      <c r="AS91" s="842" t="n"/>
      <c r="AT91" s="842" t="n"/>
      <c r="AU91" s="842" t="n"/>
      <c r="AV91" s="842" t="n"/>
      <c r="AW91" s="842" t="n"/>
      <c r="AX91" s="730" t="inlineStr">
        <is>
          <t>Ремонт</t>
        </is>
      </c>
      <c r="AY91" s="242" t="n"/>
      <c r="AZ91" s="1118">
        <f>AZ53+AZ52+AZ73+AZ72</f>
        <v/>
      </c>
      <c r="BA91" s="1118">
        <f>BA53+BA52+BA72+BA73</f>
        <v/>
      </c>
      <c r="BB91" s="1121">
        <f>AZ91-BA91</f>
        <v/>
      </c>
      <c r="BC91" s="842" t="n"/>
      <c r="BD91" s="842" t="n"/>
      <c r="BE91" s="842" t="n"/>
      <c r="BF91" s="842" t="n"/>
      <c r="BG91" s="842" t="n"/>
      <c r="BH91" s="842" t="n"/>
      <c r="BI91" s="842" t="n"/>
      <c r="BJ91" s="842" t="n"/>
      <c r="BK91" s="842" t="n"/>
      <c r="BL91" s="842" t="n"/>
      <c r="BM91" s="842" t="n"/>
      <c r="BN91" s="842" t="n"/>
      <c r="BO91" s="842" t="n"/>
      <c r="BP91" s="841" t="n"/>
      <c r="BQ91" s="730" t="inlineStr">
        <is>
          <t>Ремонт</t>
        </is>
      </c>
      <c r="BR91" s="242" t="n"/>
      <c r="BS91" s="242" t="n"/>
      <c r="BT91" s="1118">
        <f>BT52+BT53+BT72+BT73</f>
        <v/>
      </c>
      <c r="BU91" s="1118">
        <f>BU53+BU52+BU72+BU73</f>
        <v/>
      </c>
      <c r="BV91" s="1122">
        <f>BT91-BU91</f>
        <v/>
      </c>
    </row>
    <row r="92">
      <c r="A92" s="842" t="n"/>
      <c r="B92" s="842" t="n"/>
      <c r="C92" s="842" t="n"/>
      <c r="D92" s="842" t="n"/>
      <c r="E92" s="842" t="n"/>
      <c r="F92" s="842" t="n"/>
      <c r="G92" s="842" t="n"/>
      <c r="H92" s="842" t="n"/>
      <c r="I92" s="842" t="n"/>
      <c r="J92" s="841" t="n"/>
      <c r="K92" s="730" t="inlineStr">
        <is>
          <t>ОС</t>
        </is>
      </c>
      <c r="L92" s="242" t="n"/>
      <c r="M92" s="1118">
        <f>M54+M74</f>
        <v/>
      </c>
      <c r="N92" s="1118">
        <f>N54+N74</f>
        <v/>
      </c>
      <c r="O92" s="1121">
        <f>M92-N92</f>
        <v/>
      </c>
      <c r="P92" s="722" t="n"/>
      <c r="Q92" s="842" t="n"/>
      <c r="R92" s="842" t="n"/>
      <c r="S92" s="842" t="n"/>
      <c r="T92" s="842" t="n"/>
      <c r="U92" s="842" t="n"/>
      <c r="V92" s="842" t="n"/>
      <c r="W92" s="842" t="n"/>
      <c r="X92" s="730" t="inlineStr">
        <is>
          <t>ОС</t>
        </is>
      </c>
      <c r="Y92" s="242" t="n"/>
      <c r="Z92" s="1118">
        <f>Z54+Z74</f>
        <v/>
      </c>
      <c r="AA92" s="1118">
        <f>AA54+AA74</f>
        <v/>
      </c>
      <c r="AB92" s="1121">
        <f>Z92-AA92</f>
        <v/>
      </c>
      <c r="AC92" s="842" t="n"/>
      <c r="AD92" s="842" t="n"/>
      <c r="AE92" s="842" t="n"/>
      <c r="AF92" s="842" t="n"/>
      <c r="AG92" s="842" t="n"/>
      <c r="AH92" s="842" t="n"/>
      <c r="AI92" s="842" t="n"/>
      <c r="AJ92" s="842" t="n"/>
      <c r="AK92" s="730" t="inlineStr">
        <is>
          <t>ОС</t>
        </is>
      </c>
      <c r="AL92" s="242" t="n"/>
      <c r="AM92" s="1118">
        <f>AM54+AM74</f>
        <v/>
      </c>
      <c r="AN92" s="1118">
        <f>AN54+AN74</f>
        <v/>
      </c>
      <c r="AO92" s="1121">
        <f>AM92-AN92</f>
        <v/>
      </c>
      <c r="AP92" s="842" t="n"/>
      <c r="AQ92" s="842" t="n"/>
      <c r="AR92" s="842" t="n"/>
      <c r="AS92" s="842" t="n"/>
      <c r="AT92" s="842" t="n"/>
      <c r="AU92" s="842" t="n"/>
      <c r="AV92" s="842" t="n"/>
      <c r="AW92" s="842" t="n"/>
      <c r="AX92" s="730" t="inlineStr">
        <is>
          <t>ОС</t>
        </is>
      </c>
      <c r="AY92" s="242" t="n"/>
      <c r="AZ92" s="1118">
        <f>AZ54+AZ74</f>
        <v/>
      </c>
      <c r="BA92" s="1118">
        <f>BA54+BA74</f>
        <v/>
      </c>
      <c r="BB92" s="1121">
        <f>AZ92-BA92</f>
        <v/>
      </c>
      <c r="BC92" s="842" t="n"/>
      <c r="BD92" s="842" t="n"/>
      <c r="BE92" s="842" t="n"/>
      <c r="BF92" s="842" t="n"/>
      <c r="BG92" s="842" t="n"/>
      <c r="BH92" s="842" t="n"/>
      <c r="BI92" s="842" t="n"/>
      <c r="BJ92" s="842" t="n"/>
      <c r="BK92" s="842" t="n"/>
      <c r="BL92" s="842" t="n"/>
      <c r="BM92" s="842" t="n"/>
      <c r="BN92" s="842" t="n"/>
      <c r="BO92" s="842" t="n"/>
      <c r="BP92" s="841" t="n"/>
      <c r="BQ92" s="730" t="inlineStr">
        <is>
          <t>ОС</t>
        </is>
      </c>
      <c r="BR92" s="242" t="n"/>
      <c r="BS92" s="242" t="n"/>
      <c r="BT92" s="1118">
        <f>BT54+BT74</f>
        <v/>
      </c>
      <c r="BU92" s="1118">
        <f>BU54+BU74</f>
        <v/>
      </c>
      <c r="BV92" s="1122">
        <f>BT92-BU92</f>
        <v/>
      </c>
    </row>
    <row r="93">
      <c r="A93" s="772" t="n"/>
      <c r="B93" s="772" t="n"/>
      <c r="C93" s="772" t="n"/>
      <c r="D93" s="772" t="n"/>
      <c r="E93" s="772" t="n"/>
      <c r="F93" s="772" t="n"/>
      <c r="G93" s="772" t="n"/>
      <c r="H93" s="772" t="n"/>
      <c r="I93" s="772" t="n"/>
      <c r="J93" s="772" t="n"/>
      <c r="K93" s="772" t="n"/>
      <c r="L93" s="772" t="n"/>
      <c r="M93" s="772" t="n"/>
      <c r="N93" s="772" t="n"/>
      <c r="O93" s="772" t="n"/>
      <c r="P93" s="772" t="n"/>
      <c r="Q93" s="772" t="n"/>
      <c r="R93" s="772" t="n"/>
      <c r="S93" s="772" t="n"/>
      <c r="T93" s="772" t="n"/>
      <c r="U93" s="772" t="n"/>
      <c r="V93" s="772" t="n"/>
      <c r="W93" s="772" t="n"/>
      <c r="X93" s="772" t="n"/>
      <c r="Y93" s="772" t="n"/>
      <c r="Z93" s="772" t="n"/>
      <c r="AA93" s="772" t="n"/>
      <c r="AB93" s="772" t="n"/>
      <c r="AC93" s="772" t="n"/>
      <c r="AD93" s="772" t="n"/>
      <c r="AE93" s="772" t="n"/>
      <c r="AF93" s="772" t="n"/>
      <c r="AG93" s="772" t="n"/>
      <c r="AH93" s="772" t="n"/>
      <c r="AI93" s="772" t="n"/>
      <c r="AJ93" s="772" t="n"/>
      <c r="AK93" s="772" t="n"/>
      <c r="AL93" s="772" t="n"/>
      <c r="AM93" s="772" t="n"/>
      <c r="AN93" s="772" t="n"/>
      <c r="AO93" s="772" t="n"/>
      <c r="AP93" s="772" t="n"/>
      <c r="AQ93" s="772" t="n"/>
      <c r="AR93" s="772" t="n"/>
      <c r="AS93" s="772" t="n"/>
      <c r="AT93" s="772" t="n"/>
      <c r="AU93" s="772" t="n"/>
      <c r="AV93" s="772" t="n"/>
      <c r="AW93" s="772" t="n"/>
      <c r="AX93" s="772" t="n"/>
      <c r="AY93" s="772" t="n"/>
      <c r="AZ93" s="772" t="n"/>
      <c r="BA93" s="772" t="n"/>
      <c r="BB93" s="772" t="n"/>
      <c r="BC93" s="772" t="n"/>
      <c r="BD93" s="772" t="n"/>
      <c r="BE93" s="772" t="n"/>
      <c r="BF93" s="772" t="n"/>
      <c r="BG93" s="772" t="n"/>
      <c r="BH93" s="772" t="n"/>
      <c r="BI93" s="772" t="n"/>
      <c r="BJ93" s="772" t="n"/>
      <c r="BK93" s="772" t="n"/>
      <c r="BL93" s="772" t="n"/>
      <c r="BM93" s="772" t="n"/>
      <c r="BN93" s="772" t="n"/>
      <c r="BO93" s="772" t="n"/>
      <c r="BP93" s="772" t="n"/>
      <c r="BQ93" s="772" t="n"/>
      <c r="BR93" s="772" t="n"/>
      <c r="BS93" s="772" t="n"/>
      <c r="BT93" s="772" t="n"/>
      <c r="BU93" s="772" t="n"/>
      <c r="BV93" s="772" t="n"/>
    </row>
    <row r="94">
      <c r="A94" s="772" t="n"/>
      <c r="B94" s="772" t="n"/>
      <c r="C94" s="772" t="n"/>
      <c r="D94" s="772" t="n"/>
      <c r="E94" s="772" t="n"/>
      <c r="F94" s="772" t="n"/>
      <c r="G94" s="772" t="n"/>
      <c r="H94" s="772" t="n"/>
      <c r="I94" s="772" t="n"/>
      <c r="J94" s="772" t="n"/>
      <c r="K94" s="772" t="n"/>
      <c r="L94" s="772" t="n"/>
      <c r="M94" s="772" t="n"/>
      <c r="N94" s="772" t="n"/>
      <c r="O94" s="772" t="n"/>
      <c r="P94" s="772" t="n"/>
      <c r="Q94" s="772" t="n"/>
      <c r="R94" s="772" t="n"/>
      <c r="S94" s="772" t="n"/>
      <c r="T94" s="772" t="n"/>
      <c r="U94" s="772" t="n"/>
      <c r="V94" s="772" t="n"/>
      <c r="W94" s="772" t="n"/>
      <c r="X94" s="772" t="n"/>
      <c r="Y94" s="772" t="n"/>
      <c r="Z94" s="772" t="n"/>
      <c r="AA94" s="772" t="n"/>
      <c r="AB94" s="772" t="n"/>
      <c r="AC94" s="772" t="n"/>
      <c r="AD94" s="772" t="n"/>
      <c r="AE94" s="772" t="n"/>
      <c r="AF94" s="772" t="n"/>
      <c r="AG94" s="772" t="n"/>
      <c r="AH94" s="772" t="n"/>
      <c r="AI94" s="772" t="n"/>
      <c r="AJ94" s="772" t="n"/>
      <c r="AK94" s="772" t="n"/>
      <c r="AL94" s="772" t="n"/>
      <c r="AM94" s="772" t="n"/>
      <c r="AN94" s="772" t="n"/>
      <c r="AO94" s="772" t="n"/>
      <c r="AP94" s="772" t="n"/>
      <c r="AQ94" s="772" t="n"/>
      <c r="AR94" s="772" t="n"/>
      <c r="AS94" s="772" t="n"/>
      <c r="AT94" s="772" t="n"/>
      <c r="AU94" s="772" t="n"/>
      <c r="AV94" s="772" t="n"/>
      <c r="AW94" s="772" t="n"/>
      <c r="AX94" s="772" t="n"/>
      <c r="AY94" s="772" t="n"/>
      <c r="AZ94" s="772" t="n"/>
      <c r="BA94" s="772" t="n"/>
      <c r="BB94" s="772" t="n"/>
      <c r="BC94" s="772" t="n"/>
      <c r="BD94" s="772" t="n"/>
      <c r="BE94" s="772" t="n"/>
      <c r="BF94" s="772" t="n"/>
      <c r="BG94" s="772" t="n"/>
      <c r="BH94" s="772" t="n"/>
      <c r="BI94" s="772" t="n"/>
      <c r="BJ94" s="772" t="n"/>
      <c r="BK94" s="772" t="n"/>
      <c r="BL94" s="772" t="n"/>
      <c r="BM94" s="772" t="n"/>
      <c r="BN94" s="772" t="n"/>
      <c r="BO94" s="772" t="n"/>
      <c r="BP94" s="772" t="n"/>
      <c r="BQ94" s="772" t="n"/>
      <c r="BR94" s="772" t="n"/>
      <c r="BS94" s="772" t="n"/>
      <c r="BT94" s="772" t="n"/>
      <c r="BU94" s="772" t="n"/>
      <c r="BV94" s="772" t="n"/>
    </row>
    <row r="95">
      <c r="A95" s="772" t="n"/>
      <c r="B95" s="772" t="n"/>
      <c r="C95" s="772" t="n"/>
      <c r="D95" s="772" t="n"/>
      <c r="E95" s="772" t="n"/>
      <c r="F95" s="772" t="n"/>
      <c r="G95" s="772" t="n"/>
      <c r="H95" s="772" t="n"/>
      <c r="I95" s="772" t="n"/>
      <c r="J95" s="772" t="n"/>
      <c r="K95" s="772" t="n"/>
      <c r="L95" s="772" t="n"/>
      <c r="M95" s="772" t="n"/>
      <c r="N95" s="772" t="n"/>
      <c r="O95" s="772" t="n"/>
      <c r="P95" s="772" t="n"/>
      <c r="Q95" s="772" t="n"/>
      <c r="R95" s="772" t="n"/>
      <c r="S95" s="772" t="n"/>
      <c r="T95" s="772" t="n"/>
      <c r="U95" s="772" t="n"/>
      <c r="V95" s="772" t="n"/>
      <c r="W95" s="772" t="n"/>
      <c r="X95" s="772" t="n"/>
      <c r="Y95" s="772" t="n"/>
      <c r="Z95" s="772" t="n"/>
      <c r="AA95" s="772" t="n"/>
      <c r="AB95" s="772" t="n"/>
      <c r="AC95" s="772" t="n"/>
      <c r="AD95" s="772" t="n"/>
      <c r="AE95" s="772" t="n"/>
      <c r="AF95" s="772" t="n"/>
      <c r="AG95" s="772" t="n"/>
      <c r="AH95" s="772" t="n"/>
      <c r="AI95" s="772" t="n"/>
      <c r="AJ95" s="772" t="n"/>
      <c r="AK95" s="772" t="n"/>
      <c r="AL95" s="772" t="n"/>
      <c r="AM95" s="772" t="n"/>
      <c r="AN95" s="772" t="n"/>
      <c r="AO95" s="772" t="n"/>
      <c r="AP95" s="772" t="n"/>
      <c r="AQ95" s="772" t="n"/>
      <c r="AR95" s="772" t="n"/>
      <c r="AS95" s="772" t="n"/>
      <c r="AT95" s="772" t="n"/>
      <c r="AU95" s="772" t="n"/>
      <c r="AV95" s="772" t="n"/>
      <c r="AW95" s="772" t="n"/>
      <c r="AX95" s="772" t="n"/>
      <c r="AY95" s="772" t="n"/>
      <c r="AZ95" s="772" t="n"/>
      <c r="BA95" s="772" t="n"/>
      <c r="BB95" s="772" t="n"/>
      <c r="BC95" s="772" t="n"/>
      <c r="BD95" s="772" t="n"/>
      <c r="BE95" s="772" t="n"/>
      <c r="BF95" s="772" t="n"/>
      <c r="BG95" s="772" t="n"/>
      <c r="BH95" s="772" t="n"/>
      <c r="BI95" s="772" t="n"/>
      <c r="BJ95" s="772" t="n"/>
      <c r="BK95" s="772" t="n"/>
      <c r="BL95" s="772" t="n"/>
      <c r="BM95" s="772" t="n"/>
      <c r="BN95" s="772" t="n"/>
      <c r="BO95" s="772" t="n"/>
      <c r="BP95" s="772" t="n"/>
      <c r="BQ95" s="772" t="n"/>
      <c r="BR95" s="772" t="n"/>
      <c r="BS95" s="772" t="n"/>
      <c r="BT95" s="772" t="n"/>
      <c r="BU95" s="772" t="n"/>
      <c r="BV95" s="772" t="n"/>
    </row>
    <row r="96">
      <c r="A96" s="772" t="n"/>
      <c r="B96" s="772" t="n"/>
      <c r="C96" s="772" t="n"/>
      <c r="D96" s="772" t="n"/>
      <c r="E96" s="772" t="n"/>
      <c r="F96" s="772" t="n"/>
      <c r="G96" s="772" t="n"/>
      <c r="H96" s="772" t="n"/>
      <c r="I96" s="772" t="n"/>
      <c r="J96" s="772" t="n"/>
      <c r="K96" s="772" t="n"/>
      <c r="L96" s="772" t="n"/>
      <c r="M96" s="772" t="n"/>
      <c r="N96" s="772" t="n"/>
      <c r="O96" s="772" t="n"/>
      <c r="P96" s="772" t="n"/>
      <c r="Q96" s="772" t="n"/>
      <c r="R96" s="772" t="n"/>
      <c r="S96" s="772" t="n"/>
      <c r="T96" s="772" t="n"/>
      <c r="U96" s="772" t="n"/>
      <c r="V96" s="772" t="n"/>
      <c r="W96" s="772" t="n"/>
      <c r="X96" s="772" t="n"/>
      <c r="Y96" s="772" t="n"/>
      <c r="Z96" s="772" t="n"/>
      <c r="AA96" s="772" t="n"/>
      <c r="AB96" s="772" t="n"/>
      <c r="AC96" s="772" t="n"/>
      <c r="AD96" s="772" t="n"/>
      <c r="AE96" s="772" t="n"/>
      <c r="AF96" s="772" t="n"/>
      <c r="AG96" s="772" t="n"/>
      <c r="AH96" s="772" t="n"/>
      <c r="AI96" s="772" t="n"/>
      <c r="AJ96" s="772" t="n"/>
      <c r="AK96" s="772" t="n"/>
      <c r="AL96" s="772" t="n"/>
      <c r="AM96" s="772" t="n"/>
      <c r="AN96" s="772" t="n"/>
      <c r="AO96" s="772" t="n"/>
      <c r="AP96" s="772" t="n"/>
      <c r="AQ96" s="772" t="n"/>
      <c r="AR96" s="772" t="n"/>
      <c r="AS96" s="772" t="n"/>
      <c r="AT96" s="772" t="n"/>
      <c r="AU96" s="772" t="n"/>
      <c r="AV96" s="772" t="n"/>
      <c r="AW96" s="772" t="n"/>
      <c r="AX96" s="772" t="n"/>
      <c r="AY96" s="772" t="n"/>
      <c r="AZ96" s="772" t="n"/>
      <c r="BA96" s="772" t="n"/>
      <c r="BB96" s="772" t="n"/>
      <c r="BC96" s="772" t="n"/>
      <c r="BD96" s="772" t="n"/>
      <c r="BE96" s="772" t="n"/>
      <c r="BF96" s="772" t="n"/>
      <c r="BG96" s="772" t="n"/>
      <c r="BH96" s="772" t="n"/>
      <c r="BI96" s="772" t="n"/>
      <c r="BJ96" s="772" t="n"/>
      <c r="BK96" s="772" t="n"/>
      <c r="BL96" s="772" t="n"/>
      <c r="BM96" s="772" t="n"/>
      <c r="BN96" s="772" t="n"/>
      <c r="BO96" s="772" t="n"/>
      <c r="BP96" s="772" t="n"/>
      <c r="BQ96" s="772" t="n"/>
      <c r="BR96" s="772" t="n"/>
      <c r="BS96" s="772" t="n"/>
      <c r="BT96" s="772" t="n"/>
      <c r="BU96" s="772" t="n"/>
      <c r="BV96" s="772" t="n"/>
    </row>
    <row r="97">
      <c r="A97" s="772" t="n"/>
      <c r="B97" s="772" t="n"/>
      <c r="C97" s="772" t="n"/>
      <c r="D97" s="772" t="n"/>
      <c r="E97" s="772" t="n"/>
      <c r="F97" s="772" t="n"/>
      <c r="G97" s="772" t="n"/>
      <c r="H97" s="772" t="n"/>
      <c r="I97" s="772" t="n"/>
      <c r="J97" s="772" t="n"/>
      <c r="K97" s="772" t="n"/>
      <c r="L97" s="772" t="n"/>
      <c r="M97" s="772" t="n"/>
      <c r="N97" s="772" t="n"/>
      <c r="O97" s="772" t="n"/>
      <c r="P97" s="772" t="n"/>
      <c r="Q97" s="772" t="n"/>
      <c r="R97" s="772" t="n"/>
      <c r="S97" s="772" t="n"/>
      <c r="T97" s="772" t="n"/>
      <c r="U97" s="772" t="n"/>
      <c r="V97" s="772" t="n"/>
      <c r="W97" s="772" t="n"/>
      <c r="X97" s="772" t="n"/>
      <c r="Y97" s="772" t="n"/>
      <c r="Z97" s="772" t="n"/>
      <c r="AA97" s="772" t="n"/>
      <c r="AB97" s="772" t="n"/>
      <c r="AC97" s="772" t="n"/>
      <c r="AD97" s="772" t="n"/>
      <c r="AE97" s="772" t="n"/>
      <c r="AF97" s="772" t="n"/>
      <c r="AG97" s="772" t="n"/>
      <c r="AH97" s="772" t="n"/>
      <c r="AI97" s="772" t="n"/>
      <c r="AJ97" s="772" t="n"/>
      <c r="AK97" s="772" t="n"/>
      <c r="AL97" s="772" t="n"/>
      <c r="AM97" s="772" t="n"/>
      <c r="AN97" s="772" t="n"/>
      <c r="AO97" s="772" t="n"/>
      <c r="AP97" s="772" t="n"/>
      <c r="AQ97" s="772" t="n"/>
      <c r="AR97" s="772" t="n"/>
      <c r="AS97" s="772" t="n"/>
      <c r="AT97" s="772" t="n"/>
      <c r="AU97" s="772" t="n"/>
      <c r="AV97" s="772" t="n"/>
      <c r="AW97" s="772" t="n"/>
      <c r="AX97" s="772" t="n"/>
      <c r="AY97" s="772" t="n"/>
      <c r="AZ97" s="772" t="n"/>
      <c r="BA97" s="772" t="n"/>
      <c r="BB97" s="772" t="n"/>
      <c r="BC97" s="772" t="n"/>
      <c r="BD97" s="772" t="n"/>
      <c r="BE97" s="772" t="n"/>
      <c r="BF97" s="772" t="n"/>
      <c r="BG97" s="772" t="n"/>
      <c r="BH97" s="772" t="n"/>
      <c r="BI97" s="772" t="n"/>
      <c r="BJ97" s="772" t="n"/>
      <c r="BK97" s="772" t="n"/>
      <c r="BL97" s="772" t="n"/>
      <c r="BM97" s="772" t="n"/>
      <c r="BN97" s="772" t="n"/>
      <c r="BO97" s="772" t="n"/>
      <c r="BP97" s="772" t="n"/>
      <c r="BQ97" s="772" t="n"/>
      <c r="BR97" s="772" t="n"/>
      <c r="BS97" s="772" t="n"/>
      <c r="BT97" s="772" t="n"/>
      <c r="BU97" s="772" t="n"/>
      <c r="BV97" s="772" t="n"/>
    </row>
    <row r="98">
      <c r="A98" s="772" t="n"/>
      <c r="B98" s="772" t="n"/>
      <c r="C98" s="772" t="n"/>
      <c r="D98" s="772" t="n"/>
      <c r="E98" s="772" t="n"/>
      <c r="F98" s="772" t="n"/>
      <c r="G98" s="772" t="n"/>
      <c r="H98" s="772" t="n"/>
      <c r="I98" s="772" t="n"/>
      <c r="J98" s="772" t="n"/>
      <c r="K98" s="772" t="n"/>
      <c r="L98" s="772" t="n"/>
      <c r="M98" s="772" t="n"/>
      <c r="N98" s="772" t="n"/>
      <c r="O98" s="772" t="n"/>
      <c r="P98" s="772" t="n"/>
      <c r="Q98" s="772" t="n"/>
      <c r="R98" s="772" t="n"/>
      <c r="S98" s="772" t="n"/>
      <c r="T98" s="772" t="n"/>
      <c r="U98" s="772" t="n"/>
      <c r="V98" s="772" t="n"/>
      <c r="W98" s="772" t="n"/>
      <c r="X98" s="772" t="n"/>
      <c r="Y98" s="772" t="n"/>
      <c r="Z98" s="772" t="n"/>
      <c r="AA98" s="772" t="n"/>
      <c r="AB98" s="772" t="n"/>
      <c r="AC98" s="772" t="n"/>
      <c r="AD98" s="772" t="n"/>
      <c r="AE98" s="772" t="n"/>
      <c r="AF98" s="772" t="n"/>
      <c r="AG98" s="772" t="n"/>
      <c r="AH98" s="772" t="n"/>
      <c r="AI98" s="772" t="n"/>
      <c r="AJ98" s="772" t="n"/>
      <c r="AK98" s="772" t="n"/>
      <c r="AL98" s="772" t="n"/>
      <c r="AM98" s="772" t="n"/>
      <c r="AN98" s="772" t="n"/>
      <c r="AO98" s="772" t="n"/>
      <c r="AP98" s="772" t="n"/>
      <c r="AQ98" s="772" t="n"/>
      <c r="AR98" s="772" t="n"/>
      <c r="AS98" s="772" t="n"/>
      <c r="AT98" s="772" t="n"/>
      <c r="AU98" s="772" t="n"/>
      <c r="AV98" s="772" t="n"/>
      <c r="AW98" s="772" t="n"/>
      <c r="AX98" s="772" t="n"/>
      <c r="AY98" s="772" t="n"/>
      <c r="AZ98" s="772" t="n"/>
      <c r="BA98" s="772" t="n"/>
      <c r="BB98" s="772" t="n"/>
      <c r="BC98" s="772" t="n"/>
      <c r="BD98" s="772" t="n"/>
      <c r="BE98" s="772" t="n"/>
      <c r="BF98" s="772" t="n"/>
      <c r="BG98" s="772" t="n"/>
      <c r="BH98" s="772" t="n"/>
      <c r="BI98" s="772" t="n"/>
      <c r="BJ98" s="772" t="n"/>
      <c r="BK98" s="772" t="n"/>
      <c r="BL98" s="772" t="n"/>
      <c r="BM98" s="772" t="n"/>
      <c r="BN98" s="772" t="n"/>
      <c r="BO98" s="772" t="n"/>
      <c r="BP98" s="772" t="n"/>
      <c r="BQ98" s="772" t="n"/>
      <c r="BR98" s="772" t="n"/>
      <c r="BS98" s="772" t="n"/>
      <c r="BT98" s="772" t="n"/>
      <c r="BU98" s="772" t="n"/>
      <c r="BV98" s="772" t="n"/>
    </row>
    <row r="99">
      <c r="A99" s="772" t="n"/>
      <c r="B99" s="772" t="n"/>
      <c r="C99" s="772" t="n"/>
      <c r="D99" s="772" t="n"/>
      <c r="E99" s="772" t="n"/>
      <c r="F99" s="772" t="n"/>
      <c r="G99" s="772" t="n"/>
      <c r="H99" s="772" t="n"/>
      <c r="I99" s="772" t="n"/>
      <c r="J99" s="772" t="n"/>
      <c r="K99" s="772" t="n"/>
      <c r="L99" s="772" t="n"/>
      <c r="M99" s="772" t="n"/>
      <c r="N99" s="772" t="n"/>
      <c r="O99" s="772" t="n"/>
      <c r="P99" s="772" t="n"/>
      <c r="Q99" s="772" t="n"/>
      <c r="R99" s="772" t="n"/>
      <c r="S99" s="772" t="n"/>
      <c r="T99" s="772" t="n"/>
      <c r="U99" s="772" t="n"/>
      <c r="V99" s="772" t="n"/>
      <c r="W99" s="772" t="n"/>
      <c r="X99" s="772" t="n"/>
      <c r="Y99" s="772" t="n"/>
      <c r="Z99" s="772" t="n"/>
      <c r="AA99" s="772" t="n"/>
      <c r="AB99" s="772" t="n"/>
      <c r="AC99" s="772" t="n"/>
      <c r="AD99" s="772" t="n"/>
      <c r="AE99" s="772" t="n"/>
      <c r="AF99" s="772" t="n"/>
      <c r="AG99" s="772" t="n"/>
      <c r="AH99" s="772" t="n"/>
      <c r="AI99" s="772" t="n"/>
      <c r="AJ99" s="772" t="n"/>
      <c r="AK99" s="772" t="n"/>
      <c r="AL99" s="772" t="n"/>
      <c r="AM99" s="772" t="n"/>
      <c r="AN99" s="772" t="n"/>
      <c r="AO99" s="772" t="n"/>
      <c r="AP99" s="772" t="n"/>
      <c r="AQ99" s="772" t="n"/>
      <c r="AR99" s="772" t="n"/>
      <c r="AS99" s="772" t="n"/>
      <c r="AT99" s="772" t="n"/>
      <c r="AU99" s="772" t="n"/>
      <c r="AV99" s="772" t="n"/>
      <c r="AW99" s="772" t="n"/>
      <c r="AX99" s="772" t="n"/>
      <c r="AY99" s="772" t="n"/>
      <c r="AZ99" s="772" t="n"/>
      <c r="BA99" s="772" t="n"/>
      <c r="BB99" s="772" t="n"/>
      <c r="BC99" s="772" t="n"/>
      <c r="BD99" s="772" t="n"/>
      <c r="BE99" s="772" t="n"/>
      <c r="BF99" s="772" t="n"/>
      <c r="BG99" s="772" t="n"/>
      <c r="BH99" s="772" t="n"/>
      <c r="BI99" s="772" t="n"/>
      <c r="BJ99" s="772" t="n"/>
      <c r="BK99" s="772" t="n"/>
      <c r="BL99" s="772" t="n"/>
      <c r="BM99" s="772" t="n"/>
      <c r="BN99" s="772" t="n"/>
      <c r="BO99" s="772" t="n"/>
      <c r="BP99" s="772" t="n"/>
      <c r="BQ99" s="772" t="n"/>
      <c r="BR99" s="772" t="n"/>
      <c r="BS99" s="772" t="n"/>
      <c r="BT99" s="772" t="n"/>
      <c r="BU99" s="772" t="n"/>
      <c r="BV99" s="772" t="n"/>
    </row>
    <row r="100">
      <c r="A100" s="772" t="n"/>
      <c r="B100" s="772" t="n"/>
      <c r="C100" s="772" t="n"/>
      <c r="D100" s="772" t="n"/>
      <c r="E100" s="772" t="n"/>
      <c r="F100" s="772" t="n"/>
      <c r="G100" s="772" t="n"/>
      <c r="H100" s="772" t="n"/>
      <c r="I100" s="772" t="n"/>
      <c r="J100" s="772" t="n"/>
      <c r="K100" s="772" t="n"/>
      <c r="L100" s="772" t="n"/>
      <c r="M100" s="772" t="n"/>
      <c r="N100" s="772" t="n"/>
      <c r="O100" s="772" t="n"/>
      <c r="P100" s="772" t="n"/>
      <c r="Q100" s="772" t="n"/>
      <c r="R100" s="772" t="n"/>
      <c r="S100" s="772" t="n"/>
      <c r="T100" s="772" t="n"/>
      <c r="U100" s="772" t="n"/>
      <c r="V100" s="772" t="n"/>
      <c r="W100" s="772" t="n"/>
      <c r="X100" s="772" t="n"/>
      <c r="Y100" s="772" t="n"/>
      <c r="Z100" s="772" t="n"/>
      <c r="AA100" s="772" t="n"/>
      <c r="AB100" s="772" t="n"/>
      <c r="AC100" s="772" t="n"/>
      <c r="AD100" s="772" t="n"/>
      <c r="AE100" s="772" t="n"/>
      <c r="AF100" s="772" t="n"/>
      <c r="AG100" s="772" t="n"/>
      <c r="AH100" s="772" t="n"/>
      <c r="AI100" s="772" t="n"/>
      <c r="AJ100" s="772" t="n"/>
      <c r="AK100" s="772" t="n"/>
      <c r="AL100" s="772" t="n"/>
      <c r="AM100" s="772" t="n"/>
      <c r="AN100" s="772" t="n"/>
      <c r="AO100" s="772" t="n"/>
      <c r="AP100" s="772" t="n"/>
      <c r="AQ100" s="772" t="n"/>
      <c r="AR100" s="772" t="n"/>
      <c r="AS100" s="772" t="n"/>
      <c r="AT100" s="772" t="n"/>
      <c r="AU100" s="772" t="n"/>
      <c r="AV100" s="772" t="n"/>
      <c r="AW100" s="772" t="n"/>
      <c r="AX100" s="772" t="n"/>
      <c r="AY100" s="772" t="n"/>
      <c r="AZ100" s="772" t="n"/>
      <c r="BA100" s="772" t="n"/>
      <c r="BB100" s="772" t="n"/>
      <c r="BC100" s="772" t="n"/>
      <c r="BD100" s="772" t="n"/>
      <c r="BE100" s="772" t="n"/>
      <c r="BF100" s="772" t="n"/>
      <c r="BG100" s="772" t="n"/>
      <c r="BH100" s="772" t="n"/>
      <c r="BI100" s="772" t="n"/>
      <c r="BJ100" s="772" t="n"/>
      <c r="BK100" s="772" t="n"/>
      <c r="BL100" s="772" t="n"/>
      <c r="BM100" s="772" t="n"/>
      <c r="BN100" s="772" t="n"/>
      <c r="BO100" s="772" t="n"/>
      <c r="BP100" s="772" t="n"/>
      <c r="BQ100" s="772" t="n"/>
      <c r="BR100" s="772" t="n"/>
      <c r="BS100" s="772" t="n"/>
      <c r="BT100" s="772" t="n"/>
      <c r="BU100" s="772" t="n"/>
      <c r="BV100" s="772" t="n"/>
    </row>
    <row r="101">
      <c r="A101" s="772" t="n"/>
      <c r="B101" s="772" t="n"/>
      <c r="C101" s="772" t="n"/>
      <c r="D101" s="772" t="n"/>
      <c r="E101" s="772" t="n"/>
      <c r="F101" s="772" t="n"/>
      <c r="G101" s="772" t="n"/>
      <c r="H101" s="772" t="n"/>
      <c r="I101" s="772" t="n"/>
      <c r="J101" s="772" t="n"/>
      <c r="K101" s="772" t="n"/>
      <c r="L101" s="772" t="n"/>
      <c r="M101" s="772" t="n"/>
      <c r="N101" s="772" t="n"/>
      <c r="O101" s="772" t="n"/>
      <c r="P101" s="772" t="n"/>
      <c r="Q101" s="772" t="n"/>
      <c r="R101" s="772" t="n"/>
      <c r="S101" s="772" t="n"/>
      <c r="T101" s="772" t="n"/>
      <c r="U101" s="772" t="n"/>
      <c r="V101" s="772" t="n"/>
      <c r="W101" s="772" t="n"/>
      <c r="X101" s="772" t="n"/>
      <c r="Y101" s="772" t="n"/>
      <c r="Z101" s="772" t="n"/>
      <c r="AA101" s="772" t="n"/>
      <c r="AB101" s="772" t="n"/>
      <c r="AC101" s="772" t="n"/>
      <c r="AD101" s="772" t="n"/>
      <c r="AE101" s="772" t="n"/>
      <c r="AF101" s="772" t="n"/>
      <c r="AG101" s="772" t="n"/>
      <c r="AH101" s="772" t="n"/>
      <c r="AI101" s="772" t="n"/>
      <c r="AJ101" s="772" t="n"/>
      <c r="AK101" s="772" t="n"/>
      <c r="AL101" s="772" t="n"/>
      <c r="AM101" s="772" t="n"/>
      <c r="AN101" s="772" t="n"/>
      <c r="AO101" s="772" t="n"/>
      <c r="AP101" s="772" t="n"/>
      <c r="AQ101" s="772" t="n"/>
      <c r="AR101" s="772" t="n"/>
      <c r="AS101" s="772" t="n"/>
      <c r="AT101" s="772" t="n"/>
      <c r="AU101" s="772" t="n"/>
      <c r="AV101" s="772" t="n"/>
      <c r="AW101" s="772" t="n"/>
      <c r="AX101" s="772" t="n"/>
      <c r="AY101" s="772" t="n"/>
      <c r="AZ101" s="772" t="n"/>
      <c r="BA101" s="772" t="n"/>
      <c r="BB101" s="772" t="n"/>
      <c r="BC101" s="772" t="n"/>
      <c r="BD101" s="772" t="n"/>
      <c r="BE101" s="772" t="n"/>
      <c r="BF101" s="772" t="n"/>
      <c r="BG101" s="772" t="n"/>
      <c r="BH101" s="772" t="n"/>
      <c r="BI101" s="772" t="n"/>
      <c r="BJ101" s="772" t="n"/>
      <c r="BK101" s="772" t="n"/>
      <c r="BL101" s="772" t="n"/>
      <c r="BM101" s="772" t="n"/>
      <c r="BN101" s="772" t="n"/>
      <c r="BO101" s="772" t="n"/>
      <c r="BP101" s="772" t="n"/>
      <c r="BQ101" s="772" t="n"/>
      <c r="BR101" s="772" t="n"/>
      <c r="BS101" s="772" t="n"/>
      <c r="BT101" s="772" t="n"/>
      <c r="BU101" s="772" t="n"/>
      <c r="BV101" s="772" t="n"/>
    </row>
    <row r="102">
      <c r="A102" s="772" t="n"/>
      <c r="B102" s="772" t="n"/>
      <c r="C102" s="772" t="n"/>
      <c r="D102" s="772" t="n"/>
      <c r="E102" s="772" t="n"/>
      <c r="F102" s="772" t="n"/>
      <c r="G102" s="772" t="n"/>
      <c r="H102" s="772" t="n"/>
      <c r="I102" s="772" t="n"/>
      <c r="J102" s="772" t="n"/>
      <c r="K102" s="772" t="n"/>
      <c r="L102" s="772" t="n"/>
      <c r="M102" s="772" t="n"/>
      <c r="N102" s="772" t="n"/>
      <c r="O102" s="772" t="n"/>
      <c r="P102" s="772" t="n"/>
      <c r="Q102" s="772" t="n"/>
      <c r="R102" s="772" t="n"/>
      <c r="S102" s="772" t="n"/>
      <c r="T102" s="772" t="n"/>
      <c r="U102" s="772" t="n"/>
      <c r="V102" s="772" t="n"/>
      <c r="W102" s="772" t="n"/>
      <c r="X102" s="772" t="n"/>
      <c r="Y102" s="772" t="n"/>
      <c r="Z102" s="772" t="n"/>
      <c r="AA102" s="772" t="n"/>
      <c r="AB102" s="772" t="n"/>
      <c r="AC102" s="772" t="n"/>
      <c r="AD102" s="772" t="n"/>
      <c r="AE102" s="772" t="n"/>
      <c r="AF102" s="772" t="n"/>
      <c r="AG102" s="772" t="n"/>
      <c r="AH102" s="772" t="n"/>
      <c r="AI102" s="772" t="n"/>
      <c r="AJ102" s="772" t="n"/>
      <c r="AK102" s="772" t="n"/>
      <c r="AL102" s="772" t="n"/>
      <c r="AM102" s="772" t="n"/>
      <c r="AN102" s="772" t="n"/>
      <c r="AO102" s="772" t="n"/>
      <c r="AP102" s="772" t="n"/>
      <c r="AQ102" s="772" t="n"/>
      <c r="AR102" s="772" t="n"/>
      <c r="AS102" s="772" t="n"/>
      <c r="AT102" s="772" t="n"/>
      <c r="AU102" s="772" t="n"/>
      <c r="AV102" s="772" t="n"/>
      <c r="AW102" s="772" t="n"/>
      <c r="AX102" s="772" t="n"/>
      <c r="AY102" s="772" t="n"/>
      <c r="AZ102" s="772" t="n"/>
      <c r="BA102" s="772" t="n"/>
      <c r="BB102" s="772" t="n"/>
      <c r="BC102" s="772" t="n"/>
      <c r="BD102" s="772" t="n"/>
      <c r="BE102" s="772" t="n"/>
      <c r="BF102" s="772" t="n"/>
      <c r="BG102" s="772" t="n"/>
      <c r="BH102" s="772" t="n"/>
      <c r="BI102" s="772" t="n"/>
      <c r="BJ102" s="772" t="n"/>
      <c r="BK102" s="772" t="n"/>
      <c r="BL102" s="772" t="n"/>
      <c r="BM102" s="772" t="n"/>
      <c r="BN102" s="772" t="n"/>
      <c r="BO102" s="772" t="n"/>
      <c r="BP102" s="772" t="n"/>
      <c r="BQ102" s="772" t="n"/>
      <c r="BR102" s="772" t="n"/>
      <c r="BS102" s="772" t="n"/>
      <c r="BT102" s="772" t="n"/>
      <c r="BU102" s="772" t="n"/>
      <c r="BV102" s="772" t="n"/>
    </row>
    <row r="103">
      <c r="A103" s="772" t="n"/>
      <c r="B103" s="772" t="n"/>
      <c r="C103" s="772" t="n"/>
      <c r="D103" s="772" t="n"/>
      <c r="E103" s="772" t="n"/>
      <c r="F103" s="772" t="n"/>
      <c r="G103" s="772" t="n"/>
      <c r="H103" s="772" t="n"/>
      <c r="I103" s="772" t="n"/>
      <c r="J103" s="772" t="n"/>
      <c r="K103" s="772" t="n"/>
      <c r="L103" s="772" t="n"/>
      <c r="M103" s="772" t="n"/>
      <c r="N103" s="772" t="n"/>
      <c r="O103" s="772" t="n"/>
      <c r="P103" s="772" t="n"/>
      <c r="Q103" s="772" t="n"/>
      <c r="R103" s="772" t="n"/>
      <c r="S103" s="772" t="n"/>
      <c r="T103" s="772" t="n"/>
      <c r="U103" s="772" t="n"/>
      <c r="V103" s="772" t="n"/>
      <c r="W103" s="772" t="n"/>
      <c r="X103" s="772" t="n"/>
      <c r="Y103" s="772" t="n"/>
      <c r="Z103" s="772" t="n"/>
      <c r="AA103" s="772" t="n"/>
      <c r="AB103" s="772" t="n"/>
      <c r="AC103" s="772" t="n"/>
      <c r="AD103" s="772" t="n"/>
      <c r="AE103" s="772" t="n"/>
      <c r="AF103" s="772" t="n"/>
      <c r="AG103" s="772" t="n"/>
      <c r="AH103" s="772" t="n"/>
      <c r="AI103" s="772" t="n"/>
      <c r="AJ103" s="772" t="n"/>
      <c r="AK103" s="772" t="n"/>
      <c r="AL103" s="772" t="n"/>
      <c r="AM103" s="772" t="n"/>
      <c r="AN103" s="772" t="n"/>
      <c r="AO103" s="772" t="n"/>
      <c r="AP103" s="772" t="n"/>
      <c r="AQ103" s="772" t="n"/>
      <c r="AR103" s="772" t="n"/>
      <c r="AS103" s="772" t="n"/>
      <c r="AT103" s="772" t="n"/>
      <c r="AU103" s="772" t="n"/>
      <c r="AV103" s="772" t="n"/>
      <c r="AW103" s="772" t="n"/>
      <c r="AX103" s="772" t="n"/>
      <c r="AY103" s="772" t="n"/>
      <c r="AZ103" s="772" t="n"/>
      <c r="BA103" s="772" t="n"/>
      <c r="BB103" s="772" t="n"/>
      <c r="BC103" s="772" t="n"/>
      <c r="BD103" s="772" t="n"/>
      <c r="BE103" s="772" t="n"/>
      <c r="BF103" s="772" t="n"/>
      <c r="BG103" s="772" t="n"/>
      <c r="BH103" s="772" t="n"/>
      <c r="BI103" s="772" t="n"/>
      <c r="BJ103" s="772" t="n"/>
      <c r="BK103" s="772" t="n"/>
      <c r="BL103" s="772" t="n"/>
      <c r="BM103" s="772" t="n"/>
      <c r="BN103" s="772" t="n"/>
      <c r="BO103" s="772" t="n"/>
      <c r="BP103" s="772" t="n"/>
      <c r="BQ103" s="772" t="n"/>
      <c r="BR103" s="772" t="n"/>
      <c r="BS103" s="772" t="n"/>
      <c r="BT103" s="772" t="n"/>
      <c r="BU103" s="772" t="n"/>
      <c r="BV103" s="772" t="n"/>
    </row>
    <row r="104">
      <c r="A104" s="772" t="n"/>
      <c r="B104" s="772" t="n"/>
      <c r="C104" s="772" t="n"/>
      <c r="D104" s="772" t="n"/>
      <c r="E104" s="772" t="n"/>
      <c r="F104" s="772" t="n"/>
      <c r="G104" s="772" t="n"/>
      <c r="H104" s="772" t="n"/>
      <c r="I104" s="772" t="n"/>
      <c r="J104" s="772" t="n"/>
      <c r="K104" s="772" t="n"/>
      <c r="L104" s="772" t="n"/>
      <c r="M104" s="772" t="n"/>
      <c r="N104" s="772" t="n"/>
      <c r="O104" s="772" t="n"/>
      <c r="P104" s="772" t="n"/>
      <c r="Q104" s="772" t="n"/>
      <c r="R104" s="772" t="n"/>
      <c r="S104" s="772" t="n"/>
      <c r="T104" s="772" t="n"/>
      <c r="U104" s="772" t="n"/>
      <c r="V104" s="772" t="n"/>
      <c r="W104" s="772" t="n"/>
      <c r="X104" s="772" t="n"/>
      <c r="Y104" s="772" t="n"/>
      <c r="Z104" s="772" t="n"/>
      <c r="AA104" s="772" t="n"/>
      <c r="AB104" s="772" t="n"/>
      <c r="AC104" s="772" t="n"/>
      <c r="AD104" s="772" t="n"/>
      <c r="AE104" s="772" t="n"/>
      <c r="AF104" s="772" t="n"/>
      <c r="AG104" s="772" t="n"/>
      <c r="AH104" s="772" t="n"/>
      <c r="AI104" s="772" t="n"/>
      <c r="AJ104" s="772" t="n"/>
      <c r="AK104" s="772" t="n"/>
      <c r="AL104" s="772" t="n"/>
      <c r="AM104" s="772" t="n"/>
      <c r="AN104" s="772" t="n"/>
      <c r="AO104" s="772" t="n"/>
      <c r="AP104" s="772" t="n"/>
      <c r="AQ104" s="772" t="n"/>
      <c r="AR104" s="772" t="n"/>
      <c r="AS104" s="772" t="n"/>
      <c r="AT104" s="772" t="n"/>
      <c r="AU104" s="772" t="n"/>
      <c r="AV104" s="772" t="n"/>
      <c r="AW104" s="772" t="n"/>
      <c r="AX104" s="772" t="n"/>
      <c r="AY104" s="772" t="n"/>
      <c r="AZ104" s="772" t="n"/>
      <c r="BA104" s="772" t="n"/>
      <c r="BB104" s="772" t="n"/>
      <c r="BC104" s="772" t="n"/>
      <c r="BD104" s="772" t="n"/>
      <c r="BE104" s="772" t="n"/>
      <c r="BF104" s="772" t="n"/>
      <c r="BG104" s="772" t="n"/>
      <c r="BH104" s="772" t="n"/>
      <c r="BI104" s="772" t="n"/>
      <c r="BJ104" s="772" t="n"/>
      <c r="BK104" s="772" t="n"/>
      <c r="BL104" s="772" t="n"/>
      <c r="BM104" s="772" t="n"/>
      <c r="BN104" s="772" t="n"/>
      <c r="BO104" s="772" t="n"/>
      <c r="BP104" s="772" t="n"/>
      <c r="BQ104" s="772" t="n"/>
      <c r="BR104" s="772" t="n"/>
      <c r="BS104" s="772" t="n"/>
      <c r="BT104" s="772" t="n"/>
      <c r="BU104" s="772" t="n"/>
      <c r="BV104" s="772" t="n"/>
    </row>
    <row r="105">
      <c r="A105" s="772" t="n"/>
      <c r="B105" s="772" t="n"/>
      <c r="C105" s="772" t="n"/>
      <c r="D105" s="772" t="n"/>
      <c r="E105" s="772" t="n"/>
      <c r="F105" s="772" t="n"/>
      <c r="G105" s="772" t="n"/>
      <c r="H105" s="772" t="n"/>
      <c r="I105" s="772" t="n"/>
      <c r="J105" s="772" t="n"/>
      <c r="K105" s="772" t="n"/>
      <c r="L105" s="772" t="n"/>
      <c r="M105" s="772" t="n"/>
      <c r="N105" s="772" t="n"/>
      <c r="O105" s="772" t="n"/>
      <c r="P105" s="772" t="n"/>
      <c r="Q105" s="772" t="n"/>
      <c r="R105" s="772" t="n"/>
      <c r="S105" s="772" t="n"/>
      <c r="T105" s="772" t="n"/>
      <c r="U105" s="772" t="n"/>
      <c r="V105" s="772" t="n"/>
      <c r="W105" s="772" t="n"/>
      <c r="X105" s="772" t="n"/>
      <c r="Y105" s="772" t="n"/>
      <c r="Z105" s="772" t="n"/>
      <c r="AA105" s="772" t="n"/>
      <c r="AB105" s="772" t="n"/>
      <c r="AC105" s="772" t="n"/>
      <c r="AD105" s="772" t="n"/>
      <c r="AE105" s="772" t="n"/>
      <c r="AF105" s="772" t="n"/>
      <c r="AG105" s="772" t="n"/>
      <c r="AH105" s="772" t="n"/>
      <c r="AI105" s="772" t="n"/>
      <c r="AJ105" s="772" t="n"/>
      <c r="AK105" s="772" t="n"/>
      <c r="AL105" s="772" t="n"/>
      <c r="AM105" s="772" t="n"/>
      <c r="AN105" s="772" t="n"/>
      <c r="AO105" s="772" t="n"/>
      <c r="AP105" s="772" t="n"/>
      <c r="AQ105" s="772" t="n"/>
      <c r="AR105" s="772" t="n"/>
      <c r="AS105" s="772" t="n"/>
      <c r="AT105" s="772" t="n"/>
      <c r="AU105" s="772" t="n"/>
      <c r="AV105" s="772" t="n"/>
      <c r="AW105" s="772" t="n"/>
      <c r="AX105" s="772" t="n"/>
      <c r="AY105" s="772" t="n"/>
      <c r="AZ105" s="772" t="n"/>
      <c r="BA105" s="772" t="n"/>
      <c r="BB105" s="772" t="n"/>
      <c r="BC105" s="772" t="n"/>
      <c r="BD105" s="772" t="n"/>
      <c r="BE105" s="772" t="n"/>
      <c r="BF105" s="772" t="n"/>
      <c r="BG105" s="772" t="n"/>
      <c r="BH105" s="772" t="n"/>
      <c r="BI105" s="772" t="n"/>
      <c r="BJ105" s="772" t="n"/>
      <c r="BK105" s="772" t="n"/>
      <c r="BL105" s="772" t="n"/>
      <c r="BM105" s="772" t="n"/>
      <c r="BN105" s="772" t="n"/>
      <c r="BO105" s="772" t="n"/>
      <c r="BP105" s="772" t="n"/>
      <c r="BQ105" s="772" t="n"/>
      <c r="BR105" s="772" t="n"/>
      <c r="BS105" s="772" t="n"/>
      <c r="BT105" s="772" t="n"/>
      <c r="BU105" s="772" t="n"/>
      <c r="BV105" s="772" t="n"/>
    </row>
    <row r="106">
      <c r="A106" s="772" t="n"/>
      <c r="B106" s="772" t="n"/>
      <c r="C106" s="772" t="n"/>
      <c r="D106" s="772" t="n"/>
      <c r="E106" s="772" t="n"/>
      <c r="F106" s="772" t="n"/>
      <c r="G106" s="772" t="n"/>
      <c r="H106" s="772" t="n"/>
      <c r="I106" s="772" t="n"/>
      <c r="J106" s="772" t="n"/>
      <c r="K106" s="772" t="n"/>
      <c r="L106" s="772" t="n"/>
      <c r="M106" s="772" t="n"/>
      <c r="N106" s="772" t="n"/>
      <c r="O106" s="772" t="n"/>
      <c r="P106" s="772" t="n"/>
      <c r="Q106" s="772" t="n"/>
      <c r="R106" s="772" t="n"/>
      <c r="S106" s="772" t="n"/>
      <c r="T106" s="772" t="n"/>
      <c r="U106" s="772" t="n"/>
      <c r="V106" s="772" t="n"/>
      <c r="W106" s="772" t="n"/>
      <c r="X106" s="772" t="n"/>
      <c r="Y106" s="772" t="n"/>
      <c r="Z106" s="772" t="n"/>
      <c r="AA106" s="772" t="n"/>
      <c r="AB106" s="772" t="n"/>
      <c r="AC106" s="772" t="n"/>
      <c r="AD106" s="772" t="n"/>
      <c r="AE106" s="772" t="n"/>
      <c r="AF106" s="772" t="n"/>
      <c r="AG106" s="772" t="n"/>
      <c r="AH106" s="772" t="n"/>
      <c r="AI106" s="772" t="n"/>
      <c r="AJ106" s="772" t="n"/>
      <c r="AK106" s="772" t="n"/>
      <c r="AL106" s="772" t="n"/>
      <c r="AM106" s="772" t="n"/>
      <c r="AN106" s="772" t="n"/>
      <c r="AO106" s="772" t="n"/>
      <c r="AP106" s="772" t="n"/>
      <c r="AQ106" s="772" t="n"/>
      <c r="AR106" s="772" t="n"/>
      <c r="AS106" s="772" t="n"/>
      <c r="AT106" s="772" t="n"/>
      <c r="AU106" s="772" t="n"/>
      <c r="AV106" s="772" t="n"/>
      <c r="AW106" s="772" t="n"/>
      <c r="AX106" s="772" t="n"/>
      <c r="AY106" s="772" t="n"/>
      <c r="AZ106" s="772" t="n"/>
      <c r="BA106" s="772" t="n"/>
      <c r="BB106" s="772" t="n"/>
      <c r="BC106" s="772" t="n"/>
      <c r="BD106" s="772" t="n"/>
      <c r="BE106" s="772" t="n"/>
      <c r="BF106" s="772" t="n"/>
      <c r="BG106" s="772" t="n"/>
      <c r="BH106" s="772" t="n"/>
      <c r="BI106" s="772" t="n"/>
      <c r="BJ106" s="772" t="n"/>
      <c r="BK106" s="772" t="n"/>
      <c r="BL106" s="772" t="n"/>
      <c r="BM106" s="772" t="n"/>
      <c r="BN106" s="772" t="n"/>
      <c r="BO106" s="772" t="n"/>
      <c r="BP106" s="772" t="n"/>
      <c r="BQ106" s="772" t="n"/>
      <c r="BR106" s="772" t="n"/>
      <c r="BS106" s="772" t="n"/>
      <c r="BT106" s="772" t="n"/>
      <c r="BU106" s="772" t="n"/>
      <c r="BV106" s="772" t="n"/>
    </row>
    <row r="107">
      <c r="A107" s="772" t="n"/>
      <c r="B107" s="772" t="n"/>
      <c r="C107" s="772" t="n"/>
      <c r="D107" s="772" t="n"/>
      <c r="E107" s="772" t="n"/>
      <c r="F107" s="772" t="n"/>
      <c r="G107" s="772" t="n"/>
      <c r="H107" s="772" t="n"/>
      <c r="I107" s="772" t="n"/>
      <c r="J107" s="772" t="n"/>
      <c r="K107" s="772" t="n"/>
      <c r="L107" s="772" t="n"/>
      <c r="M107" s="772" t="n"/>
      <c r="N107" s="772" t="n"/>
      <c r="O107" s="772" t="n"/>
      <c r="P107" s="772" t="n"/>
      <c r="Q107" s="772" t="n"/>
      <c r="R107" s="772" t="n"/>
      <c r="S107" s="772" t="n"/>
      <c r="T107" s="772" t="n"/>
      <c r="U107" s="772" t="n"/>
      <c r="V107" s="772" t="n"/>
      <c r="W107" s="772" t="n"/>
      <c r="X107" s="772" t="n"/>
      <c r="Y107" s="772" t="n"/>
      <c r="Z107" s="772" t="n"/>
      <c r="AA107" s="772" t="n"/>
      <c r="AB107" s="772" t="n"/>
      <c r="AC107" s="772" t="n"/>
      <c r="AD107" s="772" t="n"/>
      <c r="AE107" s="772" t="n"/>
      <c r="AF107" s="772" t="n"/>
      <c r="AG107" s="772" t="n"/>
      <c r="AH107" s="772" t="n"/>
      <c r="AI107" s="772" t="n"/>
      <c r="AJ107" s="772" t="n"/>
      <c r="AK107" s="772" t="n"/>
      <c r="AL107" s="772" t="n"/>
      <c r="AM107" s="772" t="n"/>
      <c r="AN107" s="772" t="n"/>
      <c r="AO107" s="772" t="n"/>
      <c r="AP107" s="772" t="n"/>
      <c r="AQ107" s="772" t="n"/>
      <c r="AR107" s="772" t="n"/>
      <c r="AS107" s="772" t="n"/>
      <c r="AT107" s="772" t="n"/>
      <c r="AU107" s="772" t="n"/>
      <c r="AV107" s="772" t="n"/>
      <c r="AW107" s="772" t="n"/>
      <c r="AX107" s="772" t="n"/>
      <c r="AY107" s="772" t="n"/>
      <c r="AZ107" s="772" t="n"/>
      <c r="BA107" s="772" t="n"/>
      <c r="BB107" s="772" t="n"/>
      <c r="BC107" s="772" t="n"/>
      <c r="BD107" s="772" t="n"/>
      <c r="BE107" s="772" t="n"/>
      <c r="BF107" s="772" t="n"/>
      <c r="BG107" s="772" t="n"/>
      <c r="BH107" s="772" t="n"/>
      <c r="BI107" s="772" t="n"/>
      <c r="BJ107" s="772" t="n"/>
      <c r="BK107" s="772" t="n"/>
      <c r="BL107" s="772" t="n"/>
      <c r="BM107" s="772" t="n"/>
      <c r="BN107" s="772" t="n"/>
      <c r="BO107" s="772" t="n"/>
      <c r="BP107" s="772" t="n"/>
      <c r="BQ107" s="772" t="n"/>
      <c r="BR107" s="772" t="n"/>
      <c r="BS107" s="772" t="n"/>
      <c r="BT107" s="772" t="n"/>
      <c r="BU107" s="772" t="n"/>
      <c r="BV107" s="772" t="n"/>
    </row>
    <row r="108">
      <c r="A108" s="772" t="n"/>
      <c r="B108" s="772" t="n"/>
      <c r="C108" s="772" t="n"/>
      <c r="D108" s="772" t="n"/>
      <c r="E108" s="772" t="n"/>
      <c r="F108" s="772" t="n"/>
      <c r="G108" s="772" t="n"/>
      <c r="H108" s="772" t="n"/>
      <c r="I108" s="772" t="n"/>
      <c r="J108" s="772" t="n"/>
      <c r="K108" s="772" t="n"/>
      <c r="L108" s="772" t="n"/>
      <c r="M108" s="772" t="n"/>
      <c r="N108" s="772" t="n"/>
      <c r="O108" s="772" t="n"/>
      <c r="P108" s="772" t="n"/>
      <c r="Q108" s="772" t="n"/>
      <c r="R108" s="772" t="n"/>
      <c r="S108" s="772" t="n"/>
      <c r="T108" s="772" t="n"/>
      <c r="U108" s="772" t="n"/>
      <c r="V108" s="772" t="n"/>
      <c r="W108" s="772" t="n"/>
      <c r="X108" s="772" t="n"/>
      <c r="Y108" s="772" t="n"/>
      <c r="Z108" s="772" t="n"/>
      <c r="AA108" s="772" t="n"/>
      <c r="AB108" s="772" t="n"/>
      <c r="AC108" s="772" t="n"/>
      <c r="AD108" s="772" t="n"/>
      <c r="AE108" s="772" t="n"/>
      <c r="AF108" s="772" t="n"/>
      <c r="AG108" s="772" t="n"/>
      <c r="AH108" s="772" t="n"/>
      <c r="AI108" s="772" t="n"/>
      <c r="AJ108" s="772" t="n"/>
      <c r="AK108" s="772" t="n"/>
      <c r="AL108" s="772" t="n"/>
      <c r="AM108" s="772" t="n"/>
      <c r="AN108" s="772" t="n"/>
      <c r="AO108" s="772" t="n"/>
      <c r="AP108" s="772" t="n"/>
      <c r="AQ108" s="772" t="n"/>
      <c r="AR108" s="772" t="n"/>
      <c r="AS108" s="772" t="n"/>
      <c r="AT108" s="772" t="n"/>
      <c r="AU108" s="772" t="n"/>
      <c r="AV108" s="772" t="n"/>
      <c r="AW108" s="772" t="n"/>
      <c r="AX108" s="772" t="n"/>
      <c r="AY108" s="772" t="n"/>
      <c r="AZ108" s="772" t="n"/>
      <c r="BA108" s="772" t="n"/>
      <c r="BB108" s="772" t="n"/>
      <c r="BC108" s="772" t="n"/>
      <c r="BD108" s="772" t="n"/>
      <c r="BE108" s="772" t="n"/>
      <c r="BF108" s="772" t="n"/>
      <c r="BG108" s="772" t="n"/>
      <c r="BH108" s="772" t="n"/>
      <c r="BI108" s="772" t="n"/>
      <c r="BJ108" s="772" t="n"/>
      <c r="BK108" s="772" t="n"/>
      <c r="BL108" s="772" t="n"/>
      <c r="BM108" s="772" t="n"/>
      <c r="BN108" s="772" t="n"/>
      <c r="BO108" s="772" t="n"/>
      <c r="BP108" s="772" t="n"/>
      <c r="BQ108" s="772" t="n"/>
      <c r="BR108" s="772" t="n"/>
      <c r="BS108" s="772" t="n"/>
      <c r="BT108" s="772" t="n"/>
      <c r="BU108" s="772" t="n"/>
      <c r="BV108" s="772" t="n"/>
    </row>
    <row r="109">
      <c r="A109" s="772" t="n"/>
      <c r="B109" s="772" t="n"/>
      <c r="C109" s="772" t="n"/>
      <c r="D109" s="772" t="n"/>
      <c r="E109" s="772" t="n"/>
      <c r="F109" s="772" t="n"/>
      <c r="G109" s="772" t="n"/>
      <c r="H109" s="772" t="n"/>
      <c r="I109" s="772" t="n"/>
      <c r="J109" s="772" t="n"/>
      <c r="K109" s="772" t="n"/>
      <c r="L109" s="772" t="n"/>
      <c r="M109" s="772" t="n"/>
      <c r="N109" s="772" t="n"/>
      <c r="O109" s="772" t="n"/>
      <c r="P109" s="772" t="n"/>
      <c r="Q109" s="772" t="n"/>
      <c r="R109" s="772" t="n"/>
      <c r="S109" s="772" t="n"/>
      <c r="T109" s="772" t="n"/>
      <c r="U109" s="772" t="n"/>
      <c r="V109" s="772" t="n"/>
      <c r="W109" s="772" t="n"/>
      <c r="X109" s="772" t="n"/>
      <c r="Y109" s="772" t="n"/>
      <c r="Z109" s="772" t="n"/>
      <c r="AA109" s="772" t="n"/>
      <c r="AB109" s="772" t="n"/>
      <c r="AC109" s="772" t="n"/>
      <c r="AD109" s="772" t="n"/>
      <c r="AE109" s="772" t="n"/>
      <c r="AF109" s="772" t="n"/>
      <c r="AG109" s="772" t="n"/>
      <c r="AH109" s="772" t="n"/>
      <c r="AI109" s="772" t="n"/>
      <c r="AJ109" s="772" t="n"/>
      <c r="AK109" s="772" t="n"/>
      <c r="AL109" s="772" t="n"/>
      <c r="AM109" s="772" t="n"/>
      <c r="AN109" s="772" t="n"/>
      <c r="AO109" s="772" t="n"/>
      <c r="AP109" s="772" t="n"/>
      <c r="AQ109" s="772" t="n"/>
      <c r="AR109" s="772" t="n"/>
      <c r="AS109" s="772" t="n"/>
      <c r="AT109" s="772" t="n"/>
      <c r="AU109" s="772" t="n"/>
      <c r="AV109" s="772" t="n"/>
      <c r="AW109" s="772" t="n"/>
      <c r="AX109" s="772" t="n"/>
      <c r="AY109" s="772" t="n"/>
      <c r="AZ109" s="772" t="n"/>
      <c r="BA109" s="772" t="n"/>
      <c r="BB109" s="772" t="n"/>
      <c r="BC109" s="772" t="n"/>
      <c r="BD109" s="772" t="n"/>
      <c r="BE109" s="772" t="n"/>
      <c r="BF109" s="772" t="n"/>
      <c r="BG109" s="772" t="n"/>
      <c r="BH109" s="772" t="n"/>
      <c r="BI109" s="772" t="n"/>
      <c r="BJ109" s="772" t="n"/>
      <c r="BK109" s="772" t="n"/>
      <c r="BL109" s="772" t="n"/>
      <c r="BM109" s="772" t="n"/>
      <c r="BN109" s="772" t="n"/>
      <c r="BO109" s="772" t="n"/>
      <c r="BP109" s="772" t="n"/>
      <c r="BQ109" s="772" t="n"/>
      <c r="BR109" s="772" t="n"/>
      <c r="BS109" s="772" t="n"/>
      <c r="BT109" s="772" t="n"/>
      <c r="BU109" s="772" t="n"/>
      <c r="BV109" s="772" t="n"/>
    </row>
    <row r="110">
      <c r="A110" s="772" t="n"/>
      <c r="B110" s="772" t="n"/>
      <c r="C110" s="772" t="n"/>
      <c r="D110" s="772" t="n"/>
      <c r="E110" s="772" t="n"/>
      <c r="F110" s="772" t="n"/>
      <c r="G110" s="772" t="n"/>
      <c r="H110" s="772" t="n"/>
      <c r="I110" s="772" t="n"/>
      <c r="J110" s="772" t="n"/>
      <c r="K110" s="772" t="n"/>
      <c r="L110" s="772" t="n"/>
      <c r="M110" s="772" t="n"/>
      <c r="N110" s="772" t="n"/>
      <c r="O110" s="772" t="n"/>
      <c r="P110" s="772" t="n"/>
      <c r="Q110" s="772" t="n"/>
      <c r="R110" s="772" t="n"/>
      <c r="S110" s="772" t="n"/>
      <c r="T110" s="772" t="n"/>
      <c r="U110" s="772" t="n"/>
      <c r="V110" s="772" t="n"/>
      <c r="W110" s="772" t="n"/>
      <c r="X110" s="772" t="n"/>
      <c r="Y110" s="772" t="n"/>
      <c r="Z110" s="772" t="n"/>
      <c r="AA110" s="772" t="n"/>
      <c r="AB110" s="772" t="n"/>
      <c r="AC110" s="772" t="n"/>
      <c r="AD110" s="772" t="n"/>
      <c r="AE110" s="772" t="n"/>
      <c r="AF110" s="772" t="n"/>
      <c r="AG110" s="772" t="n"/>
      <c r="AH110" s="772" t="n"/>
      <c r="AI110" s="772" t="n"/>
      <c r="AJ110" s="772" t="n"/>
      <c r="AK110" s="772" t="n"/>
      <c r="AL110" s="772" t="n"/>
      <c r="AM110" s="772" t="n"/>
      <c r="AN110" s="772" t="n"/>
      <c r="AO110" s="772" t="n"/>
      <c r="AP110" s="772" t="n"/>
      <c r="AQ110" s="772" t="n"/>
      <c r="AR110" s="772" t="n"/>
      <c r="AS110" s="772" t="n"/>
      <c r="AT110" s="772" t="n"/>
      <c r="AU110" s="772" t="n"/>
      <c r="AV110" s="772" t="n"/>
      <c r="AW110" s="772" t="n"/>
      <c r="AX110" s="772" t="n"/>
      <c r="AY110" s="772" t="n"/>
      <c r="AZ110" s="772" t="n"/>
      <c r="BA110" s="772" t="n"/>
      <c r="BB110" s="772" t="n"/>
      <c r="BC110" s="772" t="n"/>
      <c r="BD110" s="772" t="n"/>
      <c r="BE110" s="772" t="n"/>
      <c r="BF110" s="772" t="n"/>
      <c r="BG110" s="772" t="n"/>
      <c r="BH110" s="772" t="n"/>
      <c r="BI110" s="772" t="n"/>
      <c r="BJ110" s="772" t="n"/>
      <c r="BK110" s="772" t="n"/>
      <c r="BL110" s="772" t="n"/>
      <c r="BM110" s="772" t="n"/>
      <c r="BN110" s="772" t="n"/>
      <c r="BO110" s="772" t="n"/>
      <c r="BP110" s="772" t="n"/>
      <c r="BQ110" s="772" t="n"/>
      <c r="BR110" s="772" t="n"/>
      <c r="BS110" s="772" t="n"/>
      <c r="BT110" s="772" t="n"/>
      <c r="BU110" s="772" t="n"/>
      <c r="BV110" s="772" t="n"/>
    </row>
    <row r="111">
      <c r="A111" s="772" t="n"/>
      <c r="B111" s="772" t="n"/>
      <c r="C111" s="772" t="n"/>
      <c r="D111" s="772" t="n"/>
      <c r="E111" s="772" t="n"/>
      <c r="F111" s="772" t="n"/>
      <c r="G111" s="772" t="n"/>
      <c r="H111" s="772" t="n"/>
      <c r="I111" s="772" t="n"/>
      <c r="J111" s="772" t="n"/>
      <c r="K111" s="772" t="n"/>
      <c r="L111" s="772" t="n"/>
      <c r="M111" s="772" t="n"/>
      <c r="N111" s="772" t="n"/>
      <c r="O111" s="772" t="n"/>
      <c r="P111" s="772" t="n"/>
      <c r="Q111" s="772" t="n"/>
      <c r="R111" s="772" t="n"/>
      <c r="S111" s="772" t="n"/>
      <c r="T111" s="772" t="n"/>
      <c r="U111" s="772" t="n"/>
      <c r="V111" s="772" t="n"/>
      <c r="W111" s="772" t="n"/>
      <c r="X111" s="772" t="n"/>
      <c r="Y111" s="772" t="n"/>
      <c r="Z111" s="772" t="n"/>
      <c r="AA111" s="772" t="n"/>
      <c r="AB111" s="772" t="n"/>
      <c r="AC111" s="772" t="n"/>
      <c r="AD111" s="772" t="n"/>
      <c r="AE111" s="772" t="n"/>
      <c r="AF111" s="772" t="n"/>
      <c r="AG111" s="772" t="n"/>
      <c r="AH111" s="772" t="n"/>
      <c r="AI111" s="772" t="n"/>
      <c r="AJ111" s="772" t="n"/>
      <c r="AK111" s="772" t="n"/>
      <c r="AL111" s="772" t="n"/>
      <c r="AM111" s="772" t="n"/>
      <c r="AN111" s="772" t="n"/>
      <c r="AO111" s="772" t="n"/>
      <c r="AP111" s="772" t="n"/>
      <c r="AQ111" s="772" t="n"/>
      <c r="AR111" s="772" t="n"/>
      <c r="AS111" s="772" t="n"/>
      <c r="AT111" s="772" t="n"/>
      <c r="AU111" s="772" t="n"/>
      <c r="AV111" s="772" t="n"/>
      <c r="AW111" s="772" t="n"/>
      <c r="AX111" s="772" t="n"/>
      <c r="AY111" s="772" t="n"/>
      <c r="AZ111" s="772" t="n"/>
      <c r="BA111" s="772" t="n"/>
      <c r="BB111" s="772" t="n"/>
      <c r="BC111" s="772" t="n"/>
      <c r="BD111" s="772" t="n"/>
      <c r="BE111" s="772" t="n"/>
      <c r="BF111" s="772" t="n"/>
      <c r="BG111" s="772" t="n"/>
      <c r="BH111" s="772" t="n"/>
      <c r="BI111" s="772" t="n"/>
      <c r="BJ111" s="772" t="n"/>
      <c r="BK111" s="772" t="n"/>
      <c r="BL111" s="772" t="n"/>
      <c r="BM111" s="772" t="n"/>
      <c r="BN111" s="772" t="n"/>
      <c r="BO111" s="772" t="n"/>
      <c r="BP111" s="772" t="n"/>
      <c r="BQ111" s="772" t="n"/>
      <c r="BR111" s="772" t="n"/>
      <c r="BS111" s="772" t="n"/>
      <c r="BT111" s="772" t="n"/>
      <c r="BU111" s="772" t="n"/>
      <c r="BV111" s="772" t="n"/>
    </row>
    <row r="112">
      <c r="A112" s="772" t="n"/>
      <c r="B112" s="772" t="n"/>
      <c r="C112" s="772" t="n"/>
      <c r="D112" s="772" t="n"/>
      <c r="E112" s="772" t="n"/>
      <c r="F112" s="772" t="n"/>
      <c r="G112" s="772" t="n"/>
      <c r="H112" s="772" t="n"/>
      <c r="I112" s="772" t="n"/>
      <c r="J112" s="772" t="n"/>
      <c r="K112" s="772" t="n"/>
      <c r="L112" s="772" t="n"/>
      <c r="M112" s="772" t="n"/>
      <c r="N112" s="772" t="n"/>
      <c r="O112" s="772" t="n"/>
      <c r="P112" s="772" t="n"/>
      <c r="Q112" s="772" t="n"/>
      <c r="R112" s="772" t="n"/>
      <c r="S112" s="772" t="n"/>
      <c r="T112" s="772" t="n"/>
      <c r="U112" s="772" t="n"/>
      <c r="V112" s="772" t="n"/>
      <c r="W112" s="772" t="n"/>
      <c r="X112" s="772" t="n"/>
      <c r="Y112" s="772" t="n"/>
      <c r="Z112" s="772" t="n"/>
      <c r="AA112" s="772" t="n"/>
      <c r="AB112" s="772" t="n"/>
      <c r="AC112" s="772" t="n"/>
      <c r="AD112" s="772" t="n"/>
      <c r="AE112" s="772" t="n"/>
      <c r="AF112" s="772" t="n"/>
      <c r="AG112" s="772" t="n"/>
      <c r="AH112" s="772" t="n"/>
      <c r="AI112" s="772" t="n"/>
      <c r="AJ112" s="772" t="n"/>
      <c r="AK112" s="772" t="n"/>
      <c r="AL112" s="772" t="n"/>
      <c r="AM112" s="772" t="n"/>
      <c r="AN112" s="772" t="n"/>
      <c r="AO112" s="772" t="n"/>
      <c r="AP112" s="772" t="n"/>
      <c r="AQ112" s="772" t="n"/>
      <c r="AR112" s="772" t="n"/>
      <c r="AS112" s="772" t="n"/>
      <c r="AT112" s="772" t="n"/>
      <c r="AU112" s="772" t="n"/>
      <c r="AV112" s="772" t="n"/>
      <c r="AW112" s="772" t="n"/>
      <c r="AX112" s="772" t="n"/>
      <c r="AY112" s="772" t="n"/>
      <c r="AZ112" s="772" t="n"/>
      <c r="BA112" s="772" t="n"/>
      <c r="BB112" s="772" t="n"/>
      <c r="BC112" s="772" t="n"/>
      <c r="BD112" s="772" t="n"/>
      <c r="BE112" s="772" t="n"/>
      <c r="BF112" s="772" t="n"/>
      <c r="BG112" s="772" t="n"/>
      <c r="BH112" s="772" t="n"/>
      <c r="BI112" s="772" t="n"/>
      <c r="BJ112" s="772" t="n"/>
      <c r="BK112" s="772" t="n"/>
      <c r="BL112" s="772" t="n"/>
      <c r="BM112" s="772" t="n"/>
      <c r="BN112" s="772" t="n"/>
      <c r="BO112" s="772" t="n"/>
      <c r="BP112" s="772" t="n"/>
      <c r="BQ112" s="772" t="n"/>
      <c r="BR112" s="772" t="n"/>
      <c r="BS112" s="772" t="n"/>
      <c r="BT112" s="772" t="n"/>
      <c r="BU112" s="772" t="n"/>
      <c r="BV112" s="772" t="n"/>
    </row>
    <row r="113">
      <c r="A113" s="772" t="n"/>
      <c r="B113" s="772" t="n"/>
      <c r="C113" s="772" t="n"/>
      <c r="D113" s="772" t="n"/>
      <c r="E113" s="772" t="n"/>
      <c r="F113" s="772" t="n"/>
      <c r="G113" s="772" t="n"/>
      <c r="H113" s="772" t="n"/>
      <c r="I113" s="772" t="n"/>
      <c r="J113" s="772" t="n"/>
      <c r="K113" s="772" t="n"/>
      <c r="L113" s="772" t="n"/>
      <c r="M113" s="772" t="n"/>
      <c r="N113" s="772" t="n"/>
      <c r="O113" s="772" t="n"/>
      <c r="P113" s="772" t="n"/>
      <c r="Q113" s="772" t="n"/>
      <c r="R113" s="772" t="n"/>
      <c r="S113" s="772" t="n"/>
      <c r="T113" s="772" t="n"/>
      <c r="U113" s="772" t="n"/>
      <c r="V113" s="772" t="n"/>
      <c r="W113" s="772" t="n"/>
      <c r="X113" s="772" t="n"/>
      <c r="Y113" s="772" t="n"/>
      <c r="Z113" s="772" t="n"/>
      <c r="AA113" s="772" t="n"/>
      <c r="AB113" s="772" t="n"/>
      <c r="AC113" s="772" t="n"/>
      <c r="AD113" s="772" t="n"/>
      <c r="AE113" s="772" t="n"/>
      <c r="AF113" s="772" t="n"/>
      <c r="AG113" s="772" t="n"/>
      <c r="AH113" s="772" t="n"/>
      <c r="AI113" s="772" t="n"/>
      <c r="AJ113" s="772" t="n"/>
      <c r="AK113" s="772" t="n"/>
      <c r="AL113" s="772" t="n"/>
      <c r="AM113" s="772" t="n"/>
      <c r="AN113" s="772" t="n"/>
      <c r="AO113" s="772" t="n"/>
      <c r="AP113" s="772" t="n"/>
      <c r="AQ113" s="772" t="n"/>
      <c r="AR113" s="772" t="n"/>
      <c r="AS113" s="772" t="n"/>
      <c r="AT113" s="772" t="n"/>
      <c r="AU113" s="772" t="n"/>
      <c r="AV113" s="772" t="n"/>
      <c r="AW113" s="772" t="n"/>
      <c r="AX113" s="772" t="n"/>
      <c r="AY113" s="772" t="n"/>
      <c r="AZ113" s="772" t="n"/>
      <c r="BA113" s="772" t="n"/>
      <c r="BB113" s="772" t="n"/>
      <c r="BC113" s="772" t="n"/>
      <c r="BD113" s="772" t="n"/>
      <c r="BE113" s="772" t="n"/>
      <c r="BF113" s="772" t="n"/>
      <c r="BG113" s="772" t="n"/>
      <c r="BH113" s="772" t="n"/>
      <c r="BI113" s="772" t="n"/>
      <c r="BJ113" s="772" t="n"/>
      <c r="BK113" s="772" t="n"/>
      <c r="BL113" s="772" t="n"/>
      <c r="BM113" s="772" t="n"/>
      <c r="BN113" s="772" t="n"/>
      <c r="BO113" s="772" t="n"/>
      <c r="BP113" s="772" t="n"/>
      <c r="BQ113" s="772" t="n"/>
      <c r="BR113" s="772" t="n"/>
      <c r="BS113" s="772" t="n"/>
      <c r="BT113" s="772" t="n"/>
      <c r="BU113" s="772" t="n"/>
      <c r="BV113" s="772" t="n"/>
    </row>
    <row r="114">
      <c r="A114" s="772" t="n"/>
      <c r="B114" s="772" t="n"/>
      <c r="C114" s="772" t="n"/>
      <c r="D114" s="772" t="n"/>
      <c r="E114" s="772" t="n"/>
      <c r="F114" s="772" t="n"/>
      <c r="G114" s="772" t="n"/>
      <c r="H114" s="772" t="n"/>
      <c r="I114" s="772" t="n"/>
      <c r="J114" s="772" t="n"/>
      <c r="K114" s="772" t="n"/>
      <c r="L114" s="772" t="n"/>
      <c r="M114" s="772" t="n"/>
      <c r="N114" s="772" t="n"/>
      <c r="O114" s="772" t="n"/>
      <c r="P114" s="772" t="n"/>
      <c r="Q114" s="772" t="n"/>
      <c r="R114" s="772" t="n"/>
      <c r="S114" s="772" t="n"/>
      <c r="T114" s="772" t="n"/>
      <c r="U114" s="772" t="n"/>
      <c r="V114" s="772" t="n"/>
      <c r="W114" s="772" t="n"/>
      <c r="X114" s="772" t="n"/>
      <c r="Y114" s="772" t="n"/>
      <c r="Z114" s="772" t="n"/>
      <c r="AA114" s="772" t="n"/>
      <c r="AB114" s="772" t="n"/>
      <c r="AC114" s="772" t="n"/>
      <c r="AD114" s="772" t="n"/>
      <c r="AE114" s="772" t="n"/>
      <c r="AF114" s="772" t="n"/>
      <c r="AG114" s="772" t="n"/>
      <c r="AH114" s="772" t="n"/>
      <c r="AI114" s="772" t="n"/>
      <c r="AJ114" s="772" t="n"/>
      <c r="AK114" s="772" t="n"/>
      <c r="AL114" s="772" t="n"/>
      <c r="AM114" s="772" t="n"/>
      <c r="AN114" s="772" t="n"/>
      <c r="AO114" s="772" t="n"/>
      <c r="AP114" s="772" t="n"/>
      <c r="AQ114" s="772" t="n"/>
      <c r="AR114" s="772" t="n"/>
      <c r="AS114" s="772" t="n"/>
      <c r="AT114" s="772" t="n"/>
      <c r="AU114" s="772" t="n"/>
      <c r="AV114" s="772" t="n"/>
      <c r="AW114" s="772" t="n"/>
      <c r="AX114" s="772" t="n"/>
      <c r="AY114" s="772" t="n"/>
      <c r="AZ114" s="772" t="n"/>
      <c r="BA114" s="772" t="n"/>
      <c r="BB114" s="772" t="n"/>
      <c r="BC114" s="772" t="n"/>
      <c r="BD114" s="772" t="n"/>
      <c r="BE114" s="772" t="n"/>
      <c r="BF114" s="772" t="n"/>
      <c r="BG114" s="772" t="n"/>
      <c r="BH114" s="772" t="n"/>
      <c r="BI114" s="772" t="n"/>
      <c r="BJ114" s="772" t="n"/>
      <c r="BK114" s="772" t="n"/>
      <c r="BL114" s="772" t="n"/>
      <c r="BM114" s="772" t="n"/>
      <c r="BN114" s="772" t="n"/>
      <c r="BO114" s="772" t="n"/>
      <c r="BP114" s="772" t="n"/>
      <c r="BQ114" s="772" t="n"/>
      <c r="BR114" s="772" t="n"/>
      <c r="BS114" s="772" t="n"/>
      <c r="BT114" s="772" t="n"/>
      <c r="BU114" s="772" t="n"/>
      <c r="BV114" s="772" t="n"/>
    </row>
    <row r="115">
      <c r="A115" s="772" t="n"/>
      <c r="B115" s="772" t="n"/>
      <c r="C115" s="772" t="n"/>
      <c r="D115" s="772" t="n"/>
      <c r="E115" s="772" t="n"/>
      <c r="F115" s="772" t="n"/>
      <c r="G115" s="772" t="n"/>
      <c r="H115" s="772" t="n"/>
      <c r="I115" s="772" t="n"/>
      <c r="J115" s="772" t="n"/>
      <c r="K115" s="772" t="n"/>
      <c r="L115" s="772" t="n"/>
      <c r="M115" s="772" t="n"/>
      <c r="N115" s="772" t="n"/>
      <c r="O115" s="772" t="n"/>
      <c r="P115" s="772" t="n"/>
      <c r="Q115" s="772" t="n"/>
      <c r="R115" s="772" t="n"/>
      <c r="S115" s="772" t="n"/>
      <c r="T115" s="772" t="n"/>
      <c r="U115" s="772" t="n"/>
      <c r="V115" s="772" t="n"/>
      <c r="W115" s="772" t="n"/>
      <c r="X115" s="772" t="n"/>
      <c r="Y115" s="772" t="n"/>
      <c r="Z115" s="772" t="n"/>
      <c r="AA115" s="772" t="n"/>
      <c r="AB115" s="772" t="n"/>
      <c r="AC115" s="772" t="n"/>
      <c r="AD115" s="772" t="n"/>
      <c r="AE115" s="772" t="n"/>
      <c r="AF115" s="772" t="n"/>
      <c r="AG115" s="772" t="n"/>
      <c r="AH115" s="772" t="n"/>
      <c r="AI115" s="772" t="n"/>
      <c r="AJ115" s="772" t="n"/>
      <c r="AK115" s="772" t="n"/>
      <c r="AL115" s="772" t="n"/>
      <c r="AM115" s="772" t="n"/>
      <c r="AN115" s="772" t="n"/>
      <c r="AO115" s="772" t="n"/>
      <c r="AP115" s="772" t="n"/>
      <c r="AQ115" s="772" t="n"/>
      <c r="AR115" s="772" t="n"/>
      <c r="AS115" s="772" t="n"/>
      <c r="AT115" s="772" t="n"/>
      <c r="AU115" s="772" t="n"/>
      <c r="AV115" s="772" t="n"/>
      <c r="AW115" s="772" t="n"/>
      <c r="AX115" s="772" t="n"/>
      <c r="AY115" s="772" t="n"/>
      <c r="AZ115" s="772" t="n"/>
      <c r="BA115" s="772" t="n"/>
      <c r="BB115" s="772" t="n"/>
      <c r="BC115" s="772" t="n"/>
      <c r="BD115" s="772" t="n"/>
      <c r="BE115" s="772" t="n"/>
      <c r="BF115" s="772" t="n"/>
      <c r="BG115" s="772" t="n"/>
      <c r="BH115" s="772" t="n"/>
      <c r="BI115" s="772" t="n"/>
      <c r="BJ115" s="772" t="n"/>
      <c r="BK115" s="772" t="n"/>
      <c r="BL115" s="772" t="n"/>
      <c r="BM115" s="772" t="n"/>
      <c r="BN115" s="772" t="n"/>
      <c r="BO115" s="772" t="n"/>
      <c r="BP115" s="772" t="n"/>
      <c r="BQ115" s="772" t="n"/>
      <c r="BR115" s="772" t="n"/>
      <c r="BS115" s="772" t="n"/>
      <c r="BT115" s="772" t="n"/>
      <c r="BU115" s="772" t="n"/>
      <c r="BV115" s="772" t="n"/>
    </row>
    <row r="116">
      <c r="A116" s="772" t="n"/>
      <c r="B116" s="772" t="n"/>
      <c r="C116" s="772" t="n"/>
      <c r="D116" s="772" t="n"/>
      <c r="E116" s="772" t="n"/>
      <c r="F116" s="772" t="n"/>
      <c r="G116" s="772" t="n"/>
      <c r="H116" s="772" t="n"/>
      <c r="I116" s="772" t="n"/>
      <c r="J116" s="772" t="n"/>
      <c r="K116" s="772" t="n"/>
      <c r="L116" s="772" t="n"/>
      <c r="M116" s="772" t="n"/>
      <c r="N116" s="772" t="n"/>
      <c r="O116" s="772" t="n"/>
      <c r="P116" s="772" t="n"/>
      <c r="Q116" s="772" t="n"/>
      <c r="R116" s="772" t="n"/>
      <c r="S116" s="772" t="n"/>
      <c r="T116" s="772" t="n"/>
      <c r="U116" s="772" t="n"/>
      <c r="V116" s="772" t="n"/>
      <c r="W116" s="772" t="n"/>
      <c r="X116" s="772" t="n"/>
      <c r="Y116" s="772" t="n"/>
      <c r="Z116" s="772" t="n"/>
      <c r="AA116" s="772" t="n"/>
      <c r="AB116" s="772" t="n"/>
      <c r="AC116" s="772" t="n"/>
      <c r="AD116" s="772" t="n"/>
      <c r="AE116" s="772" t="n"/>
      <c r="AF116" s="772" t="n"/>
      <c r="AG116" s="772" t="n"/>
      <c r="AH116" s="772" t="n"/>
      <c r="AI116" s="772" t="n"/>
      <c r="AJ116" s="772" t="n"/>
      <c r="AK116" s="772" t="n"/>
      <c r="AL116" s="772" t="n"/>
      <c r="AM116" s="772" t="n"/>
      <c r="AN116" s="772" t="n"/>
      <c r="AO116" s="772" t="n"/>
      <c r="AP116" s="772" t="n"/>
      <c r="AQ116" s="772" t="n"/>
      <c r="AR116" s="772" t="n"/>
      <c r="AS116" s="772" t="n"/>
      <c r="AT116" s="772" t="n"/>
      <c r="AU116" s="772" t="n"/>
      <c r="AV116" s="772" t="n"/>
      <c r="AW116" s="772" t="n"/>
      <c r="AX116" s="772" t="n"/>
      <c r="AY116" s="772" t="n"/>
      <c r="AZ116" s="772" t="n"/>
      <c r="BA116" s="772" t="n"/>
      <c r="BB116" s="772" t="n"/>
      <c r="BC116" s="772" t="n"/>
      <c r="BD116" s="772" t="n"/>
      <c r="BE116" s="772" t="n"/>
      <c r="BF116" s="772" t="n"/>
      <c r="BG116" s="772" t="n"/>
      <c r="BH116" s="772" t="n"/>
      <c r="BI116" s="772" t="n"/>
      <c r="BJ116" s="772" t="n"/>
      <c r="BK116" s="772" t="n"/>
      <c r="BL116" s="772" t="n"/>
      <c r="BM116" s="772" t="n"/>
      <c r="BN116" s="772" t="n"/>
      <c r="BO116" s="772" t="n"/>
      <c r="BP116" s="772" t="n"/>
      <c r="BQ116" s="772" t="n"/>
      <c r="BR116" s="772" t="n"/>
      <c r="BS116" s="772" t="n"/>
      <c r="BT116" s="772" t="n"/>
      <c r="BU116" s="772" t="n"/>
      <c r="BV116" s="772" t="n"/>
    </row>
    <row r="117">
      <c r="A117" s="772" t="n"/>
      <c r="B117" s="772" t="n"/>
      <c r="C117" s="772" t="n"/>
      <c r="D117" s="772" t="n"/>
      <c r="E117" s="772" t="n"/>
      <c r="F117" s="772" t="n"/>
      <c r="G117" s="772" t="n"/>
      <c r="H117" s="772" t="n"/>
      <c r="I117" s="772" t="n"/>
      <c r="J117" s="772" t="n"/>
      <c r="K117" s="772" t="n"/>
      <c r="L117" s="772" t="n"/>
      <c r="M117" s="772" t="n"/>
      <c r="N117" s="772" t="n"/>
      <c r="O117" s="772" t="n"/>
      <c r="P117" s="772" t="n"/>
      <c r="Q117" s="772" t="n"/>
      <c r="R117" s="772" t="n"/>
      <c r="S117" s="772" t="n"/>
      <c r="T117" s="772" t="n"/>
      <c r="U117" s="772" t="n"/>
      <c r="V117" s="772" t="n"/>
      <c r="W117" s="772" t="n"/>
      <c r="X117" s="772" t="n"/>
      <c r="Y117" s="772" t="n"/>
      <c r="Z117" s="772" t="n"/>
      <c r="AA117" s="772" t="n"/>
      <c r="AB117" s="772" t="n"/>
      <c r="AC117" s="772" t="n"/>
      <c r="AD117" s="772" t="n"/>
      <c r="AE117" s="772" t="n"/>
      <c r="AF117" s="772" t="n"/>
      <c r="AG117" s="772" t="n"/>
      <c r="AH117" s="772" t="n"/>
      <c r="AI117" s="772" t="n"/>
      <c r="AJ117" s="772" t="n"/>
      <c r="AK117" s="772" t="n"/>
      <c r="AL117" s="772" t="n"/>
      <c r="AM117" s="772" t="n"/>
      <c r="AN117" s="772" t="n"/>
      <c r="AO117" s="772" t="n"/>
      <c r="AP117" s="772" t="n"/>
      <c r="AQ117" s="772" t="n"/>
      <c r="AR117" s="772" t="n"/>
      <c r="AS117" s="772" t="n"/>
      <c r="AT117" s="772" t="n"/>
      <c r="AU117" s="772" t="n"/>
      <c r="AV117" s="772" t="n"/>
      <c r="AW117" s="772" t="n"/>
      <c r="AX117" s="772" t="n"/>
      <c r="AY117" s="772" t="n"/>
      <c r="AZ117" s="772" t="n"/>
      <c r="BA117" s="772" t="n"/>
      <c r="BB117" s="772" t="n"/>
      <c r="BC117" s="772" t="n"/>
      <c r="BD117" s="772" t="n"/>
      <c r="BE117" s="772" t="n"/>
      <c r="BF117" s="772" t="n"/>
      <c r="BG117" s="772" t="n"/>
      <c r="BH117" s="772" t="n"/>
      <c r="BI117" s="772" t="n"/>
      <c r="BJ117" s="772" t="n"/>
      <c r="BK117" s="772" t="n"/>
      <c r="BL117" s="772" t="n"/>
      <c r="BM117" s="772" t="n"/>
      <c r="BN117" s="772" t="n"/>
      <c r="BO117" s="772" t="n"/>
      <c r="BP117" s="772" t="n"/>
      <c r="BQ117" s="772" t="n"/>
      <c r="BR117" s="772" t="n"/>
      <c r="BS117" s="772" t="n"/>
      <c r="BT117" s="772" t="n"/>
      <c r="BU117" s="772" t="n"/>
      <c r="BV117" s="772" t="n"/>
    </row>
    <row r="118">
      <c r="A118" s="772" t="n"/>
      <c r="B118" s="772" t="n"/>
      <c r="C118" s="772" t="n"/>
      <c r="D118" s="772" t="n"/>
      <c r="E118" s="772" t="n"/>
      <c r="F118" s="772" t="n"/>
      <c r="G118" s="772" t="n"/>
      <c r="H118" s="772" t="n"/>
      <c r="I118" s="772" t="n"/>
      <c r="J118" s="772" t="n"/>
      <c r="K118" s="772" t="n"/>
      <c r="L118" s="772" t="n"/>
      <c r="M118" s="772" t="n"/>
      <c r="N118" s="772" t="n"/>
      <c r="O118" s="772" t="n"/>
      <c r="P118" s="772" t="n"/>
      <c r="Q118" s="772" t="n"/>
      <c r="R118" s="772" t="n"/>
      <c r="S118" s="772" t="n"/>
      <c r="T118" s="772" t="n"/>
      <c r="U118" s="772" t="n"/>
      <c r="V118" s="772" t="n"/>
      <c r="W118" s="772" t="n"/>
      <c r="X118" s="772" t="n"/>
      <c r="Y118" s="772" t="n"/>
      <c r="Z118" s="772" t="n"/>
      <c r="AA118" s="772" t="n"/>
      <c r="AB118" s="772" t="n"/>
      <c r="AC118" s="772" t="n"/>
      <c r="AD118" s="772" t="n"/>
      <c r="AE118" s="772" t="n"/>
      <c r="AF118" s="772" t="n"/>
      <c r="AG118" s="772" t="n"/>
      <c r="AH118" s="772" t="n"/>
      <c r="AI118" s="772" t="n"/>
      <c r="AJ118" s="772" t="n"/>
      <c r="AK118" s="772" t="n"/>
      <c r="AL118" s="772" t="n"/>
      <c r="AM118" s="772" t="n"/>
      <c r="AN118" s="772" t="n"/>
      <c r="AO118" s="772" t="n"/>
      <c r="AP118" s="772" t="n"/>
      <c r="AQ118" s="772" t="n"/>
      <c r="AR118" s="772" t="n"/>
      <c r="AS118" s="772" t="n"/>
      <c r="AT118" s="772" t="n"/>
      <c r="AU118" s="772" t="n"/>
      <c r="AV118" s="772" t="n"/>
      <c r="AW118" s="772" t="n"/>
      <c r="AX118" s="772" t="n"/>
      <c r="AY118" s="772" t="n"/>
      <c r="AZ118" s="772" t="n"/>
      <c r="BA118" s="772" t="n"/>
      <c r="BB118" s="772" t="n"/>
      <c r="BC118" s="772" t="n"/>
      <c r="BD118" s="772" t="n"/>
      <c r="BE118" s="772" t="n"/>
      <c r="BF118" s="772" t="n"/>
      <c r="BG118" s="772" t="n"/>
      <c r="BH118" s="772" t="n"/>
      <c r="BI118" s="772" t="n"/>
      <c r="BJ118" s="772" t="n"/>
      <c r="BK118" s="772" t="n"/>
      <c r="BL118" s="772" t="n"/>
      <c r="BM118" s="772" t="n"/>
      <c r="BN118" s="772" t="n"/>
      <c r="BO118" s="772" t="n"/>
      <c r="BP118" s="772" t="n"/>
      <c r="BQ118" s="772" t="n"/>
      <c r="BR118" s="772" t="n"/>
      <c r="BS118" s="772" t="n"/>
      <c r="BT118" s="772" t="n"/>
      <c r="BU118" s="772" t="n"/>
      <c r="BV118" s="772" t="n"/>
    </row>
    <row r="119">
      <c r="A119" s="772" t="n"/>
      <c r="B119" s="772" t="n"/>
      <c r="C119" s="772" t="n"/>
      <c r="D119" s="772" t="n"/>
      <c r="E119" s="772" t="n"/>
      <c r="F119" s="772" t="n"/>
      <c r="G119" s="772" t="n"/>
      <c r="H119" s="772" t="n"/>
      <c r="I119" s="772" t="n"/>
      <c r="J119" s="772" t="n"/>
      <c r="K119" s="772" t="n"/>
      <c r="L119" s="772" t="n"/>
      <c r="M119" s="772" t="n"/>
      <c r="N119" s="772" t="n"/>
      <c r="O119" s="772" t="n"/>
      <c r="P119" s="772" t="n"/>
      <c r="Q119" s="772" t="n"/>
      <c r="R119" s="772" t="n"/>
      <c r="S119" s="772" t="n"/>
      <c r="T119" s="772" t="n"/>
      <c r="U119" s="772" t="n"/>
      <c r="V119" s="772" t="n"/>
      <c r="W119" s="772" t="n"/>
      <c r="X119" s="772" t="n"/>
      <c r="Y119" s="772" t="n"/>
      <c r="Z119" s="772" t="n"/>
      <c r="AA119" s="772" t="n"/>
      <c r="AB119" s="772" t="n"/>
      <c r="AC119" s="772" t="n"/>
      <c r="AD119" s="772" t="n"/>
      <c r="AE119" s="772" t="n"/>
      <c r="AF119" s="772" t="n"/>
      <c r="AG119" s="772" t="n"/>
      <c r="AH119" s="772" t="n"/>
      <c r="AI119" s="772" t="n"/>
      <c r="AJ119" s="772" t="n"/>
      <c r="AK119" s="772" t="n"/>
      <c r="AL119" s="772" t="n"/>
      <c r="AM119" s="772" t="n"/>
      <c r="AN119" s="772" t="n"/>
      <c r="AO119" s="772" t="n"/>
      <c r="AP119" s="772" t="n"/>
      <c r="AQ119" s="772" t="n"/>
      <c r="AR119" s="772" t="n"/>
      <c r="AS119" s="772" t="n"/>
      <c r="AT119" s="772" t="n"/>
      <c r="AU119" s="772" t="n"/>
      <c r="AV119" s="772" t="n"/>
      <c r="AW119" s="772" t="n"/>
      <c r="AX119" s="772" t="n"/>
      <c r="AY119" s="772" t="n"/>
      <c r="AZ119" s="772" t="n"/>
      <c r="BA119" s="772" t="n"/>
      <c r="BB119" s="772" t="n"/>
      <c r="BC119" s="772" t="n"/>
      <c r="BD119" s="772" t="n"/>
      <c r="BE119" s="772" t="n"/>
      <c r="BF119" s="772" t="n"/>
      <c r="BG119" s="772" t="n"/>
      <c r="BH119" s="772" t="n"/>
      <c r="BI119" s="772" t="n"/>
      <c r="BJ119" s="772" t="n"/>
      <c r="BK119" s="772" t="n"/>
      <c r="BL119" s="772" t="n"/>
      <c r="BM119" s="772" t="n"/>
      <c r="BN119" s="772" t="n"/>
      <c r="BO119" s="772" t="n"/>
      <c r="BP119" s="772" t="n"/>
      <c r="BQ119" s="772" t="n"/>
      <c r="BR119" s="772" t="n"/>
      <c r="BS119" s="772" t="n"/>
      <c r="BT119" s="772" t="n"/>
      <c r="BU119" s="772" t="n"/>
      <c r="BV119" s="772" t="n"/>
    </row>
    <row r="120">
      <c r="A120" s="772" t="n"/>
      <c r="B120" s="772" t="n"/>
      <c r="C120" s="772" t="n"/>
      <c r="D120" s="772" t="n"/>
      <c r="E120" s="772" t="n"/>
      <c r="F120" s="772" t="n"/>
      <c r="G120" s="772" t="n"/>
      <c r="H120" s="772" t="n"/>
      <c r="I120" s="772" t="n"/>
      <c r="J120" s="772" t="n"/>
      <c r="K120" s="772" t="n"/>
      <c r="L120" s="772" t="n"/>
      <c r="M120" s="772" t="n"/>
      <c r="N120" s="772" t="n"/>
      <c r="O120" s="772" t="n"/>
      <c r="P120" s="772" t="n"/>
      <c r="Q120" s="772" t="n"/>
      <c r="R120" s="772" t="n"/>
      <c r="S120" s="772" t="n"/>
      <c r="T120" s="772" t="n"/>
      <c r="U120" s="772" t="n"/>
      <c r="V120" s="772" t="n"/>
      <c r="W120" s="772" t="n"/>
      <c r="X120" s="772" t="n"/>
      <c r="Y120" s="772" t="n"/>
      <c r="Z120" s="772" t="n"/>
      <c r="AA120" s="772" t="n"/>
      <c r="AB120" s="772" t="n"/>
      <c r="AC120" s="772" t="n"/>
      <c r="AD120" s="772" t="n"/>
      <c r="AE120" s="772" t="n"/>
      <c r="AF120" s="772" t="n"/>
      <c r="AG120" s="772" t="n"/>
      <c r="AH120" s="772" t="n"/>
      <c r="AI120" s="772" t="n"/>
      <c r="AJ120" s="772" t="n"/>
      <c r="AK120" s="772" t="n"/>
      <c r="AL120" s="772" t="n"/>
      <c r="AM120" s="772" t="n"/>
      <c r="AN120" s="772" t="n"/>
      <c r="AO120" s="772" t="n"/>
      <c r="AP120" s="772" t="n"/>
      <c r="AQ120" s="772" t="n"/>
      <c r="AR120" s="772" t="n"/>
      <c r="AS120" s="772" t="n"/>
      <c r="AT120" s="772" t="n"/>
      <c r="AU120" s="772" t="n"/>
      <c r="AV120" s="772" t="n"/>
      <c r="AW120" s="772" t="n"/>
      <c r="AX120" s="772" t="n"/>
      <c r="AY120" s="772" t="n"/>
      <c r="AZ120" s="772" t="n"/>
      <c r="BA120" s="772" t="n"/>
      <c r="BB120" s="772" t="n"/>
      <c r="BC120" s="772" t="n"/>
      <c r="BD120" s="772" t="n"/>
      <c r="BE120" s="772" t="n"/>
      <c r="BF120" s="772" t="n"/>
      <c r="BG120" s="772" t="n"/>
      <c r="BH120" s="772" t="n"/>
      <c r="BI120" s="772" t="n"/>
      <c r="BJ120" s="772" t="n"/>
      <c r="BK120" s="772" t="n"/>
      <c r="BL120" s="772" t="n"/>
      <c r="BM120" s="772" t="n"/>
      <c r="BN120" s="772" t="n"/>
      <c r="BO120" s="772" t="n"/>
      <c r="BP120" s="772" t="n"/>
      <c r="BQ120" s="772" t="n"/>
      <c r="BR120" s="772" t="n"/>
      <c r="BS120" s="772" t="n"/>
      <c r="BT120" s="772" t="n"/>
      <c r="BU120" s="772" t="n"/>
      <c r="BV120" s="772" t="n"/>
    </row>
    <row r="121">
      <c r="A121" s="772" t="n"/>
      <c r="B121" s="772" t="n"/>
      <c r="C121" s="772" t="n"/>
      <c r="D121" s="772" t="n"/>
      <c r="E121" s="772" t="n"/>
      <c r="F121" s="772" t="n"/>
      <c r="G121" s="772" t="n"/>
      <c r="H121" s="772" t="n"/>
      <c r="I121" s="772" t="n"/>
      <c r="J121" s="772" t="n"/>
      <c r="K121" s="772" t="n"/>
      <c r="L121" s="772" t="n"/>
      <c r="M121" s="772" t="n"/>
      <c r="N121" s="772" t="n"/>
      <c r="O121" s="772" t="n"/>
      <c r="P121" s="772" t="n"/>
      <c r="Q121" s="772" t="n"/>
      <c r="R121" s="772" t="n"/>
      <c r="S121" s="772" t="n"/>
      <c r="T121" s="772" t="n"/>
      <c r="U121" s="772" t="n"/>
      <c r="V121" s="772" t="n"/>
      <c r="W121" s="772" t="n"/>
      <c r="X121" s="772" t="n"/>
      <c r="Y121" s="772" t="n"/>
      <c r="Z121" s="772" t="n"/>
      <c r="AA121" s="772" t="n"/>
      <c r="AB121" s="772" t="n"/>
      <c r="AC121" s="772" t="n"/>
      <c r="AD121" s="772" t="n"/>
      <c r="AE121" s="772" t="n"/>
      <c r="AF121" s="772" t="n"/>
      <c r="AG121" s="772" t="n"/>
      <c r="AH121" s="772" t="n"/>
      <c r="AI121" s="772" t="n"/>
      <c r="AJ121" s="772" t="n"/>
      <c r="AK121" s="772" t="n"/>
      <c r="AL121" s="772" t="n"/>
      <c r="AM121" s="772" t="n"/>
      <c r="AN121" s="772" t="n"/>
      <c r="AO121" s="772" t="n"/>
      <c r="AP121" s="772" t="n"/>
      <c r="AQ121" s="772" t="n"/>
      <c r="AR121" s="772" t="n"/>
      <c r="AS121" s="772" t="n"/>
      <c r="AT121" s="772" t="n"/>
      <c r="AU121" s="772" t="n"/>
      <c r="AV121" s="772" t="n"/>
      <c r="AW121" s="772" t="n"/>
      <c r="AX121" s="772" t="n"/>
      <c r="AY121" s="772" t="n"/>
      <c r="AZ121" s="772" t="n"/>
      <c r="BA121" s="772" t="n"/>
      <c r="BB121" s="772" t="n"/>
      <c r="BC121" s="772" t="n"/>
      <c r="BD121" s="772" t="n"/>
      <c r="BE121" s="772" t="n"/>
      <c r="BF121" s="772" t="n"/>
      <c r="BG121" s="772" t="n"/>
      <c r="BH121" s="772" t="n"/>
      <c r="BI121" s="772" t="n"/>
      <c r="BJ121" s="772" t="n"/>
      <c r="BK121" s="772" t="n"/>
      <c r="BL121" s="772" t="n"/>
      <c r="BM121" s="772" t="n"/>
      <c r="BN121" s="772" t="n"/>
      <c r="BO121" s="772" t="n"/>
      <c r="BP121" s="772" t="n"/>
      <c r="BQ121" s="772" t="n"/>
      <c r="BR121" s="772" t="n"/>
      <c r="BS121" s="772" t="n"/>
      <c r="BT121" s="772" t="n"/>
      <c r="BU121" s="772" t="n"/>
      <c r="BV121" s="772" t="n"/>
    </row>
    <row r="122">
      <c r="A122" s="772" t="n"/>
      <c r="B122" s="772" t="n"/>
      <c r="C122" s="772" t="n"/>
      <c r="D122" s="772" t="n"/>
      <c r="E122" s="772" t="n"/>
      <c r="F122" s="772" t="n"/>
      <c r="G122" s="772" t="n"/>
      <c r="H122" s="772" t="n"/>
      <c r="I122" s="772" t="n"/>
      <c r="J122" s="772" t="n"/>
      <c r="K122" s="772" t="n"/>
      <c r="L122" s="772" t="n"/>
      <c r="M122" s="772" t="n"/>
      <c r="N122" s="772" t="n"/>
      <c r="O122" s="772" t="n"/>
      <c r="P122" s="772" t="n"/>
      <c r="Q122" s="772" t="n"/>
      <c r="R122" s="772" t="n"/>
      <c r="S122" s="772" t="n"/>
      <c r="T122" s="772" t="n"/>
      <c r="U122" s="772" t="n"/>
      <c r="V122" s="772" t="n"/>
      <c r="W122" s="772" t="n"/>
      <c r="X122" s="772" t="n"/>
      <c r="Y122" s="772" t="n"/>
      <c r="Z122" s="772" t="n"/>
      <c r="AA122" s="772" t="n"/>
      <c r="AB122" s="772" t="n"/>
      <c r="AC122" s="772" t="n"/>
      <c r="AD122" s="772" t="n"/>
      <c r="AE122" s="772" t="n"/>
      <c r="AF122" s="772" t="n"/>
      <c r="AG122" s="772" t="n"/>
      <c r="AH122" s="772" t="n"/>
      <c r="AI122" s="772" t="n"/>
      <c r="AJ122" s="772" t="n"/>
      <c r="AK122" s="772" t="n"/>
      <c r="AL122" s="772" t="n"/>
      <c r="AM122" s="772" t="n"/>
      <c r="AN122" s="772" t="n"/>
      <c r="AO122" s="772" t="n"/>
      <c r="AP122" s="772" t="n"/>
      <c r="AQ122" s="772" t="n"/>
      <c r="AR122" s="772" t="n"/>
      <c r="AS122" s="772" t="n"/>
      <c r="AT122" s="772" t="n"/>
      <c r="AU122" s="772" t="n"/>
      <c r="AV122" s="772" t="n"/>
      <c r="AW122" s="772" t="n"/>
      <c r="AX122" s="772" t="n"/>
      <c r="AY122" s="772" t="n"/>
      <c r="AZ122" s="772" t="n"/>
      <c r="BA122" s="772" t="n"/>
      <c r="BB122" s="772" t="n"/>
      <c r="BC122" s="772" t="n"/>
      <c r="BD122" s="772" t="n"/>
      <c r="BE122" s="772" t="n"/>
      <c r="BF122" s="772" t="n"/>
      <c r="BG122" s="772" t="n"/>
      <c r="BH122" s="772" t="n"/>
      <c r="BI122" s="772" t="n"/>
      <c r="BJ122" s="772" t="n"/>
      <c r="BK122" s="772" t="n"/>
      <c r="BL122" s="772" t="n"/>
      <c r="BM122" s="772" t="n"/>
      <c r="BN122" s="772" t="n"/>
      <c r="BO122" s="772" t="n"/>
      <c r="BP122" s="772" t="n"/>
      <c r="BQ122" s="772" t="n"/>
      <c r="BR122" s="772" t="n"/>
      <c r="BS122" s="772" t="n"/>
      <c r="BT122" s="772" t="n"/>
      <c r="BU122" s="772" t="n"/>
      <c r="BV122" s="772" t="n"/>
    </row>
    <row r="123">
      <c r="A123" s="772" t="n"/>
      <c r="B123" s="772" t="n"/>
      <c r="C123" s="772" t="n"/>
      <c r="D123" s="772" t="n"/>
      <c r="E123" s="772" t="n"/>
      <c r="F123" s="772" t="n"/>
      <c r="G123" s="772" t="n"/>
      <c r="H123" s="772" t="n"/>
      <c r="I123" s="772" t="n"/>
      <c r="J123" s="772" t="n"/>
      <c r="K123" s="772" t="n"/>
      <c r="L123" s="772" t="n"/>
      <c r="M123" s="772" t="n"/>
      <c r="N123" s="772" t="n"/>
      <c r="O123" s="772" t="n"/>
      <c r="P123" s="772" t="n"/>
      <c r="Q123" s="772" t="n"/>
      <c r="R123" s="772" t="n"/>
      <c r="S123" s="772" t="n"/>
      <c r="T123" s="772" t="n"/>
      <c r="U123" s="772" t="n"/>
      <c r="V123" s="772" t="n"/>
      <c r="W123" s="772" t="n"/>
      <c r="X123" s="772" t="n"/>
      <c r="Y123" s="772" t="n"/>
      <c r="Z123" s="772" t="n"/>
      <c r="AA123" s="772" t="n"/>
      <c r="AB123" s="772" t="n"/>
      <c r="AC123" s="772" t="n"/>
      <c r="AD123" s="772" t="n"/>
      <c r="AE123" s="772" t="n"/>
      <c r="AF123" s="772" t="n"/>
      <c r="AG123" s="772" t="n"/>
      <c r="AH123" s="772" t="n"/>
      <c r="AI123" s="772" t="n"/>
      <c r="AJ123" s="772" t="n"/>
      <c r="AK123" s="772" t="n"/>
      <c r="AL123" s="772" t="n"/>
      <c r="AM123" s="772" t="n"/>
      <c r="AN123" s="772" t="n"/>
      <c r="AO123" s="772" t="n"/>
      <c r="AP123" s="772" t="n"/>
      <c r="AQ123" s="772" t="n"/>
      <c r="AR123" s="772" t="n"/>
      <c r="AS123" s="772" t="n"/>
      <c r="AT123" s="772" t="n"/>
      <c r="AU123" s="772" t="n"/>
      <c r="AV123" s="772" t="n"/>
      <c r="AW123" s="772" t="n"/>
      <c r="AX123" s="772" t="n"/>
      <c r="AY123" s="772" t="n"/>
      <c r="AZ123" s="772" t="n"/>
      <c r="BA123" s="772" t="n"/>
      <c r="BB123" s="772" t="n"/>
      <c r="BC123" s="772" t="n"/>
      <c r="BD123" s="772" t="n"/>
      <c r="BE123" s="772" t="n"/>
      <c r="BF123" s="772" t="n"/>
      <c r="BG123" s="772" t="n"/>
      <c r="BH123" s="772" t="n"/>
      <c r="BI123" s="772" t="n"/>
      <c r="BJ123" s="772" t="n"/>
      <c r="BK123" s="772" t="n"/>
      <c r="BL123" s="772" t="n"/>
      <c r="BM123" s="772" t="n"/>
      <c r="BN123" s="772" t="n"/>
      <c r="BO123" s="772" t="n"/>
      <c r="BP123" s="772" t="n"/>
      <c r="BQ123" s="772" t="n"/>
      <c r="BR123" s="772" t="n"/>
      <c r="BS123" s="772" t="n"/>
      <c r="BT123" s="772" t="n"/>
      <c r="BU123" s="772" t="n"/>
      <c r="BV123" s="772" t="n"/>
    </row>
    <row r="124">
      <c r="A124" s="772" t="n"/>
      <c r="B124" s="772" t="n"/>
      <c r="C124" s="772" t="n"/>
      <c r="D124" s="772" t="n"/>
      <c r="E124" s="772" t="n"/>
      <c r="F124" s="772" t="n"/>
      <c r="G124" s="772" t="n"/>
      <c r="H124" s="772" t="n"/>
      <c r="I124" s="772" t="n"/>
      <c r="J124" s="772" t="n"/>
      <c r="K124" s="772" t="n"/>
      <c r="L124" s="772" t="n"/>
      <c r="M124" s="772" t="n"/>
      <c r="N124" s="772" t="n"/>
      <c r="O124" s="772" t="n"/>
      <c r="P124" s="772" t="n"/>
      <c r="Q124" s="772" t="n"/>
      <c r="R124" s="772" t="n"/>
      <c r="S124" s="772" t="n"/>
      <c r="T124" s="772" t="n"/>
      <c r="U124" s="772" t="n"/>
      <c r="V124" s="772" t="n"/>
      <c r="W124" s="772" t="n"/>
      <c r="X124" s="772" t="n"/>
      <c r="Y124" s="772" t="n"/>
      <c r="Z124" s="772" t="n"/>
      <c r="AA124" s="772" t="n"/>
      <c r="AB124" s="772" t="n"/>
      <c r="AC124" s="772" t="n"/>
      <c r="AD124" s="772" t="n"/>
      <c r="AE124" s="772" t="n"/>
      <c r="AF124" s="772" t="n"/>
      <c r="AG124" s="772" t="n"/>
      <c r="AH124" s="772" t="n"/>
      <c r="AI124" s="772" t="n"/>
      <c r="AJ124" s="772" t="n"/>
      <c r="AK124" s="772" t="n"/>
      <c r="AL124" s="772" t="n"/>
      <c r="AM124" s="772" t="n"/>
      <c r="AN124" s="772" t="n"/>
      <c r="AO124" s="772" t="n"/>
      <c r="AP124" s="772" t="n"/>
      <c r="AQ124" s="772" t="n"/>
      <c r="AR124" s="772" t="n"/>
      <c r="AS124" s="772" t="n"/>
      <c r="AT124" s="772" t="n"/>
      <c r="AU124" s="772" t="n"/>
      <c r="AV124" s="772" t="n"/>
      <c r="AW124" s="772" t="n"/>
      <c r="AX124" s="772" t="n"/>
      <c r="AY124" s="772" t="n"/>
      <c r="AZ124" s="772" t="n"/>
      <c r="BA124" s="772" t="n"/>
      <c r="BB124" s="772" t="n"/>
      <c r="BC124" s="772" t="n"/>
      <c r="BD124" s="772" t="n"/>
      <c r="BE124" s="772" t="n"/>
      <c r="BF124" s="772" t="n"/>
      <c r="BG124" s="772" t="n"/>
      <c r="BH124" s="772" t="n"/>
      <c r="BI124" s="772" t="n"/>
      <c r="BJ124" s="772" t="n"/>
      <c r="BK124" s="772" t="n"/>
      <c r="BL124" s="772" t="n"/>
      <c r="BM124" s="772" t="n"/>
      <c r="BN124" s="772" t="n"/>
      <c r="BO124" s="772" t="n"/>
      <c r="BP124" s="772" t="n"/>
      <c r="BQ124" s="772" t="n"/>
      <c r="BR124" s="772" t="n"/>
      <c r="BS124" s="772" t="n"/>
      <c r="BT124" s="772" t="n"/>
      <c r="BU124" s="772" t="n"/>
      <c r="BV124" s="772" t="n"/>
    </row>
    <row r="125">
      <c r="A125" s="772" t="n"/>
      <c r="B125" s="772" t="n"/>
      <c r="C125" s="772" t="n"/>
      <c r="D125" s="772" t="n"/>
      <c r="E125" s="772" t="n"/>
      <c r="F125" s="772" t="n"/>
      <c r="G125" s="772" t="n"/>
      <c r="H125" s="772" t="n"/>
      <c r="I125" s="772" t="n"/>
      <c r="J125" s="772" t="n"/>
      <c r="K125" s="772" t="n"/>
      <c r="L125" s="772" t="n"/>
      <c r="M125" s="772" t="n"/>
      <c r="N125" s="772" t="n"/>
      <c r="O125" s="772" t="n"/>
      <c r="P125" s="772" t="n"/>
      <c r="Q125" s="772" t="n"/>
      <c r="R125" s="772" t="n"/>
      <c r="S125" s="772" t="n"/>
      <c r="T125" s="772" t="n"/>
      <c r="U125" s="772" t="n"/>
      <c r="V125" s="772" t="n"/>
      <c r="W125" s="772" t="n"/>
      <c r="X125" s="772" t="n"/>
      <c r="Y125" s="772" t="n"/>
      <c r="Z125" s="772" t="n"/>
      <c r="AA125" s="772" t="n"/>
      <c r="AB125" s="772" t="n"/>
      <c r="AC125" s="772" t="n"/>
      <c r="AD125" s="772" t="n"/>
      <c r="AE125" s="772" t="n"/>
      <c r="AF125" s="772" t="n"/>
      <c r="AG125" s="772" t="n"/>
      <c r="AH125" s="772" t="n"/>
      <c r="AI125" s="772" t="n"/>
      <c r="AJ125" s="772" t="n"/>
      <c r="AK125" s="772" t="n"/>
      <c r="AL125" s="772" t="n"/>
      <c r="AM125" s="772" t="n"/>
      <c r="AN125" s="772" t="n"/>
      <c r="AO125" s="772" t="n"/>
      <c r="AP125" s="772" t="n"/>
      <c r="AQ125" s="772" t="n"/>
      <c r="AR125" s="772" t="n"/>
      <c r="AS125" s="772" t="n"/>
      <c r="AT125" s="772" t="n"/>
      <c r="AU125" s="772" t="n"/>
      <c r="AV125" s="772" t="n"/>
      <c r="AW125" s="772" t="n"/>
      <c r="AX125" s="772" t="n"/>
      <c r="AY125" s="772" t="n"/>
      <c r="AZ125" s="772" t="n"/>
      <c r="BA125" s="772" t="n"/>
      <c r="BB125" s="772" t="n"/>
      <c r="BC125" s="772" t="n"/>
      <c r="BD125" s="772" t="n"/>
      <c r="BE125" s="772" t="n"/>
      <c r="BF125" s="772" t="n"/>
      <c r="BG125" s="772" t="n"/>
      <c r="BH125" s="772" t="n"/>
      <c r="BI125" s="772" t="n"/>
      <c r="BJ125" s="772" t="n"/>
      <c r="BK125" s="772" t="n"/>
      <c r="BL125" s="772" t="n"/>
      <c r="BM125" s="772" t="n"/>
      <c r="BN125" s="772" t="n"/>
      <c r="BO125" s="772" t="n"/>
      <c r="BP125" s="772" t="n"/>
      <c r="BQ125" s="772" t="n"/>
      <c r="BR125" s="772" t="n"/>
      <c r="BS125" s="772" t="n"/>
      <c r="BT125" s="772" t="n"/>
      <c r="BU125" s="772" t="n"/>
      <c r="BV125" s="772" t="n"/>
    </row>
    <row r="126">
      <c r="A126" s="772" t="n"/>
      <c r="B126" s="772" t="n"/>
      <c r="C126" s="772" t="n"/>
      <c r="D126" s="772" t="n"/>
      <c r="E126" s="772" t="n"/>
      <c r="F126" s="772" t="n"/>
      <c r="G126" s="772" t="n"/>
      <c r="H126" s="772" t="n"/>
      <c r="I126" s="772" t="n"/>
      <c r="J126" s="772" t="n"/>
      <c r="K126" s="772" t="n"/>
      <c r="L126" s="772" t="n"/>
      <c r="M126" s="772" t="n"/>
      <c r="N126" s="772" t="n"/>
      <c r="O126" s="772" t="n"/>
      <c r="P126" s="772" t="n"/>
      <c r="Q126" s="772" t="n"/>
      <c r="R126" s="772" t="n"/>
      <c r="S126" s="772" t="n"/>
      <c r="T126" s="772" t="n"/>
      <c r="U126" s="772" t="n"/>
      <c r="V126" s="772" t="n"/>
      <c r="W126" s="772" t="n"/>
      <c r="X126" s="772" t="n"/>
      <c r="Y126" s="772" t="n"/>
      <c r="Z126" s="772" t="n"/>
      <c r="AA126" s="772" t="n"/>
      <c r="AB126" s="772" t="n"/>
      <c r="AC126" s="772" t="n"/>
      <c r="AD126" s="772" t="n"/>
      <c r="AE126" s="772" t="n"/>
      <c r="AF126" s="772" t="n"/>
      <c r="AG126" s="772" t="n"/>
      <c r="AH126" s="772" t="n"/>
      <c r="AI126" s="772" t="n"/>
      <c r="AJ126" s="772" t="n"/>
      <c r="AK126" s="772" t="n"/>
      <c r="AL126" s="772" t="n"/>
      <c r="AM126" s="772" t="n"/>
      <c r="AN126" s="772" t="n"/>
      <c r="AO126" s="772" t="n"/>
      <c r="AP126" s="772" t="n"/>
      <c r="AQ126" s="772" t="n"/>
      <c r="AR126" s="772" t="n"/>
      <c r="AS126" s="772" t="n"/>
      <c r="AT126" s="772" t="n"/>
      <c r="AU126" s="772" t="n"/>
      <c r="AV126" s="772" t="n"/>
      <c r="AW126" s="772" t="n"/>
      <c r="AX126" s="772" t="n"/>
      <c r="AY126" s="772" t="n"/>
      <c r="AZ126" s="772" t="n"/>
      <c r="BA126" s="772" t="n"/>
      <c r="BB126" s="772" t="n"/>
      <c r="BC126" s="772" t="n"/>
      <c r="BD126" s="772" t="n"/>
      <c r="BE126" s="772" t="n"/>
      <c r="BF126" s="772" t="n"/>
      <c r="BG126" s="772" t="n"/>
      <c r="BH126" s="772" t="n"/>
      <c r="BI126" s="772" t="n"/>
      <c r="BJ126" s="772" t="n"/>
      <c r="BK126" s="772" t="n"/>
      <c r="BL126" s="772" t="n"/>
      <c r="BM126" s="772" t="n"/>
      <c r="BN126" s="772" t="n"/>
      <c r="BO126" s="772" t="n"/>
      <c r="BP126" s="772" t="n"/>
      <c r="BQ126" s="772" t="n"/>
      <c r="BR126" s="772" t="n"/>
      <c r="BS126" s="772" t="n"/>
      <c r="BT126" s="772" t="n"/>
      <c r="BU126" s="772" t="n"/>
      <c r="BV126" s="772" t="n"/>
    </row>
    <row r="127">
      <c r="A127" s="772" t="n"/>
      <c r="B127" s="772" t="n"/>
      <c r="C127" s="772" t="n"/>
      <c r="D127" s="772" t="n"/>
      <c r="E127" s="772" t="n"/>
      <c r="F127" s="772" t="n"/>
      <c r="G127" s="772" t="n"/>
      <c r="H127" s="772" t="n"/>
      <c r="I127" s="772" t="n"/>
      <c r="J127" s="772" t="n"/>
      <c r="K127" s="772" t="n"/>
      <c r="L127" s="772" t="n"/>
      <c r="M127" s="772" t="n"/>
      <c r="N127" s="772" t="n"/>
      <c r="O127" s="772" t="n"/>
      <c r="P127" s="772" t="n"/>
      <c r="Q127" s="772" t="n"/>
      <c r="R127" s="772" t="n"/>
      <c r="S127" s="772" t="n"/>
      <c r="T127" s="772" t="n"/>
      <c r="U127" s="772" t="n"/>
      <c r="V127" s="772" t="n"/>
      <c r="W127" s="772" t="n"/>
      <c r="X127" s="772" t="n"/>
      <c r="Y127" s="772" t="n"/>
      <c r="Z127" s="772" t="n"/>
      <c r="AA127" s="772" t="n"/>
      <c r="AB127" s="772" t="n"/>
      <c r="AC127" s="772" t="n"/>
      <c r="AD127" s="772" t="n"/>
      <c r="AE127" s="772" t="n"/>
      <c r="AF127" s="772" t="n"/>
      <c r="AG127" s="772" t="n"/>
      <c r="AH127" s="772" t="n"/>
      <c r="AI127" s="772" t="n"/>
      <c r="AJ127" s="772" t="n"/>
      <c r="AK127" s="772" t="n"/>
      <c r="AL127" s="772" t="n"/>
      <c r="AM127" s="772" t="n"/>
      <c r="AN127" s="772" t="n"/>
      <c r="AO127" s="772" t="n"/>
      <c r="AP127" s="772" t="n"/>
      <c r="AQ127" s="772" t="n"/>
      <c r="AR127" s="772" t="n"/>
      <c r="AS127" s="772" t="n"/>
      <c r="AT127" s="772" t="n"/>
      <c r="AU127" s="772" t="n"/>
      <c r="AV127" s="772" t="n"/>
      <c r="AW127" s="772" t="n"/>
      <c r="AX127" s="772" t="n"/>
      <c r="AY127" s="772" t="n"/>
      <c r="AZ127" s="772" t="n"/>
      <c r="BA127" s="772" t="n"/>
      <c r="BB127" s="772" t="n"/>
      <c r="BC127" s="772" t="n"/>
      <c r="BD127" s="772" t="n"/>
      <c r="BE127" s="772" t="n"/>
      <c r="BF127" s="772" t="n"/>
      <c r="BG127" s="772" t="n"/>
      <c r="BH127" s="772" t="n"/>
      <c r="BI127" s="772" t="n"/>
      <c r="BJ127" s="772" t="n"/>
      <c r="BK127" s="772" t="n"/>
      <c r="BL127" s="772" t="n"/>
      <c r="BM127" s="772" t="n"/>
      <c r="BN127" s="772" t="n"/>
      <c r="BO127" s="772" t="n"/>
      <c r="BP127" s="772" t="n"/>
      <c r="BQ127" s="772" t="n"/>
      <c r="BR127" s="772" t="n"/>
      <c r="BS127" s="772" t="n"/>
      <c r="BT127" s="772" t="n"/>
      <c r="BU127" s="772" t="n"/>
      <c r="BV127" s="772" t="n"/>
    </row>
    <row r="128">
      <c r="A128" s="772" t="n"/>
      <c r="B128" s="772" t="n"/>
      <c r="C128" s="772" t="n"/>
      <c r="D128" s="772" t="n"/>
      <c r="E128" s="772" t="n"/>
      <c r="F128" s="772" t="n"/>
      <c r="G128" s="772" t="n"/>
      <c r="H128" s="772" t="n"/>
      <c r="I128" s="772" t="n"/>
      <c r="J128" s="772" t="n"/>
      <c r="K128" s="772" t="n"/>
      <c r="L128" s="772" t="n"/>
      <c r="M128" s="772" t="n"/>
      <c r="N128" s="772" t="n"/>
      <c r="O128" s="772" t="n"/>
      <c r="P128" s="772" t="n"/>
      <c r="Q128" s="772" t="n"/>
      <c r="R128" s="772" t="n"/>
      <c r="S128" s="772" t="n"/>
      <c r="T128" s="772" t="n"/>
      <c r="U128" s="772" t="n"/>
      <c r="V128" s="772" t="n"/>
      <c r="W128" s="772" t="n"/>
      <c r="X128" s="772" t="n"/>
      <c r="Y128" s="772" t="n"/>
      <c r="Z128" s="772" t="n"/>
      <c r="AA128" s="772" t="n"/>
      <c r="AB128" s="772" t="n"/>
      <c r="AC128" s="772" t="n"/>
      <c r="AD128" s="772" t="n"/>
      <c r="AE128" s="772" t="n"/>
      <c r="AF128" s="772" t="n"/>
      <c r="AG128" s="772" t="n"/>
      <c r="AH128" s="772" t="n"/>
      <c r="AI128" s="772" t="n"/>
      <c r="AJ128" s="772" t="n"/>
      <c r="AK128" s="772" t="n"/>
      <c r="AL128" s="772" t="n"/>
      <c r="AM128" s="772" t="n"/>
      <c r="AN128" s="772" t="n"/>
      <c r="AO128" s="772" t="n"/>
      <c r="AP128" s="772" t="n"/>
      <c r="AQ128" s="772" t="n"/>
      <c r="AR128" s="772" t="n"/>
      <c r="AS128" s="772" t="n"/>
      <c r="AT128" s="772" t="n"/>
      <c r="AU128" s="772" t="n"/>
      <c r="AV128" s="772" t="n"/>
      <c r="AW128" s="772" t="n"/>
      <c r="AX128" s="772" t="n"/>
      <c r="AY128" s="772" t="n"/>
      <c r="AZ128" s="772" t="n"/>
      <c r="BA128" s="772" t="n"/>
      <c r="BB128" s="772" t="n"/>
      <c r="BC128" s="772" t="n"/>
      <c r="BD128" s="772" t="n"/>
      <c r="BE128" s="772" t="n"/>
      <c r="BF128" s="772" t="n"/>
      <c r="BG128" s="772" t="n"/>
      <c r="BH128" s="772" t="n"/>
      <c r="BI128" s="772" t="n"/>
      <c r="BJ128" s="772" t="n"/>
      <c r="BK128" s="772" t="n"/>
      <c r="BL128" s="772" t="n"/>
      <c r="BM128" s="772" t="n"/>
      <c r="BN128" s="772" t="n"/>
      <c r="BO128" s="772" t="n"/>
      <c r="BP128" s="772" t="n"/>
      <c r="BQ128" s="772" t="n"/>
      <c r="BR128" s="772" t="n"/>
      <c r="BS128" s="772" t="n"/>
      <c r="BT128" s="772" t="n"/>
      <c r="BU128" s="772" t="n"/>
      <c r="BV128" s="772" t="n"/>
    </row>
    <row r="129">
      <c r="A129" s="772" t="n"/>
      <c r="B129" s="772" t="n"/>
      <c r="C129" s="772" t="n"/>
      <c r="D129" s="772" t="n"/>
      <c r="E129" s="772" t="n"/>
      <c r="F129" s="772" t="n"/>
      <c r="G129" s="772" t="n"/>
      <c r="H129" s="772" t="n"/>
      <c r="I129" s="772" t="n"/>
      <c r="J129" s="772" t="n"/>
      <c r="K129" s="772" t="n"/>
      <c r="L129" s="772" t="n"/>
      <c r="M129" s="772" t="n"/>
      <c r="N129" s="772" t="n"/>
      <c r="O129" s="772" t="n"/>
      <c r="P129" s="772" t="n"/>
      <c r="Q129" s="772" t="n"/>
      <c r="R129" s="772" t="n"/>
      <c r="S129" s="772" t="n"/>
      <c r="T129" s="772" t="n"/>
      <c r="U129" s="772" t="n"/>
      <c r="V129" s="772" t="n"/>
      <c r="W129" s="772" t="n"/>
      <c r="X129" s="772" t="n"/>
      <c r="Y129" s="772" t="n"/>
      <c r="Z129" s="772" t="n"/>
      <c r="AA129" s="772" t="n"/>
      <c r="AB129" s="772" t="n"/>
      <c r="AC129" s="772" t="n"/>
      <c r="AD129" s="772" t="n"/>
      <c r="AE129" s="772" t="n"/>
      <c r="AF129" s="772" t="n"/>
      <c r="AG129" s="772" t="n"/>
      <c r="AH129" s="772" t="n"/>
      <c r="AI129" s="772" t="n"/>
      <c r="AJ129" s="772" t="n"/>
      <c r="AK129" s="772" t="n"/>
      <c r="AL129" s="772" t="n"/>
      <c r="AM129" s="772" t="n"/>
      <c r="AN129" s="772" t="n"/>
      <c r="AO129" s="772" t="n"/>
      <c r="AP129" s="772" t="n"/>
      <c r="AQ129" s="772" t="n"/>
      <c r="AR129" s="772" t="n"/>
      <c r="AS129" s="772" t="n"/>
      <c r="AT129" s="772" t="n"/>
      <c r="AU129" s="772" t="n"/>
      <c r="AV129" s="772" t="n"/>
      <c r="AW129" s="772" t="n"/>
      <c r="AX129" s="772" t="n"/>
      <c r="AY129" s="772" t="n"/>
      <c r="AZ129" s="772" t="n"/>
      <c r="BA129" s="772" t="n"/>
      <c r="BB129" s="772" t="n"/>
      <c r="BC129" s="772" t="n"/>
      <c r="BD129" s="772" t="n"/>
      <c r="BE129" s="772" t="n"/>
      <c r="BF129" s="772" t="n"/>
      <c r="BG129" s="772" t="n"/>
      <c r="BH129" s="772" t="n"/>
      <c r="BI129" s="772" t="n"/>
      <c r="BJ129" s="772" t="n"/>
      <c r="BK129" s="772" t="n"/>
      <c r="BL129" s="772" t="n"/>
      <c r="BM129" s="772" t="n"/>
      <c r="BN129" s="772" t="n"/>
      <c r="BO129" s="772" t="n"/>
      <c r="BP129" s="772" t="n"/>
      <c r="BQ129" s="772" t="n"/>
      <c r="BR129" s="772" t="n"/>
      <c r="BS129" s="772" t="n"/>
      <c r="BT129" s="772" t="n"/>
      <c r="BU129" s="772" t="n"/>
      <c r="BV129" s="772" t="n"/>
    </row>
    <row r="130">
      <c r="A130" s="772" t="n"/>
      <c r="B130" s="772" t="n"/>
      <c r="C130" s="772" t="n"/>
      <c r="D130" s="772" t="n"/>
      <c r="E130" s="772" t="n"/>
      <c r="F130" s="772" t="n"/>
      <c r="G130" s="772" t="n"/>
      <c r="H130" s="772" t="n"/>
      <c r="I130" s="772" t="n"/>
      <c r="J130" s="772" t="n"/>
      <c r="K130" s="772" t="n"/>
      <c r="L130" s="772" t="n"/>
      <c r="M130" s="772" t="n"/>
      <c r="N130" s="772" t="n"/>
      <c r="O130" s="772" t="n"/>
      <c r="P130" s="772" t="n"/>
      <c r="Q130" s="772" t="n"/>
      <c r="R130" s="772" t="n"/>
      <c r="S130" s="772" t="n"/>
      <c r="T130" s="772" t="n"/>
      <c r="U130" s="772" t="n"/>
      <c r="V130" s="772" t="n"/>
      <c r="W130" s="772" t="n"/>
      <c r="X130" s="772" t="n"/>
      <c r="Y130" s="772" t="n"/>
      <c r="Z130" s="772" t="n"/>
      <c r="AA130" s="772" t="n"/>
      <c r="AB130" s="772" t="n"/>
      <c r="AC130" s="772" t="n"/>
      <c r="AD130" s="772" t="n"/>
      <c r="AE130" s="772" t="n"/>
      <c r="AF130" s="772" t="n"/>
      <c r="AG130" s="772" t="n"/>
      <c r="AH130" s="772" t="n"/>
      <c r="AI130" s="772" t="n"/>
      <c r="AJ130" s="772" t="n"/>
      <c r="AK130" s="772" t="n"/>
      <c r="AL130" s="772" t="n"/>
      <c r="AM130" s="772" t="n"/>
      <c r="AN130" s="772" t="n"/>
      <c r="AO130" s="772" t="n"/>
      <c r="AP130" s="772" t="n"/>
      <c r="AQ130" s="772" t="n"/>
      <c r="AR130" s="772" t="n"/>
      <c r="AS130" s="772" t="n"/>
      <c r="AT130" s="772" t="n"/>
      <c r="AU130" s="772" t="n"/>
      <c r="AV130" s="772" t="n"/>
      <c r="AW130" s="772" t="n"/>
      <c r="AX130" s="772" t="n"/>
      <c r="AY130" s="772" t="n"/>
      <c r="AZ130" s="772" t="n"/>
      <c r="BA130" s="772" t="n"/>
      <c r="BB130" s="772" t="n"/>
      <c r="BC130" s="772" t="n"/>
      <c r="BD130" s="772" t="n"/>
      <c r="BE130" s="772" t="n"/>
      <c r="BF130" s="772" t="n"/>
      <c r="BG130" s="772" t="n"/>
      <c r="BH130" s="772" t="n"/>
      <c r="BI130" s="772" t="n"/>
      <c r="BJ130" s="772" t="n"/>
      <c r="BK130" s="772" t="n"/>
      <c r="BL130" s="772" t="n"/>
      <c r="BM130" s="772" t="n"/>
      <c r="BN130" s="772" t="n"/>
      <c r="BO130" s="772" t="n"/>
      <c r="BP130" s="772" t="n"/>
      <c r="BQ130" s="772" t="n"/>
      <c r="BR130" s="772" t="n"/>
      <c r="BS130" s="772" t="n"/>
      <c r="BT130" s="772" t="n"/>
      <c r="BU130" s="772" t="n"/>
      <c r="BV130" s="772" t="n"/>
    </row>
    <row r="131">
      <c r="A131" s="772" t="n"/>
      <c r="B131" s="772" t="n"/>
      <c r="C131" s="772" t="n"/>
      <c r="D131" s="772" t="n"/>
      <c r="E131" s="772" t="n"/>
      <c r="F131" s="772" t="n"/>
      <c r="G131" s="772" t="n"/>
      <c r="H131" s="772" t="n"/>
      <c r="I131" s="772" t="n"/>
      <c r="J131" s="772" t="n"/>
      <c r="K131" s="772" t="n"/>
      <c r="L131" s="772" t="n"/>
      <c r="M131" s="772" t="n"/>
      <c r="N131" s="772" t="n"/>
      <c r="O131" s="772" t="n"/>
      <c r="P131" s="772" t="n"/>
      <c r="Q131" s="772" t="n"/>
      <c r="R131" s="772" t="n"/>
      <c r="S131" s="772" t="n"/>
      <c r="T131" s="772" t="n"/>
      <c r="U131" s="772" t="n"/>
      <c r="V131" s="772" t="n"/>
      <c r="W131" s="772" t="n"/>
      <c r="X131" s="772" t="n"/>
      <c r="Y131" s="772" t="n"/>
      <c r="Z131" s="772" t="n"/>
      <c r="AA131" s="772" t="n"/>
      <c r="AB131" s="772" t="n"/>
      <c r="AC131" s="772" t="n"/>
      <c r="AD131" s="772" t="n"/>
      <c r="AE131" s="772" t="n"/>
      <c r="AF131" s="772" t="n"/>
      <c r="AG131" s="772" t="n"/>
      <c r="AH131" s="772" t="n"/>
      <c r="AI131" s="772" t="n"/>
      <c r="AJ131" s="772" t="n"/>
      <c r="AK131" s="772" t="n"/>
      <c r="AL131" s="772" t="n"/>
      <c r="AM131" s="772" t="n"/>
      <c r="AN131" s="772" t="n"/>
      <c r="AO131" s="772" t="n"/>
      <c r="AP131" s="772" t="n"/>
      <c r="AQ131" s="772" t="n"/>
      <c r="AR131" s="772" t="n"/>
      <c r="AS131" s="772" t="n"/>
      <c r="AT131" s="772" t="n"/>
      <c r="AU131" s="772" t="n"/>
      <c r="AV131" s="772" t="n"/>
      <c r="AW131" s="772" t="n"/>
      <c r="AX131" s="772" t="n"/>
      <c r="AY131" s="772" t="n"/>
      <c r="AZ131" s="772" t="n"/>
      <c r="BA131" s="772" t="n"/>
      <c r="BB131" s="772" t="n"/>
      <c r="BC131" s="772" t="n"/>
      <c r="BD131" s="772" t="n"/>
      <c r="BE131" s="772" t="n"/>
      <c r="BF131" s="772" t="n"/>
      <c r="BG131" s="772" t="n"/>
      <c r="BH131" s="772" t="n"/>
      <c r="BI131" s="772" t="n"/>
      <c r="BJ131" s="772" t="n"/>
      <c r="BK131" s="772" t="n"/>
      <c r="BL131" s="772" t="n"/>
      <c r="BM131" s="772" t="n"/>
      <c r="BN131" s="772" t="n"/>
      <c r="BO131" s="772" t="n"/>
      <c r="BP131" s="772" t="n"/>
      <c r="BQ131" s="772" t="n"/>
      <c r="BR131" s="772" t="n"/>
      <c r="BS131" s="772" t="n"/>
      <c r="BT131" s="772" t="n"/>
      <c r="BU131" s="772" t="n"/>
      <c r="BV131" s="772" t="n"/>
    </row>
    <row r="132">
      <c r="A132" s="772" t="n"/>
      <c r="B132" s="772" t="n"/>
      <c r="C132" s="772" t="n"/>
      <c r="D132" s="772" t="n"/>
      <c r="E132" s="772" t="n"/>
      <c r="F132" s="772" t="n"/>
      <c r="G132" s="772" t="n"/>
      <c r="H132" s="772" t="n"/>
      <c r="I132" s="772" t="n"/>
      <c r="J132" s="772" t="n"/>
      <c r="K132" s="772" t="n"/>
      <c r="L132" s="772" t="n"/>
      <c r="M132" s="772" t="n"/>
      <c r="N132" s="772" t="n"/>
      <c r="O132" s="772" t="n"/>
      <c r="P132" s="772" t="n"/>
      <c r="Q132" s="772" t="n"/>
      <c r="R132" s="772" t="n"/>
      <c r="S132" s="772" t="n"/>
      <c r="T132" s="772" t="n"/>
      <c r="U132" s="772" t="n"/>
      <c r="V132" s="772" t="n"/>
      <c r="W132" s="772" t="n"/>
      <c r="X132" s="772" t="n"/>
      <c r="Y132" s="772" t="n"/>
      <c r="Z132" s="772" t="n"/>
      <c r="AA132" s="772" t="n"/>
      <c r="AB132" s="772" t="n"/>
      <c r="AC132" s="772" t="n"/>
      <c r="AD132" s="772" t="n"/>
      <c r="AE132" s="772" t="n"/>
      <c r="AF132" s="772" t="n"/>
      <c r="AG132" s="772" t="n"/>
      <c r="AH132" s="772" t="n"/>
      <c r="AI132" s="772" t="n"/>
      <c r="AJ132" s="772" t="n"/>
      <c r="AK132" s="772" t="n"/>
      <c r="AL132" s="772" t="n"/>
      <c r="AM132" s="772" t="n"/>
      <c r="AN132" s="772" t="n"/>
      <c r="AO132" s="772" t="n"/>
      <c r="AP132" s="772" t="n"/>
      <c r="AQ132" s="772" t="n"/>
      <c r="AR132" s="772" t="n"/>
      <c r="AS132" s="772" t="n"/>
      <c r="AT132" s="772" t="n"/>
      <c r="AU132" s="772" t="n"/>
      <c r="AV132" s="772" t="n"/>
      <c r="AW132" s="772" t="n"/>
      <c r="AX132" s="772" t="n"/>
      <c r="AY132" s="772" t="n"/>
      <c r="AZ132" s="772" t="n"/>
      <c r="BA132" s="772" t="n"/>
      <c r="BB132" s="772" t="n"/>
      <c r="BC132" s="772" t="n"/>
      <c r="BD132" s="772" t="n"/>
      <c r="BE132" s="772" t="n"/>
      <c r="BF132" s="772" t="n"/>
      <c r="BG132" s="772" t="n"/>
      <c r="BH132" s="772" t="n"/>
      <c r="BI132" s="772" t="n"/>
      <c r="BJ132" s="772" t="n"/>
      <c r="BK132" s="772" t="n"/>
      <c r="BL132" s="772" t="n"/>
      <c r="BM132" s="772" t="n"/>
      <c r="BN132" s="772" t="n"/>
      <c r="BO132" s="772" t="n"/>
      <c r="BP132" s="772" t="n"/>
      <c r="BQ132" s="772" t="n"/>
      <c r="BR132" s="772" t="n"/>
      <c r="BS132" s="772" t="n"/>
      <c r="BT132" s="772" t="n"/>
      <c r="BU132" s="772" t="n"/>
      <c r="BV132" s="772" t="n"/>
    </row>
    <row r="133">
      <c r="A133" s="772" t="n"/>
      <c r="B133" s="772" t="n"/>
      <c r="C133" s="772" t="n"/>
      <c r="D133" s="772" t="n"/>
      <c r="E133" s="772" t="n"/>
      <c r="F133" s="772" t="n"/>
      <c r="G133" s="772" t="n"/>
      <c r="H133" s="772" t="n"/>
      <c r="I133" s="772" t="n"/>
      <c r="J133" s="772" t="n"/>
      <c r="K133" s="772" t="n"/>
      <c r="L133" s="772" t="n"/>
      <c r="M133" s="772" t="n"/>
      <c r="N133" s="772" t="n"/>
      <c r="O133" s="772" t="n"/>
      <c r="P133" s="772" t="n"/>
      <c r="Q133" s="772" t="n"/>
      <c r="R133" s="772" t="n"/>
      <c r="S133" s="772" t="n"/>
      <c r="T133" s="772" t="n"/>
      <c r="U133" s="772" t="n"/>
      <c r="V133" s="772" t="n"/>
      <c r="W133" s="772" t="n"/>
      <c r="X133" s="772" t="n"/>
      <c r="Y133" s="772" t="n"/>
      <c r="Z133" s="772" t="n"/>
      <c r="AA133" s="772" t="n"/>
      <c r="AB133" s="772" t="n"/>
      <c r="AC133" s="772" t="n"/>
      <c r="AD133" s="772" t="n"/>
      <c r="AE133" s="772" t="n"/>
      <c r="AF133" s="772" t="n"/>
      <c r="AG133" s="772" t="n"/>
      <c r="AH133" s="772" t="n"/>
      <c r="AI133" s="772" t="n"/>
      <c r="AJ133" s="772" t="n"/>
      <c r="AK133" s="772" t="n"/>
      <c r="AL133" s="772" t="n"/>
      <c r="AM133" s="772" t="n"/>
      <c r="AN133" s="772" t="n"/>
      <c r="AO133" s="772" t="n"/>
      <c r="AP133" s="772" t="n"/>
      <c r="AQ133" s="772" t="n"/>
      <c r="AR133" s="772" t="n"/>
      <c r="AS133" s="772" t="n"/>
      <c r="AT133" s="772" t="n"/>
      <c r="AU133" s="772" t="n"/>
      <c r="AV133" s="772" t="n"/>
      <c r="AW133" s="772" t="n"/>
      <c r="AX133" s="772" t="n"/>
      <c r="AY133" s="772" t="n"/>
      <c r="AZ133" s="772" t="n"/>
      <c r="BA133" s="772" t="n"/>
      <c r="BB133" s="772" t="n"/>
      <c r="BC133" s="772" t="n"/>
      <c r="BD133" s="772" t="n"/>
      <c r="BE133" s="772" t="n"/>
      <c r="BF133" s="772" t="n"/>
      <c r="BG133" s="772" t="n"/>
      <c r="BH133" s="772" t="n"/>
      <c r="BI133" s="772" t="n"/>
      <c r="BJ133" s="772" t="n"/>
      <c r="BK133" s="772" t="n"/>
      <c r="BL133" s="772" t="n"/>
      <c r="BM133" s="772" t="n"/>
      <c r="BN133" s="772" t="n"/>
      <c r="BO133" s="772" t="n"/>
      <c r="BP133" s="772" t="n"/>
      <c r="BQ133" s="772" t="n"/>
      <c r="BR133" s="772" t="n"/>
      <c r="BS133" s="772" t="n"/>
      <c r="BT133" s="772" t="n"/>
      <c r="BU133" s="772" t="n"/>
      <c r="BV133" s="772" t="n"/>
    </row>
    <row r="134">
      <c r="A134" s="772" t="n"/>
      <c r="B134" s="772" t="n"/>
      <c r="C134" s="772" t="n"/>
      <c r="D134" s="772" t="n"/>
      <c r="E134" s="772" t="n"/>
      <c r="F134" s="772" t="n"/>
      <c r="G134" s="772" t="n"/>
      <c r="H134" s="772" t="n"/>
      <c r="I134" s="772" t="n"/>
      <c r="J134" s="772" t="n"/>
      <c r="K134" s="772" t="n"/>
      <c r="L134" s="772" t="n"/>
      <c r="M134" s="772" t="n"/>
      <c r="N134" s="772" t="n"/>
      <c r="O134" s="772" t="n"/>
      <c r="P134" s="772" t="n"/>
      <c r="Q134" s="772" t="n"/>
      <c r="R134" s="772" t="n"/>
      <c r="S134" s="772" t="n"/>
      <c r="T134" s="772" t="n"/>
      <c r="U134" s="772" t="n"/>
      <c r="V134" s="772" t="n"/>
      <c r="W134" s="772" t="n"/>
      <c r="X134" s="772" t="n"/>
      <c r="Y134" s="772" t="n"/>
      <c r="Z134" s="772" t="n"/>
      <c r="AA134" s="772" t="n"/>
      <c r="AB134" s="772" t="n"/>
      <c r="AC134" s="772" t="n"/>
      <c r="AD134" s="772" t="n"/>
      <c r="AE134" s="772" t="n"/>
      <c r="AF134" s="772" t="n"/>
      <c r="AG134" s="772" t="n"/>
      <c r="AH134" s="772" t="n"/>
      <c r="AI134" s="772" t="n"/>
      <c r="AJ134" s="772" t="n"/>
      <c r="AK134" s="772" t="n"/>
      <c r="AL134" s="772" t="n"/>
      <c r="AM134" s="772" t="n"/>
      <c r="AN134" s="772" t="n"/>
      <c r="AO134" s="772" t="n"/>
      <c r="AP134" s="772" t="n"/>
      <c r="AQ134" s="772" t="n"/>
      <c r="AR134" s="772" t="n"/>
      <c r="AS134" s="772" t="n"/>
      <c r="AT134" s="772" t="n"/>
      <c r="AU134" s="772" t="n"/>
      <c r="AV134" s="772" t="n"/>
      <c r="AW134" s="772" t="n"/>
      <c r="AX134" s="772" t="n"/>
      <c r="AY134" s="772" t="n"/>
      <c r="AZ134" s="772" t="n"/>
      <c r="BA134" s="772" t="n"/>
      <c r="BB134" s="772" t="n"/>
      <c r="BC134" s="772" t="n"/>
      <c r="BD134" s="772" t="n"/>
      <c r="BE134" s="772" t="n"/>
      <c r="BF134" s="772" t="n"/>
      <c r="BG134" s="772" t="n"/>
      <c r="BH134" s="772" t="n"/>
      <c r="BI134" s="772" t="n"/>
      <c r="BJ134" s="772" t="n"/>
      <c r="BK134" s="772" t="n"/>
      <c r="BL134" s="772" t="n"/>
      <c r="BM134" s="772" t="n"/>
      <c r="BN134" s="772" t="n"/>
      <c r="BO134" s="772" t="n"/>
      <c r="BP134" s="772" t="n"/>
      <c r="BQ134" s="772" t="n"/>
      <c r="BR134" s="772" t="n"/>
      <c r="BS134" s="772" t="n"/>
      <c r="BT134" s="772" t="n"/>
      <c r="BU134" s="772" t="n"/>
      <c r="BV134" s="772" t="n"/>
    </row>
    <row r="135">
      <c r="A135" s="772" t="n"/>
      <c r="B135" s="772" t="n"/>
      <c r="C135" s="772" t="n"/>
      <c r="D135" s="772" t="n"/>
      <c r="E135" s="772" t="n"/>
      <c r="F135" s="772" t="n"/>
      <c r="G135" s="772" t="n"/>
      <c r="H135" s="772" t="n"/>
      <c r="I135" s="772" t="n"/>
      <c r="J135" s="772" t="n"/>
      <c r="K135" s="772" t="n"/>
      <c r="L135" s="772" t="n"/>
      <c r="M135" s="772" t="n"/>
      <c r="N135" s="772" t="n"/>
      <c r="O135" s="772" t="n"/>
      <c r="P135" s="772" t="n"/>
      <c r="Q135" s="772" t="n"/>
      <c r="R135" s="772" t="n"/>
      <c r="S135" s="772" t="n"/>
      <c r="T135" s="772" t="n"/>
      <c r="U135" s="772" t="n"/>
      <c r="V135" s="772" t="n"/>
      <c r="W135" s="772" t="n"/>
      <c r="X135" s="772" t="n"/>
      <c r="Y135" s="772" t="n"/>
      <c r="Z135" s="772" t="n"/>
      <c r="AA135" s="772" t="n"/>
      <c r="AB135" s="772" t="n"/>
      <c r="AC135" s="772" t="n"/>
      <c r="AD135" s="772" t="n"/>
      <c r="AE135" s="772" t="n"/>
      <c r="AF135" s="772" t="n"/>
      <c r="AG135" s="772" t="n"/>
      <c r="AH135" s="772" t="n"/>
      <c r="AI135" s="772" t="n"/>
      <c r="AJ135" s="772" t="n"/>
      <c r="AK135" s="772" t="n"/>
      <c r="AL135" s="772" t="n"/>
      <c r="AM135" s="772" t="n"/>
      <c r="AN135" s="772" t="n"/>
      <c r="AO135" s="772" t="n"/>
      <c r="AP135" s="772" t="n"/>
      <c r="AQ135" s="772" t="n"/>
      <c r="AR135" s="772" t="n"/>
      <c r="AS135" s="772" t="n"/>
      <c r="AT135" s="772" t="n"/>
      <c r="AU135" s="772" t="n"/>
      <c r="AV135" s="772" t="n"/>
      <c r="AW135" s="772" t="n"/>
      <c r="AX135" s="772" t="n"/>
      <c r="AY135" s="772" t="n"/>
      <c r="AZ135" s="772" t="n"/>
      <c r="BA135" s="772" t="n"/>
      <c r="BB135" s="772" t="n"/>
      <c r="BC135" s="772" t="n"/>
      <c r="BD135" s="772" t="n"/>
      <c r="BE135" s="772" t="n"/>
      <c r="BF135" s="772" t="n"/>
      <c r="BG135" s="772" t="n"/>
      <c r="BH135" s="772" t="n"/>
      <c r="BI135" s="772" t="n"/>
      <c r="BJ135" s="772" t="n"/>
      <c r="BK135" s="772" t="n"/>
      <c r="BL135" s="772" t="n"/>
      <c r="BM135" s="772" t="n"/>
      <c r="BN135" s="772" t="n"/>
      <c r="BO135" s="772" t="n"/>
      <c r="BP135" s="772" t="n"/>
      <c r="BQ135" s="772" t="n"/>
      <c r="BR135" s="772" t="n"/>
      <c r="BS135" s="772" t="n"/>
      <c r="BT135" s="772" t="n"/>
      <c r="BU135" s="772" t="n"/>
      <c r="BV135" s="772" t="n"/>
    </row>
    <row r="136">
      <c r="A136" s="772" t="n"/>
      <c r="B136" s="772" t="n"/>
      <c r="C136" s="772" t="n"/>
      <c r="D136" s="772" t="n"/>
      <c r="E136" s="772" t="n"/>
      <c r="F136" s="772" t="n"/>
      <c r="G136" s="772" t="n"/>
      <c r="H136" s="772" t="n"/>
      <c r="I136" s="772" t="n"/>
      <c r="J136" s="772" t="n"/>
      <c r="K136" s="772" t="n"/>
      <c r="L136" s="772" t="n"/>
      <c r="M136" s="772" t="n"/>
      <c r="N136" s="772" t="n"/>
      <c r="O136" s="772" t="n"/>
      <c r="P136" s="772" t="n"/>
      <c r="Q136" s="772" t="n"/>
      <c r="R136" s="772" t="n"/>
      <c r="S136" s="772" t="n"/>
      <c r="T136" s="772" t="n"/>
      <c r="U136" s="772" t="n"/>
      <c r="V136" s="772" t="n"/>
      <c r="W136" s="772" t="n"/>
      <c r="X136" s="772" t="n"/>
      <c r="Y136" s="772" t="n"/>
      <c r="Z136" s="772" t="n"/>
      <c r="AA136" s="772" t="n"/>
      <c r="AB136" s="772" t="n"/>
      <c r="AC136" s="772" t="n"/>
      <c r="AD136" s="772" t="n"/>
      <c r="AE136" s="772" t="n"/>
      <c r="AF136" s="772" t="n"/>
      <c r="AG136" s="772" t="n"/>
      <c r="AH136" s="772" t="n"/>
      <c r="AI136" s="772" t="n"/>
      <c r="AJ136" s="772" t="n"/>
      <c r="AK136" s="772" t="n"/>
      <c r="AL136" s="772" t="n"/>
      <c r="AM136" s="772" t="n"/>
      <c r="AN136" s="772" t="n"/>
      <c r="AO136" s="772" t="n"/>
      <c r="AP136" s="772" t="n"/>
      <c r="AQ136" s="772" t="n"/>
      <c r="AR136" s="772" t="n"/>
      <c r="AS136" s="772" t="n"/>
      <c r="AT136" s="772" t="n"/>
      <c r="AU136" s="772" t="n"/>
      <c r="AV136" s="772" t="n"/>
      <c r="AW136" s="772" t="n"/>
      <c r="AX136" s="772" t="n"/>
      <c r="AY136" s="772" t="n"/>
      <c r="AZ136" s="772" t="n"/>
      <c r="BA136" s="772" t="n"/>
      <c r="BB136" s="772" t="n"/>
      <c r="BC136" s="772" t="n"/>
      <c r="BD136" s="772" t="n"/>
      <c r="BE136" s="772" t="n"/>
      <c r="BF136" s="772" t="n"/>
      <c r="BG136" s="772" t="n"/>
      <c r="BH136" s="772" t="n"/>
      <c r="BI136" s="772" t="n"/>
      <c r="BJ136" s="772" t="n"/>
      <c r="BK136" s="772" t="n"/>
      <c r="BL136" s="772" t="n"/>
      <c r="BM136" s="772" t="n"/>
      <c r="BN136" s="772" t="n"/>
      <c r="BO136" s="772" t="n"/>
      <c r="BP136" s="772" t="n"/>
      <c r="BQ136" s="772" t="n"/>
      <c r="BR136" s="772" t="n"/>
      <c r="BS136" s="772" t="n"/>
      <c r="BT136" s="772" t="n"/>
      <c r="BU136" s="772" t="n"/>
      <c r="BV136" s="772" t="n"/>
    </row>
    <row r="137">
      <c r="A137" s="772" t="n"/>
      <c r="B137" s="772" t="n"/>
      <c r="C137" s="772" t="n"/>
      <c r="D137" s="772" t="n"/>
      <c r="E137" s="772" t="n"/>
      <c r="F137" s="772" t="n"/>
      <c r="G137" s="772" t="n"/>
      <c r="H137" s="772" t="n"/>
      <c r="I137" s="772" t="n"/>
      <c r="J137" s="772" t="n"/>
      <c r="K137" s="772" t="n"/>
      <c r="L137" s="772" t="n"/>
      <c r="M137" s="772" t="n"/>
      <c r="N137" s="772" t="n"/>
      <c r="O137" s="772" t="n"/>
      <c r="P137" s="772" t="n"/>
      <c r="Q137" s="772" t="n"/>
      <c r="R137" s="772" t="n"/>
      <c r="S137" s="772" t="n"/>
      <c r="T137" s="772" t="n"/>
      <c r="U137" s="772" t="n"/>
      <c r="V137" s="772" t="n"/>
      <c r="W137" s="772" t="n"/>
      <c r="X137" s="772" t="n"/>
      <c r="Y137" s="772" t="n"/>
      <c r="Z137" s="772" t="n"/>
      <c r="AA137" s="772" t="n"/>
      <c r="AB137" s="772" t="n"/>
      <c r="AC137" s="772" t="n"/>
      <c r="AD137" s="772" t="n"/>
      <c r="AE137" s="772" t="n"/>
      <c r="AF137" s="772" t="n"/>
      <c r="AG137" s="772" t="n"/>
      <c r="AH137" s="772" t="n"/>
      <c r="AI137" s="772" t="n"/>
      <c r="AJ137" s="772" t="n"/>
      <c r="AK137" s="772" t="n"/>
      <c r="AL137" s="772" t="n"/>
      <c r="AM137" s="772" t="n"/>
      <c r="AN137" s="772" t="n"/>
      <c r="AO137" s="772" t="n"/>
      <c r="AP137" s="772" t="n"/>
      <c r="AQ137" s="772" t="n"/>
      <c r="AR137" s="772" t="n"/>
      <c r="AS137" s="772" t="n"/>
      <c r="AT137" s="772" t="n"/>
      <c r="AU137" s="772" t="n"/>
      <c r="AV137" s="772" t="n"/>
      <c r="AW137" s="772" t="n"/>
      <c r="AX137" s="772" t="n"/>
      <c r="AY137" s="772" t="n"/>
      <c r="AZ137" s="772" t="n"/>
      <c r="BA137" s="772" t="n"/>
      <c r="BB137" s="772" t="n"/>
      <c r="BC137" s="772" t="n"/>
      <c r="BD137" s="772" t="n"/>
      <c r="BE137" s="772" t="n"/>
      <c r="BF137" s="772" t="n"/>
      <c r="BG137" s="772" t="n"/>
      <c r="BH137" s="772" t="n"/>
      <c r="BI137" s="772" t="n"/>
      <c r="BJ137" s="772" t="n"/>
      <c r="BK137" s="772" t="n"/>
      <c r="BL137" s="772" t="n"/>
      <c r="BM137" s="772" t="n"/>
      <c r="BN137" s="772" t="n"/>
      <c r="BO137" s="772" t="n"/>
      <c r="BP137" s="772" t="n"/>
      <c r="BQ137" s="772" t="n"/>
      <c r="BR137" s="772" t="n"/>
      <c r="BS137" s="772" t="n"/>
      <c r="BT137" s="772" t="n"/>
      <c r="BU137" s="772" t="n"/>
      <c r="BV137" s="772" t="n"/>
    </row>
    <row r="138">
      <c r="A138" s="772" t="n"/>
      <c r="B138" s="772" t="n"/>
      <c r="C138" s="772" t="n"/>
      <c r="D138" s="772" t="n"/>
      <c r="E138" s="772" t="n"/>
      <c r="F138" s="772" t="n"/>
      <c r="G138" s="772" t="n"/>
      <c r="H138" s="772" t="n"/>
      <c r="I138" s="772" t="n"/>
      <c r="J138" s="772" t="n"/>
      <c r="K138" s="772" t="n"/>
      <c r="L138" s="772" t="n"/>
      <c r="M138" s="772" t="n"/>
      <c r="N138" s="772" t="n"/>
      <c r="O138" s="772" t="n"/>
      <c r="P138" s="772" t="n"/>
      <c r="Q138" s="772" t="n"/>
      <c r="R138" s="772" t="n"/>
      <c r="S138" s="772" t="n"/>
      <c r="T138" s="772" t="n"/>
      <c r="U138" s="772" t="n"/>
      <c r="V138" s="772" t="n"/>
      <c r="W138" s="772" t="n"/>
      <c r="X138" s="772" t="n"/>
      <c r="Y138" s="772" t="n"/>
      <c r="Z138" s="772" t="n"/>
      <c r="AA138" s="772" t="n"/>
      <c r="AB138" s="772" t="n"/>
      <c r="AC138" s="772" t="n"/>
      <c r="AD138" s="772" t="n"/>
      <c r="AE138" s="772" t="n"/>
      <c r="AF138" s="772" t="n"/>
      <c r="AG138" s="772" t="n"/>
      <c r="AH138" s="772" t="n"/>
      <c r="AI138" s="772" t="n"/>
      <c r="AJ138" s="772" t="n"/>
      <c r="AK138" s="772" t="n"/>
      <c r="AL138" s="772" t="n"/>
      <c r="AM138" s="772" t="n"/>
      <c r="AN138" s="772" t="n"/>
      <c r="AO138" s="772" t="n"/>
      <c r="AP138" s="772" t="n"/>
      <c r="AQ138" s="772" t="n"/>
      <c r="AR138" s="772" t="n"/>
      <c r="AS138" s="772" t="n"/>
      <c r="AT138" s="772" t="n"/>
      <c r="AU138" s="772" t="n"/>
      <c r="AV138" s="772" t="n"/>
      <c r="AW138" s="772" t="n"/>
      <c r="AX138" s="772" t="n"/>
      <c r="AY138" s="772" t="n"/>
      <c r="AZ138" s="772" t="n"/>
      <c r="BA138" s="772" t="n"/>
      <c r="BB138" s="772" t="n"/>
      <c r="BC138" s="772" t="n"/>
      <c r="BD138" s="772" t="n"/>
      <c r="BE138" s="772" t="n"/>
      <c r="BF138" s="772" t="n"/>
      <c r="BG138" s="772" t="n"/>
      <c r="BH138" s="772" t="n"/>
      <c r="BI138" s="772" t="n"/>
      <c r="BJ138" s="772" t="n"/>
      <c r="BK138" s="772" t="n"/>
      <c r="BL138" s="772" t="n"/>
      <c r="BM138" s="772" t="n"/>
      <c r="BN138" s="772" t="n"/>
      <c r="BO138" s="772" t="n"/>
      <c r="BP138" s="772" t="n"/>
      <c r="BQ138" s="772" t="n"/>
      <c r="BR138" s="772" t="n"/>
      <c r="BS138" s="772" t="n"/>
      <c r="BT138" s="772" t="n"/>
      <c r="BU138" s="772" t="n"/>
      <c r="BV138" s="772" t="n"/>
    </row>
    <row r="139">
      <c r="A139" s="772" t="n"/>
      <c r="B139" s="772" t="n"/>
      <c r="C139" s="772" t="n"/>
      <c r="D139" s="772" t="n"/>
      <c r="E139" s="772" t="n"/>
      <c r="F139" s="772" t="n"/>
      <c r="G139" s="772" t="n"/>
      <c r="H139" s="772" t="n"/>
      <c r="I139" s="772" t="n"/>
      <c r="J139" s="772" t="n"/>
      <c r="K139" s="772" t="n"/>
      <c r="L139" s="772" t="n"/>
      <c r="M139" s="772" t="n"/>
      <c r="N139" s="772" t="n"/>
      <c r="O139" s="772" t="n"/>
      <c r="P139" s="772" t="n"/>
      <c r="Q139" s="772" t="n"/>
      <c r="R139" s="772" t="n"/>
      <c r="S139" s="772" t="n"/>
      <c r="T139" s="772" t="n"/>
      <c r="U139" s="772" t="n"/>
      <c r="V139" s="772" t="n"/>
      <c r="W139" s="772" t="n"/>
      <c r="X139" s="772" t="n"/>
      <c r="Y139" s="772" t="n"/>
      <c r="Z139" s="772" t="n"/>
      <c r="AA139" s="772" t="n"/>
      <c r="AB139" s="772" t="n"/>
      <c r="AC139" s="772" t="n"/>
      <c r="AD139" s="772" t="n"/>
      <c r="AE139" s="772" t="n"/>
      <c r="AF139" s="772" t="n"/>
      <c r="AG139" s="772" t="n"/>
      <c r="AH139" s="772" t="n"/>
      <c r="AI139" s="772" t="n"/>
      <c r="AJ139" s="772" t="n"/>
      <c r="AK139" s="772" t="n"/>
      <c r="AL139" s="772" t="n"/>
      <c r="AM139" s="772" t="n"/>
      <c r="AN139" s="772" t="n"/>
      <c r="AO139" s="772" t="n"/>
      <c r="AP139" s="772" t="n"/>
      <c r="AQ139" s="772" t="n"/>
      <c r="AR139" s="772" t="n"/>
      <c r="AS139" s="772" t="n"/>
      <c r="AT139" s="772" t="n"/>
      <c r="AU139" s="772" t="n"/>
      <c r="AV139" s="772" t="n"/>
      <c r="AW139" s="772" t="n"/>
      <c r="AX139" s="772" t="n"/>
      <c r="AY139" s="772" t="n"/>
      <c r="AZ139" s="772" t="n"/>
      <c r="BA139" s="772" t="n"/>
      <c r="BB139" s="772" t="n"/>
      <c r="BC139" s="772" t="n"/>
      <c r="BD139" s="772" t="n"/>
      <c r="BE139" s="772" t="n"/>
      <c r="BF139" s="772" t="n"/>
      <c r="BG139" s="772" t="n"/>
      <c r="BH139" s="772" t="n"/>
      <c r="BI139" s="772" t="n"/>
      <c r="BJ139" s="772" t="n"/>
      <c r="BK139" s="772" t="n"/>
      <c r="BL139" s="772" t="n"/>
      <c r="BM139" s="772" t="n"/>
      <c r="BN139" s="772" t="n"/>
      <c r="BO139" s="772" t="n"/>
      <c r="BP139" s="772" t="n"/>
      <c r="BQ139" s="772" t="n"/>
      <c r="BR139" s="772" t="n"/>
      <c r="BS139" s="772" t="n"/>
      <c r="BT139" s="772" t="n"/>
      <c r="BU139" s="772" t="n"/>
      <c r="BV139" s="772" t="n"/>
    </row>
    <row r="140">
      <c r="A140" s="772" t="n"/>
      <c r="B140" s="772" t="n"/>
      <c r="C140" s="772" t="n"/>
      <c r="D140" s="772" t="n"/>
      <c r="E140" s="772" t="n"/>
      <c r="F140" s="772" t="n"/>
      <c r="G140" s="772" t="n"/>
      <c r="H140" s="772" t="n"/>
      <c r="I140" s="772" t="n"/>
      <c r="J140" s="772" t="n"/>
      <c r="K140" s="772" t="n"/>
      <c r="L140" s="772" t="n"/>
      <c r="M140" s="772" t="n"/>
      <c r="N140" s="772" t="n"/>
      <c r="O140" s="772" t="n"/>
      <c r="P140" s="772" t="n"/>
      <c r="Q140" s="772" t="n"/>
      <c r="R140" s="772" t="n"/>
      <c r="S140" s="772" t="n"/>
      <c r="T140" s="772" t="n"/>
      <c r="U140" s="772" t="n"/>
      <c r="V140" s="772" t="n"/>
      <c r="W140" s="772" t="n"/>
      <c r="X140" s="772" t="n"/>
      <c r="Y140" s="772" t="n"/>
      <c r="Z140" s="772" t="n"/>
      <c r="AA140" s="772" t="n"/>
      <c r="AB140" s="772" t="n"/>
      <c r="AC140" s="772" t="n"/>
      <c r="AD140" s="772" t="n"/>
      <c r="AE140" s="772" t="n"/>
      <c r="AF140" s="772" t="n"/>
      <c r="AG140" s="772" t="n"/>
      <c r="AH140" s="772" t="n"/>
      <c r="AI140" s="772" t="n"/>
      <c r="AJ140" s="772" t="n"/>
      <c r="AK140" s="772" t="n"/>
      <c r="AL140" s="772" t="n"/>
      <c r="AM140" s="772" t="n"/>
      <c r="AN140" s="772" t="n"/>
      <c r="AO140" s="772" t="n"/>
      <c r="AP140" s="772" t="n"/>
      <c r="AQ140" s="772" t="n"/>
      <c r="AR140" s="772" t="n"/>
      <c r="AS140" s="772" t="n"/>
      <c r="AT140" s="772" t="n"/>
      <c r="AU140" s="772" t="n"/>
      <c r="AV140" s="772" t="n"/>
      <c r="AW140" s="772" t="n"/>
      <c r="AX140" s="772" t="n"/>
      <c r="AY140" s="772" t="n"/>
      <c r="AZ140" s="772" t="n"/>
      <c r="BA140" s="772" t="n"/>
      <c r="BB140" s="772" t="n"/>
      <c r="BC140" s="772" t="n"/>
      <c r="BD140" s="772" t="n"/>
      <c r="BE140" s="772" t="n"/>
      <c r="BF140" s="772" t="n"/>
      <c r="BG140" s="772" t="n"/>
      <c r="BH140" s="772" t="n"/>
      <c r="BI140" s="772" t="n"/>
      <c r="BJ140" s="772" t="n"/>
      <c r="BK140" s="772" t="n"/>
      <c r="BL140" s="772" t="n"/>
      <c r="BM140" s="772" t="n"/>
      <c r="BN140" s="772" t="n"/>
      <c r="BO140" s="772" t="n"/>
      <c r="BP140" s="772" t="n"/>
      <c r="BQ140" s="772" t="n"/>
      <c r="BR140" s="772" t="n"/>
      <c r="BS140" s="772" t="n"/>
      <c r="BT140" s="772" t="n"/>
      <c r="BU140" s="772" t="n"/>
      <c r="BV140" s="772" t="n"/>
    </row>
    <row r="141">
      <c r="A141" s="772" t="n"/>
      <c r="B141" s="772" t="n"/>
      <c r="C141" s="772" t="n"/>
      <c r="D141" s="772" t="n"/>
      <c r="E141" s="772" t="n"/>
      <c r="F141" s="772" t="n"/>
      <c r="G141" s="772" t="n"/>
      <c r="H141" s="772" t="n"/>
      <c r="I141" s="772" t="n"/>
      <c r="J141" s="772" t="n"/>
      <c r="K141" s="772" t="n"/>
      <c r="L141" s="772" t="n"/>
      <c r="M141" s="772" t="n"/>
      <c r="N141" s="772" t="n"/>
      <c r="O141" s="772" t="n"/>
      <c r="P141" s="772" t="n"/>
      <c r="Q141" s="772" t="n"/>
      <c r="R141" s="772" t="n"/>
      <c r="S141" s="772" t="n"/>
      <c r="T141" s="772" t="n"/>
      <c r="U141" s="772" t="n"/>
      <c r="V141" s="772" t="n"/>
      <c r="W141" s="772" t="n"/>
      <c r="X141" s="772" t="n"/>
      <c r="Y141" s="772" t="n"/>
      <c r="Z141" s="772" t="n"/>
      <c r="AA141" s="772" t="n"/>
      <c r="AB141" s="772" t="n"/>
      <c r="AC141" s="772" t="n"/>
      <c r="AD141" s="772" t="n"/>
      <c r="AE141" s="772" t="n"/>
      <c r="AF141" s="772" t="n"/>
      <c r="AG141" s="772" t="n"/>
      <c r="AH141" s="772" t="n"/>
      <c r="AI141" s="772" t="n"/>
      <c r="AJ141" s="772" t="n"/>
      <c r="AK141" s="772" t="n"/>
      <c r="AL141" s="772" t="n"/>
      <c r="AM141" s="772" t="n"/>
      <c r="AN141" s="772" t="n"/>
      <c r="AO141" s="772" t="n"/>
      <c r="AP141" s="772" t="n"/>
      <c r="AQ141" s="772" t="n"/>
      <c r="AR141" s="772" t="n"/>
      <c r="AS141" s="772" t="n"/>
      <c r="AT141" s="772" t="n"/>
      <c r="AU141" s="772" t="n"/>
      <c r="AV141" s="772" t="n"/>
      <c r="AW141" s="772" t="n"/>
      <c r="AX141" s="772" t="n"/>
      <c r="AY141" s="772" t="n"/>
      <c r="AZ141" s="772" t="n"/>
      <c r="BA141" s="772" t="n"/>
      <c r="BB141" s="772" t="n"/>
      <c r="BC141" s="772" t="n"/>
      <c r="BD141" s="772" t="n"/>
      <c r="BE141" s="772" t="n"/>
      <c r="BF141" s="772" t="n"/>
      <c r="BG141" s="772" t="n"/>
      <c r="BH141" s="772" t="n"/>
      <c r="BI141" s="772" t="n"/>
      <c r="BJ141" s="772" t="n"/>
      <c r="BK141" s="772" t="n"/>
      <c r="BL141" s="772" t="n"/>
      <c r="BM141" s="772" t="n"/>
      <c r="BN141" s="772" t="n"/>
      <c r="BO141" s="772" t="n"/>
      <c r="BP141" s="772" t="n"/>
      <c r="BQ141" s="772" t="n"/>
      <c r="BR141" s="772" t="n"/>
      <c r="BS141" s="772" t="n"/>
      <c r="BT141" s="772" t="n"/>
      <c r="BU141" s="772" t="n"/>
      <c r="BV141" s="772" t="n"/>
    </row>
    <row r="142">
      <c r="A142" s="772" t="n"/>
      <c r="B142" s="772" t="n"/>
      <c r="C142" s="772" t="n"/>
      <c r="D142" s="772" t="n"/>
      <c r="E142" s="772" t="n"/>
      <c r="F142" s="772" t="n"/>
      <c r="G142" s="772" t="n"/>
      <c r="H142" s="772" t="n"/>
      <c r="I142" s="772" t="n"/>
      <c r="J142" s="772" t="n"/>
      <c r="K142" s="772" t="n"/>
      <c r="L142" s="772" t="n"/>
      <c r="M142" s="772" t="n"/>
      <c r="N142" s="772" t="n"/>
      <c r="O142" s="772" t="n"/>
      <c r="P142" s="772" t="n"/>
      <c r="Q142" s="772" t="n"/>
      <c r="R142" s="772" t="n"/>
      <c r="S142" s="772" t="n"/>
      <c r="T142" s="772" t="n"/>
      <c r="U142" s="772" t="n"/>
      <c r="V142" s="772" t="n"/>
      <c r="W142" s="772" t="n"/>
      <c r="X142" s="772" t="n"/>
      <c r="Y142" s="772" t="n"/>
      <c r="Z142" s="772" t="n"/>
      <c r="AA142" s="772" t="n"/>
      <c r="AB142" s="772" t="n"/>
      <c r="AC142" s="772" t="n"/>
      <c r="AD142" s="772" t="n"/>
      <c r="AE142" s="772" t="n"/>
      <c r="AF142" s="772" t="n"/>
      <c r="AG142" s="772" t="n"/>
      <c r="AH142" s="772" t="n"/>
      <c r="AI142" s="772" t="n"/>
      <c r="AJ142" s="772" t="n"/>
      <c r="AK142" s="772" t="n"/>
      <c r="AL142" s="772" t="n"/>
      <c r="AM142" s="772" t="n"/>
      <c r="AN142" s="772" t="n"/>
      <c r="AO142" s="772" t="n"/>
      <c r="AP142" s="772" t="n"/>
      <c r="AQ142" s="772" t="n"/>
      <c r="AR142" s="772" t="n"/>
      <c r="AS142" s="772" t="n"/>
      <c r="AT142" s="772" t="n"/>
      <c r="AU142" s="772" t="n"/>
      <c r="AV142" s="772" t="n"/>
      <c r="AW142" s="772" t="n"/>
      <c r="AX142" s="772" t="n"/>
      <c r="AY142" s="772" t="n"/>
      <c r="AZ142" s="772" t="n"/>
      <c r="BA142" s="772" t="n"/>
      <c r="BB142" s="772" t="n"/>
      <c r="BC142" s="772" t="n"/>
      <c r="BD142" s="772" t="n"/>
      <c r="BE142" s="772" t="n"/>
      <c r="BF142" s="772" t="n"/>
      <c r="BG142" s="772" t="n"/>
      <c r="BH142" s="772" t="n"/>
      <c r="BI142" s="772" t="n"/>
      <c r="BJ142" s="772" t="n"/>
      <c r="BK142" s="772" t="n"/>
      <c r="BL142" s="772" t="n"/>
      <c r="BM142" s="772" t="n"/>
      <c r="BN142" s="772" t="n"/>
      <c r="BO142" s="772" t="n"/>
      <c r="BP142" s="772" t="n"/>
      <c r="BQ142" s="772" t="n"/>
      <c r="BR142" s="772" t="n"/>
      <c r="BS142" s="772" t="n"/>
      <c r="BT142" s="772" t="n"/>
      <c r="BU142" s="772" t="n"/>
      <c r="BV142" s="772" t="n"/>
    </row>
    <row r="143">
      <c r="A143" s="772" t="n"/>
      <c r="B143" s="772" t="n"/>
      <c r="C143" s="772" t="n"/>
      <c r="D143" s="772" t="n"/>
      <c r="E143" s="772" t="n"/>
      <c r="F143" s="772" t="n"/>
      <c r="G143" s="772" t="n"/>
      <c r="H143" s="772" t="n"/>
      <c r="I143" s="772" t="n"/>
      <c r="J143" s="772" t="n"/>
      <c r="K143" s="772" t="n"/>
      <c r="L143" s="772" t="n"/>
      <c r="M143" s="772" t="n"/>
      <c r="N143" s="772" t="n"/>
      <c r="O143" s="772" t="n"/>
      <c r="P143" s="772" t="n"/>
      <c r="Q143" s="772" t="n"/>
      <c r="R143" s="772" t="n"/>
      <c r="S143" s="772" t="n"/>
      <c r="T143" s="772" t="n"/>
      <c r="U143" s="772" t="n"/>
      <c r="V143" s="772" t="n"/>
      <c r="W143" s="772" t="n"/>
      <c r="X143" s="772" t="n"/>
      <c r="Y143" s="772" t="n"/>
      <c r="Z143" s="772" t="n"/>
      <c r="AA143" s="772" t="n"/>
      <c r="AB143" s="772" t="n"/>
      <c r="AC143" s="772" t="n"/>
      <c r="AD143" s="772" t="n"/>
      <c r="AE143" s="772" t="n"/>
      <c r="AF143" s="772" t="n"/>
      <c r="AG143" s="772" t="n"/>
      <c r="AH143" s="772" t="n"/>
      <c r="AI143" s="772" t="n"/>
      <c r="AJ143" s="772" t="n"/>
      <c r="AK143" s="772" t="n"/>
      <c r="AL143" s="772" t="n"/>
      <c r="AM143" s="772" t="n"/>
      <c r="AN143" s="772" t="n"/>
      <c r="AO143" s="772" t="n"/>
      <c r="AP143" s="772" t="n"/>
      <c r="AQ143" s="772" t="n"/>
      <c r="AR143" s="772" t="n"/>
      <c r="AS143" s="772" t="n"/>
      <c r="AT143" s="772" t="n"/>
      <c r="AU143" s="772" t="n"/>
      <c r="AV143" s="772" t="n"/>
      <c r="AW143" s="772" t="n"/>
      <c r="AX143" s="772" t="n"/>
      <c r="AY143" s="772" t="n"/>
      <c r="AZ143" s="772" t="n"/>
      <c r="BA143" s="772" t="n"/>
      <c r="BB143" s="772" t="n"/>
      <c r="BC143" s="772" t="n"/>
      <c r="BD143" s="772" t="n"/>
      <c r="BE143" s="772" t="n"/>
      <c r="BF143" s="772" t="n"/>
      <c r="BG143" s="772" t="n"/>
      <c r="BH143" s="772" t="n"/>
      <c r="BI143" s="772" t="n"/>
      <c r="BJ143" s="772" t="n"/>
      <c r="BK143" s="772" t="n"/>
      <c r="BL143" s="772" t="n"/>
      <c r="BM143" s="772" t="n"/>
      <c r="BN143" s="772" t="n"/>
      <c r="BO143" s="772" t="n"/>
      <c r="BP143" s="772" t="n"/>
      <c r="BQ143" s="772" t="n"/>
      <c r="BR143" s="772" t="n"/>
      <c r="BS143" s="772" t="n"/>
      <c r="BT143" s="772" t="n"/>
      <c r="BU143" s="772" t="n"/>
      <c r="BV143" s="772" t="n"/>
    </row>
    <row r="144">
      <c r="A144" s="772" t="n"/>
      <c r="B144" s="772" t="n"/>
      <c r="C144" s="772" t="n"/>
      <c r="D144" s="772" t="n"/>
      <c r="E144" s="772" t="n"/>
      <c r="F144" s="772" t="n"/>
      <c r="G144" s="772" t="n"/>
      <c r="H144" s="772" t="n"/>
      <c r="I144" s="772" t="n"/>
      <c r="J144" s="772" t="n"/>
      <c r="K144" s="772" t="n"/>
      <c r="L144" s="772" t="n"/>
      <c r="M144" s="772" t="n"/>
      <c r="N144" s="772" t="n"/>
      <c r="O144" s="772" t="n"/>
      <c r="P144" s="772" t="n"/>
      <c r="Q144" s="772" t="n"/>
      <c r="R144" s="772" t="n"/>
      <c r="S144" s="772" t="n"/>
      <c r="T144" s="772" t="n"/>
      <c r="U144" s="772" t="n"/>
      <c r="V144" s="772" t="n"/>
      <c r="W144" s="772" t="n"/>
      <c r="X144" s="772" t="n"/>
      <c r="Y144" s="772" t="n"/>
      <c r="Z144" s="772" t="n"/>
      <c r="AA144" s="772" t="n"/>
      <c r="AB144" s="772" t="n"/>
      <c r="AC144" s="772" t="n"/>
      <c r="AD144" s="772" t="n"/>
      <c r="AE144" s="772" t="n"/>
      <c r="AF144" s="772" t="n"/>
      <c r="AG144" s="772" t="n"/>
      <c r="AH144" s="772" t="n"/>
      <c r="AI144" s="772" t="n"/>
      <c r="AJ144" s="772" t="n"/>
      <c r="AK144" s="772" t="n"/>
      <c r="AL144" s="772" t="n"/>
      <c r="AM144" s="772" t="n"/>
      <c r="AN144" s="772" t="n"/>
      <c r="AO144" s="772" t="n"/>
      <c r="AP144" s="772" t="n"/>
      <c r="AQ144" s="772" t="n"/>
      <c r="AR144" s="772" t="n"/>
      <c r="AS144" s="772" t="n"/>
      <c r="AT144" s="772" t="n"/>
      <c r="AU144" s="772" t="n"/>
      <c r="AV144" s="772" t="n"/>
      <c r="AW144" s="772" t="n"/>
      <c r="AX144" s="772" t="n"/>
      <c r="AY144" s="772" t="n"/>
      <c r="AZ144" s="772" t="n"/>
      <c r="BA144" s="772" t="n"/>
      <c r="BB144" s="772" t="n"/>
      <c r="BC144" s="772" t="n"/>
      <c r="BD144" s="772" t="n"/>
      <c r="BE144" s="772" t="n"/>
      <c r="BF144" s="772" t="n"/>
      <c r="BG144" s="772" t="n"/>
      <c r="BH144" s="772" t="n"/>
      <c r="BI144" s="772" t="n"/>
      <c r="BJ144" s="772" t="n"/>
      <c r="BK144" s="772" t="n"/>
      <c r="BL144" s="772" t="n"/>
      <c r="BM144" s="772" t="n"/>
      <c r="BN144" s="772" t="n"/>
      <c r="BO144" s="772" t="n"/>
      <c r="BP144" s="772" t="n"/>
      <c r="BQ144" s="772" t="n"/>
      <c r="BR144" s="772" t="n"/>
      <c r="BS144" s="772" t="n"/>
      <c r="BT144" s="772" t="n"/>
      <c r="BU144" s="772" t="n"/>
      <c r="BV144" s="772" t="n"/>
    </row>
    <row r="145">
      <c r="A145" s="772" t="n"/>
      <c r="B145" s="772" t="n"/>
      <c r="C145" s="772" t="n"/>
      <c r="D145" s="772" t="n"/>
      <c r="E145" s="772" t="n"/>
      <c r="F145" s="772" t="n"/>
      <c r="G145" s="772" t="n"/>
      <c r="H145" s="772" t="n"/>
      <c r="I145" s="772" t="n"/>
      <c r="J145" s="772" t="n"/>
      <c r="K145" s="772" t="n"/>
      <c r="L145" s="772" t="n"/>
      <c r="M145" s="772" t="n"/>
      <c r="N145" s="772" t="n"/>
      <c r="O145" s="772" t="n"/>
      <c r="P145" s="772" t="n"/>
      <c r="Q145" s="772" t="n"/>
      <c r="R145" s="772" t="n"/>
      <c r="S145" s="772" t="n"/>
      <c r="T145" s="772" t="n"/>
      <c r="U145" s="772" t="n"/>
      <c r="V145" s="772" t="n"/>
      <c r="W145" s="772" t="n"/>
      <c r="X145" s="772" t="n"/>
      <c r="Y145" s="772" t="n"/>
      <c r="Z145" s="772" t="n"/>
      <c r="AA145" s="772" t="n"/>
      <c r="AB145" s="772" t="n"/>
      <c r="AC145" s="772" t="n"/>
      <c r="AD145" s="772" t="n"/>
      <c r="AE145" s="772" t="n"/>
      <c r="AF145" s="772" t="n"/>
      <c r="AG145" s="772" t="n"/>
      <c r="AH145" s="772" t="n"/>
      <c r="AI145" s="772" t="n"/>
      <c r="AJ145" s="772" t="n"/>
      <c r="AK145" s="772" t="n"/>
      <c r="AL145" s="772" t="n"/>
      <c r="AM145" s="772" t="n"/>
      <c r="AN145" s="772" t="n"/>
      <c r="AO145" s="772" t="n"/>
      <c r="AP145" s="772" t="n"/>
      <c r="AQ145" s="772" t="n"/>
      <c r="AR145" s="772" t="n"/>
      <c r="AS145" s="772" t="n"/>
      <c r="AT145" s="772" t="n"/>
      <c r="AU145" s="772" t="n"/>
      <c r="AV145" s="772" t="n"/>
      <c r="AW145" s="772" t="n"/>
      <c r="AX145" s="772" t="n"/>
      <c r="AY145" s="772" t="n"/>
      <c r="AZ145" s="772" t="n"/>
      <c r="BA145" s="772" t="n"/>
      <c r="BB145" s="772" t="n"/>
      <c r="BC145" s="772" t="n"/>
      <c r="BD145" s="772" t="n"/>
      <c r="BE145" s="772" t="n"/>
      <c r="BF145" s="772" t="n"/>
      <c r="BG145" s="772" t="n"/>
      <c r="BH145" s="772" t="n"/>
      <c r="BI145" s="772" t="n"/>
      <c r="BJ145" s="772" t="n"/>
      <c r="BK145" s="772" t="n"/>
      <c r="BL145" s="772" t="n"/>
      <c r="BM145" s="772" t="n"/>
      <c r="BN145" s="772" t="n"/>
      <c r="BO145" s="772" t="n"/>
      <c r="BP145" s="772" t="n"/>
      <c r="BQ145" s="772" t="n"/>
      <c r="BR145" s="772" t="n"/>
      <c r="BS145" s="772" t="n"/>
      <c r="BT145" s="772" t="n"/>
      <c r="BU145" s="772" t="n"/>
      <c r="BV145" s="772" t="n"/>
    </row>
    <row r="146">
      <c r="A146" s="772" t="n"/>
      <c r="B146" s="772" t="n"/>
      <c r="C146" s="772" t="n"/>
      <c r="D146" s="772" t="n"/>
      <c r="E146" s="772" t="n"/>
      <c r="F146" s="772" t="n"/>
      <c r="G146" s="772" t="n"/>
      <c r="H146" s="772" t="n"/>
      <c r="I146" s="772" t="n"/>
      <c r="J146" s="772" t="n"/>
      <c r="K146" s="772" t="n"/>
      <c r="L146" s="772" t="n"/>
      <c r="M146" s="772" t="n"/>
      <c r="N146" s="772" t="n"/>
      <c r="O146" s="772" t="n"/>
      <c r="P146" s="772" t="n"/>
      <c r="Q146" s="772" t="n"/>
      <c r="R146" s="772" t="n"/>
      <c r="S146" s="772" t="n"/>
      <c r="T146" s="772" t="n"/>
      <c r="U146" s="772" t="n"/>
      <c r="V146" s="772" t="n"/>
      <c r="W146" s="772" t="n"/>
      <c r="X146" s="772" t="n"/>
      <c r="Y146" s="772" t="n"/>
      <c r="Z146" s="772" t="n"/>
      <c r="AA146" s="772" t="n"/>
      <c r="AB146" s="772" t="n"/>
      <c r="AC146" s="772" t="n"/>
      <c r="AD146" s="772" t="n"/>
      <c r="AE146" s="772" t="n"/>
      <c r="AF146" s="772" t="n"/>
      <c r="AG146" s="772" t="n"/>
      <c r="AH146" s="772" t="n"/>
      <c r="AI146" s="772" t="n"/>
      <c r="AJ146" s="772" t="n"/>
      <c r="AK146" s="772" t="n"/>
      <c r="AL146" s="772" t="n"/>
      <c r="AM146" s="772" t="n"/>
      <c r="AN146" s="772" t="n"/>
      <c r="AO146" s="772" t="n"/>
      <c r="AP146" s="772" t="n"/>
      <c r="AQ146" s="772" t="n"/>
      <c r="AR146" s="772" t="n"/>
      <c r="AS146" s="772" t="n"/>
      <c r="AT146" s="772" t="n"/>
      <c r="AU146" s="772" t="n"/>
      <c r="AV146" s="772" t="n"/>
      <c r="AW146" s="772" t="n"/>
      <c r="AX146" s="772" t="n"/>
      <c r="AY146" s="772" t="n"/>
      <c r="AZ146" s="772" t="n"/>
      <c r="BA146" s="772" t="n"/>
      <c r="BB146" s="772" t="n"/>
      <c r="BC146" s="772" t="n"/>
      <c r="BD146" s="772" t="n"/>
      <c r="BE146" s="772" t="n"/>
      <c r="BF146" s="772" t="n"/>
      <c r="BG146" s="772" t="n"/>
      <c r="BH146" s="772" t="n"/>
      <c r="BI146" s="772" t="n"/>
      <c r="BJ146" s="772" t="n"/>
      <c r="BK146" s="772" t="n"/>
      <c r="BL146" s="772" t="n"/>
      <c r="BM146" s="772" t="n"/>
      <c r="BN146" s="772" t="n"/>
      <c r="BO146" s="772" t="n"/>
      <c r="BP146" s="772" t="n"/>
      <c r="BQ146" s="772" t="n"/>
      <c r="BR146" s="772" t="n"/>
      <c r="BS146" s="772" t="n"/>
      <c r="BT146" s="772" t="n"/>
      <c r="BU146" s="772" t="n"/>
      <c r="BV146" s="772" t="n"/>
    </row>
    <row r="147">
      <c r="A147" s="772" t="n"/>
      <c r="B147" s="772" t="n"/>
      <c r="C147" s="772" t="n"/>
      <c r="D147" s="772" t="n"/>
      <c r="E147" s="772" t="n"/>
      <c r="F147" s="772" t="n"/>
      <c r="G147" s="772" t="n"/>
      <c r="H147" s="772" t="n"/>
      <c r="I147" s="772" t="n"/>
      <c r="J147" s="772" t="n"/>
      <c r="K147" s="772" t="n"/>
      <c r="L147" s="772" t="n"/>
      <c r="M147" s="772" t="n"/>
      <c r="N147" s="772" t="n"/>
      <c r="O147" s="772" t="n"/>
      <c r="P147" s="772" t="n"/>
      <c r="Q147" s="772" t="n"/>
      <c r="R147" s="772" t="n"/>
      <c r="S147" s="772" t="n"/>
      <c r="T147" s="772" t="n"/>
      <c r="U147" s="772" t="n"/>
      <c r="V147" s="772" t="n"/>
      <c r="W147" s="772" t="n"/>
      <c r="X147" s="772" t="n"/>
      <c r="Y147" s="772" t="n"/>
      <c r="Z147" s="772" t="n"/>
      <c r="AA147" s="772" t="n"/>
      <c r="AB147" s="772" t="n"/>
      <c r="AC147" s="772" t="n"/>
      <c r="AD147" s="772" t="n"/>
      <c r="AE147" s="772" t="n"/>
      <c r="AF147" s="772" t="n"/>
      <c r="AG147" s="772" t="n"/>
      <c r="AH147" s="772" t="n"/>
      <c r="AI147" s="772" t="n"/>
      <c r="AJ147" s="772" t="n"/>
      <c r="AK147" s="772" t="n"/>
      <c r="AL147" s="772" t="n"/>
      <c r="AM147" s="772" t="n"/>
      <c r="AN147" s="772" t="n"/>
      <c r="AO147" s="772" t="n"/>
      <c r="AP147" s="772" t="n"/>
      <c r="AQ147" s="772" t="n"/>
      <c r="AR147" s="772" t="n"/>
      <c r="AS147" s="772" t="n"/>
      <c r="AT147" s="772" t="n"/>
      <c r="AU147" s="772" t="n"/>
      <c r="AV147" s="772" t="n"/>
      <c r="AW147" s="772" t="n"/>
      <c r="AX147" s="772" t="n"/>
      <c r="AY147" s="772" t="n"/>
      <c r="AZ147" s="772" t="n"/>
      <c r="BA147" s="772" t="n"/>
      <c r="BB147" s="772" t="n"/>
      <c r="BC147" s="772" t="n"/>
      <c r="BD147" s="772" t="n"/>
      <c r="BE147" s="772" t="n"/>
      <c r="BF147" s="772" t="n"/>
      <c r="BG147" s="772" t="n"/>
      <c r="BH147" s="772" t="n"/>
      <c r="BI147" s="772" t="n"/>
      <c r="BJ147" s="772" t="n"/>
      <c r="BK147" s="772" t="n"/>
      <c r="BL147" s="772" t="n"/>
      <c r="BM147" s="772" t="n"/>
      <c r="BN147" s="772" t="n"/>
      <c r="BO147" s="772" t="n"/>
      <c r="BP147" s="772" t="n"/>
      <c r="BQ147" s="772" t="n"/>
      <c r="BR147" s="772" t="n"/>
      <c r="BS147" s="772" t="n"/>
      <c r="BT147" s="772" t="n"/>
      <c r="BU147" s="772" t="n"/>
      <c r="BV147" s="772" t="n"/>
    </row>
    <row r="148">
      <c r="A148" s="772" t="n"/>
      <c r="B148" s="772" t="n"/>
      <c r="C148" s="772" t="n"/>
      <c r="D148" s="772" t="n"/>
      <c r="E148" s="772" t="n"/>
      <c r="F148" s="772" t="n"/>
      <c r="G148" s="772" t="n"/>
      <c r="H148" s="772" t="n"/>
      <c r="I148" s="772" t="n"/>
      <c r="J148" s="772" t="n"/>
      <c r="K148" s="772" t="n"/>
      <c r="L148" s="772" t="n"/>
      <c r="M148" s="772" t="n"/>
      <c r="N148" s="772" t="n"/>
      <c r="O148" s="772" t="n"/>
      <c r="P148" s="772" t="n"/>
      <c r="Q148" s="772" t="n"/>
      <c r="R148" s="772" t="n"/>
      <c r="S148" s="772" t="n"/>
      <c r="T148" s="772" t="n"/>
      <c r="U148" s="772" t="n"/>
      <c r="V148" s="772" t="n"/>
      <c r="W148" s="772" t="n"/>
      <c r="X148" s="772" t="n"/>
      <c r="Y148" s="772" t="n"/>
      <c r="Z148" s="772" t="n"/>
      <c r="AA148" s="772" t="n"/>
      <c r="AB148" s="772" t="n"/>
      <c r="AC148" s="772" t="n"/>
      <c r="AD148" s="772" t="n"/>
      <c r="AE148" s="772" t="n"/>
      <c r="AF148" s="772" t="n"/>
      <c r="AG148" s="772" t="n"/>
      <c r="AH148" s="772" t="n"/>
      <c r="AI148" s="772" t="n"/>
      <c r="AJ148" s="772" t="n"/>
      <c r="AK148" s="772" t="n"/>
      <c r="AL148" s="772" t="n"/>
      <c r="AM148" s="772" t="n"/>
      <c r="AN148" s="772" t="n"/>
      <c r="AO148" s="772" t="n"/>
      <c r="AP148" s="772" t="n"/>
      <c r="AQ148" s="772" t="n"/>
      <c r="AR148" s="772" t="n"/>
      <c r="AS148" s="772" t="n"/>
      <c r="AT148" s="772" t="n"/>
      <c r="AU148" s="772" t="n"/>
      <c r="AV148" s="772" t="n"/>
      <c r="AW148" s="772" t="n"/>
      <c r="AX148" s="772" t="n"/>
      <c r="AY148" s="772" t="n"/>
      <c r="AZ148" s="772" t="n"/>
      <c r="BA148" s="772" t="n"/>
      <c r="BB148" s="772" t="n"/>
      <c r="BC148" s="772" t="n"/>
      <c r="BD148" s="772" t="n"/>
      <c r="BE148" s="772" t="n"/>
      <c r="BF148" s="772" t="n"/>
      <c r="BG148" s="772" t="n"/>
      <c r="BH148" s="772" t="n"/>
      <c r="BI148" s="772" t="n"/>
      <c r="BJ148" s="772" t="n"/>
      <c r="BK148" s="772" t="n"/>
      <c r="BL148" s="772" t="n"/>
      <c r="BM148" s="772" t="n"/>
      <c r="BN148" s="772" t="n"/>
      <c r="BO148" s="772" t="n"/>
      <c r="BP148" s="772" t="n"/>
      <c r="BQ148" s="772" t="n"/>
      <c r="BR148" s="772" t="n"/>
      <c r="BS148" s="772" t="n"/>
      <c r="BT148" s="772" t="n"/>
      <c r="BU148" s="772" t="n"/>
      <c r="BV148" s="772" t="n"/>
    </row>
    <row r="149">
      <c r="A149" s="772" t="n"/>
      <c r="B149" s="772" t="n"/>
      <c r="C149" s="772" t="n"/>
      <c r="D149" s="772" t="n"/>
      <c r="E149" s="772" t="n"/>
      <c r="F149" s="772" t="n"/>
      <c r="G149" s="772" t="n"/>
      <c r="H149" s="772" t="n"/>
      <c r="I149" s="772" t="n"/>
      <c r="J149" s="772" t="n"/>
      <c r="K149" s="772" t="n"/>
      <c r="L149" s="772" t="n"/>
      <c r="M149" s="772" t="n"/>
      <c r="N149" s="772" t="n"/>
      <c r="O149" s="772" t="n"/>
      <c r="P149" s="772" t="n"/>
      <c r="Q149" s="772" t="n"/>
      <c r="R149" s="772" t="n"/>
      <c r="S149" s="772" t="n"/>
      <c r="T149" s="772" t="n"/>
      <c r="U149" s="772" t="n"/>
      <c r="V149" s="772" t="n"/>
      <c r="W149" s="772" t="n"/>
      <c r="X149" s="772" t="n"/>
      <c r="Y149" s="772" t="n"/>
      <c r="Z149" s="772" t="n"/>
      <c r="AA149" s="772" t="n"/>
      <c r="AB149" s="772" t="n"/>
      <c r="AC149" s="772" t="n"/>
      <c r="AD149" s="772" t="n"/>
      <c r="AE149" s="772" t="n"/>
      <c r="AF149" s="772" t="n"/>
      <c r="AG149" s="772" t="n"/>
      <c r="AH149" s="772" t="n"/>
      <c r="AI149" s="772" t="n"/>
      <c r="AJ149" s="772" t="n"/>
      <c r="AK149" s="772" t="n"/>
      <c r="AL149" s="772" t="n"/>
      <c r="AM149" s="772" t="n"/>
      <c r="AN149" s="772" t="n"/>
      <c r="AO149" s="772" t="n"/>
      <c r="AP149" s="772" t="n"/>
      <c r="AQ149" s="772" t="n"/>
      <c r="AR149" s="772" t="n"/>
      <c r="AS149" s="772" t="n"/>
      <c r="AT149" s="772" t="n"/>
      <c r="AU149" s="772" t="n"/>
      <c r="AV149" s="772" t="n"/>
      <c r="AW149" s="772" t="n"/>
      <c r="AX149" s="772" t="n"/>
      <c r="AY149" s="772" t="n"/>
      <c r="AZ149" s="772" t="n"/>
      <c r="BA149" s="772" t="n"/>
      <c r="BB149" s="772" t="n"/>
      <c r="BC149" s="772" t="n"/>
      <c r="BD149" s="772" t="n"/>
      <c r="BE149" s="772" t="n"/>
      <c r="BF149" s="772" t="n"/>
      <c r="BG149" s="772" t="n"/>
      <c r="BH149" s="772" t="n"/>
      <c r="BI149" s="772" t="n"/>
      <c r="BJ149" s="772" t="n"/>
      <c r="BK149" s="772" t="n"/>
      <c r="BL149" s="772" t="n"/>
      <c r="BM149" s="772" t="n"/>
      <c r="BN149" s="772" t="n"/>
      <c r="BO149" s="772" t="n"/>
      <c r="BP149" s="772" t="n"/>
      <c r="BQ149" s="772" t="n"/>
      <c r="BR149" s="772" t="n"/>
      <c r="BS149" s="772" t="n"/>
      <c r="BT149" s="772" t="n"/>
      <c r="BU149" s="772" t="n"/>
      <c r="BV149" s="772" t="n"/>
    </row>
    <row r="150">
      <c r="A150" s="772" t="n"/>
      <c r="B150" s="772" t="n"/>
      <c r="C150" s="772" t="n"/>
      <c r="D150" s="772" t="n"/>
      <c r="E150" s="772" t="n"/>
      <c r="F150" s="772" t="n"/>
      <c r="G150" s="772" t="n"/>
      <c r="H150" s="772" t="n"/>
      <c r="I150" s="772" t="n"/>
      <c r="J150" s="772" t="n"/>
      <c r="K150" s="772" t="n"/>
      <c r="L150" s="772" t="n"/>
      <c r="M150" s="772" t="n"/>
      <c r="N150" s="772" t="n"/>
      <c r="O150" s="772" t="n"/>
      <c r="P150" s="772" t="n"/>
      <c r="Q150" s="772" t="n"/>
      <c r="R150" s="772" t="n"/>
      <c r="S150" s="772" t="n"/>
      <c r="T150" s="772" t="n"/>
      <c r="U150" s="772" t="n"/>
      <c r="V150" s="772" t="n"/>
      <c r="W150" s="772" t="n"/>
      <c r="X150" s="772" t="n"/>
      <c r="Y150" s="772" t="n"/>
      <c r="Z150" s="772" t="n"/>
      <c r="AA150" s="772" t="n"/>
      <c r="AB150" s="772" t="n"/>
      <c r="AC150" s="772" t="n"/>
      <c r="AD150" s="772" t="n"/>
      <c r="AE150" s="772" t="n"/>
      <c r="AF150" s="772" t="n"/>
      <c r="AG150" s="772" t="n"/>
      <c r="AH150" s="772" t="n"/>
      <c r="AI150" s="772" t="n"/>
      <c r="AJ150" s="772" t="n"/>
      <c r="AK150" s="772" t="n"/>
      <c r="AL150" s="772" t="n"/>
      <c r="AM150" s="772" t="n"/>
      <c r="AN150" s="772" t="n"/>
      <c r="AO150" s="772" t="n"/>
      <c r="AP150" s="772" t="n"/>
      <c r="AQ150" s="772" t="n"/>
      <c r="AR150" s="772" t="n"/>
      <c r="AS150" s="772" t="n"/>
      <c r="AT150" s="772" t="n"/>
      <c r="AU150" s="772" t="n"/>
      <c r="AV150" s="772" t="n"/>
      <c r="AW150" s="772" t="n"/>
      <c r="AX150" s="772" t="n"/>
      <c r="AY150" s="772" t="n"/>
      <c r="AZ150" s="772" t="n"/>
      <c r="BA150" s="772" t="n"/>
      <c r="BB150" s="772" t="n"/>
      <c r="BC150" s="772" t="n"/>
      <c r="BD150" s="772" t="n"/>
      <c r="BE150" s="772" t="n"/>
      <c r="BF150" s="772" t="n"/>
      <c r="BG150" s="772" t="n"/>
      <c r="BH150" s="772" t="n"/>
      <c r="BI150" s="772" t="n"/>
      <c r="BJ150" s="772" t="n"/>
      <c r="BK150" s="772" t="n"/>
      <c r="BL150" s="772" t="n"/>
      <c r="BM150" s="772" t="n"/>
      <c r="BN150" s="772" t="n"/>
      <c r="BO150" s="772" t="n"/>
      <c r="BP150" s="772" t="n"/>
      <c r="BQ150" s="772" t="n"/>
      <c r="BR150" s="772" t="n"/>
      <c r="BS150" s="772" t="n"/>
      <c r="BT150" s="772" t="n"/>
      <c r="BU150" s="772" t="n"/>
      <c r="BV150" s="772" t="n"/>
    </row>
    <row r="151">
      <c r="A151" s="772" t="n"/>
      <c r="B151" s="772" t="n"/>
      <c r="C151" s="772" t="n"/>
      <c r="D151" s="772" t="n"/>
      <c r="E151" s="772" t="n"/>
      <c r="F151" s="772" t="n"/>
      <c r="G151" s="772" t="n"/>
      <c r="H151" s="772" t="n"/>
      <c r="I151" s="772" t="n"/>
      <c r="J151" s="772" t="n"/>
      <c r="K151" s="772" t="n"/>
      <c r="L151" s="772" t="n"/>
      <c r="M151" s="772" t="n"/>
      <c r="N151" s="772" t="n"/>
      <c r="O151" s="772" t="n"/>
      <c r="P151" s="772" t="n"/>
      <c r="Q151" s="772" t="n"/>
      <c r="R151" s="772" t="n"/>
      <c r="S151" s="772" t="n"/>
      <c r="T151" s="772" t="n"/>
      <c r="U151" s="772" t="n"/>
      <c r="V151" s="772" t="n"/>
      <c r="W151" s="772" t="n"/>
      <c r="X151" s="772" t="n"/>
      <c r="Y151" s="772" t="n"/>
      <c r="Z151" s="772" t="n"/>
      <c r="AA151" s="772" t="n"/>
      <c r="AB151" s="772" t="n"/>
      <c r="AC151" s="772" t="n"/>
      <c r="AD151" s="772" t="n"/>
      <c r="AE151" s="772" t="n"/>
      <c r="AF151" s="772" t="n"/>
      <c r="AG151" s="772" t="n"/>
      <c r="AH151" s="772" t="n"/>
      <c r="AI151" s="772" t="n"/>
      <c r="AJ151" s="772" t="n"/>
      <c r="AK151" s="772" t="n"/>
      <c r="AL151" s="772" t="n"/>
      <c r="AM151" s="772" t="n"/>
      <c r="AN151" s="772" t="n"/>
      <c r="AO151" s="772" t="n"/>
      <c r="AP151" s="772" t="n"/>
      <c r="AQ151" s="772" t="n"/>
      <c r="AR151" s="772" t="n"/>
      <c r="AS151" s="772" t="n"/>
      <c r="AT151" s="772" t="n"/>
      <c r="AU151" s="772" t="n"/>
      <c r="AV151" s="772" t="n"/>
      <c r="AW151" s="772" t="n"/>
      <c r="AX151" s="772" t="n"/>
      <c r="AY151" s="772" t="n"/>
      <c r="AZ151" s="772" t="n"/>
      <c r="BA151" s="772" t="n"/>
      <c r="BB151" s="772" t="n"/>
      <c r="BC151" s="772" t="n"/>
      <c r="BD151" s="772" t="n"/>
      <c r="BE151" s="772" t="n"/>
      <c r="BF151" s="772" t="n"/>
      <c r="BG151" s="772" t="n"/>
      <c r="BH151" s="772" t="n"/>
      <c r="BI151" s="772" t="n"/>
      <c r="BJ151" s="772" t="n"/>
      <c r="BK151" s="772" t="n"/>
      <c r="BL151" s="772" t="n"/>
      <c r="BM151" s="772" t="n"/>
      <c r="BN151" s="772" t="n"/>
      <c r="BO151" s="772" t="n"/>
      <c r="BP151" s="772" t="n"/>
      <c r="BQ151" s="772" t="n"/>
      <c r="BR151" s="772" t="n"/>
      <c r="BS151" s="772" t="n"/>
      <c r="BT151" s="772" t="n"/>
      <c r="BU151" s="772" t="n"/>
      <c r="BV151" s="772" t="n"/>
    </row>
    <row r="152">
      <c r="A152" s="772" t="n"/>
      <c r="B152" s="772" t="n"/>
      <c r="C152" s="772" t="n"/>
      <c r="D152" s="772" t="n"/>
      <c r="E152" s="772" t="n"/>
      <c r="F152" s="772" t="n"/>
      <c r="G152" s="772" t="n"/>
      <c r="H152" s="772" t="n"/>
      <c r="I152" s="772" t="n"/>
      <c r="J152" s="772" t="n"/>
      <c r="K152" s="772" t="n"/>
      <c r="L152" s="772" t="n"/>
      <c r="M152" s="772" t="n"/>
      <c r="N152" s="772" t="n"/>
      <c r="O152" s="772" t="n"/>
      <c r="P152" s="772" t="n"/>
      <c r="Q152" s="772" t="n"/>
      <c r="R152" s="772" t="n"/>
      <c r="S152" s="772" t="n"/>
      <c r="T152" s="772" t="n"/>
      <c r="U152" s="772" t="n"/>
      <c r="V152" s="772" t="n"/>
      <c r="W152" s="772" t="n"/>
      <c r="X152" s="772" t="n"/>
      <c r="Y152" s="772" t="n"/>
      <c r="Z152" s="772" t="n"/>
      <c r="AA152" s="772" t="n"/>
      <c r="AB152" s="772" t="n"/>
      <c r="AC152" s="772" t="n"/>
      <c r="AD152" s="772" t="n"/>
      <c r="AE152" s="772" t="n"/>
      <c r="AF152" s="772" t="n"/>
      <c r="AG152" s="772" t="n"/>
      <c r="AH152" s="772" t="n"/>
      <c r="AI152" s="772" t="n"/>
      <c r="AJ152" s="772" t="n"/>
      <c r="AK152" s="772" t="n"/>
      <c r="AL152" s="772" t="n"/>
      <c r="AM152" s="772" t="n"/>
      <c r="AN152" s="772" t="n"/>
      <c r="AO152" s="772" t="n"/>
      <c r="AP152" s="772" t="n"/>
      <c r="AQ152" s="772" t="n"/>
      <c r="AR152" s="772" t="n"/>
      <c r="AS152" s="772" t="n"/>
      <c r="AT152" s="772" t="n"/>
      <c r="AU152" s="772" t="n"/>
      <c r="AV152" s="772" t="n"/>
      <c r="AW152" s="772" t="n"/>
      <c r="AX152" s="772" t="n"/>
      <c r="AY152" s="772" t="n"/>
      <c r="AZ152" s="772" t="n"/>
      <c r="BA152" s="772" t="n"/>
      <c r="BB152" s="772" t="n"/>
      <c r="BC152" s="772" t="n"/>
      <c r="BD152" s="772" t="n"/>
      <c r="BE152" s="772" t="n"/>
      <c r="BF152" s="772" t="n"/>
      <c r="BG152" s="772" t="n"/>
      <c r="BH152" s="772" t="n"/>
      <c r="BI152" s="772" t="n"/>
      <c r="BJ152" s="772" t="n"/>
      <c r="BK152" s="772" t="n"/>
      <c r="BL152" s="772" t="n"/>
      <c r="BM152" s="772" t="n"/>
      <c r="BN152" s="772" t="n"/>
      <c r="BO152" s="772" t="n"/>
      <c r="BP152" s="772" t="n"/>
      <c r="BQ152" s="772" t="n"/>
      <c r="BR152" s="772" t="n"/>
      <c r="BS152" s="772" t="n"/>
      <c r="BT152" s="772" t="n"/>
      <c r="BU152" s="772" t="n"/>
      <c r="BV152" s="772" t="n"/>
    </row>
    <row r="153">
      <c r="A153" s="772" t="n"/>
      <c r="B153" s="772" t="n"/>
      <c r="C153" s="772" t="n"/>
      <c r="D153" s="772" t="n"/>
      <c r="E153" s="772" t="n"/>
      <c r="F153" s="772" t="n"/>
      <c r="G153" s="772" t="n"/>
      <c r="H153" s="772" t="n"/>
      <c r="I153" s="772" t="n"/>
      <c r="J153" s="772" t="n"/>
      <c r="K153" s="772" t="n"/>
      <c r="L153" s="772" t="n"/>
      <c r="M153" s="772" t="n"/>
      <c r="N153" s="772" t="n"/>
      <c r="O153" s="772" t="n"/>
      <c r="P153" s="772" t="n"/>
      <c r="Q153" s="772" t="n"/>
      <c r="R153" s="772" t="n"/>
      <c r="S153" s="772" t="n"/>
      <c r="T153" s="772" t="n"/>
      <c r="U153" s="772" t="n"/>
      <c r="V153" s="772" t="n"/>
      <c r="W153" s="772" t="n"/>
      <c r="X153" s="772" t="n"/>
      <c r="Y153" s="772" t="n"/>
      <c r="Z153" s="772" t="n"/>
      <c r="AA153" s="772" t="n"/>
      <c r="AB153" s="772" t="n"/>
      <c r="AC153" s="772" t="n"/>
      <c r="AD153" s="772" t="n"/>
      <c r="AE153" s="772" t="n"/>
      <c r="AF153" s="772" t="n"/>
      <c r="AG153" s="772" t="n"/>
      <c r="AH153" s="772" t="n"/>
      <c r="AI153" s="772" t="n"/>
      <c r="AJ153" s="772" t="n"/>
      <c r="AK153" s="772" t="n"/>
      <c r="AL153" s="772" t="n"/>
      <c r="AM153" s="772" t="n"/>
      <c r="AN153" s="772" t="n"/>
      <c r="AO153" s="772" t="n"/>
      <c r="AP153" s="772" t="n"/>
      <c r="AQ153" s="772" t="n"/>
      <c r="AR153" s="772" t="n"/>
      <c r="AS153" s="772" t="n"/>
      <c r="AT153" s="772" t="n"/>
      <c r="AU153" s="772" t="n"/>
      <c r="AV153" s="772" t="n"/>
      <c r="AW153" s="772" t="n"/>
      <c r="AX153" s="772" t="n"/>
      <c r="AY153" s="772" t="n"/>
      <c r="AZ153" s="772" t="n"/>
      <c r="BA153" s="772" t="n"/>
      <c r="BB153" s="772" t="n"/>
      <c r="BC153" s="772" t="n"/>
      <c r="BD153" s="772" t="n"/>
      <c r="BE153" s="772" t="n"/>
      <c r="BF153" s="772" t="n"/>
      <c r="BG153" s="772" t="n"/>
      <c r="BH153" s="772" t="n"/>
      <c r="BI153" s="772" t="n"/>
      <c r="BJ153" s="772" t="n"/>
      <c r="BK153" s="772" t="n"/>
      <c r="BL153" s="772" t="n"/>
      <c r="BM153" s="772" t="n"/>
      <c r="BN153" s="772" t="n"/>
      <c r="BO153" s="772" t="n"/>
      <c r="BP153" s="772" t="n"/>
      <c r="BQ153" s="772" t="n"/>
      <c r="BR153" s="772" t="n"/>
      <c r="BS153" s="772" t="n"/>
      <c r="BT153" s="772" t="n"/>
      <c r="BU153" s="772" t="n"/>
      <c r="BV153" s="772" t="n"/>
    </row>
    <row r="154">
      <c r="A154" s="772" t="n"/>
      <c r="B154" s="772" t="n"/>
      <c r="C154" s="772" t="n"/>
      <c r="D154" s="772" t="n"/>
      <c r="E154" s="772" t="n"/>
      <c r="F154" s="772" t="n"/>
      <c r="G154" s="772" t="n"/>
      <c r="H154" s="772" t="n"/>
      <c r="I154" s="772" t="n"/>
      <c r="J154" s="772" t="n"/>
      <c r="K154" s="772" t="n"/>
      <c r="L154" s="772" t="n"/>
      <c r="M154" s="772" t="n"/>
      <c r="N154" s="772" t="n"/>
      <c r="O154" s="772" t="n"/>
      <c r="P154" s="772" t="n"/>
      <c r="Q154" s="772" t="n"/>
      <c r="R154" s="772" t="n"/>
      <c r="S154" s="772" t="n"/>
      <c r="T154" s="772" t="n"/>
      <c r="U154" s="772" t="n"/>
      <c r="V154" s="772" t="n"/>
      <c r="W154" s="772" t="n"/>
      <c r="X154" s="772" t="n"/>
      <c r="Y154" s="772" t="n"/>
      <c r="Z154" s="772" t="n"/>
      <c r="AA154" s="772" t="n"/>
      <c r="AB154" s="772" t="n"/>
      <c r="AC154" s="772" t="n"/>
      <c r="AD154" s="772" t="n"/>
      <c r="AE154" s="772" t="n"/>
      <c r="AF154" s="772" t="n"/>
      <c r="AG154" s="772" t="n"/>
      <c r="AH154" s="772" t="n"/>
      <c r="AI154" s="772" t="n"/>
      <c r="AJ154" s="772" t="n"/>
      <c r="AK154" s="772" t="n"/>
      <c r="AL154" s="772" t="n"/>
      <c r="AM154" s="772" t="n"/>
      <c r="AN154" s="772" t="n"/>
      <c r="AO154" s="772" t="n"/>
      <c r="AP154" s="772" t="n"/>
      <c r="AQ154" s="772" t="n"/>
      <c r="AR154" s="772" t="n"/>
      <c r="AS154" s="772" t="n"/>
      <c r="AT154" s="772" t="n"/>
      <c r="AU154" s="772" t="n"/>
      <c r="AV154" s="772" t="n"/>
      <c r="AW154" s="772" t="n"/>
      <c r="AX154" s="772" t="n"/>
      <c r="AY154" s="772" t="n"/>
      <c r="AZ154" s="772" t="n"/>
      <c r="BA154" s="772" t="n"/>
      <c r="BB154" s="772" t="n"/>
      <c r="BC154" s="772" t="n"/>
      <c r="BD154" s="772" t="n"/>
      <c r="BE154" s="772" t="n"/>
      <c r="BF154" s="772" t="n"/>
      <c r="BG154" s="772" t="n"/>
      <c r="BH154" s="772" t="n"/>
      <c r="BI154" s="772" t="n"/>
      <c r="BJ154" s="772" t="n"/>
      <c r="BK154" s="772" t="n"/>
      <c r="BL154" s="772" t="n"/>
      <c r="BM154" s="772" t="n"/>
      <c r="BN154" s="772" t="n"/>
      <c r="BO154" s="772" t="n"/>
      <c r="BP154" s="772" t="n"/>
      <c r="BQ154" s="772" t="n"/>
      <c r="BR154" s="772" t="n"/>
      <c r="BS154" s="772" t="n"/>
      <c r="BT154" s="772" t="n"/>
      <c r="BU154" s="772" t="n"/>
      <c r="BV154" s="772" t="n"/>
    </row>
    <row r="155">
      <c r="A155" s="772" t="n"/>
      <c r="B155" s="772" t="n"/>
      <c r="C155" s="772" t="n"/>
      <c r="D155" s="772" t="n"/>
      <c r="E155" s="772" t="n"/>
      <c r="F155" s="772" t="n"/>
      <c r="G155" s="772" t="n"/>
      <c r="H155" s="772" t="n"/>
      <c r="I155" s="772" t="n"/>
      <c r="J155" s="772" t="n"/>
      <c r="K155" s="772" t="n"/>
      <c r="L155" s="772" t="n"/>
      <c r="M155" s="772" t="n"/>
      <c r="N155" s="772" t="n"/>
      <c r="O155" s="772" t="n"/>
      <c r="P155" s="772" t="n"/>
      <c r="Q155" s="772" t="n"/>
      <c r="R155" s="772" t="n"/>
      <c r="S155" s="772" t="n"/>
      <c r="T155" s="772" t="n"/>
      <c r="U155" s="772" t="n"/>
      <c r="V155" s="772" t="n"/>
      <c r="W155" s="772" t="n"/>
      <c r="X155" s="772" t="n"/>
      <c r="Y155" s="772" t="n"/>
      <c r="Z155" s="772" t="n"/>
      <c r="AA155" s="772" t="n"/>
      <c r="AB155" s="772" t="n"/>
      <c r="AC155" s="772" t="n"/>
      <c r="AD155" s="772" t="n"/>
      <c r="AE155" s="772" t="n"/>
      <c r="AF155" s="772" t="n"/>
      <c r="AG155" s="772" t="n"/>
      <c r="AH155" s="772" t="n"/>
      <c r="AI155" s="772" t="n"/>
      <c r="AJ155" s="772" t="n"/>
      <c r="AK155" s="772" t="n"/>
      <c r="AL155" s="772" t="n"/>
      <c r="AM155" s="772" t="n"/>
      <c r="AN155" s="772" t="n"/>
      <c r="AO155" s="772" t="n"/>
      <c r="AP155" s="772" t="n"/>
      <c r="AQ155" s="772" t="n"/>
      <c r="AR155" s="772" t="n"/>
      <c r="AS155" s="772" t="n"/>
      <c r="AT155" s="772" t="n"/>
      <c r="AU155" s="772" t="n"/>
      <c r="AV155" s="772" t="n"/>
      <c r="AW155" s="772" t="n"/>
      <c r="AX155" s="772" t="n"/>
      <c r="AY155" s="772" t="n"/>
      <c r="AZ155" s="772" t="n"/>
      <c r="BA155" s="772" t="n"/>
      <c r="BB155" s="772" t="n"/>
      <c r="BC155" s="772" t="n"/>
      <c r="BD155" s="772" t="n"/>
      <c r="BE155" s="772" t="n"/>
      <c r="BF155" s="772" t="n"/>
      <c r="BG155" s="772" t="n"/>
      <c r="BH155" s="772" t="n"/>
      <c r="BI155" s="772" t="n"/>
      <c r="BJ155" s="772" t="n"/>
      <c r="BK155" s="772" t="n"/>
      <c r="BL155" s="772" t="n"/>
      <c r="BM155" s="772" t="n"/>
      <c r="BN155" s="772" t="n"/>
      <c r="BO155" s="772" t="n"/>
      <c r="BP155" s="772" t="n"/>
      <c r="BQ155" s="772" t="n"/>
      <c r="BR155" s="772" t="n"/>
      <c r="BS155" s="772" t="n"/>
      <c r="BT155" s="772" t="n"/>
      <c r="BU155" s="772" t="n"/>
      <c r="BV155" s="772" t="n"/>
    </row>
    <row r="156">
      <c r="A156" s="772" t="n"/>
      <c r="B156" s="772" t="n"/>
      <c r="C156" s="772" t="n"/>
      <c r="D156" s="772" t="n"/>
      <c r="E156" s="772" t="n"/>
      <c r="F156" s="772" t="n"/>
      <c r="G156" s="772" t="n"/>
      <c r="H156" s="772" t="n"/>
      <c r="I156" s="772" t="n"/>
      <c r="J156" s="772" t="n"/>
      <c r="K156" s="772" t="n"/>
      <c r="L156" s="772" t="n"/>
      <c r="M156" s="772" t="n"/>
      <c r="N156" s="772" t="n"/>
      <c r="O156" s="772" t="n"/>
      <c r="P156" s="772" t="n"/>
      <c r="Q156" s="772" t="n"/>
      <c r="R156" s="772" t="n"/>
      <c r="S156" s="772" t="n"/>
      <c r="T156" s="772" t="n"/>
      <c r="U156" s="772" t="n"/>
      <c r="V156" s="772" t="n"/>
      <c r="W156" s="772" t="n"/>
      <c r="X156" s="772" t="n"/>
      <c r="Y156" s="772" t="n"/>
      <c r="Z156" s="772" t="n"/>
      <c r="AA156" s="772" t="n"/>
      <c r="AB156" s="772" t="n"/>
      <c r="AC156" s="772" t="n"/>
      <c r="AD156" s="772" t="n"/>
      <c r="AE156" s="772" t="n"/>
      <c r="AF156" s="772" t="n"/>
      <c r="AG156" s="772" t="n"/>
      <c r="AH156" s="772" t="n"/>
      <c r="AI156" s="772" t="n"/>
      <c r="AJ156" s="772" t="n"/>
      <c r="AK156" s="772" t="n"/>
      <c r="AL156" s="772" t="n"/>
      <c r="AM156" s="772" t="n"/>
      <c r="AN156" s="772" t="n"/>
      <c r="AO156" s="772" t="n"/>
      <c r="AP156" s="772" t="n"/>
      <c r="AQ156" s="772" t="n"/>
      <c r="AR156" s="772" t="n"/>
      <c r="AS156" s="772" t="n"/>
      <c r="AT156" s="772" t="n"/>
      <c r="AU156" s="772" t="n"/>
      <c r="AV156" s="772" t="n"/>
      <c r="AW156" s="772" t="n"/>
      <c r="AX156" s="772" t="n"/>
      <c r="AY156" s="772" t="n"/>
      <c r="AZ156" s="772" t="n"/>
      <c r="BA156" s="772" t="n"/>
      <c r="BB156" s="772" t="n"/>
      <c r="BC156" s="772" t="n"/>
      <c r="BD156" s="772" t="n"/>
      <c r="BE156" s="772" t="n"/>
      <c r="BF156" s="772" t="n"/>
      <c r="BG156" s="772" t="n"/>
      <c r="BH156" s="772" t="n"/>
      <c r="BI156" s="772" t="n"/>
      <c r="BJ156" s="772" t="n"/>
      <c r="BK156" s="772" t="n"/>
      <c r="BL156" s="772" t="n"/>
      <c r="BM156" s="772" t="n"/>
      <c r="BN156" s="772" t="n"/>
      <c r="BO156" s="772" t="n"/>
      <c r="BP156" s="772" t="n"/>
      <c r="BQ156" s="772" t="n"/>
      <c r="BR156" s="772" t="n"/>
      <c r="BS156" s="772" t="n"/>
      <c r="BT156" s="772" t="n"/>
      <c r="BU156" s="772" t="n"/>
      <c r="BV156" s="772" t="n"/>
    </row>
    <row r="157">
      <c r="A157" s="772" t="n"/>
      <c r="B157" s="772" t="n"/>
      <c r="C157" s="772" t="n"/>
      <c r="D157" s="772" t="n"/>
      <c r="E157" s="772" t="n"/>
      <c r="F157" s="772" t="n"/>
      <c r="G157" s="772" t="n"/>
      <c r="H157" s="772" t="n"/>
      <c r="I157" s="772" t="n"/>
      <c r="J157" s="772" t="n"/>
      <c r="K157" s="772" t="n"/>
      <c r="L157" s="772" t="n"/>
      <c r="M157" s="772" t="n"/>
      <c r="N157" s="772" t="n"/>
      <c r="O157" s="772" t="n"/>
      <c r="P157" s="772" t="n"/>
      <c r="Q157" s="772" t="n"/>
      <c r="R157" s="772" t="n"/>
      <c r="S157" s="772" t="n"/>
      <c r="T157" s="772" t="n"/>
      <c r="U157" s="772" t="n"/>
      <c r="V157" s="772" t="n"/>
      <c r="W157" s="772" t="n"/>
      <c r="X157" s="772" t="n"/>
      <c r="Y157" s="772" t="n"/>
      <c r="Z157" s="772" t="n"/>
      <c r="AA157" s="772" t="n"/>
      <c r="AB157" s="772" t="n"/>
      <c r="AC157" s="772" t="n"/>
      <c r="AD157" s="772" t="n"/>
      <c r="AE157" s="772" t="n"/>
      <c r="AF157" s="772" t="n"/>
      <c r="AG157" s="772" t="n"/>
      <c r="AH157" s="772" t="n"/>
      <c r="AI157" s="772" t="n"/>
      <c r="AJ157" s="772" t="n"/>
      <c r="AK157" s="772" t="n"/>
      <c r="AL157" s="772" t="n"/>
      <c r="AM157" s="772" t="n"/>
      <c r="AN157" s="772" t="n"/>
      <c r="AO157" s="772" t="n"/>
      <c r="AP157" s="772" t="n"/>
      <c r="AQ157" s="772" t="n"/>
      <c r="AR157" s="772" t="n"/>
      <c r="AS157" s="772" t="n"/>
      <c r="AT157" s="772" t="n"/>
      <c r="AU157" s="772" t="n"/>
      <c r="AV157" s="772" t="n"/>
      <c r="AW157" s="772" t="n"/>
      <c r="AX157" s="772" t="n"/>
      <c r="AY157" s="772" t="n"/>
      <c r="AZ157" s="772" t="n"/>
      <c r="BA157" s="772" t="n"/>
      <c r="BB157" s="772" t="n"/>
      <c r="BC157" s="772" t="n"/>
      <c r="BD157" s="772" t="n"/>
      <c r="BE157" s="772" t="n"/>
      <c r="BF157" s="772" t="n"/>
      <c r="BG157" s="772" t="n"/>
      <c r="BH157" s="772" t="n"/>
      <c r="BI157" s="772" t="n"/>
      <c r="BJ157" s="772" t="n"/>
      <c r="BK157" s="772" t="n"/>
      <c r="BL157" s="772" t="n"/>
      <c r="BM157" s="772" t="n"/>
      <c r="BN157" s="772" t="n"/>
      <c r="BO157" s="772" t="n"/>
      <c r="BP157" s="772" t="n"/>
      <c r="BQ157" s="772" t="n"/>
      <c r="BR157" s="772" t="n"/>
      <c r="BS157" s="772" t="n"/>
      <c r="BT157" s="772" t="n"/>
      <c r="BU157" s="772" t="n"/>
      <c r="BV157" s="772" t="n"/>
    </row>
    <row r="158">
      <c r="A158" s="772" t="n"/>
      <c r="B158" s="772" t="n"/>
      <c r="C158" s="772" t="n"/>
      <c r="D158" s="772" t="n"/>
      <c r="E158" s="772" t="n"/>
      <c r="F158" s="772" t="n"/>
      <c r="G158" s="772" t="n"/>
      <c r="H158" s="772" t="n"/>
      <c r="I158" s="772" t="n"/>
      <c r="J158" s="772" t="n"/>
      <c r="K158" s="772" t="n"/>
      <c r="L158" s="772" t="n"/>
      <c r="M158" s="772" t="n"/>
      <c r="N158" s="772" t="n"/>
      <c r="O158" s="772" t="n"/>
      <c r="P158" s="772" t="n"/>
      <c r="Q158" s="772" t="n"/>
      <c r="R158" s="772" t="n"/>
      <c r="S158" s="772" t="n"/>
      <c r="T158" s="772" t="n"/>
      <c r="U158" s="772" t="n"/>
      <c r="V158" s="772" t="n"/>
      <c r="W158" s="772" t="n"/>
      <c r="X158" s="772" t="n"/>
      <c r="Y158" s="772" t="n"/>
      <c r="Z158" s="772" t="n"/>
      <c r="AA158" s="772" t="n"/>
      <c r="AB158" s="772" t="n"/>
      <c r="AC158" s="772" t="n"/>
      <c r="AD158" s="772" t="n"/>
      <c r="AE158" s="772" t="n"/>
      <c r="AF158" s="772" t="n"/>
      <c r="AG158" s="772" t="n"/>
      <c r="AH158" s="772" t="n"/>
      <c r="AI158" s="772" t="n"/>
      <c r="AJ158" s="772" t="n"/>
      <c r="AK158" s="772" t="n"/>
      <c r="AL158" s="772" t="n"/>
      <c r="AM158" s="772" t="n"/>
      <c r="AN158" s="772" t="n"/>
      <c r="AO158" s="772" t="n"/>
      <c r="AP158" s="772" t="n"/>
      <c r="AQ158" s="772" t="n"/>
      <c r="AR158" s="772" t="n"/>
      <c r="AS158" s="772" t="n"/>
      <c r="AT158" s="772" t="n"/>
      <c r="AU158" s="772" t="n"/>
      <c r="AV158" s="772" t="n"/>
      <c r="AW158" s="772" t="n"/>
      <c r="AX158" s="772" t="n"/>
      <c r="AY158" s="772" t="n"/>
      <c r="AZ158" s="772" t="n"/>
      <c r="BA158" s="772" t="n"/>
      <c r="BB158" s="772" t="n"/>
      <c r="BC158" s="772" t="n"/>
      <c r="BD158" s="772" t="n"/>
      <c r="BE158" s="772" t="n"/>
      <c r="BF158" s="772" t="n"/>
      <c r="BG158" s="772" t="n"/>
      <c r="BH158" s="772" t="n"/>
      <c r="BI158" s="772" t="n"/>
      <c r="BJ158" s="772" t="n"/>
      <c r="BK158" s="772" t="n"/>
      <c r="BL158" s="772" t="n"/>
      <c r="BM158" s="772" t="n"/>
      <c r="BN158" s="772" t="n"/>
      <c r="BO158" s="772" t="n"/>
      <c r="BP158" s="772" t="n"/>
      <c r="BQ158" s="772" t="n"/>
      <c r="BR158" s="772" t="n"/>
      <c r="BS158" s="772" t="n"/>
      <c r="BT158" s="772" t="n"/>
      <c r="BU158" s="772" t="n"/>
      <c r="BV158" s="772" t="n"/>
    </row>
    <row r="159">
      <c r="A159" s="772" t="n"/>
      <c r="B159" s="772" t="n"/>
      <c r="C159" s="772" t="n"/>
      <c r="D159" s="772" t="n"/>
      <c r="E159" s="772" t="n"/>
      <c r="F159" s="772" t="n"/>
      <c r="G159" s="772" t="n"/>
      <c r="H159" s="772" t="n"/>
      <c r="I159" s="772" t="n"/>
      <c r="J159" s="772" t="n"/>
      <c r="K159" s="772" t="n"/>
      <c r="L159" s="772" t="n"/>
      <c r="M159" s="772" t="n"/>
      <c r="N159" s="772" t="n"/>
      <c r="O159" s="772" t="n"/>
      <c r="P159" s="772" t="n"/>
      <c r="Q159" s="772" t="n"/>
      <c r="R159" s="772" t="n"/>
      <c r="S159" s="772" t="n"/>
      <c r="T159" s="772" t="n"/>
      <c r="U159" s="772" t="n"/>
      <c r="V159" s="772" t="n"/>
      <c r="W159" s="772" t="n"/>
      <c r="X159" s="772" t="n"/>
      <c r="Y159" s="772" t="n"/>
      <c r="Z159" s="772" t="n"/>
      <c r="AA159" s="772" t="n"/>
      <c r="AB159" s="772" t="n"/>
      <c r="AC159" s="772" t="n"/>
      <c r="AD159" s="772" t="n"/>
      <c r="AE159" s="772" t="n"/>
      <c r="AF159" s="772" t="n"/>
      <c r="AG159" s="772" t="n"/>
      <c r="AH159" s="772" t="n"/>
      <c r="AI159" s="772" t="n"/>
      <c r="AJ159" s="772" t="n"/>
      <c r="AK159" s="772" t="n"/>
      <c r="AL159" s="772" t="n"/>
      <c r="AM159" s="772" t="n"/>
      <c r="AN159" s="772" t="n"/>
      <c r="AO159" s="772" t="n"/>
      <c r="AP159" s="772" t="n"/>
      <c r="AQ159" s="772" t="n"/>
      <c r="AR159" s="772" t="n"/>
      <c r="AS159" s="772" t="n"/>
      <c r="AT159" s="772" t="n"/>
      <c r="AU159" s="772" t="n"/>
      <c r="AV159" s="772" t="n"/>
      <c r="AW159" s="772" t="n"/>
      <c r="AX159" s="772" t="n"/>
      <c r="AY159" s="772" t="n"/>
      <c r="AZ159" s="772" t="n"/>
      <c r="BA159" s="772" t="n"/>
      <c r="BB159" s="772" t="n"/>
      <c r="BC159" s="772" t="n"/>
      <c r="BD159" s="772" t="n"/>
      <c r="BE159" s="772" t="n"/>
      <c r="BF159" s="772" t="n"/>
      <c r="BG159" s="772" t="n"/>
      <c r="BH159" s="772" t="n"/>
      <c r="BI159" s="772" t="n"/>
      <c r="BJ159" s="772" t="n"/>
      <c r="BK159" s="772" t="n"/>
      <c r="BL159" s="772" t="n"/>
      <c r="BM159" s="772" t="n"/>
      <c r="BN159" s="772" t="n"/>
      <c r="BO159" s="772" t="n"/>
      <c r="BP159" s="772" t="n"/>
      <c r="BQ159" s="772" t="n"/>
      <c r="BR159" s="772" t="n"/>
      <c r="BS159" s="772" t="n"/>
      <c r="BT159" s="772" t="n"/>
      <c r="BU159" s="772" t="n"/>
      <c r="BV159" s="772" t="n"/>
    </row>
    <row r="160">
      <c r="A160" s="772" t="n"/>
      <c r="B160" s="772" t="n"/>
      <c r="C160" s="772" t="n"/>
      <c r="D160" s="772" t="n"/>
      <c r="E160" s="772" t="n"/>
      <c r="F160" s="772" t="n"/>
      <c r="G160" s="772" t="n"/>
      <c r="H160" s="772" t="n"/>
      <c r="I160" s="772" t="n"/>
      <c r="J160" s="772" t="n"/>
      <c r="K160" s="772" t="n"/>
      <c r="L160" s="772" t="n"/>
      <c r="M160" s="772" t="n"/>
      <c r="N160" s="772" t="n"/>
      <c r="O160" s="772" t="n"/>
      <c r="P160" s="772" t="n"/>
      <c r="Q160" s="772" t="n"/>
      <c r="R160" s="772" t="n"/>
      <c r="S160" s="772" t="n"/>
      <c r="T160" s="772" t="n"/>
      <c r="U160" s="772" t="n"/>
      <c r="V160" s="772" t="n"/>
      <c r="W160" s="772" t="n"/>
      <c r="X160" s="772" t="n"/>
      <c r="Y160" s="772" t="n"/>
      <c r="Z160" s="772" t="n"/>
      <c r="AA160" s="772" t="n"/>
      <c r="AB160" s="772" t="n"/>
      <c r="AC160" s="772" t="n"/>
      <c r="AD160" s="772" t="n"/>
      <c r="AE160" s="772" t="n"/>
      <c r="AF160" s="772" t="n"/>
      <c r="AG160" s="772" t="n"/>
      <c r="AH160" s="772" t="n"/>
      <c r="AI160" s="772" t="n"/>
      <c r="AJ160" s="772" t="n"/>
      <c r="AK160" s="772" t="n"/>
      <c r="AL160" s="772" t="n"/>
      <c r="AM160" s="772" t="n"/>
      <c r="AN160" s="772" t="n"/>
      <c r="AO160" s="772" t="n"/>
      <c r="AP160" s="772" t="n"/>
      <c r="AQ160" s="772" t="n"/>
      <c r="AR160" s="772" t="n"/>
      <c r="AS160" s="772" t="n"/>
      <c r="AT160" s="772" t="n"/>
      <c r="AU160" s="772" t="n"/>
      <c r="AV160" s="772" t="n"/>
      <c r="AW160" s="772" t="n"/>
      <c r="AX160" s="772" t="n"/>
      <c r="AY160" s="772" t="n"/>
      <c r="AZ160" s="772" t="n"/>
      <c r="BA160" s="772" t="n"/>
      <c r="BB160" s="772" t="n"/>
      <c r="BC160" s="772" t="n"/>
      <c r="BD160" s="772" t="n"/>
      <c r="BE160" s="772" t="n"/>
      <c r="BF160" s="772" t="n"/>
      <c r="BG160" s="772" t="n"/>
      <c r="BH160" s="772" t="n"/>
      <c r="BI160" s="772" t="n"/>
      <c r="BJ160" s="772" t="n"/>
      <c r="BK160" s="772" t="n"/>
      <c r="BL160" s="772" t="n"/>
      <c r="BM160" s="772" t="n"/>
      <c r="BN160" s="772" t="n"/>
      <c r="BO160" s="772" t="n"/>
      <c r="BP160" s="772" t="n"/>
      <c r="BQ160" s="772" t="n"/>
      <c r="BR160" s="772" t="n"/>
      <c r="BS160" s="772" t="n"/>
      <c r="BT160" s="772" t="n"/>
      <c r="BU160" s="772" t="n"/>
      <c r="BV160" s="772" t="n"/>
    </row>
    <row r="161">
      <c r="A161" s="772" t="n"/>
      <c r="B161" s="772" t="n"/>
      <c r="C161" s="772" t="n"/>
      <c r="D161" s="772" t="n"/>
      <c r="E161" s="772" t="n"/>
      <c r="F161" s="772" t="n"/>
      <c r="G161" s="772" t="n"/>
      <c r="H161" s="772" t="n"/>
      <c r="I161" s="772" t="n"/>
      <c r="J161" s="772" t="n"/>
      <c r="K161" s="772" t="n"/>
      <c r="L161" s="772" t="n"/>
      <c r="M161" s="772" t="n"/>
      <c r="N161" s="772" t="n"/>
      <c r="O161" s="772" t="n"/>
      <c r="P161" s="772" t="n"/>
      <c r="Q161" s="772" t="n"/>
      <c r="R161" s="772" t="n"/>
      <c r="S161" s="772" t="n"/>
      <c r="T161" s="772" t="n"/>
      <c r="U161" s="772" t="n"/>
      <c r="V161" s="772" t="n"/>
      <c r="W161" s="772" t="n"/>
      <c r="X161" s="772" t="n"/>
      <c r="Y161" s="772" t="n"/>
      <c r="Z161" s="772" t="n"/>
      <c r="AA161" s="772" t="n"/>
      <c r="AB161" s="772" t="n"/>
      <c r="AC161" s="772" t="n"/>
      <c r="AD161" s="772" t="n"/>
      <c r="AE161" s="772" t="n"/>
      <c r="AF161" s="772" t="n"/>
      <c r="AG161" s="772" t="n"/>
      <c r="AH161" s="772" t="n"/>
      <c r="AI161" s="772" t="n"/>
      <c r="AJ161" s="772" t="n"/>
      <c r="AK161" s="772" t="n"/>
      <c r="AL161" s="772" t="n"/>
      <c r="AM161" s="772" t="n"/>
      <c r="AN161" s="772" t="n"/>
      <c r="AO161" s="772" t="n"/>
      <c r="AP161" s="772" t="n"/>
      <c r="AQ161" s="772" t="n"/>
      <c r="AR161" s="772" t="n"/>
      <c r="AS161" s="772" t="n"/>
      <c r="AT161" s="772" t="n"/>
      <c r="AU161" s="772" t="n"/>
      <c r="AV161" s="772" t="n"/>
      <c r="AW161" s="772" t="n"/>
      <c r="AX161" s="772" t="n"/>
      <c r="AY161" s="772" t="n"/>
      <c r="AZ161" s="772" t="n"/>
      <c r="BA161" s="772" t="n"/>
      <c r="BB161" s="772" t="n"/>
      <c r="BC161" s="772" t="n"/>
      <c r="BD161" s="772" t="n"/>
      <c r="BE161" s="772" t="n"/>
      <c r="BF161" s="772" t="n"/>
      <c r="BG161" s="772" t="n"/>
      <c r="BH161" s="772" t="n"/>
      <c r="BI161" s="772" t="n"/>
      <c r="BJ161" s="772" t="n"/>
      <c r="BK161" s="772" t="n"/>
      <c r="BL161" s="772" t="n"/>
      <c r="BM161" s="772" t="n"/>
      <c r="BN161" s="772" t="n"/>
      <c r="BO161" s="772" t="n"/>
      <c r="BP161" s="772" t="n"/>
      <c r="BQ161" s="772" t="n"/>
      <c r="BR161" s="772" t="n"/>
      <c r="BS161" s="772" t="n"/>
      <c r="BT161" s="772" t="n"/>
      <c r="BU161" s="772" t="n"/>
      <c r="BV161" s="772" t="n"/>
    </row>
    <row r="162">
      <c r="A162" s="772" t="n"/>
      <c r="B162" s="772" t="n"/>
      <c r="C162" s="772" t="n"/>
      <c r="D162" s="772" t="n"/>
      <c r="E162" s="772" t="n"/>
      <c r="F162" s="772" t="n"/>
      <c r="G162" s="772" t="n"/>
      <c r="H162" s="772" t="n"/>
      <c r="I162" s="772" t="n"/>
      <c r="J162" s="772" t="n"/>
      <c r="K162" s="772" t="n"/>
      <c r="L162" s="772" t="n"/>
      <c r="M162" s="772" t="n"/>
      <c r="N162" s="772" t="n"/>
      <c r="O162" s="772" t="n"/>
      <c r="P162" s="772" t="n"/>
      <c r="Q162" s="772" t="n"/>
      <c r="R162" s="772" t="n"/>
      <c r="S162" s="772" t="n"/>
      <c r="T162" s="772" t="n"/>
      <c r="U162" s="772" t="n"/>
      <c r="V162" s="772" t="n"/>
      <c r="W162" s="772" t="n"/>
      <c r="X162" s="772" t="n"/>
      <c r="Y162" s="772" t="n"/>
      <c r="Z162" s="772" t="n"/>
      <c r="AA162" s="772" t="n"/>
      <c r="AB162" s="772" t="n"/>
      <c r="AC162" s="772" t="n"/>
      <c r="AD162" s="772" t="n"/>
      <c r="AE162" s="772" t="n"/>
      <c r="AF162" s="772" t="n"/>
      <c r="AG162" s="772" t="n"/>
      <c r="AH162" s="772" t="n"/>
      <c r="AI162" s="772" t="n"/>
      <c r="AJ162" s="772" t="n"/>
      <c r="AK162" s="772" t="n"/>
      <c r="AL162" s="772" t="n"/>
      <c r="AM162" s="772" t="n"/>
      <c r="AN162" s="772" t="n"/>
      <c r="AO162" s="772" t="n"/>
      <c r="AP162" s="772" t="n"/>
      <c r="AQ162" s="772" t="n"/>
      <c r="AR162" s="772" t="n"/>
      <c r="AS162" s="772" t="n"/>
      <c r="AT162" s="772" t="n"/>
      <c r="AU162" s="772" t="n"/>
      <c r="AV162" s="772" t="n"/>
      <c r="AW162" s="772" t="n"/>
      <c r="AX162" s="772" t="n"/>
      <c r="AY162" s="772" t="n"/>
      <c r="AZ162" s="772" t="n"/>
      <c r="BA162" s="772" t="n"/>
      <c r="BB162" s="772" t="n"/>
      <c r="BC162" s="772" t="n"/>
      <c r="BD162" s="772" t="n"/>
      <c r="BE162" s="772" t="n"/>
      <c r="BF162" s="772" t="n"/>
      <c r="BG162" s="772" t="n"/>
      <c r="BH162" s="772" t="n"/>
      <c r="BI162" s="772" t="n"/>
      <c r="BJ162" s="772" t="n"/>
      <c r="BK162" s="772" t="n"/>
      <c r="BL162" s="772" t="n"/>
      <c r="BM162" s="772" t="n"/>
      <c r="BN162" s="772" t="n"/>
      <c r="BO162" s="772" t="n"/>
      <c r="BP162" s="772" t="n"/>
      <c r="BQ162" s="772" t="n"/>
      <c r="BR162" s="772" t="n"/>
      <c r="BS162" s="772" t="n"/>
      <c r="BT162" s="772" t="n"/>
      <c r="BU162" s="772" t="n"/>
      <c r="BV162" s="772" t="n"/>
    </row>
    <row r="163">
      <c r="A163" s="772" t="n"/>
      <c r="B163" s="772" t="n"/>
      <c r="C163" s="772" t="n"/>
      <c r="D163" s="772" t="n"/>
      <c r="E163" s="772" t="n"/>
      <c r="F163" s="772" t="n"/>
      <c r="G163" s="772" t="n"/>
      <c r="H163" s="772" t="n"/>
      <c r="I163" s="772" t="n"/>
      <c r="J163" s="772" t="n"/>
      <c r="K163" s="772" t="n"/>
      <c r="L163" s="772" t="n"/>
      <c r="M163" s="772" t="n"/>
      <c r="N163" s="772" t="n"/>
      <c r="O163" s="772" t="n"/>
      <c r="P163" s="772" t="n"/>
      <c r="Q163" s="772" t="n"/>
      <c r="R163" s="772" t="n"/>
      <c r="S163" s="772" t="n"/>
      <c r="T163" s="772" t="n"/>
      <c r="U163" s="772" t="n"/>
      <c r="V163" s="772" t="n"/>
      <c r="W163" s="772" t="n"/>
      <c r="X163" s="772" t="n"/>
      <c r="Y163" s="772" t="n"/>
      <c r="Z163" s="772" t="n"/>
      <c r="AA163" s="772" t="n"/>
      <c r="AB163" s="772" t="n"/>
      <c r="AC163" s="772" t="n"/>
      <c r="AD163" s="772" t="n"/>
      <c r="AE163" s="772" t="n"/>
      <c r="AF163" s="772" t="n"/>
      <c r="AG163" s="772" t="n"/>
      <c r="AH163" s="772" t="n"/>
      <c r="AI163" s="772" t="n"/>
      <c r="AJ163" s="772" t="n"/>
      <c r="AK163" s="772" t="n"/>
      <c r="AL163" s="772" t="n"/>
      <c r="AM163" s="772" t="n"/>
      <c r="AN163" s="772" t="n"/>
      <c r="AO163" s="772" t="n"/>
      <c r="AP163" s="772" t="n"/>
      <c r="AQ163" s="772" t="n"/>
      <c r="AR163" s="772" t="n"/>
      <c r="AS163" s="772" t="n"/>
      <c r="AT163" s="772" t="n"/>
      <c r="AU163" s="772" t="n"/>
      <c r="AV163" s="772" t="n"/>
      <c r="AW163" s="772" t="n"/>
      <c r="AX163" s="772" t="n"/>
      <c r="AY163" s="772" t="n"/>
      <c r="AZ163" s="772" t="n"/>
      <c r="BA163" s="772" t="n"/>
      <c r="BB163" s="772" t="n"/>
      <c r="BC163" s="772" t="n"/>
      <c r="BD163" s="772" t="n"/>
      <c r="BE163" s="772" t="n"/>
      <c r="BF163" s="772" t="n"/>
      <c r="BG163" s="772" t="n"/>
      <c r="BH163" s="772" t="n"/>
      <c r="BI163" s="772" t="n"/>
      <c r="BJ163" s="772" t="n"/>
      <c r="BK163" s="772" t="n"/>
      <c r="BL163" s="772" t="n"/>
      <c r="BM163" s="772" t="n"/>
      <c r="BN163" s="772" t="n"/>
      <c r="BO163" s="772" t="n"/>
      <c r="BP163" s="772" t="n"/>
      <c r="BQ163" s="772" t="n"/>
      <c r="BR163" s="772" t="n"/>
      <c r="BS163" s="772" t="n"/>
      <c r="BT163" s="772" t="n"/>
      <c r="BU163" s="772" t="n"/>
      <c r="BV163" s="772" t="n"/>
    </row>
    <row r="164">
      <c r="A164" s="772" t="n"/>
      <c r="B164" s="772" t="n"/>
      <c r="C164" s="772" t="n"/>
      <c r="D164" s="772" t="n"/>
      <c r="E164" s="772" t="n"/>
      <c r="F164" s="772" t="n"/>
      <c r="G164" s="772" t="n"/>
      <c r="H164" s="772" t="n"/>
      <c r="I164" s="772" t="n"/>
      <c r="J164" s="772" t="n"/>
      <c r="K164" s="772" t="n"/>
      <c r="L164" s="772" t="n"/>
      <c r="M164" s="772" t="n"/>
      <c r="N164" s="772" t="n"/>
      <c r="O164" s="772" t="n"/>
      <c r="P164" s="772" t="n"/>
      <c r="Q164" s="772" t="n"/>
      <c r="R164" s="772" t="n"/>
      <c r="S164" s="772" t="n"/>
      <c r="T164" s="772" t="n"/>
      <c r="U164" s="772" t="n"/>
      <c r="V164" s="772" t="n"/>
      <c r="W164" s="772" t="n"/>
      <c r="X164" s="772" t="n"/>
      <c r="Y164" s="772" t="n"/>
      <c r="Z164" s="772" t="n"/>
      <c r="AA164" s="772" t="n"/>
      <c r="AB164" s="772" t="n"/>
      <c r="AC164" s="772" t="n"/>
      <c r="AD164" s="772" t="n"/>
      <c r="AE164" s="772" t="n"/>
      <c r="AF164" s="772" t="n"/>
      <c r="AG164" s="772" t="n"/>
      <c r="AH164" s="772" t="n"/>
      <c r="AI164" s="772" t="n"/>
      <c r="AJ164" s="772" t="n"/>
      <c r="AK164" s="772" t="n"/>
      <c r="AL164" s="772" t="n"/>
      <c r="AM164" s="772" t="n"/>
      <c r="AN164" s="772" t="n"/>
      <c r="AO164" s="772" t="n"/>
      <c r="AP164" s="772" t="n"/>
      <c r="AQ164" s="772" t="n"/>
      <c r="AR164" s="772" t="n"/>
      <c r="AS164" s="772" t="n"/>
      <c r="AT164" s="772" t="n"/>
      <c r="AU164" s="772" t="n"/>
      <c r="AV164" s="772" t="n"/>
      <c r="AW164" s="772" t="n"/>
      <c r="AX164" s="772" t="n"/>
      <c r="AY164" s="772" t="n"/>
      <c r="AZ164" s="772" t="n"/>
      <c r="BA164" s="772" t="n"/>
      <c r="BB164" s="772" t="n"/>
      <c r="BC164" s="772" t="n"/>
      <c r="BD164" s="772" t="n"/>
      <c r="BE164" s="772" t="n"/>
      <c r="BF164" s="772" t="n"/>
      <c r="BG164" s="772" t="n"/>
      <c r="BH164" s="772" t="n"/>
      <c r="BI164" s="772" t="n"/>
      <c r="BJ164" s="772" t="n"/>
      <c r="BK164" s="772" t="n"/>
      <c r="BL164" s="772" t="n"/>
      <c r="BM164" s="772" t="n"/>
      <c r="BN164" s="772" t="n"/>
      <c r="BO164" s="772" t="n"/>
      <c r="BP164" s="772" t="n"/>
      <c r="BQ164" s="772" t="n"/>
      <c r="BR164" s="772" t="n"/>
      <c r="BS164" s="772" t="n"/>
      <c r="BT164" s="772" t="n"/>
      <c r="BU164" s="772" t="n"/>
      <c r="BV164" s="772" t="n"/>
    </row>
    <row r="165">
      <c r="A165" s="772" t="n"/>
      <c r="B165" s="772" t="n"/>
      <c r="C165" s="772" t="n"/>
      <c r="D165" s="772" t="n"/>
      <c r="E165" s="772" t="n"/>
      <c r="F165" s="772" t="n"/>
      <c r="G165" s="772" t="n"/>
      <c r="H165" s="772" t="n"/>
      <c r="I165" s="772" t="n"/>
      <c r="J165" s="772" t="n"/>
      <c r="K165" s="772" t="n"/>
      <c r="L165" s="772" t="n"/>
      <c r="M165" s="772" t="n"/>
      <c r="N165" s="772" t="n"/>
      <c r="O165" s="772" t="n"/>
      <c r="P165" s="772" t="n"/>
      <c r="Q165" s="772" t="n"/>
      <c r="R165" s="772" t="n"/>
      <c r="S165" s="772" t="n"/>
      <c r="T165" s="772" t="n"/>
      <c r="U165" s="772" t="n"/>
      <c r="V165" s="772" t="n"/>
      <c r="W165" s="772" t="n"/>
      <c r="X165" s="772" t="n"/>
      <c r="Y165" s="772" t="n"/>
      <c r="Z165" s="772" t="n"/>
      <c r="AA165" s="772" t="n"/>
      <c r="AB165" s="772" t="n"/>
      <c r="AC165" s="772" t="n"/>
      <c r="AD165" s="772" t="n"/>
      <c r="AE165" s="772" t="n"/>
      <c r="AF165" s="772" t="n"/>
      <c r="AG165" s="772" t="n"/>
      <c r="AH165" s="772" t="n"/>
      <c r="AI165" s="772" t="n"/>
      <c r="AJ165" s="772" t="n"/>
      <c r="AK165" s="772" t="n"/>
      <c r="AL165" s="772" t="n"/>
      <c r="AM165" s="772" t="n"/>
      <c r="AN165" s="772" t="n"/>
      <c r="AO165" s="772" t="n"/>
      <c r="AP165" s="772" t="n"/>
      <c r="AQ165" s="772" t="n"/>
      <c r="AR165" s="772" t="n"/>
      <c r="AS165" s="772" t="n"/>
      <c r="AT165" s="772" t="n"/>
      <c r="AU165" s="772" t="n"/>
      <c r="AV165" s="772" t="n"/>
      <c r="AW165" s="772" t="n"/>
      <c r="AX165" s="772" t="n"/>
      <c r="AY165" s="772" t="n"/>
      <c r="AZ165" s="772" t="n"/>
      <c r="BA165" s="772" t="n"/>
      <c r="BB165" s="772" t="n"/>
      <c r="BC165" s="772" t="n"/>
      <c r="BD165" s="772" t="n"/>
      <c r="BE165" s="772" t="n"/>
      <c r="BF165" s="772" t="n"/>
      <c r="BG165" s="772" t="n"/>
      <c r="BH165" s="772" t="n"/>
      <c r="BI165" s="772" t="n"/>
      <c r="BJ165" s="772" t="n"/>
      <c r="BK165" s="772" t="n"/>
      <c r="BL165" s="772" t="n"/>
      <c r="BM165" s="772" t="n"/>
      <c r="BN165" s="772" t="n"/>
      <c r="BO165" s="772" t="n"/>
      <c r="BP165" s="772" t="n"/>
      <c r="BQ165" s="772" t="n"/>
      <c r="BR165" s="772" t="n"/>
      <c r="BS165" s="772" t="n"/>
      <c r="BT165" s="772" t="n"/>
      <c r="BU165" s="772" t="n"/>
      <c r="BV165" s="772" t="n"/>
    </row>
    <row r="166">
      <c r="A166" s="772" t="n"/>
      <c r="B166" s="772" t="n"/>
      <c r="C166" s="772" t="n"/>
      <c r="D166" s="772" t="n"/>
      <c r="E166" s="772" t="n"/>
      <c r="F166" s="772" t="n"/>
      <c r="G166" s="772" t="n"/>
      <c r="H166" s="772" t="n"/>
      <c r="I166" s="772" t="n"/>
      <c r="J166" s="772" t="n"/>
      <c r="K166" s="772" t="n"/>
      <c r="L166" s="772" t="n"/>
      <c r="M166" s="772" t="n"/>
      <c r="N166" s="772" t="n"/>
      <c r="O166" s="772" t="n"/>
      <c r="P166" s="772" t="n"/>
      <c r="Q166" s="772" t="n"/>
      <c r="R166" s="772" t="n"/>
      <c r="S166" s="772" t="n"/>
      <c r="T166" s="772" t="n"/>
      <c r="U166" s="772" t="n"/>
      <c r="V166" s="772" t="n"/>
      <c r="W166" s="772" t="n"/>
      <c r="X166" s="772" t="n"/>
      <c r="Y166" s="772" t="n"/>
      <c r="Z166" s="772" t="n"/>
      <c r="AA166" s="772" t="n"/>
      <c r="AB166" s="772" t="n"/>
      <c r="AC166" s="772" t="n"/>
      <c r="AD166" s="772" t="n"/>
      <c r="AE166" s="772" t="n"/>
      <c r="AF166" s="772" t="n"/>
      <c r="AG166" s="772" t="n"/>
      <c r="AH166" s="772" t="n"/>
      <c r="AI166" s="772" t="n"/>
      <c r="AJ166" s="772" t="n"/>
      <c r="AK166" s="772" t="n"/>
      <c r="AL166" s="772" t="n"/>
      <c r="AM166" s="772" t="n"/>
      <c r="AN166" s="772" t="n"/>
      <c r="AO166" s="772" t="n"/>
      <c r="AP166" s="772" t="n"/>
      <c r="AQ166" s="772" t="n"/>
      <c r="AR166" s="772" t="n"/>
      <c r="AS166" s="772" t="n"/>
      <c r="AT166" s="772" t="n"/>
      <c r="AU166" s="772" t="n"/>
      <c r="AV166" s="772" t="n"/>
      <c r="AW166" s="772" t="n"/>
      <c r="AX166" s="772" t="n"/>
      <c r="AY166" s="772" t="n"/>
      <c r="AZ166" s="772" t="n"/>
      <c r="BA166" s="772" t="n"/>
      <c r="BB166" s="772" t="n"/>
      <c r="BC166" s="772" t="n"/>
      <c r="BD166" s="772" t="n"/>
      <c r="BE166" s="772" t="n"/>
      <c r="BF166" s="772" t="n"/>
      <c r="BG166" s="772" t="n"/>
      <c r="BH166" s="772" t="n"/>
      <c r="BI166" s="772" t="n"/>
      <c r="BJ166" s="772" t="n"/>
      <c r="BK166" s="772" t="n"/>
      <c r="BL166" s="772" t="n"/>
      <c r="BM166" s="772" t="n"/>
      <c r="BN166" s="772" t="n"/>
      <c r="BO166" s="772" t="n"/>
      <c r="BP166" s="772" t="n"/>
      <c r="BQ166" s="772" t="n"/>
      <c r="BR166" s="772" t="n"/>
      <c r="BS166" s="772" t="n"/>
      <c r="BT166" s="772" t="n"/>
      <c r="BU166" s="772" t="n"/>
      <c r="BV166" s="772" t="n"/>
    </row>
    <row r="167">
      <c r="A167" s="772" t="n"/>
      <c r="B167" s="772" t="n"/>
      <c r="C167" s="772" t="n"/>
      <c r="D167" s="772" t="n"/>
      <c r="E167" s="772" t="n"/>
      <c r="F167" s="772" t="n"/>
      <c r="G167" s="772" t="n"/>
      <c r="H167" s="772" t="n"/>
      <c r="I167" s="772" t="n"/>
      <c r="J167" s="772" t="n"/>
      <c r="K167" s="772" t="n"/>
      <c r="L167" s="772" t="n"/>
      <c r="M167" s="772" t="n"/>
      <c r="N167" s="772" t="n"/>
      <c r="O167" s="772" t="n"/>
      <c r="P167" s="772" t="n"/>
      <c r="Q167" s="772" t="n"/>
      <c r="R167" s="772" t="n"/>
      <c r="S167" s="772" t="n"/>
      <c r="T167" s="772" t="n"/>
      <c r="U167" s="772" t="n"/>
      <c r="V167" s="772" t="n"/>
      <c r="W167" s="772" t="n"/>
      <c r="X167" s="772" t="n"/>
      <c r="Y167" s="772" t="n"/>
      <c r="Z167" s="772" t="n"/>
      <c r="AA167" s="772" t="n"/>
      <c r="AB167" s="772" t="n"/>
      <c r="AC167" s="772" t="n"/>
      <c r="AD167" s="772" t="n"/>
      <c r="AE167" s="772" t="n"/>
      <c r="AF167" s="772" t="n"/>
      <c r="AG167" s="772" t="n"/>
      <c r="AH167" s="772" t="n"/>
      <c r="AI167" s="772" t="n"/>
      <c r="AJ167" s="772" t="n"/>
      <c r="AK167" s="772" t="n"/>
      <c r="AL167" s="772" t="n"/>
      <c r="AM167" s="772" t="n"/>
      <c r="AN167" s="772" t="n"/>
      <c r="AO167" s="772" t="n"/>
      <c r="AP167" s="772" t="n"/>
      <c r="AQ167" s="772" t="n"/>
      <c r="AR167" s="772" t="n"/>
      <c r="AS167" s="772" t="n"/>
      <c r="AT167" s="772" t="n"/>
      <c r="AU167" s="772" t="n"/>
      <c r="AV167" s="772" t="n"/>
      <c r="AW167" s="772" t="n"/>
      <c r="AX167" s="772" t="n"/>
      <c r="AY167" s="772" t="n"/>
      <c r="AZ167" s="772" t="n"/>
      <c r="BA167" s="772" t="n"/>
      <c r="BB167" s="772" t="n"/>
      <c r="BC167" s="772" t="n"/>
      <c r="BD167" s="772" t="n"/>
      <c r="BE167" s="772" t="n"/>
      <c r="BF167" s="772" t="n"/>
      <c r="BG167" s="772" t="n"/>
      <c r="BH167" s="772" t="n"/>
      <c r="BI167" s="772" t="n"/>
      <c r="BJ167" s="772" t="n"/>
      <c r="BK167" s="772" t="n"/>
      <c r="BL167" s="772" t="n"/>
      <c r="BM167" s="772" t="n"/>
      <c r="BN167" s="772" t="n"/>
      <c r="BO167" s="772" t="n"/>
      <c r="BP167" s="772" t="n"/>
      <c r="BQ167" s="772" t="n"/>
      <c r="BR167" s="772" t="n"/>
      <c r="BS167" s="772" t="n"/>
      <c r="BT167" s="772" t="n"/>
      <c r="BU167" s="772" t="n"/>
      <c r="BV167" s="772" t="n"/>
    </row>
    <row r="168">
      <c r="A168" s="772" t="n"/>
      <c r="B168" s="772" t="n"/>
      <c r="C168" s="772" t="n"/>
      <c r="D168" s="772" t="n"/>
      <c r="E168" s="772" t="n"/>
      <c r="F168" s="772" t="n"/>
      <c r="G168" s="772" t="n"/>
      <c r="H168" s="772" t="n"/>
      <c r="I168" s="772" t="n"/>
      <c r="J168" s="772" t="n"/>
      <c r="K168" s="772" t="n"/>
      <c r="L168" s="772" t="n"/>
      <c r="M168" s="772" t="n"/>
      <c r="N168" s="772" t="n"/>
      <c r="O168" s="772" t="n"/>
      <c r="P168" s="772" t="n"/>
      <c r="Q168" s="772" t="n"/>
      <c r="R168" s="772" t="n"/>
      <c r="S168" s="772" t="n"/>
      <c r="T168" s="772" t="n"/>
      <c r="U168" s="772" t="n"/>
      <c r="V168" s="772" t="n"/>
      <c r="W168" s="772" t="n"/>
      <c r="X168" s="772" t="n"/>
      <c r="Y168" s="772" t="n"/>
      <c r="Z168" s="772" t="n"/>
      <c r="AA168" s="772" t="n"/>
      <c r="AB168" s="772" t="n"/>
      <c r="AC168" s="772" t="n"/>
      <c r="AD168" s="772" t="n"/>
      <c r="AE168" s="772" t="n"/>
      <c r="AF168" s="772" t="n"/>
      <c r="AG168" s="772" t="n"/>
      <c r="AH168" s="772" t="n"/>
      <c r="AI168" s="772" t="n"/>
      <c r="AJ168" s="772" t="n"/>
      <c r="AK168" s="772" t="n"/>
      <c r="AL168" s="772" t="n"/>
      <c r="AM168" s="772" t="n"/>
      <c r="AN168" s="772" t="n"/>
      <c r="AO168" s="772" t="n"/>
      <c r="AP168" s="772" t="n"/>
      <c r="AQ168" s="772" t="n"/>
      <c r="AR168" s="772" t="n"/>
      <c r="AS168" s="772" t="n"/>
      <c r="AT168" s="772" t="n"/>
      <c r="AU168" s="772" t="n"/>
      <c r="AV168" s="772" t="n"/>
      <c r="AW168" s="772" t="n"/>
      <c r="AX168" s="772" t="n"/>
      <c r="AY168" s="772" t="n"/>
      <c r="AZ168" s="772" t="n"/>
      <c r="BA168" s="772" t="n"/>
      <c r="BB168" s="772" t="n"/>
      <c r="BC168" s="772" t="n"/>
      <c r="BD168" s="772" t="n"/>
      <c r="BE168" s="772" t="n"/>
      <c r="BF168" s="772" t="n"/>
      <c r="BG168" s="772" t="n"/>
      <c r="BH168" s="772" t="n"/>
      <c r="BI168" s="772" t="n"/>
      <c r="BJ168" s="772" t="n"/>
      <c r="BK168" s="772" t="n"/>
      <c r="BL168" s="772" t="n"/>
      <c r="BM168" s="772" t="n"/>
      <c r="BN168" s="772" t="n"/>
      <c r="BO168" s="772" t="n"/>
      <c r="BP168" s="772" t="n"/>
      <c r="BQ168" s="772" t="n"/>
      <c r="BR168" s="772" t="n"/>
      <c r="BS168" s="772" t="n"/>
      <c r="BT168" s="772" t="n"/>
      <c r="BU168" s="772" t="n"/>
      <c r="BV168" s="772" t="n"/>
    </row>
    <row r="169">
      <c r="A169" s="772" t="n"/>
      <c r="B169" s="772" t="n"/>
      <c r="C169" s="772" t="n"/>
      <c r="D169" s="772" t="n"/>
      <c r="E169" s="772" t="n"/>
      <c r="F169" s="772" t="n"/>
      <c r="G169" s="772" t="n"/>
      <c r="H169" s="772" t="n"/>
      <c r="I169" s="772" t="n"/>
      <c r="J169" s="772" t="n"/>
      <c r="K169" s="772" t="n"/>
      <c r="L169" s="772" t="n"/>
      <c r="M169" s="772" t="n"/>
      <c r="N169" s="772" t="n"/>
      <c r="O169" s="772" t="n"/>
      <c r="P169" s="772" t="n"/>
      <c r="Q169" s="772" t="n"/>
      <c r="R169" s="772" t="n"/>
      <c r="S169" s="772" t="n"/>
      <c r="T169" s="772" t="n"/>
      <c r="U169" s="772" t="n"/>
      <c r="V169" s="772" t="n"/>
      <c r="W169" s="772" t="n"/>
      <c r="X169" s="772" t="n"/>
      <c r="Y169" s="772" t="n"/>
      <c r="Z169" s="772" t="n"/>
      <c r="AA169" s="772" t="n"/>
      <c r="AB169" s="772" t="n"/>
      <c r="AC169" s="772" t="n"/>
      <c r="AD169" s="772" t="n"/>
      <c r="AE169" s="772" t="n"/>
      <c r="AF169" s="772" t="n"/>
      <c r="AG169" s="772" t="n"/>
      <c r="AH169" s="772" t="n"/>
      <c r="AI169" s="772" t="n"/>
      <c r="AJ169" s="772" t="n"/>
      <c r="AK169" s="772" t="n"/>
      <c r="AL169" s="772" t="n"/>
      <c r="AM169" s="772" t="n"/>
      <c r="AN169" s="772" t="n"/>
      <c r="AO169" s="772" t="n"/>
      <c r="AP169" s="772" t="n"/>
      <c r="AQ169" s="772" t="n"/>
      <c r="AR169" s="772" t="n"/>
      <c r="AS169" s="772" t="n"/>
      <c r="AT169" s="772" t="n"/>
      <c r="AU169" s="772" t="n"/>
      <c r="AV169" s="772" t="n"/>
      <c r="AW169" s="772" t="n"/>
      <c r="AX169" s="772" t="n"/>
      <c r="AY169" s="772" t="n"/>
      <c r="AZ169" s="772" t="n"/>
      <c r="BA169" s="772" t="n"/>
      <c r="BB169" s="772" t="n"/>
      <c r="BC169" s="772" t="n"/>
      <c r="BD169" s="772" t="n"/>
      <c r="BE169" s="772" t="n"/>
      <c r="BF169" s="772" t="n"/>
      <c r="BG169" s="772" t="n"/>
      <c r="BH169" s="772" t="n"/>
      <c r="BI169" s="772" t="n"/>
      <c r="BJ169" s="772" t="n"/>
      <c r="BK169" s="772" t="n"/>
      <c r="BL169" s="772" t="n"/>
      <c r="BM169" s="772" t="n"/>
      <c r="BN169" s="772" t="n"/>
      <c r="BO169" s="772" t="n"/>
      <c r="BP169" s="772" t="n"/>
      <c r="BQ169" s="772" t="n"/>
      <c r="BR169" s="772" t="n"/>
      <c r="BS169" s="772" t="n"/>
      <c r="BT169" s="772" t="n"/>
      <c r="BU169" s="772" t="n"/>
      <c r="BV169" s="772" t="n"/>
    </row>
    <row r="170">
      <c r="A170" s="772" t="n"/>
      <c r="B170" s="772" t="n"/>
      <c r="C170" s="772" t="n"/>
      <c r="D170" s="772" t="n"/>
      <c r="E170" s="772" t="n"/>
      <c r="F170" s="772" t="n"/>
      <c r="G170" s="772" t="n"/>
      <c r="H170" s="772" t="n"/>
      <c r="I170" s="772" t="n"/>
      <c r="J170" s="772" t="n"/>
      <c r="K170" s="772" t="n"/>
      <c r="L170" s="772" t="n"/>
      <c r="M170" s="772" t="n"/>
      <c r="N170" s="772" t="n"/>
      <c r="O170" s="772" t="n"/>
      <c r="P170" s="772" t="n"/>
      <c r="Q170" s="772" t="n"/>
      <c r="R170" s="772" t="n"/>
      <c r="S170" s="772" t="n"/>
      <c r="T170" s="772" t="n"/>
      <c r="U170" s="772" t="n"/>
      <c r="V170" s="772" t="n"/>
      <c r="W170" s="772" t="n"/>
      <c r="X170" s="772" t="n"/>
      <c r="Y170" s="772" t="n"/>
      <c r="Z170" s="772" t="n"/>
      <c r="AA170" s="772" t="n"/>
      <c r="AB170" s="772" t="n"/>
      <c r="AC170" s="772" t="n"/>
      <c r="AD170" s="772" t="n"/>
      <c r="AE170" s="772" t="n"/>
      <c r="AF170" s="772" t="n"/>
      <c r="AG170" s="772" t="n"/>
      <c r="AH170" s="772" t="n"/>
      <c r="AI170" s="772" t="n"/>
      <c r="AJ170" s="772" t="n"/>
      <c r="AK170" s="772" t="n"/>
      <c r="AL170" s="772" t="n"/>
      <c r="AM170" s="772" t="n"/>
      <c r="AN170" s="772" t="n"/>
      <c r="AO170" s="772" t="n"/>
      <c r="AP170" s="772" t="n"/>
      <c r="AQ170" s="772" t="n"/>
      <c r="AR170" s="772" t="n"/>
      <c r="AS170" s="772" t="n"/>
      <c r="AT170" s="772" t="n"/>
      <c r="AU170" s="772" t="n"/>
      <c r="AV170" s="772" t="n"/>
      <c r="AW170" s="772" t="n"/>
      <c r="AX170" s="772" t="n"/>
      <c r="AY170" s="772" t="n"/>
      <c r="AZ170" s="772" t="n"/>
      <c r="BA170" s="772" t="n"/>
      <c r="BB170" s="772" t="n"/>
      <c r="BC170" s="772" t="n"/>
      <c r="BD170" s="772" t="n"/>
      <c r="BE170" s="772" t="n"/>
      <c r="BF170" s="772" t="n"/>
      <c r="BG170" s="772" t="n"/>
      <c r="BH170" s="772" t="n"/>
      <c r="BI170" s="772" t="n"/>
      <c r="BJ170" s="772" t="n"/>
      <c r="BK170" s="772" t="n"/>
      <c r="BL170" s="772" t="n"/>
      <c r="BM170" s="772" t="n"/>
      <c r="BN170" s="772" t="n"/>
      <c r="BO170" s="772" t="n"/>
      <c r="BP170" s="772" t="n"/>
      <c r="BQ170" s="772" t="n"/>
      <c r="BR170" s="772" t="n"/>
      <c r="BS170" s="772" t="n"/>
      <c r="BT170" s="772" t="n"/>
      <c r="BU170" s="772" t="n"/>
      <c r="BV170" s="772" t="n"/>
    </row>
    <row r="171">
      <c r="A171" s="772" t="n"/>
      <c r="B171" s="772" t="n"/>
      <c r="C171" s="772" t="n"/>
      <c r="D171" s="772" t="n"/>
      <c r="E171" s="772" t="n"/>
      <c r="F171" s="772" t="n"/>
      <c r="G171" s="772" t="n"/>
      <c r="H171" s="772" t="n"/>
      <c r="I171" s="772" t="n"/>
      <c r="J171" s="772" t="n"/>
      <c r="K171" s="772" t="n"/>
      <c r="L171" s="772" t="n"/>
      <c r="M171" s="772" t="n"/>
      <c r="N171" s="772" t="n"/>
      <c r="O171" s="772" t="n"/>
      <c r="P171" s="772" t="n"/>
      <c r="Q171" s="772" t="n"/>
      <c r="R171" s="772" t="n"/>
      <c r="S171" s="772" t="n"/>
      <c r="T171" s="772" t="n"/>
      <c r="U171" s="772" t="n"/>
      <c r="V171" s="772" t="n"/>
      <c r="W171" s="772" t="n"/>
      <c r="X171" s="772" t="n"/>
      <c r="Y171" s="772" t="n"/>
      <c r="Z171" s="772" t="n"/>
      <c r="AA171" s="772" t="n"/>
      <c r="AB171" s="772" t="n"/>
      <c r="AC171" s="772" t="n"/>
      <c r="AD171" s="772" t="n"/>
      <c r="AE171" s="772" t="n"/>
      <c r="AF171" s="772" t="n"/>
      <c r="AG171" s="772" t="n"/>
      <c r="AH171" s="772" t="n"/>
      <c r="AI171" s="772" t="n"/>
      <c r="AJ171" s="772" t="n"/>
      <c r="AK171" s="772" t="n"/>
      <c r="AL171" s="772" t="n"/>
      <c r="AM171" s="772" t="n"/>
      <c r="AN171" s="772" t="n"/>
      <c r="AO171" s="772" t="n"/>
      <c r="AP171" s="772" t="n"/>
      <c r="AQ171" s="772" t="n"/>
      <c r="AR171" s="772" t="n"/>
      <c r="AS171" s="772" t="n"/>
      <c r="AT171" s="772" t="n"/>
      <c r="AU171" s="772" t="n"/>
      <c r="AV171" s="772" t="n"/>
      <c r="AW171" s="772" t="n"/>
      <c r="AX171" s="772" t="n"/>
      <c r="AY171" s="772" t="n"/>
      <c r="AZ171" s="772" t="n"/>
      <c r="BA171" s="772" t="n"/>
      <c r="BB171" s="772" t="n"/>
      <c r="BC171" s="772" t="n"/>
      <c r="BD171" s="772" t="n"/>
      <c r="BE171" s="772" t="n"/>
      <c r="BF171" s="772" t="n"/>
      <c r="BG171" s="772" t="n"/>
      <c r="BH171" s="772" t="n"/>
      <c r="BI171" s="772" t="n"/>
      <c r="BJ171" s="772" t="n"/>
      <c r="BK171" s="772" t="n"/>
      <c r="BL171" s="772" t="n"/>
      <c r="BM171" s="772" t="n"/>
      <c r="BN171" s="772" t="n"/>
      <c r="BO171" s="772" t="n"/>
      <c r="BP171" s="772" t="n"/>
      <c r="BQ171" s="772" t="n"/>
      <c r="BR171" s="772" t="n"/>
      <c r="BS171" s="772" t="n"/>
      <c r="BT171" s="772" t="n"/>
      <c r="BU171" s="772" t="n"/>
      <c r="BV171" s="772" t="n"/>
    </row>
    <row r="172">
      <c r="A172" s="772" t="n"/>
      <c r="B172" s="772" t="n"/>
      <c r="C172" s="772" t="n"/>
      <c r="D172" s="772" t="n"/>
      <c r="E172" s="772" t="n"/>
      <c r="F172" s="772" t="n"/>
      <c r="G172" s="772" t="n"/>
      <c r="H172" s="772" t="n"/>
      <c r="I172" s="772" t="n"/>
      <c r="J172" s="772" t="n"/>
      <c r="K172" s="772" t="n"/>
      <c r="L172" s="772" t="n"/>
      <c r="M172" s="772" t="n"/>
      <c r="N172" s="772" t="n"/>
      <c r="O172" s="772" t="n"/>
      <c r="P172" s="772" t="n"/>
      <c r="Q172" s="772" t="n"/>
      <c r="R172" s="772" t="n"/>
      <c r="S172" s="772" t="n"/>
      <c r="T172" s="772" t="n"/>
      <c r="U172" s="772" t="n"/>
      <c r="V172" s="772" t="n"/>
      <c r="W172" s="772" t="n"/>
      <c r="X172" s="772" t="n"/>
      <c r="Y172" s="772" t="n"/>
      <c r="Z172" s="772" t="n"/>
      <c r="AA172" s="772" t="n"/>
      <c r="AB172" s="772" t="n"/>
      <c r="AC172" s="772" t="n"/>
      <c r="AD172" s="772" t="n"/>
      <c r="AE172" s="772" t="n"/>
      <c r="AF172" s="772" t="n"/>
      <c r="AG172" s="772" t="n"/>
      <c r="AH172" s="772" t="n"/>
      <c r="AI172" s="772" t="n"/>
      <c r="AJ172" s="772" t="n"/>
      <c r="AK172" s="772" t="n"/>
      <c r="AL172" s="772" t="n"/>
      <c r="AM172" s="772" t="n"/>
      <c r="AN172" s="772" t="n"/>
      <c r="AO172" s="772" t="n"/>
      <c r="AP172" s="772" t="n"/>
      <c r="AQ172" s="772" t="n"/>
      <c r="AR172" s="772" t="n"/>
      <c r="AS172" s="772" t="n"/>
      <c r="AT172" s="772" t="n"/>
      <c r="AU172" s="772" t="n"/>
      <c r="AV172" s="772" t="n"/>
      <c r="AW172" s="772" t="n"/>
      <c r="AX172" s="772" t="n"/>
      <c r="AY172" s="772" t="n"/>
      <c r="AZ172" s="772" t="n"/>
      <c r="BA172" s="772" t="n"/>
      <c r="BB172" s="772" t="n"/>
      <c r="BC172" s="772" t="n"/>
      <c r="BD172" s="772" t="n"/>
      <c r="BE172" s="772" t="n"/>
      <c r="BF172" s="772" t="n"/>
      <c r="BG172" s="772" t="n"/>
      <c r="BH172" s="772" t="n"/>
      <c r="BI172" s="772" t="n"/>
      <c r="BJ172" s="772" t="n"/>
      <c r="BK172" s="772" t="n"/>
      <c r="BL172" s="772" t="n"/>
      <c r="BM172" s="772" t="n"/>
      <c r="BN172" s="772" t="n"/>
      <c r="BO172" s="772" t="n"/>
      <c r="BP172" s="772" t="n"/>
      <c r="BQ172" s="772" t="n"/>
      <c r="BR172" s="772" t="n"/>
      <c r="BS172" s="772" t="n"/>
      <c r="BT172" s="772" t="n"/>
      <c r="BU172" s="772" t="n"/>
      <c r="BV172" s="772" t="n"/>
    </row>
    <row r="173">
      <c r="A173" s="772" t="n"/>
      <c r="B173" s="772" t="n"/>
      <c r="C173" s="772" t="n"/>
      <c r="D173" s="772" t="n"/>
      <c r="E173" s="772" t="n"/>
      <c r="F173" s="772" t="n"/>
      <c r="G173" s="772" t="n"/>
      <c r="H173" s="772" t="n"/>
      <c r="I173" s="772" t="n"/>
      <c r="J173" s="772" t="n"/>
      <c r="K173" s="772" t="n"/>
      <c r="L173" s="772" t="n"/>
      <c r="M173" s="772" t="n"/>
      <c r="N173" s="772" t="n"/>
      <c r="O173" s="772" t="n"/>
      <c r="P173" s="772" t="n"/>
      <c r="Q173" s="772" t="n"/>
      <c r="R173" s="772" t="n"/>
      <c r="S173" s="772" t="n"/>
      <c r="T173" s="772" t="n"/>
      <c r="U173" s="772" t="n"/>
      <c r="V173" s="772" t="n"/>
      <c r="W173" s="772" t="n"/>
      <c r="X173" s="772" t="n"/>
      <c r="Y173" s="772" t="n"/>
      <c r="Z173" s="772" t="n"/>
      <c r="AA173" s="772" t="n"/>
      <c r="AB173" s="772" t="n"/>
      <c r="AC173" s="772" t="n"/>
      <c r="AD173" s="772" t="n"/>
      <c r="AE173" s="772" t="n"/>
      <c r="AF173" s="772" t="n"/>
      <c r="AG173" s="772" t="n"/>
      <c r="AH173" s="772" t="n"/>
      <c r="AI173" s="772" t="n"/>
      <c r="AJ173" s="772" t="n"/>
      <c r="AK173" s="772" t="n"/>
      <c r="AL173" s="772" t="n"/>
      <c r="AM173" s="772" t="n"/>
      <c r="AN173" s="772" t="n"/>
      <c r="AO173" s="772" t="n"/>
      <c r="AP173" s="772" t="n"/>
      <c r="AQ173" s="772" t="n"/>
      <c r="AR173" s="772" t="n"/>
      <c r="AS173" s="772" t="n"/>
      <c r="AT173" s="772" t="n"/>
      <c r="AU173" s="772" t="n"/>
      <c r="AV173" s="772" t="n"/>
      <c r="AW173" s="772" t="n"/>
      <c r="AX173" s="772" t="n"/>
      <c r="AY173" s="772" t="n"/>
      <c r="AZ173" s="772" t="n"/>
      <c r="BA173" s="772" t="n"/>
      <c r="BB173" s="772" t="n"/>
      <c r="BC173" s="772" t="n"/>
      <c r="BD173" s="772" t="n"/>
      <c r="BE173" s="772" t="n"/>
      <c r="BF173" s="772" t="n"/>
      <c r="BG173" s="772" t="n"/>
      <c r="BH173" s="772" t="n"/>
      <c r="BI173" s="772" t="n"/>
      <c r="BJ173" s="772" t="n"/>
      <c r="BK173" s="772" t="n"/>
      <c r="BL173" s="772" t="n"/>
      <c r="BM173" s="772" t="n"/>
      <c r="BN173" s="772" t="n"/>
      <c r="BO173" s="772" t="n"/>
      <c r="BP173" s="772" t="n"/>
      <c r="BQ173" s="772" t="n"/>
      <c r="BR173" s="772" t="n"/>
      <c r="BS173" s="772" t="n"/>
      <c r="BT173" s="772" t="n"/>
      <c r="BU173" s="772" t="n"/>
      <c r="BV173" s="772" t="n"/>
    </row>
    <row r="174">
      <c r="A174" s="772" t="n"/>
      <c r="B174" s="772" t="n"/>
      <c r="C174" s="772" t="n"/>
      <c r="D174" s="772" t="n"/>
      <c r="E174" s="772" t="n"/>
      <c r="F174" s="772" t="n"/>
      <c r="G174" s="772" t="n"/>
      <c r="H174" s="772" t="n"/>
      <c r="I174" s="772" t="n"/>
      <c r="J174" s="772" t="n"/>
      <c r="K174" s="772" t="n"/>
      <c r="L174" s="772" t="n"/>
      <c r="M174" s="772" t="n"/>
      <c r="N174" s="772" t="n"/>
      <c r="O174" s="772" t="n"/>
      <c r="P174" s="772" t="n"/>
      <c r="Q174" s="772" t="n"/>
      <c r="R174" s="772" t="n"/>
      <c r="S174" s="772" t="n"/>
      <c r="T174" s="772" t="n"/>
      <c r="U174" s="772" t="n"/>
      <c r="V174" s="772" t="n"/>
      <c r="W174" s="772" t="n"/>
      <c r="X174" s="772" t="n"/>
      <c r="Y174" s="772" t="n"/>
      <c r="Z174" s="772" t="n"/>
      <c r="AA174" s="772" t="n"/>
      <c r="AB174" s="772" t="n"/>
      <c r="AC174" s="772" t="n"/>
      <c r="AD174" s="772" t="n"/>
      <c r="AE174" s="772" t="n"/>
      <c r="AF174" s="772" t="n"/>
      <c r="AG174" s="772" t="n"/>
      <c r="AH174" s="772" t="n"/>
      <c r="AI174" s="772" t="n"/>
      <c r="AJ174" s="772" t="n"/>
      <c r="AK174" s="772" t="n"/>
      <c r="AL174" s="772" t="n"/>
      <c r="AM174" s="772" t="n"/>
      <c r="AN174" s="772" t="n"/>
      <c r="AO174" s="772" t="n"/>
      <c r="AP174" s="772" t="n"/>
      <c r="AQ174" s="772" t="n"/>
      <c r="AR174" s="772" t="n"/>
      <c r="AS174" s="772" t="n"/>
      <c r="AT174" s="772" t="n"/>
      <c r="AU174" s="772" t="n"/>
      <c r="AV174" s="772" t="n"/>
      <c r="AW174" s="772" t="n"/>
      <c r="AX174" s="772" t="n"/>
      <c r="AY174" s="772" t="n"/>
      <c r="AZ174" s="772" t="n"/>
      <c r="BA174" s="772" t="n"/>
      <c r="BB174" s="772" t="n"/>
      <c r="BC174" s="772" t="n"/>
      <c r="BD174" s="772" t="n"/>
      <c r="BE174" s="772" t="n"/>
      <c r="BF174" s="772" t="n"/>
      <c r="BG174" s="772" t="n"/>
      <c r="BH174" s="772" t="n"/>
      <c r="BI174" s="772" t="n"/>
      <c r="BJ174" s="772" t="n"/>
      <c r="BK174" s="772" t="n"/>
      <c r="BL174" s="772" t="n"/>
      <c r="BM174" s="772" t="n"/>
      <c r="BN174" s="772" t="n"/>
      <c r="BO174" s="772" t="n"/>
      <c r="BP174" s="772" t="n"/>
      <c r="BQ174" s="772" t="n"/>
      <c r="BR174" s="772" t="n"/>
      <c r="BS174" s="772" t="n"/>
      <c r="BT174" s="772" t="n"/>
      <c r="BU174" s="772" t="n"/>
      <c r="BV174" s="772" t="n"/>
    </row>
    <row r="175">
      <c r="A175" s="772" t="n"/>
      <c r="B175" s="772" t="n"/>
      <c r="C175" s="772" t="n"/>
      <c r="D175" s="772" t="n"/>
      <c r="E175" s="772" t="n"/>
      <c r="F175" s="772" t="n"/>
      <c r="G175" s="772" t="n"/>
      <c r="H175" s="772" t="n"/>
      <c r="I175" s="772" t="n"/>
      <c r="J175" s="772" t="n"/>
      <c r="K175" s="772" t="n"/>
      <c r="L175" s="772" t="n"/>
      <c r="M175" s="772" t="n"/>
      <c r="N175" s="772" t="n"/>
      <c r="O175" s="772" t="n"/>
      <c r="P175" s="772" t="n"/>
      <c r="Q175" s="772" t="n"/>
      <c r="R175" s="772" t="n"/>
      <c r="S175" s="772" t="n"/>
      <c r="T175" s="772" t="n"/>
      <c r="U175" s="772" t="n"/>
      <c r="V175" s="772" t="n"/>
      <c r="W175" s="772" t="n"/>
      <c r="X175" s="772" t="n"/>
      <c r="Y175" s="772" t="n"/>
      <c r="Z175" s="772" t="n"/>
      <c r="AA175" s="772" t="n"/>
      <c r="AB175" s="772" t="n"/>
      <c r="AC175" s="772" t="n"/>
      <c r="AD175" s="772" t="n"/>
      <c r="AE175" s="772" t="n"/>
      <c r="AF175" s="772" t="n"/>
      <c r="AG175" s="772" t="n"/>
      <c r="AH175" s="772" t="n"/>
      <c r="AI175" s="772" t="n"/>
      <c r="AJ175" s="772" t="n"/>
      <c r="AK175" s="772" t="n"/>
      <c r="AL175" s="772" t="n"/>
      <c r="AM175" s="772" t="n"/>
      <c r="AN175" s="772" t="n"/>
      <c r="AO175" s="772" t="n"/>
      <c r="AP175" s="772" t="n"/>
      <c r="AQ175" s="772" t="n"/>
      <c r="AR175" s="772" t="n"/>
      <c r="AS175" s="772" t="n"/>
      <c r="AT175" s="772" t="n"/>
      <c r="AU175" s="772" t="n"/>
      <c r="AV175" s="772" t="n"/>
      <c r="AW175" s="772" t="n"/>
      <c r="AX175" s="772" t="n"/>
      <c r="AY175" s="772" t="n"/>
      <c r="AZ175" s="772" t="n"/>
      <c r="BA175" s="772" t="n"/>
      <c r="BB175" s="772" t="n"/>
      <c r="BC175" s="772" t="n"/>
      <c r="BD175" s="772" t="n"/>
      <c r="BE175" s="772" t="n"/>
      <c r="BF175" s="772" t="n"/>
      <c r="BG175" s="772" t="n"/>
      <c r="BH175" s="772" t="n"/>
      <c r="BI175" s="772" t="n"/>
      <c r="BJ175" s="772" t="n"/>
      <c r="BK175" s="772" t="n"/>
      <c r="BL175" s="772" t="n"/>
      <c r="BM175" s="772" t="n"/>
      <c r="BN175" s="772" t="n"/>
      <c r="BO175" s="772" t="n"/>
      <c r="BP175" s="772" t="n"/>
      <c r="BQ175" s="772" t="n"/>
      <c r="BR175" s="772" t="n"/>
      <c r="BS175" s="772" t="n"/>
      <c r="BT175" s="772" t="n"/>
      <c r="BU175" s="772" t="n"/>
      <c r="BV175" s="772" t="n"/>
    </row>
    <row r="176">
      <c r="A176" s="772" t="n"/>
      <c r="B176" s="772" t="n"/>
      <c r="C176" s="772" t="n"/>
      <c r="D176" s="772" t="n"/>
      <c r="E176" s="772" t="n"/>
      <c r="F176" s="772" t="n"/>
      <c r="G176" s="772" t="n"/>
      <c r="H176" s="772" t="n"/>
      <c r="I176" s="772" t="n"/>
      <c r="J176" s="772" t="n"/>
      <c r="K176" s="772" t="n"/>
      <c r="L176" s="772" t="n"/>
      <c r="M176" s="772" t="n"/>
      <c r="N176" s="772" t="n"/>
      <c r="O176" s="772" t="n"/>
      <c r="P176" s="772" t="n"/>
      <c r="Q176" s="772" t="n"/>
      <c r="R176" s="772" t="n"/>
      <c r="S176" s="772" t="n"/>
      <c r="T176" s="772" t="n"/>
      <c r="U176" s="772" t="n"/>
      <c r="V176" s="772" t="n"/>
      <c r="W176" s="772" t="n"/>
      <c r="X176" s="772" t="n"/>
      <c r="Y176" s="772" t="n"/>
      <c r="Z176" s="772" t="n"/>
      <c r="AA176" s="772" t="n"/>
      <c r="AB176" s="772" t="n"/>
      <c r="AC176" s="772" t="n"/>
      <c r="AD176" s="772" t="n"/>
      <c r="AE176" s="772" t="n"/>
      <c r="AF176" s="772" t="n"/>
      <c r="AG176" s="772" t="n"/>
      <c r="AH176" s="772" t="n"/>
      <c r="AI176" s="772" t="n"/>
      <c r="AJ176" s="772" t="n"/>
      <c r="AK176" s="772" t="n"/>
      <c r="AL176" s="772" t="n"/>
      <c r="AM176" s="772" t="n"/>
      <c r="AN176" s="772" t="n"/>
      <c r="AO176" s="772" t="n"/>
      <c r="AP176" s="772" t="n"/>
      <c r="AQ176" s="772" t="n"/>
      <c r="AR176" s="772" t="n"/>
      <c r="AS176" s="772" t="n"/>
      <c r="AT176" s="772" t="n"/>
      <c r="AU176" s="772" t="n"/>
      <c r="AV176" s="772" t="n"/>
      <c r="AW176" s="772" t="n"/>
      <c r="AX176" s="772" t="n"/>
      <c r="AY176" s="772" t="n"/>
      <c r="AZ176" s="772" t="n"/>
      <c r="BA176" s="772" t="n"/>
      <c r="BB176" s="772" t="n"/>
      <c r="BC176" s="772" t="n"/>
      <c r="BD176" s="772" t="n"/>
      <c r="BE176" s="772" t="n"/>
      <c r="BF176" s="772" t="n"/>
      <c r="BG176" s="772" t="n"/>
      <c r="BH176" s="772" t="n"/>
      <c r="BI176" s="772" t="n"/>
      <c r="BJ176" s="772" t="n"/>
      <c r="BK176" s="772" t="n"/>
      <c r="BL176" s="772" t="n"/>
      <c r="BM176" s="772" t="n"/>
      <c r="BN176" s="772" t="n"/>
      <c r="BO176" s="772" t="n"/>
      <c r="BP176" s="772" t="n"/>
      <c r="BQ176" s="772" t="n"/>
      <c r="BR176" s="772" t="n"/>
      <c r="BS176" s="772" t="n"/>
      <c r="BT176" s="772" t="n"/>
      <c r="BU176" s="772" t="n"/>
      <c r="BV176" s="772" t="n"/>
    </row>
    <row r="177">
      <c r="A177" s="772" t="n"/>
      <c r="B177" s="772" t="n"/>
      <c r="C177" s="772" t="n"/>
      <c r="D177" s="772" t="n"/>
      <c r="E177" s="772" t="n"/>
      <c r="F177" s="772" t="n"/>
      <c r="G177" s="772" t="n"/>
      <c r="H177" s="772" t="n"/>
      <c r="I177" s="772" t="n"/>
      <c r="J177" s="772" t="n"/>
      <c r="K177" s="772" t="n"/>
      <c r="L177" s="772" t="n"/>
      <c r="M177" s="772" t="n"/>
      <c r="N177" s="772" t="n"/>
      <c r="O177" s="772" t="n"/>
      <c r="P177" s="772" t="n"/>
      <c r="Q177" s="772" t="n"/>
      <c r="R177" s="772" t="n"/>
      <c r="S177" s="772" t="n"/>
      <c r="T177" s="772" t="n"/>
      <c r="U177" s="772" t="n"/>
      <c r="V177" s="772" t="n"/>
      <c r="W177" s="772" t="n"/>
      <c r="X177" s="772" t="n"/>
      <c r="Y177" s="772" t="n"/>
      <c r="Z177" s="772" t="n"/>
      <c r="AA177" s="772" t="n"/>
      <c r="AB177" s="772" t="n"/>
      <c r="AC177" s="772" t="n"/>
      <c r="AD177" s="772" t="n"/>
      <c r="AE177" s="772" t="n"/>
      <c r="AF177" s="772" t="n"/>
      <c r="AG177" s="772" t="n"/>
      <c r="AH177" s="772" t="n"/>
      <c r="AI177" s="772" t="n"/>
      <c r="AJ177" s="772" t="n"/>
      <c r="AK177" s="772" t="n"/>
      <c r="AL177" s="772" t="n"/>
      <c r="AM177" s="772" t="n"/>
      <c r="AN177" s="772" t="n"/>
      <c r="AO177" s="772" t="n"/>
      <c r="AP177" s="772" t="n"/>
      <c r="AQ177" s="772" t="n"/>
      <c r="AR177" s="772" t="n"/>
      <c r="AS177" s="772" t="n"/>
      <c r="AT177" s="772" t="n"/>
      <c r="AU177" s="772" t="n"/>
      <c r="AV177" s="772" t="n"/>
      <c r="AW177" s="772" t="n"/>
      <c r="AX177" s="772" t="n"/>
      <c r="AY177" s="772" t="n"/>
      <c r="AZ177" s="772" t="n"/>
      <c r="BA177" s="772" t="n"/>
      <c r="BB177" s="772" t="n"/>
      <c r="BC177" s="772" t="n"/>
      <c r="BD177" s="772" t="n"/>
      <c r="BE177" s="772" t="n"/>
      <c r="BF177" s="772" t="n"/>
      <c r="BG177" s="772" t="n"/>
      <c r="BH177" s="772" t="n"/>
      <c r="BI177" s="772" t="n"/>
      <c r="BJ177" s="772" t="n"/>
      <c r="BK177" s="772" t="n"/>
      <c r="BL177" s="772" t="n"/>
      <c r="BM177" s="772" t="n"/>
      <c r="BN177" s="772" t="n"/>
      <c r="BO177" s="772" t="n"/>
      <c r="BP177" s="772" t="n"/>
      <c r="BQ177" s="772" t="n"/>
      <c r="BR177" s="772" t="n"/>
      <c r="BS177" s="772" t="n"/>
      <c r="BT177" s="772" t="n"/>
      <c r="BU177" s="772" t="n"/>
      <c r="BV177" s="772" t="n"/>
    </row>
    <row r="178">
      <c r="A178" s="772" t="n"/>
      <c r="B178" s="772" t="n"/>
      <c r="C178" s="772" t="n"/>
      <c r="D178" s="772" t="n"/>
      <c r="E178" s="772" t="n"/>
      <c r="F178" s="772" t="n"/>
      <c r="G178" s="772" t="n"/>
      <c r="H178" s="772" t="n"/>
      <c r="I178" s="772" t="n"/>
      <c r="J178" s="772" t="n"/>
      <c r="K178" s="772" t="n"/>
      <c r="L178" s="772" t="n"/>
      <c r="M178" s="772" t="n"/>
      <c r="N178" s="772" t="n"/>
      <c r="O178" s="772" t="n"/>
      <c r="P178" s="772" t="n"/>
      <c r="Q178" s="772" t="n"/>
      <c r="R178" s="772" t="n"/>
      <c r="S178" s="772" t="n"/>
      <c r="T178" s="772" t="n"/>
      <c r="U178" s="772" t="n"/>
      <c r="V178" s="772" t="n"/>
      <c r="W178" s="772" t="n"/>
      <c r="X178" s="772" t="n"/>
      <c r="Y178" s="772" t="n"/>
      <c r="Z178" s="772" t="n"/>
      <c r="AA178" s="772" t="n"/>
      <c r="AB178" s="772" t="n"/>
      <c r="AC178" s="772" t="n"/>
      <c r="AD178" s="772" t="n"/>
      <c r="AE178" s="772" t="n"/>
      <c r="AF178" s="772" t="n"/>
      <c r="AG178" s="772" t="n"/>
      <c r="AH178" s="772" t="n"/>
      <c r="AI178" s="772" t="n"/>
      <c r="AJ178" s="772" t="n"/>
      <c r="AK178" s="772" t="n"/>
      <c r="AL178" s="772" t="n"/>
      <c r="AM178" s="772" t="n"/>
      <c r="AN178" s="772" t="n"/>
      <c r="AO178" s="772" t="n"/>
      <c r="AP178" s="772" t="n"/>
      <c r="AQ178" s="772" t="n"/>
      <c r="AR178" s="772" t="n"/>
      <c r="AS178" s="772" t="n"/>
      <c r="AT178" s="772" t="n"/>
      <c r="AU178" s="772" t="n"/>
      <c r="AV178" s="772" t="n"/>
      <c r="AW178" s="772" t="n"/>
      <c r="AX178" s="772" t="n"/>
      <c r="AY178" s="772" t="n"/>
      <c r="AZ178" s="772" t="n"/>
      <c r="BA178" s="772" t="n"/>
      <c r="BB178" s="772" t="n"/>
      <c r="BC178" s="772" t="n"/>
      <c r="BD178" s="772" t="n"/>
      <c r="BE178" s="772" t="n"/>
      <c r="BF178" s="772" t="n"/>
      <c r="BG178" s="772" t="n"/>
      <c r="BH178" s="772" t="n"/>
      <c r="BI178" s="772" t="n"/>
      <c r="BJ178" s="772" t="n"/>
      <c r="BK178" s="772" t="n"/>
      <c r="BL178" s="772" t="n"/>
      <c r="BM178" s="772" t="n"/>
      <c r="BN178" s="772" t="n"/>
      <c r="BO178" s="772" t="n"/>
      <c r="BP178" s="772" t="n"/>
      <c r="BQ178" s="772" t="n"/>
      <c r="BR178" s="772" t="n"/>
      <c r="BS178" s="772" t="n"/>
      <c r="BT178" s="772" t="n"/>
      <c r="BU178" s="772" t="n"/>
      <c r="BV178" s="772" t="n"/>
    </row>
    <row r="179">
      <c r="A179" s="772" t="n"/>
      <c r="B179" s="772" t="n"/>
      <c r="C179" s="772" t="n"/>
      <c r="D179" s="772" t="n"/>
      <c r="E179" s="772" t="n"/>
      <c r="F179" s="772" t="n"/>
      <c r="G179" s="772" t="n"/>
      <c r="H179" s="772" t="n"/>
      <c r="I179" s="772" t="n"/>
      <c r="J179" s="772" t="n"/>
      <c r="K179" s="772" t="n"/>
      <c r="L179" s="772" t="n"/>
      <c r="M179" s="772" t="n"/>
      <c r="N179" s="772" t="n"/>
      <c r="O179" s="772" t="n"/>
      <c r="P179" s="772" t="n"/>
      <c r="Q179" s="772" t="n"/>
      <c r="R179" s="772" t="n"/>
      <c r="S179" s="772" t="n"/>
      <c r="T179" s="772" t="n"/>
      <c r="U179" s="772" t="n"/>
      <c r="V179" s="772" t="n"/>
      <c r="W179" s="772" t="n"/>
      <c r="X179" s="772" t="n"/>
      <c r="Y179" s="772" t="n"/>
      <c r="Z179" s="772" t="n"/>
      <c r="AA179" s="772" t="n"/>
      <c r="AB179" s="772" t="n"/>
      <c r="AC179" s="772" t="n"/>
      <c r="AD179" s="772" t="n"/>
      <c r="AE179" s="772" t="n"/>
      <c r="AF179" s="772" t="n"/>
      <c r="AG179" s="772" t="n"/>
      <c r="AH179" s="772" t="n"/>
      <c r="AI179" s="772" t="n"/>
      <c r="AJ179" s="772" t="n"/>
      <c r="AK179" s="772" t="n"/>
      <c r="AL179" s="772" t="n"/>
      <c r="AM179" s="772" t="n"/>
      <c r="AN179" s="772" t="n"/>
      <c r="AO179" s="772" t="n"/>
      <c r="AP179" s="772" t="n"/>
      <c r="AQ179" s="772" t="n"/>
      <c r="AR179" s="772" t="n"/>
      <c r="AS179" s="772" t="n"/>
      <c r="AT179" s="772" t="n"/>
      <c r="AU179" s="772" t="n"/>
      <c r="AV179" s="772" t="n"/>
      <c r="AW179" s="772" t="n"/>
      <c r="AX179" s="772" t="n"/>
      <c r="AY179" s="772" t="n"/>
      <c r="AZ179" s="772" t="n"/>
      <c r="BA179" s="772" t="n"/>
      <c r="BB179" s="772" t="n"/>
      <c r="BC179" s="772" t="n"/>
      <c r="BD179" s="772" t="n"/>
      <c r="BE179" s="772" t="n"/>
      <c r="BF179" s="772" t="n"/>
      <c r="BG179" s="772" t="n"/>
      <c r="BH179" s="772" t="n"/>
      <c r="BI179" s="772" t="n"/>
      <c r="BJ179" s="772" t="n"/>
      <c r="BK179" s="772" t="n"/>
      <c r="BL179" s="772" t="n"/>
      <c r="BM179" s="772" t="n"/>
      <c r="BN179" s="772" t="n"/>
      <c r="BO179" s="772" t="n"/>
      <c r="BP179" s="772" t="n"/>
      <c r="BQ179" s="772" t="n"/>
      <c r="BR179" s="772" t="n"/>
      <c r="BS179" s="772" t="n"/>
      <c r="BT179" s="772" t="n"/>
      <c r="BU179" s="772" t="n"/>
      <c r="BV179" s="772" t="n"/>
    </row>
  </sheetData>
  <mergeCells count="52">
    <mergeCell ref="BU2:BU3"/>
    <mergeCell ref="A79:A80"/>
    <mergeCell ref="AM2:AN2"/>
    <mergeCell ref="V2:W2"/>
    <mergeCell ref="G2:H2"/>
    <mergeCell ref="X2:Y2"/>
    <mergeCell ref="I2:J2"/>
    <mergeCell ref="AZ1:BA1"/>
    <mergeCell ref="BI2:BJ2"/>
    <mergeCell ref="M2:M3"/>
    <mergeCell ref="BC2:BD2"/>
    <mergeCell ref="B2:B3"/>
    <mergeCell ref="N2:N3"/>
    <mergeCell ref="AV2:AW2"/>
    <mergeCell ref="AE2:AF2"/>
    <mergeCell ref="BE1:BF1"/>
    <mergeCell ref="AX2:AY2"/>
    <mergeCell ref="AG2:AH2"/>
    <mergeCell ref="P2:Q2"/>
    <mergeCell ref="BM1:BN1"/>
    <mergeCell ref="BG1:BH1"/>
    <mergeCell ref="A2:A3"/>
    <mergeCell ref="AB2:AB3"/>
    <mergeCell ref="BT86:BU86"/>
    <mergeCell ref="BT2:BT3"/>
    <mergeCell ref="BV2:BV3"/>
    <mergeCell ref="BQ2:BQ3"/>
    <mergeCell ref="C2:D2"/>
    <mergeCell ref="T2:U2"/>
    <mergeCell ref="BS2:BS3"/>
    <mergeCell ref="E2:F2"/>
    <mergeCell ref="K2:L2"/>
    <mergeCell ref="Z2:AA2"/>
    <mergeCell ref="O2:O3"/>
    <mergeCell ref="BE2:BF2"/>
    <mergeCell ref="BA2:BA3"/>
    <mergeCell ref="AP2:AQ2"/>
    <mergeCell ref="BG2:BH2"/>
    <mergeCell ref="AZ2:AZ3"/>
    <mergeCell ref="BB2:BB3"/>
    <mergeCell ref="AO2:AO3"/>
    <mergeCell ref="AR2:AS2"/>
    <mergeCell ref="BK2:BL2"/>
    <mergeCell ref="AT2:AU2"/>
    <mergeCell ref="AI2:AJ2"/>
    <mergeCell ref="R2:S2"/>
    <mergeCell ref="AK2:AL2"/>
    <mergeCell ref="AC2:AD2"/>
    <mergeCell ref="BI1:BJ1"/>
    <mergeCell ref="BK1:BL1"/>
    <mergeCell ref="BO1:BP1"/>
    <mergeCell ref="BR2:BR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2026-06-30T08:17:00Z</dcterms:created>
  <dcterms:modified xmlns:dcterms="http://purl.org/dc/terms/" xmlns:xsi="http://www.w3.org/2001/XMLSchema-instance" xsi:type="dcterms:W3CDTF">2026-06-30T09:18:59Z</dcterms:modified>
  <cp:lastModifiedBy>Admin</cp:lastModifiedBy>
</cp:coreProperties>
</file>