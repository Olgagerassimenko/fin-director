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лан" sheetId="1" state="visible" r:id="rId1"/>
    <sheet name="Цены по месяцам" sheetId="2" state="visible" r:id="rId2"/>
    <sheet name="Методика" sheetId="3" state="visible" r:id="rId3"/>
  </sheets>
  <definedNames>
    <definedName name="_xlnm._FilterDatabase" localSheetId="0" hidden="1">'План'!$A$7:$T$27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15">
    <font>
      <name val="Calibri"/>
      <family val="2"/>
      <color theme="1"/>
      <sz val="11"/>
      <scheme val="minor"/>
    </font>
    <font>
      <b val="1"/>
      <color rgb="0013233F"/>
      <sz val="15"/>
    </font>
    <font>
      <i val="1"/>
      <color rgb="006B7280"/>
      <sz val="10"/>
    </font>
    <font>
      <b val="1"/>
      <color rgb="0013233F"/>
      <sz val="10"/>
    </font>
    <font>
      <color rgb="006B7280"/>
      <sz val="9.5"/>
    </font>
    <font>
      <b val="1"/>
      <color rgb="00FFFFFF"/>
      <sz val="9.5"/>
    </font>
    <font>
      <b val="1"/>
      <color rgb="007A5C00"/>
      <sz val="10"/>
    </font>
    <font>
      <color rgb="001F2937"/>
      <sz val="10"/>
    </font>
    <font>
      <b val="1"/>
      <color rgb="001B5E33"/>
      <sz val="9.5"/>
    </font>
    <font>
      <b val="1"/>
      <color rgb="007A5C00"/>
      <sz val="9.5"/>
    </font>
    <font>
      <b val="1"/>
      <color rgb="0013233F"/>
      <sz val="10.5"/>
    </font>
    <font>
      <color rgb="006B7280"/>
      <sz val="10"/>
    </font>
    <font>
      <i val="1"/>
      <color rgb="006B7280"/>
      <sz val="9.5"/>
    </font>
    <font>
      <b val="1"/>
      <color rgb="0013233F"/>
      <sz val="12"/>
    </font>
    <font>
      <color rgb="001F2937"/>
      <sz val="10.5"/>
    </font>
  </fonts>
  <fills count="8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13233F"/>
      </patternFill>
    </fill>
    <fill>
      <patternFill patternType="solid">
        <fgColor rgb="00DFF3E4"/>
      </patternFill>
    </fill>
    <fill>
      <patternFill patternType="solid">
        <fgColor rgb="00F7F9FC"/>
      </patternFill>
    </fill>
    <fill>
      <patternFill patternType="solid">
        <fgColor rgb="00FFF1D6"/>
      </patternFill>
    </fill>
    <fill>
      <patternFill patternType="solid">
        <fgColor rgb="00E8EDF5"/>
      </patternFill>
    </fill>
  </fills>
  <borders count="2">
    <border>
      <left/>
      <right/>
      <top/>
      <bottom/>
      <diagonal/>
    </border>
    <border>
      <left style="thin">
        <color rgb="00D6DCE6"/>
      </left>
      <right style="thin">
        <color rgb="00D6DCE6"/>
      </right>
      <top style="thin">
        <color rgb="00D6DCE6"/>
      </top>
      <bottom style="thin">
        <color rgb="00D6DCE6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2" borderId="1" pivotButton="0" quotePrefix="0" xfId="0"/>
    <xf numFmtId="0" fontId="4" fillId="0" borderId="0" pivotButton="0" quotePrefix="0" xfId="0"/>
    <xf numFmtId="165" fontId="0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/>
    </xf>
    <xf numFmtId="0" fontId="8" fillId="4" borderId="1" applyAlignment="1" pivotButton="0" quotePrefix="0" xfId="0">
      <alignment vertical="center"/>
    </xf>
    <xf numFmtId="3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right" vertical="center"/>
    </xf>
    <xf numFmtId="165" fontId="6" fillId="2" borderId="1" applyAlignment="1" pivotButton="0" quotePrefix="0" xfId="0">
      <alignment horizontal="right" vertical="center"/>
    </xf>
    <xf numFmtId="0" fontId="7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/>
    </xf>
    <xf numFmtId="3" fontId="7" fillId="5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9" fillId="6" borderId="1" applyAlignment="1" pivotButton="0" quotePrefix="0" xfId="0">
      <alignment vertical="center"/>
    </xf>
    <xf numFmtId="0" fontId="10" fillId="7" borderId="1" applyAlignment="1" pivotButton="0" quotePrefix="0" xfId="0">
      <alignment horizontal="left" vertical="center"/>
    </xf>
    <xf numFmtId="3" fontId="10" fillId="7" borderId="1" applyAlignment="1" pivotButton="0" quotePrefix="0" xfId="0">
      <alignment horizontal="right" vertical="center"/>
    </xf>
    <xf numFmtId="0" fontId="10" fillId="7" borderId="1" applyAlignment="1" pivotButton="0" quotePrefix="0" xfId="0">
      <alignment horizontal="right" vertical="center"/>
    </xf>
    <xf numFmtId="165" fontId="10" fillId="7" borderId="1" applyAlignment="1" pivotButton="0" quotePrefix="0" xfId="0">
      <alignment horizontal="right" vertical="center"/>
    </xf>
    <xf numFmtId="0" fontId="5" fillId="3" borderId="1" pivotButton="0" quotePrefix="0" xfId="0"/>
    <xf numFmtId="0" fontId="5" fillId="3" borderId="1" applyAlignment="1" pivotButton="0" quotePrefix="0" xfId="0">
      <alignment horizontal="center"/>
    </xf>
    <xf numFmtId="0" fontId="10" fillId="0" borderId="1" pivotButton="0" quotePrefix="0" xfId="0"/>
    <xf numFmtId="0" fontId="11" fillId="0" borderId="0" pivotButton="0" quotePrefix="0" xfId="0"/>
    <xf numFmtId="3" fontId="0" fillId="0" borderId="1" pivotButton="0" quotePrefix="0" xfId="0"/>
    <xf numFmtId="0" fontId="12" fillId="0" borderId="0" pivotButton="0" quotePrefix="0" xfId="0"/>
    <xf numFmtId="3" fontId="11" fillId="0" borderId="1" pivotButton="0" quotePrefix="0" xfId="0"/>
    <xf numFmtId="0" fontId="13" fillId="0" borderId="0" pivotButton="0" quotePrefix="0" xfId="0"/>
    <xf numFmtId="0" fontId="1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Сосиска в тесте (30шт гофра)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7C3AED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'Цены по месяцам'!$C$4:$K$4</f>
            </numRef>
          </cat>
          <val>
            <numRef>
              <f>'Цены по месяцам'!$C$5:$K$5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₸ за штуку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Брецель-дог (20шт)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7C3AED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'Цены по месяцам'!$C$4:$K$4</f>
            </numRef>
          </cat>
          <val>
            <numRef>
              <f>'Цены по месяцам'!$C$21:$K$21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₸ за штуку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Гуйру цомян (1порц)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7C3AED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'Цены по месяцам'!$C$4:$K$4</f>
            </numRef>
          </cat>
          <val>
            <numRef>
              <f>'Цены по месяцам'!$C$37:$K$37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₸ за штуку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Плов по-ташкентски (1порц)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7C3AED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'Цены по месяцам'!$C$4:$K$4</f>
            </numRef>
          </cat>
          <val>
            <numRef>
              <f>'Цены по месяцам'!$C$53:$K$53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₸ за штуку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Кимпаб с тунцом (1шт)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7C3AED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'Цены по месяцам'!$C$4:$K$4</f>
            </numRef>
          </cat>
          <val>
            <numRef>
              <f>'Цены по месяцам'!$C$69:$K$69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₸ за штуку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Пирожок с курицей и сыром (30 шт гофра)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7C3AED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'Цены по месяцам'!$C$4:$K$4</f>
            </numRef>
          </cat>
          <val>
            <numRef>
              <f>'Цены по месяцам'!$C$85:$K$85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₸ за штуку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Кимпаб с курицей (1шт)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7C3AED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'Цены по месяцам'!$C$4:$K$4</f>
            </numRef>
          </cat>
          <val>
            <numRef>
              <f>'Цены по месяцам'!$C$101:$K$101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₸ за штуку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Маффин шоколадный (24шт)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7C3AED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'Цены по месяцам'!$C$4:$K$4</f>
            </numRef>
          </cat>
          <val>
            <numRef>
              <f>'Цены по месяцам'!$C$117:$K$117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₸ за штуку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Курица с сыром и картофельным пюре (1порц)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7C3AED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'Цены по месяцам'!$C$4:$K$4</f>
            </numRef>
          </cat>
          <val>
            <numRef>
              <f>'Цены по месяцам'!$C$133:$K$133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₸ за штуку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Курица с сыром с рисом и паутини (1порц)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7C3AED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'Цены по месяцам'!$C$4:$K$4</f>
            </numRef>
          </cat>
          <val>
            <numRef>
              <f>'Цены по месяцам'!$C$149:$K$149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₸ за штуку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Пирожок с картофелем (30 шт гофра)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7C3AED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'Цены по месяцам'!$C$4:$K$4</f>
            </numRef>
          </cat>
          <val>
            <numRef>
              <f>'Цены по месяцам'!$C$165:$K$165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₸ за штуку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Круассан миндальный (10 шт гофра)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7C3AED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'Цены по месяцам'!$C$4:$K$4</f>
            </numRef>
          </cat>
          <val>
            <numRef>
              <f>'Цены по месяцам'!$C$181:$K$181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₸ за штуку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Манты с говядиной (1порц)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7C3AED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'Цены по месяцам'!$C$4:$K$4</f>
            </numRef>
          </cat>
          <val>
            <numRef>
              <f>'Цены по месяцам'!$C$197:$K$197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₸ за штуку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Шницель куриный с картофельным пюре (1порц)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7C3AED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'Цены по месяцам'!$C$4:$K$4</f>
            </numRef>
          </cat>
          <val>
            <numRef>
              <f>'Цены по месяцам'!$C$213:$K$213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₸ за штуку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Пирожок с капустой (30 шт гофра)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7C3AED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'Цены по месяцам'!$C$4:$K$4</f>
            </numRef>
          </cat>
          <val>
            <numRef>
              <f>'Цены по месяцам'!$C$229:$K$229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₸ за штуку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Клаб Сэндвич с курицей (1шт)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7C3AED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'Цены по месяцам'!$C$4:$K$4</f>
            </numRef>
          </cat>
          <val>
            <numRef>
              <f>'Цены по месяцам'!$C$245:$K$245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₸ за штуку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Блины с ветчиной и сыром (3шт)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7C3AED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'Цены по месяцам'!$C$4:$K$4</f>
            </numRef>
          </cat>
          <val>
            <numRef>
              <f>'Цены по месяцам'!$C$261:$K$261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₸ за штуку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Курица с сыром с пастой фузилли (1порц)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7C3AED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'Цены по месяцам'!$C$4:$K$4</f>
            </numRef>
          </cat>
          <val>
            <numRef>
              <f>'Цены по месяцам'!$C$277:$K$277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₸ за штуку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Сочник творожный (30шт гофра )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7C3AED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'Цены по месяцам'!$C$4:$K$4</f>
            </numRef>
          </cat>
          <val>
            <numRef>
              <f>'Цены по месяцам'!$C$293:$K$293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₸ за штуку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Курица с сыром и гречкой (1порц)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7C3AED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'Цены по месяцам'!$C$4:$K$4</f>
            </numRef>
          </cat>
          <val>
            <numRef>
              <f>'Цены по месяцам'!$C$309:$K$309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₸ за штуку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chart" Target="/xl/charts/chart11.xml" Id="rId11" /><Relationship Type="http://schemas.openxmlformats.org/officeDocument/2006/relationships/chart" Target="/xl/charts/chart12.xml" Id="rId12" /><Relationship Type="http://schemas.openxmlformats.org/officeDocument/2006/relationships/chart" Target="/xl/charts/chart13.xml" Id="rId13" /><Relationship Type="http://schemas.openxmlformats.org/officeDocument/2006/relationships/chart" Target="/xl/charts/chart14.xml" Id="rId14" /><Relationship Type="http://schemas.openxmlformats.org/officeDocument/2006/relationships/chart" Target="/xl/charts/chart15.xml" Id="rId15" /><Relationship Type="http://schemas.openxmlformats.org/officeDocument/2006/relationships/chart" Target="/xl/charts/chart16.xml" Id="rId16" /><Relationship Type="http://schemas.openxmlformats.org/officeDocument/2006/relationships/chart" Target="/xl/charts/chart17.xml" Id="rId17" /><Relationship Type="http://schemas.openxmlformats.org/officeDocument/2006/relationships/chart" Target="/xl/charts/chart18.xml" Id="rId18" /><Relationship Type="http://schemas.openxmlformats.org/officeDocument/2006/relationships/chart" Target="/xl/charts/chart19.xml" Id="rId19" /><Relationship Type="http://schemas.openxmlformats.org/officeDocument/2006/relationships/chart" Target="/xl/charts/chart20.xml" Id="rId20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5580000" cy="223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23</row>
      <rowOff>0</rowOff>
    </from>
    <ext cx="5580000" cy="223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39</row>
      <rowOff>0</rowOff>
    </from>
    <ext cx="5580000" cy="223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</col>
      <colOff>0</colOff>
      <row>55</row>
      <rowOff>0</rowOff>
    </from>
    <ext cx="5580000" cy="223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</col>
      <colOff>0</colOff>
      <row>71</row>
      <rowOff>0</rowOff>
    </from>
    <ext cx="5580000" cy="2232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</col>
      <colOff>0</colOff>
      <row>87</row>
      <rowOff>0</rowOff>
    </from>
    <ext cx="5580000" cy="2232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103</row>
      <rowOff>0</rowOff>
    </from>
    <ext cx="5580000" cy="2232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1</col>
      <colOff>0</colOff>
      <row>119</row>
      <rowOff>0</rowOff>
    </from>
    <ext cx="5580000" cy="2232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1</col>
      <colOff>0</colOff>
      <row>135</row>
      <rowOff>0</rowOff>
    </from>
    <ext cx="5580000" cy="2232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1</col>
      <colOff>0</colOff>
      <row>151</row>
      <rowOff>0</rowOff>
    </from>
    <ext cx="5580000" cy="2232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1</col>
      <colOff>0</colOff>
      <row>167</row>
      <rowOff>0</rowOff>
    </from>
    <ext cx="5580000" cy="2232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1</col>
      <colOff>0</colOff>
      <row>183</row>
      <rowOff>0</rowOff>
    </from>
    <ext cx="5580000" cy="2232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1</col>
      <colOff>0</colOff>
      <row>199</row>
      <rowOff>0</rowOff>
    </from>
    <ext cx="5580000" cy="2232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1</col>
      <colOff>0</colOff>
      <row>215</row>
      <rowOff>0</rowOff>
    </from>
    <ext cx="5580000" cy="2232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1</col>
      <colOff>0</colOff>
      <row>231</row>
      <rowOff>0</rowOff>
    </from>
    <ext cx="5580000" cy="2232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1</col>
      <colOff>0</colOff>
      <row>247</row>
      <rowOff>0</rowOff>
    </from>
    <ext cx="5580000" cy="2232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  <oneCellAnchor>
    <from>
      <col>1</col>
      <colOff>0</colOff>
      <row>263</row>
      <rowOff>0</rowOff>
    </from>
    <ext cx="5580000" cy="2232000"/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oneCellAnchor>
  <oneCellAnchor>
    <from>
      <col>1</col>
      <colOff>0</colOff>
      <row>279</row>
      <rowOff>0</rowOff>
    </from>
    <ext cx="5580000" cy="2232000"/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oneCellAnchor>
  <oneCellAnchor>
    <from>
      <col>1</col>
      <colOff>0</colOff>
      <row>295</row>
      <rowOff>0</rowOff>
    </from>
    <ext cx="5580000" cy="2232000"/>
    <graphicFrame>
      <nvGraphicFramePr>
        <cNvPr id="19" name="Chart 19"/>
        <cNvGraphicFramePr/>
      </nvGraphicFramePr>
      <xfrm/>
      <a:graphic>
        <a:graphicData uri="http://schemas.openxmlformats.org/drawingml/2006/chart">
          <c:chart r:id="rId19"/>
        </a:graphicData>
      </a:graphic>
    </graphicFrame>
    <clientData/>
  </oneCellAnchor>
  <oneCellAnchor>
    <from>
      <col>1</col>
      <colOff>0</colOff>
      <row>311</row>
      <rowOff>0</rowOff>
    </from>
    <ext cx="5580000" cy="2232000"/>
    <graphicFrame>
      <nvGraphicFramePr>
        <cNvPr id="20" name="Chart 20"/>
        <cNvGraphicFramePr/>
      </nvGraphicFramePr>
      <xfrm/>
      <a:graphic>
        <a:graphicData uri="http://schemas.openxmlformats.org/drawingml/2006/chart">
          <c:chart r:id="rId20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4" customWidth="1" min="4" max="4"/>
    <col width="12" customWidth="1" min="5" max="5"/>
    <col width="10" customWidth="1" min="6" max="6"/>
    <col width="12" customWidth="1" min="7" max="7"/>
    <col width="6" customWidth="1" min="8" max="8"/>
    <col width="8" customWidth="1" min="9" max="9"/>
    <col width="11" customWidth="1" min="10" max="10"/>
    <col width="11" customWidth="1" min="11" max="11"/>
    <col width="11" customWidth="1" min="12" max="12"/>
    <col width="12" customWidth="1" min="13" max="13"/>
    <col width="14" customWidth="1" min="14" max="14"/>
    <col width="16" customWidth="1" min="15" max="15"/>
    <col width="16" customWidth="1" min="16" max="16"/>
    <col width="12" customWidth="1" min="17" max="17"/>
    <col width="12" customWidth="1" min="18" max="18"/>
    <col width="58" customWidth="1" min="19" max="19"/>
    <col width="46" customWidth="1" min="20" max="20"/>
  </cols>
  <sheetData>
    <row r="1">
      <c r="A1" s="1" t="inlineStr">
        <is>
          <t>План повышения цен · ТОП-20 позиций по выручке</t>
        </is>
      </c>
    </row>
    <row r="2">
      <c r="A2" s="2" t="inlineStr">
        <is>
          <t>Собрано 13.10.2026 из данных iiko. Меняйте процент в жёлтой колонке — всё пересчитается.</t>
        </is>
      </c>
    </row>
    <row r="4">
      <c r="A4" s="3" t="inlineStr">
        <is>
          <t>Реакция объёма на 1% цены</t>
        </is>
      </c>
      <c r="D4" s="4" t="n">
        <v>-0.8</v>
      </c>
      <c r="E4" s="5" t="inlineStr">
        <is>
          <t>% объёма уходит на каждый процент цены (минус — уходит)</t>
        </is>
      </c>
    </row>
    <row r="5">
      <c r="A5" s="3" t="inlineStr">
        <is>
          <t>Ориентир роста цены за год</t>
        </is>
      </c>
      <c r="D5" s="6" t="n">
        <v>0.08</v>
      </c>
      <c r="E5" s="5" t="inlineStr">
        <is>
          <t>ниже этого цена отстаёт от подорожания сырья и зарплаты</t>
        </is>
      </c>
    </row>
    <row r="7" ht="34" customHeight="1">
      <c r="A7" s="7" t="inlineStr">
        <is>
          <t>Позиция</t>
        </is>
      </c>
      <c r="B7" s="7" t="inlineStr">
        <is>
          <t>Категория</t>
        </is>
      </c>
      <c r="C7" s="7" t="inlineStr">
        <is>
          <t>Очередь</t>
        </is>
      </c>
      <c r="D7" s="7" t="inlineStr">
        <is>
          <t>Выручка, ₸/мес</t>
        </is>
      </c>
      <c r="E7" s="7" t="inlineStr">
        <is>
          <t>Объём, шт/мес</t>
        </is>
      </c>
      <c r="F7" s="7" t="inlineStr">
        <is>
          <t>Цена, ₸</t>
        </is>
      </c>
      <c r="G7" s="7" t="inlineStr">
        <is>
          <t>Цена ± за период</t>
        </is>
      </c>
      <c r="H7" s="7" t="inlineStr">
        <is>
          <t>Мес.</t>
        </is>
      </c>
      <c r="I7" s="7" t="inlineStr">
        <is>
          <t>Маржа</t>
        </is>
      </c>
      <c r="J7" s="7" t="inlineStr">
        <is>
          <t>Объём 3м/3м</t>
        </is>
      </c>
      <c r="K7" s="7" t="inlineStr">
        <is>
          <t>Рекомендуем</t>
        </is>
      </c>
      <c r="L7" s="7" t="inlineStr">
        <is>
          <t>ПОДНЯТЬ, %</t>
        </is>
      </c>
      <c r="M7" s="7" t="inlineStr">
        <is>
          <t>Новая цена, ₸</t>
        </is>
      </c>
      <c r="N7" s="7" t="inlineStr">
        <is>
          <t>Выручка, +₸/мес</t>
        </is>
      </c>
      <c r="O7" s="7" t="inlineStr">
        <is>
          <t>Вал. прибыль, +₸/мес</t>
        </is>
      </c>
      <c r="P7" s="7" t="inlineStr">
        <is>
          <t>Вал. прибыль, +₸/год</t>
        </is>
      </c>
      <c r="Q7" s="7" t="inlineStr">
        <is>
          <t>Запас по объёму</t>
        </is>
      </c>
      <c r="R7" s="7" t="inlineStr">
        <is>
          <t>Ожидаем объём</t>
        </is>
      </c>
      <c r="S7" s="7" t="inlineStr">
        <is>
          <t>Обоснование</t>
        </is>
      </c>
      <c r="T7" s="7" t="inlineStr">
        <is>
          <t>Карточки в iiko</t>
        </is>
      </c>
    </row>
    <row r="8" ht="26" customHeight="1">
      <c r="A8" s="8" t="inlineStr">
        <is>
          <t>Сосиска в тесте (30шт гофра)</t>
        </is>
      </c>
      <c r="B8" s="8" t="inlineStr">
        <is>
          <t>Выпечка_</t>
        </is>
      </c>
      <c r="C8" s="9" t="inlineStr">
        <is>
          <t>1 — сейчас</t>
        </is>
      </c>
      <c r="D8" s="10" t="n">
        <v>9407770</v>
      </c>
      <c r="E8" s="10" t="n">
        <v>995</v>
      </c>
      <c r="F8" s="10" t="n">
        <v>9452</v>
      </c>
      <c r="G8" s="11" t="n">
        <v>0.01983196557667033</v>
      </c>
      <c r="H8" s="12" t="n">
        <v>9</v>
      </c>
      <c r="I8" s="11" t="n">
        <v>0.6069657570284988</v>
      </c>
      <c r="J8" s="11" t="n">
        <v>0.2631133671742809</v>
      </c>
      <c r="K8" s="11" t="n">
        <v>0.04</v>
      </c>
      <c r="L8" s="13" t="n">
        <v>0.04</v>
      </c>
      <c r="M8" s="10">
        <f>ROUND(F8*(1+L8),0)</f>
        <v/>
      </c>
      <c r="N8" s="10">
        <f>ROUND(D8*(1+$D$4*L8)*(1+L8)-D8,0)</f>
        <v/>
      </c>
      <c r="O8" s="10">
        <f>ROUND(D8*(1+$D$4*L8)*(I8+L8)-D8*I8,0)</f>
        <v/>
      </c>
      <c r="P8" s="10">
        <f>ROUND(O8*12,0)</f>
        <v/>
      </c>
      <c r="Q8" s="11">
        <f>IF(L8=0,"",L8/(I8+L8))</f>
        <v/>
      </c>
      <c r="R8" s="11">
        <f>$D$4*L8</f>
        <v/>
      </c>
      <c r="S8" s="14" t="inlineStr">
        <is>
          <t>за 9 мес цена выросла на 2.0% при ориентире 6.0%</t>
        </is>
      </c>
      <c r="T8" s="14" t="inlineStr">
        <is>
          <t>RP* Упак Сосиска в тесте  готов СМ (30шт гофра) · Упак Сосиска в тесте  готов СМ (30шт гофра)</t>
        </is>
      </c>
    </row>
    <row r="9" ht="26" customHeight="1">
      <c r="A9" s="15" t="inlineStr">
        <is>
          <t>Брецель-дог (20шт)</t>
        </is>
      </c>
      <c r="B9" s="15" t="inlineStr">
        <is>
          <t>Выпечка_</t>
        </is>
      </c>
      <c r="C9" s="9" t="inlineStr">
        <is>
          <t>1 — сейчас</t>
        </is>
      </c>
      <c r="D9" s="16" t="n">
        <v>9170667</v>
      </c>
      <c r="E9" s="16" t="n">
        <v>1296</v>
      </c>
      <c r="F9" s="16" t="n">
        <v>7076</v>
      </c>
      <c r="G9" s="17" t="n">
        <v>0.00286179319379154</v>
      </c>
      <c r="H9" s="18" t="n">
        <v>7</v>
      </c>
      <c r="I9" s="17" t="n">
        <v>0.5291363768537366</v>
      </c>
      <c r="J9" s="17" t="n">
        <v>-0.05539358600583089</v>
      </c>
      <c r="K9" s="17" t="n">
        <v>0.045</v>
      </c>
      <c r="L9" s="13" t="n">
        <v>0.045</v>
      </c>
      <c r="M9" s="16">
        <f>ROUND(F9*(1+L9),0)</f>
        <v/>
      </c>
      <c r="N9" s="16">
        <f>ROUND(D9*(1+$D$4*L9)*(1+L9)-D9,0)</f>
        <v/>
      </c>
      <c r="O9" s="16">
        <f>ROUND(D9*(1+$D$4*L9)*(I9+L9)-D9*I9,0)</f>
        <v/>
      </c>
      <c r="P9" s="16">
        <f>ROUND(O9*12,0)</f>
        <v/>
      </c>
      <c r="Q9" s="17">
        <f>IF(L9=0,"",L9/(I9+L9))</f>
        <v/>
      </c>
      <c r="R9" s="17">
        <f>$D$4*L9</f>
        <v/>
      </c>
      <c r="S9" s="19" t="inlineStr">
        <is>
          <t>за 7 мес цена выросла на 0.3% при ориентире 4.7%</t>
        </is>
      </c>
      <c r="T9" s="19" t="inlineStr">
        <is>
          <t>Упак Брецель-дог (20шт) · RP* Упак Брецель-дог (20шт)</t>
        </is>
      </c>
    </row>
    <row r="10" ht="26" customHeight="1">
      <c r="A10" s="8" t="inlineStr">
        <is>
          <t>Гуйру цомян (1порц)</t>
        </is>
      </c>
      <c r="B10" s="8" t="inlineStr">
        <is>
          <t>Горячее</t>
        </is>
      </c>
      <c r="C10" s="20" t="inlineStr">
        <is>
          <t>— не трогать</t>
        </is>
      </c>
      <c r="D10" s="10" t="n">
        <v>6024469</v>
      </c>
      <c r="E10" s="10" t="n">
        <v>6792</v>
      </c>
      <c r="F10" s="10" t="n">
        <v>887</v>
      </c>
      <c r="G10" s="11" t="n">
        <v>0.1148493472172052</v>
      </c>
      <c r="H10" s="12" t="n">
        <v>9</v>
      </c>
      <c r="I10" s="11" t="n">
        <v>0.511</v>
      </c>
      <c r="J10" s="11" t="n">
        <v>0.05520169851380041</v>
      </c>
      <c r="K10" s="11" t="n">
        <v>0</v>
      </c>
      <c r="L10" s="13" t="n">
        <v>0</v>
      </c>
      <c r="M10" s="10">
        <f>ROUND(F10*(1+L10),0)</f>
        <v/>
      </c>
      <c r="N10" s="10">
        <f>ROUND(D10*(1+$D$4*L10)*(1+L10)-D10,0)</f>
        <v/>
      </c>
      <c r="O10" s="10">
        <f>ROUND(D10*(1+$D$4*L10)*(I10+L10)-D10*I10,0)</f>
        <v/>
      </c>
      <c r="P10" s="10">
        <f>ROUND(O10*12,0)</f>
        <v/>
      </c>
      <c r="Q10" s="11">
        <f>IF(L10=0,"",L10/(I10+L10))</f>
        <v/>
      </c>
      <c r="R10" s="11">
        <f>$D$4*L10</f>
        <v/>
      </c>
      <c r="S10" s="14" t="inlineStr">
        <is>
          <t>цену уже подняли на 11.5% — этого хватает</t>
        </is>
      </c>
      <c r="T10" s="14" t="inlineStr">
        <is>
          <t>Упак Гуйру цомян (1порц)</t>
        </is>
      </c>
    </row>
    <row r="11" ht="26" customHeight="1">
      <c r="A11" s="15" t="inlineStr">
        <is>
          <t>Плов по-ташкентски (1порц)</t>
        </is>
      </c>
      <c r="B11" s="15" t="inlineStr">
        <is>
          <t>Горячее</t>
        </is>
      </c>
      <c r="C11" s="20" t="inlineStr">
        <is>
          <t>— не трогать</t>
        </is>
      </c>
      <c r="D11" s="16" t="n">
        <v>5427078</v>
      </c>
      <c r="E11" s="16" t="n">
        <v>5043</v>
      </c>
      <c r="F11" s="16" t="n">
        <v>1076</v>
      </c>
      <c r="G11" s="17" t="n">
        <v>0.1637387262499683</v>
      </c>
      <c r="H11" s="18" t="n">
        <v>9</v>
      </c>
      <c r="I11" s="17" t="n">
        <v>0.484</v>
      </c>
      <c r="J11" s="17" t="n">
        <v>-0.002768439786434596</v>
      </c>
      <c r="K11" s="17" t="n">
        <v>0</v>
      </c>
      <c r="L11" s="13" t="n">
        <v>0</v>
      </c>
      <c r="M11" s="16">
        <f>ROUND(F11*(1+L11),0)</f>
        <v/>
      </c>
      <c r="N11" s="16">
        <f>ROUND(D11*(1+$D$4*L11)*(1+L11)-D11,0)</f>
        <v/>
      </c>
      <c r="O11" s="16">
        <f>ROUND(D11*(1+$D$4*L11)*(I11+L11)-D11*I11,0)</f>
        <v/>
      </c>
      <c r="P11" s="16">
        <f>ROUND(O11*12,0)</f>
        <v/>
      </c>
      <c r="Q11" s="17">
        <f>IF(L11=0,"",L11/(I11+L11))</f>
        <v/>
      </c>
      <c r="R11" s="17">
        <f>$D$4*L11</f>
        <v/>
      </c>
      <c r="S11" s="19" t="inlineStr">
        <is>
          <t>цену уже подняли на 16.4% — этого хватает</t>
        </is>
      </c>
      <c r="T11" s="19" t="inlineStr">
        <is>
          <t>Упак Плов по-ташкентски (1порц) · RP* Упак Плов по-ташкентски (1порц)</t>
        </is>
      </c>
    </row>
    <row r="12" ht="26" customHeight="1">
      <c r="A12" s="8" t="inlineStr">
        <is>
          <t>Кимпаб с тунцом (1шт)</t>
        </is>
      </c>
      <c r="B12" s="8" t="inlineStr">
        <is>
          <t>Япония</t>
        </is>
      </c>
      <c r="C12" s="20" t="inlineStr">
        <is>
          <t>— не трогать</t>
        </is>
      </c>
      <c r="D12" s="10" t="n">
        <v>5227594</v>
      </c>
      <c r="E12" s="10" t="n">
        <v>5314</v>
      </c>
      <c r="F12" s="10" t="n">
        <v>984</v>
      </c>
      <c r="G12" s="11" t="n">
        <v>0.1245748852020385</v>
      </c>
      <c r="H12" s="12" t="n">
        <v>9</v>
      </c>
      <c r="I12" s="11" t="n">
        <v>0.547</v>
      </c>
      <c r="J12" s="11" t="n">
        <v>0.07796862320800657</v>
      </c>
      <c r="K12" s="11" t="n">
        <v>0</v>
      </c>
      <c r="L12" s="13" t="n">
        <v>0</v>
      </c>
      <c r="M12" s="10">
        <f>ROUND(F12*(1+L12),0)</f>
        <v/>
      </c>
      <c r="N12" s="10">
        <f>ROUND(D12*(1+$D$4*L12)*(1+L12)-D12,0)</f>
        <v/>
      </c>
      <c r="O12" s="10">
        <f>ROUND(D12*(1+$D$4*L12)*(I12+L12)-D12*I12,0)</f>
        <v/>
      </c>
      <c r="P12" s="10">
        <f>ROUND(O12*12,0)</f>
        <v/>
      </c>
      <c r="Q12" s="11">
        <f>IF(L12=0,"",L12/(I12+L12))</f>
        <v/>
      </c>
      <c r="R12" s="11">
        <f>$D$4*L12</f>
        <v/>
      </c>
      <c r="S12" s="14" t="inlineStr">
        <is>
          <t>цену уже подняли на 12.5% — этого хватает</t>
        </is>
      </c>
      <c r="T12" s="14" t="inlineStr">
        <is>
          <t>Упак Кимпаб с тунцом (1шт)</t>
        </is>
      </c>
    </row>
    <row r="13" ht="26" customHeight="1">
      <c r="A13" s="15" t="inlineStr">
        <is>
          <t>Пирожок с курицей и сыром (30 шт гофра)</t>
        </is>
      </c>
      <c r="B13" s="15" t="inlineStr">
        <is>
          <t>Выпечка_</t>
        </is>
      </c>
      <c r="C13" s="21" t="inlineStr">
        <is>
          <t>2 — следом</t>
        </is>
      </c>
      <c r="D13" s="16" t="n">
        <v>4740440</v>
      </c>
      <c r="E13" s="16" t="n">
        <v>894</v>
      </c>
      <c r="F13" s="16" t="n">
        <v>5304</v>
      </c>
      <c r="G13" s="17" t="n">
        <v>0.007177689972479362</v>
      </c>
      <c r="H13" s="18" t="n">
        <v>9</v>
      </c>
      <c r="I13" s="17" t="n">
        <v>0.5074919648808971</v>
      </c>
      <c r="J13" s="17" t="n">
        <v>0.2563261480787253</v>
      </c>
      <c r="K13" s="17" t="n">
        <v>0.055</v>
      </c>
      <c r="L13" s="13" t="n">
        <v>0.055</v>
      </c>
      <c r="M13" s="16">
        <f>ROUND(F13*(1+L13),0)</f>
        <v/>
      </c>
      <c r="N13" s="16">
        <f>ROUND(D13*(1+$D$4*L13)*(1+L13)-D13,0)</f>
        <v/>
      </c>
      <c r="O13" s="16">
        <f>ROUND(D13*(1+$D$4*L13)*(I13+L13)-D13*I13,0)</f>
        <v/>
      </c>
      <c r="P13" s="16">
        <f>ROUND(O13*12,0)</f>
        <v/>
      </c>
      <c r="Q13" s="17">
        <f>IF(L13=0,"",L13/(I13+L13))</f>
        <v/>
      </c>
      <c r="R13" s="17">
        <f>$D$4*L13</f>
        <v/>
      </c>
      <c r="S13" s="19" t="inlineStr">
        <is>
          <t>за 9 мес цена выросла на 0.7% при ориентире 6.0%</t>
        </is>
      </c>
      <c r="T13" s="19" t="inlineStr">
        <is>
          <t>RP* Упак Пирожок с курицей и сыром готов СМ (30 шт гофра) · Упак Пирожок с курицей и сыром готов СМ (30 шт гофра)</t>
        </is>
      </c>
    </row>
    <row r="14" ht="26" customHeight="1">
      <c r="A14" s="8" t="inlineStr">
        <is>
          <t>Кимпаб с курицей (1шт)</t>
        </is>
      </c>
      <c r="B14" s="8" t="inlineStr">
        <is>
          <t>Япония</t>
        </is>
      </c>
      <c r="C14" s="20" t="inlineStr">
        <is>
          <t>— не трогать</t>
        </is>
      </c>
      <c r="D14" s="10" t="n">
        <v>4459789</v>
      </c>
      <c r="E14" s="10" t="n">
        <v>5324</v>
      </c>
      <c r="F14" s="10" t="n">
        <v>838</v>
      </c>
      <c r="G14" s="11" t="n">
        <v>0.1162848266446101</v>
      </c>
      <c r="H14" s="12" t="n">
        <v>9</v>
      </c>
      <c r="I14" s="11" t="n">
        <v>0.503</v>
      </c>
      <c r="J14" s="11" t="n">
        <v>0.01293841567831544</v>
      </c>
      <c r="K14" s="11" t="n">
        <v>0</v>
      </c>
      <c r="L14" s="13" t="n">
        <v>0</v>
      </c>
      <c r="M14" s="10">
        <f>ROUND(F14*(1+L14),0)</f>
        <v/>
      </c>
      <c r="N14" s="10">
        <f>ROUND(D14*(1+$D$4*L14)*(1+L14)-D14,0)</f>
        <v/>
      </c>
      <c r="O14" s="10">
        <f>ROUND(D14*(1+$D$4*L14)*(I14+L14)-D14*I14,0)</f>
        <v/>
      </c>
      <c r="P14" s="10">
        <f>ROUND(O14*12,0)</f>
        <v/>
      </c>
      <c r="Q14" s="11">
        <f>IF(L14=0,"",L14/(I14+L14))</f>
        <v/>
      </c>
      <c r="R14" s="11">
        <f>$D$4*L14</f>
        <v/>
      </c>
      <c r="S14" s="14" t="inlineStr">
        <is>
          <t>цену уже подняли на 11.6% — этого хватает</t>
        </is>
      </c>
      <c r="T14" s="14" t="inlineStr">
        <is>
          <t>Упак Кимпаб с курицей (1шт)</t>
        </is>
      </c>
    </row>
    <row r="15" ht="26" customHeight="1">
      <c r="A15" s="15" t="inlineStr">
        <is>
          <t>Маффин шоколадный (24шт)</t>
        </is>
      </c>
      <c r="B15" s="15" t="inlineStr">
        <is>
          <t>Выпечка_</t>
        </is>
      </c>
      <c r="C15" s="9" t="inlineStr">
        <is>
          <t>1 — сейчас</t>
        </is>
      </c>
      <c r="D15" s="16" t="n">
        <v>4196475</v>
      </c>
      <c r="E15" s="16" t="n">
        <v>573</v>
      </c>
      <c r="F15" s="16" t="n">
        <v>7328</v>
      </c>
      <c r="G15" s="17" t="n">
        <v>-0.003665392881112228</v>
      </c>
      <c r="H15" s="18" t="n">
        <v>9</v>
      </c>
      <c r="I15" s="17" t="n">
        <v>0.484770753610332</v>
      </c>
      <c r="J15" s="17" t="n">
        <v>0.338006230529595</v>
      </c>
      <c r="K15" s="17" t="n">
        <v>0.08</v>
      </c>
      <c r="L15" s="13" t="n">
        <v>0.08</v>
      </c>
      <c r="M15" s="16">
        <f>ROUND(F15*(1+L15),0)</f>
        <v/>
      </c>
      <c r="N15" s="16">
        <f>ROUND(D15*(1+$D$4*L15)*(1+L15)-D15,0)</f>
        <v/>
      </c>
      <c r="O15" s="16">
        <f>ROUND(D15*(1+$D$4*L15)*(I15+L15)-D15*I15,0)</f>
        <v/>
      </c>
      <c r="P15" s="16">
        <f>ROUND(O15*12,0)</f>
        <v/>
      </c>
      <c r="Q15" s="17">
        <f>IF(L15=0,"",L15/(I15+L15))</f>
        <v/>
      </c>
      <c r="R15" s="17">
        <f>$D$4*L15</f>
        <v/>
      </c>
      <c r="S15" s="19" t="inlineStr">
        <is>
          <t>за 9 мес цена упала на 0.4% при ориентире 6.0%; берут на 34% больше</t>
        </is>
      </c>
      <c r="T15" s="19" t="inlineStr">
        <is>
          <t>Упак Маффин шоколадный (24шт) · RP* Упак Маффин шоколадный (24шт)</t>
        </is>
      </c>
    </row>
    <row r="16" ht="26" customHeight="1">
      <c r="A16" s="8" t="inlineStr">
        <is>
          <t>Курица с сыром и картофельным пюре (1порц)</t>
        </is>
      </c>
      <c r="B16" s="8" t="inlineStr">
        <is>
          <t>Горячее</t>
        </is>
      </c>
      <c r="C16" s="20" t="inlineStr">
        <is>
          <t>— не трогать</t>
        </is>
      </c>
      <c r="D16" s="10" t="n">
        <v>4016334</v>
      </c>
      <c r="E16" s="10" t="n">
        <v>3571</v>
      </c>
      <c r="F16" s="10" t="n">
        <v>1125</v>
      </c>
      <c r="G16" s="11" t="n">
        <v>0.07968634845642675</v>
      </c>
      <c r="H16" s="12" t="n">
        <v>9</v>
      </c>
      <c r="I16" s="11" t="n">
        <v>0.592</v>
      </c>
      <c r="J16" s="11" t="n">
        <v>-0.0553743056167887</v>
      </c>
      <c r="K16" s="11" t="n">
        <v>0</v>
      </c>
      <c r="L16" s="13" t="n">
        <v>0</v>
      </c>
      <c r="M16" s="10">
        <f>ROUND(F16*(1+L16),0)</f>
        <v/>
      </c>
      <c r="N16" s="10">
        <f>ROUND(D16*(1+$D$4*L16)*(1+L16)-D16,0)</f>
        <v/>
      </c>
      <c r="O16" s="10">
        <f>ROUND(D16*(1+$D$4*L16)*(I16+L16)-D16*I16,0)</f>
        <v/>
      </c>
      <c r="P16" s="10">
        <f>ROUND(O16*12,0)</f>
        <v/>
      </c>
      <c r="Q16" s="11">
        <f>IF(L16=0,"",L16/(I16+L16))</f>
        <v/>
      </c>
      <c r="R16" s="11">
        <f>$D$4*L16</f>
        <v/>
      </c>
      <c r="S16" s="14" t="inlineStr">
        <is>
          <t>признаков отставания цены нет</t>
        </is>
      </c>
      <c r="T16" s="14" t="inlineStr">
        <is>
          <t>Упак Курица с сыром и картофельным пюре (1порц)</t>
        </is>
      </c>
    </row>
    <row r="17" ht="26" customHeight="1">
      <c r="A17" s="15" t="inlineStr">
        <is>
          <t>Курица с сыром с рисом и паутини (1порц)</t>
        </is>
      </c>
      <c r="B17" s="15" t="inlineStr">
        <is>
          <t>Горячее</t>
        </is>
      </c>
      <c r="C17" s="20" t="inlineStr">
        <is>
          <t>— не трогать</t>
        </is>
      </c>
      <c r="D17" s="16" t="n">
        <v>3600389</v>
      </c>
      <c r="E17" s="16" t="n">
        <v>3264</v>
      </c>
      <c r="F17" s="16" t="n">
        <v>1103</v>
      </c>
      <c r="G17" s="17" t="n">
        <v>0.08140582676728837</v>
      </c>
      <c r="H17" s="18" t="n">
        <v>9</v>
      </c>
      <c r="I17" s="17" t="n">
        <v>0.597</v>
      </c>
      <c r="J17" s="17" t="n">
        <v>-0.03374777975133214</v>
      </c>
      <c r="K17" s="17" t="n">
        <v>0</v>
      </c>
      <c r="L17" s="13" t="n">
        <v>0</v>
      </c>
      <c r="M17" s="16">
        <f>ROUND(F17*(1+L17),0)</f>
        <v/>
      </c>
      <c r="N17" s="16">
        <f>ROUND(D17*(1+$D$4*L17)*(1+L17)-D17,0)</f>
        <v/>
      </c>
      <c r="O17" s="16">
        <f>ROUND(D17*(1+$D$4*L17)*(I17+L17)-D17*I17,0)</f>
        <v/>
      </c>
      <c r="P17" s="16">
        <f>ROUND(O17*12,0)</f>
        <v/>
      </c>
      <c r="Q17" s="17">
        <f>IF(L17=0,"",L17/(I17+L17))</f>
        <v/>
      </c>
      <c r="R17" s="17">
        <f>$D$4*L17</f>
        <v/>
      </c>
      <c r="S17" s="19" t="inlineStr">
        <is>
          <t>признаков отставания цены нет</t>
        </is>
      </c>
      <c r="T17" s="19" t="inlineStr">
        <is>
          <t>Упак Курица с сыром с рисом и паутини (1порц)</t>
        </is>
      </c>
    </row>
    <row r="18" ht="26" customHeight="1">
      <c r="A18" s="8" t="inlineStr">
        <is>
          <t>Пирожок с картофелем (30 шт гофра)</t>
        </is>
      </c>
      <c r="B18" s="8" t="inlineStr">
        <is>
          <t>Выпечка_</t>
        </is>
      </c>
      <c r="C18" s="20" t="inlineStr">
        <is>
          <t>— не трогать</t>
        </is>
      </c>
      <c r="D18" s="10" t="n">
        <v>3563970</v>
      </c>
      <c r="E18" s="10" t="n">
        <v>743</v>
      </c>
      <c r="F18" s="10" t="n">
        <v>4799</v>
      </c>
      <c r="G18" s="11" t="n">
        <v>0.08443270354943057</v>
      </c>
      <c r="H18" s="12" t="n">
        <v>8</v>
      </c>
      <c r="I18" s="11" t="n">
        <v>0.6394539263798517</v>
      </c>
      <c r="J18" s="11" t="n">
        <v>0.3890274314214464</v>
      </c>
      <c r="K18" s="11" t="n">
        <v>0</v>
      </c>
      <c r="L18" s="13" t="n">
        <v>0</v>
      </c>
      <c r="M18" s="10">
        <f>ROUND(F18*(1+L18),0)</f>
        <v/>
      </c>
      <c r="N18" s="10">
        <f>ROUND(D18*(1+$D$4*L18)*(1+L18)-D18,0)</f>
        <v/>
      </c>
      <c r="O18" s="10">
        <f>ROUND(D18*(1+$D$4*L18)*(I18+L18)-D18*I18,0)</f>
        <v/>
      </c>
      <c r="P18" s="10">
        <f>ROUND(O18*12,0)</f>
        <v/>
      </c>
      <c r="Q18" s="11">
        <f>IF(L18=0,"",L18/(I18+L18))</f>
        <v/>
      </c>
      <c r="R18" s="11">
        <f>$D$4*L18</f>
        <v/>
      </c>
      <c r="S18" s="14" t="inlineStr">
        <is>
          <t>цену уже подняли на 8.4% — этого хватает</t>
        </is>
      </c>
      <c r="T18" s="14" t="inlineStr">
        <is>
          <t>RP* Упак Пирожок с картофелем готов СМ (30 шт гофра) · Упак Пирожок с картофелем готов СМ (30 шт гофра)</t>
        </is>
      </c>
    </row>
    <row r="19" ht="26" customHeight="1">
      <c r="A19" s="15" t="inlineStr">
        <is>
          <t>Круассан миндальный (10 шт гофра)</t>
        </is>
      </c>
      <c r="B19" s="15" t="inlineStr">
        <is>
          <t>Выпечка_</t>
        </is>
      </c>
      <c r="C19" s="21" t="inlineStr">
        <is>
          <t>2 — следом</t>
        </is>
      </c>
      <c r="D19" s="16" t="n">
        <v>3348489</v>
      </c>
      <c r="E19" s="16" t="n">
        <v>476</v>
      </c>
      <c r="F19" s="16" t="n">
        <v>7035</v>
      </c>
      <c r="G19" s="17" t="n">
        <v>0.01803067648812484</v>
      </c>
      <c r="H19" s="18" t="n">
        <v>9</v>
      </c>
      <c r="I19" s="17" t="n">
        <v>0.5900555227491641</v>
      </c>
      <c r="J19" s="17" t="n">
        <v>0.310091743119266</v>
      </c>
      <c r="K19" s="17" t="n">
        <v>0.055</v>
      </c>
      <c r="L19" s="13" t="n">
        <v>0.055</v>
      </c>
      <c r="M19" s="16">
        <f>ROUND(F19*(1+L19),0)</f>
        <v/>
      </c>
      <c r="N19" s="16">
        <f>ROUND(D19*(1+$D$4*L19)*(1+L19)-D19,0)</f>
        <v/>
      </c>
      <c r="O19" s="16">
        <f>ROUND(D19*(1+$D$4*L19)*(I19+L19)-D19*I19,0)</f>
        <v/>
      </c>
      <c r="P19" s="16">
        <f>ROUND(O19*12,0)</f>
        <v/>
      </c>
      <c r="Q19" s="17">
        <f>IF(L19=0,"",L19/(I19+L19))</f>
        <v/>
      </c>
      <c r="R19" s="17">
        <f>$D$4*L19</f>
        <v/>
      </c>
      <c r="S19" s="19" t="inlineStr">
        <is>
          <t>за 9 мес цена выросла на 1.8% при ориентире 6.0%; берут на 31% больше</t>
        </is>
      </c>
      <c r="T19" s="19" t="inlineStr">
        <is>
          <t>RP* Упак Круассан миндальный готов СМ (10 шт гофра) · Упак Круассан миндальный готов СМ (10 шт гофра)</t>
        </is>
      </c>
    </row>
    <row r="20" ht="26" customHeight="1">
      <c r="A20" s="8" t="inlineStr">
        <is>
          <t>Манты с говядиной (1порц)</t>
        </is>
      </c>
      <c r="B20" s="8" t="inlineStr">
        <is>
          <t>Горячее</t>
        </is>
      </c>
      <c r="C20" s="20" t="inlineStr">
        <is>
          <t>— не трогать</t>
        </is>
      </c>
      <c r="D20" s="10" t="n">
        <v>3128263</v>
      </c>
      <c r="E20" s="10" t="n">
        <v>3405</v>
      </c>
      <c r="F20" s="10" t="n">
        <v>919</v>
      </c>
      <c r="G20" s="11" t="n">
        <v>0.1717550647996697</v>
      </c>
      <c r="H20" s="12" t="n">
        <v>9</v>
      </c>
      <c r="I20" s="11" t="n">
        <v>0.594</v>
      </c>
      <c r="J20" s="11" t="n">
        <v>0.004029880086494853</v>
      </c>
      <c r="K20" s="11" t="n">
        <v>0</v>
      </c>
      <c r="L20" s="13" t="n">
        <v>0</v>
      </c>
      <c r="M20" s="10">
        <f>ROUND(F20*(1+L20),0)</f>
        <v/>
      </c>
      <c r="N20" s="10">
        <f>ROUND(D20*(1+$D$4*L20)*(1+L20)-D20,0)</f>
        <v/>
      </c>
      <c r="O20" s="10">
        <f>ROUND(D20*(1+$D$4*L20)*(I20+L20)-D20*I20,0)</f>
        <v/>
      </c>
      <c r="P20" s="10">
        <f>ROUND(O20*12,0)</f>
        <v/>
      </c>
      <c r="Q20" s="11">
        <f>IF(L20=0,"",L20/(I20+L20))</f>
        <v/>
      </c>
      <c r="R20" s="11">
        <f>$D$4*L20</f>
        <v/>
      </c>
      <c r="S20" s="14" t="inlineStr">
        <is>
          <t>цену уже подняли на 17.2% — этого хватает</t>
        </is>
      </c>
      <c r="T20" s="14" t="inlineStr">
        <is>
          <t>Упак Манты с говядиной (1порц) · RP* Упак Манты с говядиной (1порц)</t>
        </is>
      </c>
    </row>
    <row r="21" ht="26" customHeight="1">
      <c r="A21" s="15" t="inlineStr">
        <is>
          <t>Шницель куриный с картофельным пюре (1порц)</t>
        </is>
      </c>
      <c r="B21" s="15" t="inlineStr">
        <is>
          <t>Горячее</t>
        </is>
      </c>
      <c r="C21" s="21" t="inlineStr">
        <is>
          <t>2 — следом</t>
        </is>
      </c>
      <c r="D21" s="16" t="n">
        <v>3055830</v>
      </c>
      <c r="E21" s="16" t="n">
        <v>3344</v>
      </c>
      <c r="F21" s="16" t="n">
        <v>914</v>
      </c>
      <c r="G21" s="17" t="n">
        <v>0.06280981995184831</v>
      </c>
      <c r="H21" s="18" t="n">
        <v>9</v>
      </c>
      <c r="I21" s="17" t="n">
        <v>0.573</v>
      </c>
      <c r="J21" s="17" t="n">
        <v>0.4621775251421076</v>
      </c>
      <c r="K21" s="17" t="n">
        <v>0.015</v>
      </c>
      <c r="L21" s="13" t="n">
        <v>0.015</v>
      </c>
      <c r="M21" s="16">
        <f>ROUND(F21*(1+L21),0)</f>
        <v/>
      </c>
      <c r="N21" s="16">
        <f>ROUND(D21*(1+$D$4*L21)*(1+L21)-D21,0)</f>
        <v/>
      </c>
      <c r="O21" s="16">
        <f>ROUND(D21*(1+$D$4*L21)*(I21+L21)-D21*I21,0)</f>
        <v/>
      </c>
      <c r="P21" s="16">
        <f>ROUND(O21*12,0)</f>
        <v/>
      </c>
      <c r="Q21" s="17">
        <f>IF(L21=0,"",L21/(I21+L21))</f>
        <v/>
      </c>
      <c r="R21" s="17">
        <f>$D$4*L21</f>
        <v/>
      </c>
      <c r="S21" s="19" t="inlineStr">
        <is>
          <t>берут на 46% больше</t>
        </is>
      </c>
      <c r="T21" s="19" t="inlineStr">
        <is>
          <t>Упак Шницель куриный с картофельным пюре (1порц)</t>
        </is>
      </c>
    </row>
    <row r="22" ht="26" customHeight="1">
      <c r="A22" s="8" t="inlineStr">
        <is>
          <t>Пирожок с капустой (30 шт гофра)</t>
        </is>
      </c>
      <c r="B22" s="8" t="inlineStr">
        <is>
          <t>Выпечка_</t>
        </is>
      </c>
      <c r="C22" s="21" t="inlineStr">
        <is>
          <t>2 — следом</t>
        </is>
      </c>
      <c r="D22" s="10" t="n">
        <v>2847780</v>
      </c>
      <c r="E22" s="10" t="n">
        <v>605</v>
      </c>
      <c r="F22" s="10" t="n">
        <v>4704</v>
      </c>
      <c r="G22" s="11" t="n">
        <v>0.003503049327609808</v>
      </c>
      <c r="H22" s="12" t="n">
        <v>9</v>
      </c>
      <c r="I22" s="11" t="n">
        <v>0.6622496049554392</v>
      </c>
      <c r="J22" s="11" t="n">
        <v>0.05031810294968198</v>
      </c>
      <c r="K22" s="11" t="n">
        <v>0.055</v>
      </c>
      <c r="L22" s="13" t="n">
        <v>0.055</v>
      </c>
      <c r="M22" s="10">
        <f>ROUND(F22*(1+L22),0)</f>
        <v/>
      </c>
      <c r="N22" s="10">
        <f>ROUND(D22*(1+$D$4*L22)*(1+L22)-D22,0)</f>
        <v/>
      </c>
      <c r="O22" s="10">
        <f>ROUND(D22*(1+$D$4*L22)*(I22+L22)-D22*I22,0)</f>
        <v/>
      </c>
      <c r="P22" s="10">
        <f>ROUND(O22*12,0)</f>
        <v/>
      </c>
      <c r="Q22" s="11">
        <f>IF(L22=0,"",L22/(I22+L22))</f>
        <v/>
      </c>
      <c r="R22" s="11">
        <f>$D$4*L22</f>
        <v/>
      </c>
      <c r="S22" s="14" t="inlineStr">
        <is>
          <t>за 9 мес цена выросла на 0.4% при ориентире 6.0%</t>
        </is>
      </c>
      <c r="T22" s="14" t="inlineStr">
        <is>
          <t>RP* Упак Пирожок с капустой  готов СМ (30 шт гофра) · Упак Пирожок с капустой  готов СМ (30 шт гофра)</t>
        </is>
      </c>
    </row>
    <row r="23" ht="26" customHeight="1">
      <c r="A23" s="15" t="inlineStr">
        <is>
          <t>Клаб Сэндвич с курицей (1шт)</t>
        </is>
      </c>
      <c r="B23" s="15" t="inlineStr">
        <is>
          <t>СЭНДВИЧИ</t>
        </is>
      </c>
      <c r="C23" s="20" t="inlineStr">
        <is>
          <t>— не трогать</t>
        </is>
      </c>
      <c r="D23" s="16" t="n">
        <v>2838135</v>
      </c>
      <c r="E23" s="16" t="n">
        <v>5459</v>
      </c>
      <c r="F23" s="16" t="n">
        <v>520</v>
      </c>
      <c r="G23" s="17" t="n">
        <v>0.06105728642384234</v>
      </c>
      <c r="H23" s="18" t="n">
        <v>9</v>
      </c>
      <c r="I23" s="17" t="n">
        <v>0.5589999999999999</v>
      </c>
      <c r="J23" s="17" t="n">
        <v>0.2871178181246563</v>
      </c>
      <c r="K23" s="17" t="n">
        <v>0</v>
      </c>
      <c r="L23" s="13" t="n">
        <v>0</v>
      </c>
      <c r="M23" s="16">
        <f>ROUND(F23*(1+L23),0)</f>
        <v/>
      </c>
      <c r="N23" s="16">
        <f>ROUND(D23*(1+$D$4*L23)*(1+L23)-D23,0)</f>
        <v/>
      </c>
      <c r="O23" s="16">
        <f>ROUND(D23*(1+$D$4*L23)*(I23+L23)-D23*I23,0)</f>
        <v/>
      </c>
      <c r="P23" s="16">
        <f>ROUND(O23*12,0)</f>
        <v/>
      </c>
      <c r="Q23" s="17">
        <f>IF(L23=0,"",L23/(I23+L23))</f>
        <v/>
      </c>
      <c r="R23" s="17">
        <f>$D$4*L23</f>
        <v/>
      </c>
      <c r="S23" s="19" t="inlineStr">
        <is>
          <t>признаков отставания цены нет</t>
        </is>
      </c>
      <c r="T23" s="19" t="inlineStr">
        <is>
          <t>Упак Клаб Сэндвич с курицей (1шт)</t>
        </is>
      </c>
    </row>
    <row r="24" ht="26" customHeight="1">
      <c r="A24" s="8" t="inlineStr">
        <is>
          <t>Блины с ветчиной и сыром (3шт)</t>
        </is>
      </c>
      <c r="B24" s="8" t="inlineStr">
        <is>
          <t>Завтраки</t>
        </is>
      </c>
      <c r="C24" s="20" t="inlineStr">
        <is>
          <t>— не трогать</t>
        </is>
      </c>
      <c r="D24" s="10" t="n">
        <v>2697686</v>
      </c>
      <c r="E24" s="10" t="n">
        <v>2842</v>
      </c>
      <c r="F24" s="10" t="n">
        <v>949</v>
      </c>
      <c r="G24" s="11" t="n">
        <v>0.1132930616573253</v>
      </c>
      <c r="H24" s="12" t="n">
        <v>9</v>
      </c>
      <c r="I24" s="11" t="n">
        <v>0.5619999999999999</v>
      </c>
      <c r="J24" s="11" t="n">
        <v>0.09250480461242816</v>
      </c>
      <c r="K24" s="11" t="n">
        <v>0</v>
      </c>
      <c r="L24" s="13" t="n">
        <v>0</v>
      </c>
      <c r="M24" s="10">
        <f>ROUND(F24*(1+L24),0)</f>
        <v/>
      </c>
      <c r="N24" s="10">
        <f>ROUND(D24*(1+$D$4*L24)*(1+L24)-D24,0)</f>
        <v/>
      </c>
      <c r="O24" s="10">
        <f>ROUND(D24*(1+$D$4*L24)*(I24+L24)-D24*I24,0)</f>
        <v/>
      </c>
      <c r="P24" s="10">
        <f>ROUND(O24*12,0)</f>
        <v/>
      </c>
      <c r="Q24" s="11">
        <f>IF(L24=0,"",L24/(I24+L24))</f>
        <v/>
      </c>
      <c r="R24" s="11">
        <f>$D$4*L24</f>
        <v/>
      </c>
      <c r="S24" s="14" t="inlineStr">
        <is>
          <t>цену уже подняли на 11.3% — этого хватает</t>
        </is>
      </c>
      <c r="T24" s="14" t="inlineStr">
        <is>
          <t>Упак Блины с ветчиной и сыром (3шт) · RP* Упак Блины с ветчиной и сыром (3шт)</t>
        </is>
      </c>
    </row>
    <row r="25" ht="26" customHeight="1">
      <c r="A25" s="15" t="inlineStr">
        <is>
          <t>Курица с сыром с пастой фузилли (1порц)</t>
        </is>
      </c>
      <c r="B25" s="15" t="inlineStr">
        <is>
          <t>Горячее</t>
        </is>
      </c>
      <c r="C25" s="20" t="inlineStr">
        <is>
          <t>— не трогать</t>
        </is>
      </c>
      <c r="D25" s="16" t="n">
        <v>2693063</v>
      </c>
      <c r="E25" s="16" t="n">
        <v>2475</v>
      </c>
      <c r="F25" s="16" t="n">
        <v>1088</v>
      </c>
      <c r="G25" s="17" t="n">
        <v>0.06349256328931974</v>
      </c>
      <c r="H25" s="18" t="n">
        <v>9</v>
      </c>
      <c r="I25" s="17" t="n">
        <v>0.582</v>
      </c>
      <c r="J25" s="17" t="n">
        <v>0.05258681785967423</v>
      </c>
      <c r="K25" s="17" t="n">
        <v>0</v>
      </c>
      <c r="L25" s="13" t="n">
        <v>0</v>
      </c>
      <c r="M25" s="16">
        <f>ROUND(F25*(1+L25),0)</f>
        <v/>
      </c>
      <c r="N25" s="16">
        <f>ROUND(D25*(1+$D$4*L25)*(1+L25)-D25,0)</f>
        <v/>
      </c>
      <c r="O25" s="16">
        <f>ROUND(D25*(1+$D$4*L25)*(I25+L25)-D25*I25,0)</f>
        <v/>
      </c>
      <c r="P25" s="16">
        <f>ROUND(O25*12,0)</f>
        <v/>
      </c>
      <c r="Q25" s="17">
        <f>IF(L25=0,"",L25/(I25+L25))</f>
        <v/>
      </c>
      <c r="R25" s="17">
        <f>$D$4*L25</f>
        <v/>
      </c>
      <c r="S25" s="19" t="inlineStr">
        <is>
          <t>признаков отставания цены нет</t>
        </is>
      </c>
      <c r="T25" s="19" t="inlineStr">
        <is>
          <t>Упак Курица с сыром с пастой фузилли (1порц)</t>
        </is>
      </c>
    </row>
    <row r="26" ht="26" customHeight="1">
      <c r="A26" s="8" t="inlineStr">
        <is>
          <t>Сочник творожный (30шт гофра )</t>
        </is>
      </c>
      <c r="B26" s="8" t="inlineStr">
        <is>
          <t>Выпечка_</t>
        </is>
      </c>
      <c r="C26" s="21" t="inlineStr">
        <is>
          <t>2 — следом + 2-й шаг</t>
        </is>
      </c>
      <c r="D26" s="10" t="n">
        <v>2692760</v>
      </c>
      <c r="E26" s="10" t="n">
        <v>391</v>
      </c>
      <c r="F26" s="10" t="n">
        <v>6881</v>
      </c>
      <c r="G26" s="11" t="n">
        <v>-0.01415503666138584</v>
      </c>
      <c r="H26" s="12" t="n">
        <v>9</v>
      </c>
      <c r="I26" s="11" t="n">
        <v>0.6423804497987196</v>
      </c>
      <c r="J26" s="11" t="n">
        <v>0.322072072072072</v>
      </c>
      <c r="K26" s="11" t="n">
        <v>0.08</v>
      </c>
      <c r="L26" s="13" t="n">
        <v>0.08</v>
      </c>
      <c r="M26" s="10">
        <f>ROUND(F26*(1+L26),0)</f>
        <v/>
      </c>
      <c r="N26" s="10">
        <f>ROUND(D26*(1+$D$4*L26)*(1+L26)-D26,0)</f>
        <v/>
      </c>
      <c r="O26" s="10">
        <f>ROUND(D26*(1+$D$4*L26)*(I26+L26)-D26*I26,0)</f>
        <v/>
      </c>
      <c r="P26" s="10">
        <f>ROUND(O26*12,0)</f>
        <v/>
      </c>
      <c r="Q26" s="11">
        <f>IF(L26=0,"",L26/(I26+L26))</f>
        <v/>
      </c>
      <c r="R26" s="11">
        <f>$D$4*L26</f>
        <v/>
      </c>
      <c r="S26" s="14" t="inlineStr">
        <is>
          <t>за 9 мес цена упала на 1.4% при ориентире 6.0%; берут на 32% больше. Расчёт просит 9.0% — остальное вторым шагом через квартал</t>
        </is>
      </c>
      <c r="T26" s="14" t="inlineStr">
        <is>
          <t>Упак Сочник творожный готов СМ (30шт гофра ) · RP* Упак Сочник творожный готов СМ (30шт гофра )</t>
        </is>
      </c>
    </row>
    <row r="27" ht="26" customHeight="1">
      <c r="A27" s="15" t="inlineStr">
        <is>
          <t>Курица с сыром и гречкой (1порц)</t>
        </is>
      </c>
      <c r="B27" s="15" t="inlineStr">
        <is>
          <t>Горячее</t>
        </is>
      </c>
      <c r="C27" s="20" t="inlineStr">
        <is>
          <t>— не трогать</t>
        </is>
      </c>
      <c r="D27" s="16" t="n">
        <v>2687470</v>
      </c>
      <c r="E27" s="16" t="n">
        <v>2530</v>
      </c>
      <c r="F27" s="16" t="n">
        <v>1062</v>
      </c>
      <c r="G27" s="17" t="n">
        <v>0.1152577075384189</v>
      </c>
      <c r="H27" s="18" t="n">
        <v>9</v>
      </c>
      <c r="I27" s="17" t="n">
        <v>0.605</v>
      </c>
      <c r="J27" s="17" t="n">
        <v>0.34377765976279</v>
      </c>
      <c r="K27" s="17" t="n">
        <v>0</v>
      </c>
      <c r="L27" s="13" t="n">
        <v>0</v>
      </c>
      <c r="M27" s="16">
        <f>ROUND(F27*(1+L27),0)</f>
        <v/>
      </c>
      <c r="N27" s="16">
        <f>ROUND(D27*(1+$D$4*L27)*(1+L27)-D27,0)</f>
        <v/>
      </c>
      <c r="O27" s="16">
        <f>ROUND(D27*(1+$D$4*L27)*(I27+L27)-D27*I27,0)</f>
        <v/>
      </c>
      <c r="P27" s="16">
        <f>ROUND(O27*12,0)</f>
        <v/>
      </c>
      <c r="Q27" s="17">
        <f>IF(L27=0,"",L27/(I27+L27))</f>
        <v/>
      </c>
      <c r="R27" s="17">
        <f>$D$4*L27</f>
        <v/>
      </c>
      <c r="S27" s="19" t="inlineStr">
        <is>
          <t>цену уже подняли на 11.5% — этого хватает</t>
        </is>
      </c>
      <c r="T27" s="19" t="inlineStr">
        <is>
          <t>Упак Курица с сыром и гречкой (1порц)</t>
        </is>
      </c>
    </row>
    <row r="28" ht="26" customHeight="1">
      <c r="A28" s="22" t="inlineStr">
        <is>
          <t>ИТОГО · 20 позиций</t>
        </is>
      </c>
      <c r="B28" s="22" t="n"/>
      <c r="C28" s="22" t="n"/>
      <c r="D28" s="23">
        <f>SUM(D8:D27)</f>
        <v/>
      </c>
      <c r="E28" s="23" t="n"/>
      <c r="F28" s="24" t="n"/>
      <c r="G28" s="24" t="n"/>
      <c r="H28" s="24" t="n"/>
      <c r="I28" s="25">
        <f>SUMPRODUCT(D8:D27,I8:I27)/D28</f>
        <v/>
      </c>
      <c r="J28" s="24" t="n"/>
      <c r="K28" s="24" t="n"/>
      <c r="L28" s="25">
        <f>SUMPRODUCT(D8:D27,L8:L27)/D28</f>
        <v/>
      </c>
      <c r="M28" s="24" t="n"/>
      <c r="N28" s="23">
        <f>SUM(N8:N27)</f>
        <v/>
      </c>
      <c r="O28" s="23">
        <f>SUM(O8:O27)</f>
        <v/>
      </c>
      <c r="P28" s="23">
        <f>SUM(P8:P27)</f>
        <v/>
      </c>
      <c r="Q28" s="24" t="n"/>
      <c r="R28" s="24" t="n"/>
      <c r="S28" s="24">
        <f>"Прирост к нынешней валовой прибыли этих позиций: "&amp;TEXT(O28/SUMPRODUCT(D8:D27,I8:I27),"0.0%")</f>
        <v/>
      </c>
      <c r="T28" s="24" t="n"/>
    </row>
  </sheetData>
  <autoFilter ref="A7:T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0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Цена и количество по месяцам</t>
        </is>
      </c>
    </row>
    <row r="2">
      <c r="A2" s="2" t="inlineStr">
        <is>
          <t>Цена = выручка ÷ количество по всем клиентам. График рядом с каждой позицией.</t>
        </is>
      </c>
    </row>
    <row r="4">
      <c r="A4" s="26" t="inlineStr">
        <is>
          <t>Позиция</t>
        </is>
      </c>
      <c r="B4" s="26" t="inlineStr">
        <is>
          <t>Показатель</t>
        </is>
      </c>
      <c r="C4" s="27" t="inlineStr">
        <is>
          <t>янв'26</t>
        </is>
      </c>
      <c r="D4" s="27" t="inlineStr">
        <is>
          <t>фев'26</t>
        </is>
      </c>
      <c r="E4" s="27" t="inlineStr">
        <is>
          <t>мар'26</t>
        </is>
      </c>
      <c r="F4" s="27" t="inlineStr">
        <is>
          <t>апр'26</t>
        </is>
      </c>
      <c r="G4" s="27" t="inlineStr">
        <is>
          <t>май'26</t>
        </is>
      </c>
      <c r="H4" s="27" t="inlineStr">
        <is>
          <t>июн'26</t>
        </is>
      </c>
      <c r="I4" s="27" t="inlineStr">
        <is>
          <t>июл'26</t>
        </is>
      </c>
      <c r="J4" s="27" t="inlineStr">
        <is>
          <t>авг'26</t>
        </is>
      </c>
      <c r="K4" s="27" t="inlineStr">
        <is>
          <t>сен'26</t>
        </is>
      </c>
    </row>
    <row r="5">
      <c r="A5" s="28" t="inlineStr">
        <is>
          <t>Сосиска в тесте (30шт гофра)</t>
        </is>
      </c>
      <c r="B5" s="29" t="inlineStr">
        <is>
          <t>Цена, ₸</t>
        </is>
      </c>
      <c r="C5" s="30" t="n">
        <v>8795</v>
      </c>
      <c r="D5" s="30" t="n">
        <v>9210</v>
      </c>
      <c r="E5" s="30" t="n">
        <v>9434</v>
      </c>
      <c r="F5" s="30" t="n">
        <v>9473</v>
      </c>
      <c r="G5" s="30" t="n">
        <v>9406</v>
      </c>
      <c r="H5" s="30" t="n">
        <v>9349</v>
      </c>
      <c r="I5" s="30" t="n">
        <v>9358</v>
      </c>
      <c r="J5" s="30" t="n">
        <v>9393</v>
      </c>
      <c r="K5" s="30" t="n">
        <v>9701</v>
      </c>
    </row>
    <row r="6">
      <c r="A6" s="31" t="inlineStr">
        <is>
          <t>Выпечка_ · маржа 61%</t>
        </is>
      </c>
      <c r="B6" s="29" t="inlineStr">
        <is>
          <t>Количество, шт</t>
        </is>
      </c>
      <c r="C6" s="32" t="n">
        <v>838</v>
      </c>
      <c r="D6" s="32" t="n">
        <v>628</v>
      </c>
      <c r="E6" s="32" t="n">
        <v>869</v>
      </c>
      <c r="F6" s="32" t="n">
        <v>707</v>
      </c>
      <c r="G6" s="32" t="n">
        <v>714</v>
      </c>
      <c r="H6" s="32" t="n">
        <v>943</v>
      </c>
      <c r="I6" s="32" t="n">
        <v>1315</v>
      </c>
      <c r="J6" s="32" t="n">
        <v>953</v>
      </c>
      <c r="K6" s="32" t="n">
        <v>718</v>
      </c>
    </row>
    <row r="21">
      <c r="A21" s="28" t="inlineStr">
        <is>
          <t>Брецель-дог (20шт)</t>
        </is>
      </c>
      <c r="B21" s="29" t="inlineStr">
        <is>
          <t>Цена, ₸</t>
        </is>
      </c>
      <c r="C21" s="30" t="n">
        <v>10296</v>
      </c>
      <c r="D21" s="30" t="n">
        <v>7263</v>
      </c>
      <c r="E21" s="30" t="n">
        <v>7107</v>
      </c>
      <c r="F21" s="30" t="n">
        <v>7102</v>
      </c>
      <c r="G21" s="30" t="n">
        <v>7077</v>
      </c>
      <c r="H21" s="30" t="n">
        <v>7066</v>
      </c>
      <c r="I21" s="30" t="n">
        <v>7123</v>
      </c>
      <c r="J21" s="30" t="n">
        <v>7012</v>
      </c>
      <c r="K21" s="30" t="n">
        <v>7261</v>
      </c>
    </row>
    <row r="22">
      <c r="A22" s="31" t="inlineStr">
        <is>
          <t>Выпечка_ · маржа 53%</t>
        </is>
      </c>
      <c r="B22" s="29" t="inlineStr">
        <is>
          <t>Количество, шт</t>
        </is>
      </c>
      <c r="C22" s="32" t="n">
        <v>170</v>
      </c>
      <c r="D22" s="32" t="n">
        <v>118</v>
      </c>
      <c r="E22" s="32" t="n">
        <v>563</v>
      </c>
      <c r="F22" s="32" t="n">
        <v>1101</v>
      </c>
      <c r="G22" s="32" t="n">
        <v>1369</v>
      </c>
      <c r="H22" s="32" t="n">
        <v>1646</v>
      </c>
      <c r="I22" s="32" t="n">
        <v>780</v>
      </c>
      <c r="J22" s="32" t="n">
        <v>2456</v>
      </c>
      <c r="K22" s="32" t="n">
        <v>652</v>
      </c>
    </row>
    <row r="37">
      <c r="A37" s="28" t="inlineStr">
        <is>
          <t>Гуйру цомян (1порц)</t>
        </is>
      </c>
      <c r="B37" s="29" t="inlineStr">
        <is>
          <t>Цена, ₸</t>
        </is>
      </c>
      <c r="C37" s="30" t="n">
        <v>799</v>
      </c>
      <c r="D37" s="30" t="n">
        <v>776</v>
      </c>
      <c r="E37" s="30" t="n">
        <v>842</v>
      </c>
      <c r="F37" s="30" t="n">
        <v>856</v>
      </c>
      <c r="G37" s="30" t="n">
        <v>864</v>
      </c>
      <c r="H37" s="30" t="n">
        <v>849</v>
      </c>
      <c r="I37" s="30" t="n">
        <v>878</v>
      </c>
      <c r="J37" s="30" t="n">
        <v>891</v>
      </c>
      <c r="K37" s="30" t="n">
        <v>892</v>
      </c>
    </row>
    <row r="38">
      <c r="A38" s="31" t="inlineStr">
        <is>
          <t>Горячее · маржа 51%</t>
        </is>
      </c>
      <c r="B38" s="29" t="inlineStr">
        <is>
          <t>Количество, шт</t>
        </is>
      </c>
      <c r="C38" s="32" t="n">
        <v>4039</v>
      </c>
      <c r="D38" s="32" t="n">
        <v>4121</v>
      </c>
      <c r="E38" s="32" t="n">
        <v>5035</v>
      </c>
      <c r="F38" s="32" t="n">
        <v>5846</v>
      </c>
      <c r="G38" s="32" t="n">
        <v>6547</v>
      </c>
      <c r="H38" s="32" t="n">
        <v>6918</v>
      </c>
      <c r="I38" s="32" t="n">
        <v>6808</v>
      </c>
      <c r="J38" s="32" t="n">
        <v>7265</v>
      </c>
      <c r="K38" s="32" t="n">
        <v>6304</v>
      </c>
    </row>
    <row r="53">
      <c r="A53" s="28" t="inlineStr">
        <is>
          <t>Плов по-ташкентски (1порц)</t>
        </is>
      </c>
      <c r="B53" s="29" t="inlineStr">
        <is>
          <t>Цена, ₸</t>
        </is>
      </c>
      <c r="C53" s="30" t="n">
        <v>970</v>
      </c>
      <c r="D53" s="30" t="n">
        <v>930</v>
      </c>
      <c r="E53" s="30" t="n">
        <v>916</v>
      </c>
      <c r="F53" s="30" t="n">
        <v>924</v>
      </c>
      <c r="G53" s="30" t="n">
        <v>1040</v>
      </c>
      <c r="H53" s="30" t="n">
        <v>982</v>
      </c>
      <c r="I53" s="30" t="n">
        <v>1063</v>
      </c>
      <c r="J53" s="30" t="n">
        <v>1082</v>
      </c>
      <c r="K53" s="30" t="n">
        <v>1083</v>
      </c>
    </row>
    <row r="54">
      <c r="A54" s="31" t="inlineStr">
        <is>
          <t>Горячее · маржа 48%</t>
        </is>
      </c>
      <c r="B54" s="29" t="inlineStr">
        <is>
          <t>Количество, шт</t>
        </is>
      </c>
      <c r="C54" s="32" t="n">
        <v>3099</v>
      </c>
      <c r="D54" s="32" t="n">
        <v>3002</v>
      </c>
      <c r="E54" s="32" t="n">
        <v>4640</v>
      </c>
      <c r="F54" s="32" t="n">
        <v>4216</v>
      </c>
      <c r="G54" s="32" t="n">
        <v>5776</v>
      </c>
      <c r="H54" s="32" t="n">
        <v>5179</v>
      </c>
      <c r="I54" s="32" t="n">
        <v>4921</v>
      </c>
      <c r="J54" s="32" t="n">
        <v>5387</v>
      </c>
      <c r="K54" s="32" t="n">
        <v>4821</v>
      </c>
    </row>
    <row r="69">
      <c r="A69" s="28" t="inlineStr">
        <is>
          <t>Кимпаб с тунцом (1шт)</t>
        </is>
      </c>
      <c r="B69" s="29" t="inlineStr">
        <is>
          <t>Цена, ₸</t>
        </is>
      </c>
      <c r="C69" s="30" t="n">
        <v>855</v>
      </c>
      <c r="D69" s="30" t="n">
        <v>871</v>
      </c>
      <c r="E69" s="30" t="n">
        <v>875</v>
      </c>
      <c r="F69" s="30" t="n">
        <v>874</v>
      </c>
      <c r="G69" s="30" t="n">
        <v>879</v>
      </c>
      <c r="H69" s="30" t="n">
        <v>878</v>
      </c>
      <c r="I69" s="30" t="n">
        <v>970</v>
      </c>
      <c r="J69" s="30" t="n">
        <v>1002</v>
      </c>
      <c r="K69" s="30" t="n">
        <v>979</v>
      </c>
    </row>
    <row r="70">
      <c r="A70" s="31" t="inlineStr">
        <is>
          <t>Япония · маржа 55%</t>
        </is>
      </c>
      <c r="B70" s="29" t="inlineStr">
        <is>
          <t>Количество, шт</t>
        </is>
      </c>
      <c r="C70" s="32" t="n">
        <v>4068</v>
      </c>
      <c r="D70" s="32" t="n">
        <v>4158</v>
      </c>
      <c r="E70" s="32" t="n">
        <v>3935</v>
      </c>
      <c r="F70" s="32" t="n">
        <v>4522</v>
      </c>
      <c r="G70" s="32" t="n">
        <v>4734</v>
      </c>
      <c r="H70" s="32" t="n">
        <v>5532</v>
      </c>
      <c r="I70" s="32" t="n">
        <v>5257</v>
      </c>
      <c r="J70" s="32" t="n">
        <v>5347</v>
      </c>
      <c r="K70" s="32" t="n">
        <v>5337</v>
      </c>
    </row>
    <row r="85">
      <c r="A85" s="28" t="inlineStr">
        <is>
          <t>Пирожок с курицей и сыром (30 шт гофра)</t>
        </is>
      </c>
      <c r="B85" s="29" t="inlineStr">
        <is>
          <t>Цена, ₸</t>
        </is>
      </c>
      <c r="C85" s="30" t="n">
        <v>4975</v>
      </c>
      <c r="D85" s="30" t="n">
        <v>5256</v>
      </c>
      <c r="E85" s="30" t="n">
        <v>5348</v>
      </c>
      <c r="F85" s="30" t="n">
        <v>5270</v>
      </c>
      <c r="G85" s="30" t="n">
        <v>5354</v>
      </c>
      <c r="H85" s="30" t="n">
        <v>5220</v>
      </c>
      <c r="I85" s="30" t="n">
        <v>5294</v>
      </c>
      <c r="J85" s="30" t="n">
        <v>5288</v>
      </c>
      <c r="K85" s="30" t="n">
        <v>5349</v>
      </c>
    </row>
    <row r="86">
      <c r="A86" s="31" t="inlineStr">
        <is>
          <t>Выпечка_ · маржа 51%</t>
        </is>
      </c>
      <c r="B86" s="29" t="inlineStr">
        <is>
          <t>Количество, шт</t>
        </is>
      </c>
      <c r="C86" s="32" t="n">
        <v>711</v>
      </c>
      <c r="D86" s="32" t="n">
        <v>584</v>
      </c>
      <c r="E86" s="32" t="n">
        <v>791</v>
      </c>
      <c r="F86" s="32" t="n">
        <v>567</v>
      </c>
      <c r="G86" s="32" t="n">
        <v>688</v>
      </c>
      <c r="H86" s="32" t="n">
        <v>879</v>
      </c>
      <c r="I86" s="32" t="n">
        <v>1123</v>
      </c>
      <c r="J86" s="32" t="n">
        <v>937</v>
      </c>
      <c r="K86" s="32" t="n">
        <v>621</v>
      </c>
    </row>
    <row r="101">
      <c r="A101" s="28" t="inlineStr">
        <is>
          <t>Кимпаб с курицей (1шт)</t>
        </is>
      </c>
      <c r="B101" s="29" t="inlineStr">
        <is>
          <t>Цена, ₸</t>
        </is>
      </c>
      <c r="C101" s="30" t="n">
        <v>737</v>
      </c>
      <c r="D101" s="30" t="n">
        <v>751</v>
      </c>
      <c r="E101" s="30" t="n">
        <v>765</v>
      </c>
      <c r="F101" s="30" t="n">
        <v>774</v>
      </c>
      <c r="G101" s="30" t="n">
        <v>781</v>
      </c>
      <c r="H101" s="30" t="n">
        <v>760</v>
      </c>
      <c r="I101" s="30" t="n">
        <v>822</v>
      </c>
      <c r="J101" s="30" t="n">
        <v>853</v>
      </c>
      <c r="K101" s="30" t="n">
        <v>838</v>
      </c>
    </row>
    <row r="102">
      <c r="A102" s="31" t="inlineStr">
        <is>
          <t>Япония · маржа 50%</t>
        </is>
      </c>
      <c r="B102" s="29" t="inlineStr">
        <is>
          <t>Количество, шт</t>
        </is>
      </c>
      <c r="C102" s="32" t="n">
        <v>4157</v>
      </c>
      <c r="D102" s="32" t="n">
        <v>4351</v>
      </c>
      <c r="E102" s="32" t="n">
        <v>4206</v>
      </c>
      <c r="F102" s="32" t="n">
        <v>4969</v>
      </c>
      <c r="G102" s="32" t="n">
        <v>5203</v>
      </c>
      <c r="H102" s="32" t="n">
        <v>5595</v>
      </c>
      <c r="I102" s="32" t="n">
        <v>5188</v>
      </c>
      <c r="J102" s="32" t="n">
        <v>5267</v>
      </c>
      <c r="K102" s="32" t="n">
        <v>5516</v>
      </c>
    </row>
    <row r="117">
      <c r="A117" s="28" t="inlineStr">
        <is>
          <t>Маффин шоколадный (24шт)</t>
        </is>
      </c>
      <c r="B117" s="29" t="inlineStr">
        <is>
          <t>Цена, ₸</t>
        </is>
      </c>
      <c r="C117" s="30" t="n">
        <v>7362</v>
      </c>
      <c r="D117" s="30" t="n">
        <v>7317</v>
      </c>
      <c r="E117" s="30" t="n">
        <v>7431</v>
      </c>
      <c r="F117" s="30" t="n">
        <v>7492</v>
      </c>
      <c r="G117" s="30" t="n">
        <v>7496</v>
      </c>
      <c r="H117" s="30" t="n">
        <v>7329</v>
      </c>
      <c r="I117" s="30" t="n">
        <v>7335</v>
      </c>
      <c r="J117" s="30" t="n">
        <v>7358</v>
      </c>
      <c r="K117" s="30" t="n">
        <v>7297</v>
      </c>
    </row>
    <row r="118">
      <c r="A118" s="31" t="inlineStr">
        <is>
          <t>Выпечка_ · маржа 48%</t>
        </is>
      </c>
      <c r="B118" s="29" t="inlineStr">
        <is>
          <t>Количество, шт</t>
        </is>
      </c>
      <c r="C118" s="32" t="n">
        <v>293</v>
      </c>
      <c r="D118" s="32" t="n">
        <v>324</v>
      </c>
      <c r="E118" s="32" t="n">
        <v>387</v>
      </c>
      <c r="F118" s="32" t="n">
        <v>523</v>
      </c>
      <c r="G118" s="32" t="n">
        <v>369</v>
      </c>
      <c r="H118" s="32" t="n">
        <v>392</v>
      </c>
      <c r="I118" s="32" t="n">
        <v>456</v>
      </c>
      <c r="J118" s="32" t="n">
        <v>598</v>
      </c>
      <c r="K118" s="32" t="n">
        <v>664</v>
      </c>
    </row>
    <row r="133">
      <c r="A133" s="28" t="inlineStr">
        <is>
          <t>Курица с сыром и картофельным пюре (1порц)</t>
        </is>
      </c>
      <c r="B133" s="29" t="inlineStr">
        <is>
          <t>Цена, ₸</t>
        </is>
      </c>
      <c r="C133" s="30" t="n">
        <v>1027</v>
      </c>
      <c r="D133" s="30" t="n">
        <v>1042</v>
      </c>
      <c r="E133" s="30" t="n">
        <v>1075</v>
      </c>
      <c r="F133" s="30" t="n">
        <v>1076</v>
      </c>
      <c r="G133" s="30" t="n">
        <v>1135</v>
      </c>
      <c r="H133" s="30" t="n">
        <v>1117</v>
      </c>
      <c r="I133" s="30" t="n">
        <v>1125</v>
      </c>
      <c r="J133" s="30" t="n">
        <v>1137</v>
      </c>
      <c r="K133" s="30" t="n">
        <v>1113</v>
      </c>
    </row>
    <row r="134">
      <c r="A134" s="31" t="inlineStr">
        <is>
          <t>Горячее · маржа 59%</t>
        </is>
      </c>
      <c r="B134" s="29" t="inlineStr">
        <is>
          <t>Количество, шт</t>
        </is>
      </c>
      <c r="C134" s="32" t="n">
        <v>2525</v>
      </c>
      <c r="D134" s="32" t="n">
        <v>2315</v>
      </c>
      <c r="E134" s="32" t="n">
        <v>2676</v>
      </c>
      <c r="F134" s="32" t="n">
        <v>2774</v>
      </c>
      <c r="G134" s="32" t="n">
        <v>4267</v>
      </c>
      <c r="H134" s="32" t="n">
        <v>4300</v>
      </c>
      <c r="I134" s="32" t="n">
        <v>3609</v>
      </c>
      <c r="J134" s="32" t="n">
        <v>3534</v>
      </c>
      <c r="K134" s="32" t="n">
        <v>3570</v>
      </c>
    </row>
    <row r="149">
      <c r="A149" s="28" t="inlineStr">
        <is>
          <t>Курица с сыром с рисом и паутини (1порц)</t>
        </is>
      </c>
      <c r="B149" s="29" t="inlineStr">
        <is>
          <t>Цена, ₸</t>
        </is>
      </c>
      <c r="C149" s="30" t="n">
        <v>1003</v>
      </c>
      <c r="D149" s="30" t="n">
        <v>1020</v>
      </c>
      <c r="E149" s="30" t="n">
        <v>1071</v>
      </c>
      <c r="F149" s="30" t="n">
        <v>1074</v>
      </c>
      <c r="G149" s="30" t="n">
        <v>1064</v>
      </c>
      <c r="H149" s="30" t="n">
        <v>1043</v>
      </c>
      <c r="I149" s="30" t="n">
        <v>1092</v>
      </c>
      <c r="J149" s="30" t="n">
        <v>1115</v>
      </c>
      <c r="K149" s="30" t="n">
        <v>1103</v>
      </c>
    </row>
    <row r="150">
      <c r="A150" s="31" t="inlineStr">
        <is>
          <t>Горячее · маржа 60%</t>
        </is>
      </c>
      <c r="B150" s="29" t="inlineStr">
        <is>
          <t>Количество, шт</t>
        </is>
      </c>
      <c r="C150" s="32" t="n">
        <v>2254</v>
      </c>
      <c r="D150" s="32" t="n">
        <v>2108</v>
      </c>
      <c r="E150" s="32" t="n">
        <v>2608</v>
      </c>
      <c r="F150" s="32" t="n">
        <v>3048</v>
      </c>
      <c r="G150" s="32" t="n">
        <v>3227</v>
      </c>
      <c r="H150" s="32" t="n">
        <v>3859</v>
      </c>
      <c r="I150" s="32" t="n">
        <v>3501</v>
      </c>
      <c r="J150" s="32" t="n">
        <v>3185</v>
      </c>
      <c r="K150" s="32" t="n">
        <v>3106</v>
      </c>
    </row>
    <row r="165">
      <c r="A165" s="28" t="inlineStr">
        <is>
          <t>Пирожок с картофелем (30 шт гофра)</t>
        </is>
      </c>
      <c r="B165" s="29" t="inlineStr">
        <is>
          <t>Цена, ₸</t>
        </is>
      </c>
      <c r="C165" s="30" t="n">
        <v>5445</v>
      </c>
      <c r="D165" s="30" t="n">
        <v>872</v>
      </c>
      <c r="E165" s="30" t="n">
        <v>4427</v>
      </c>
      <c r="F165" s="30" t="n">
        <v>4820</v>
      </c>
      <c r="G165" s="30" t="n">
        <v>4804</v>
      </c>
      <c r="H165" s="30" t="n">
        <v>4116</v>
      </c>
      <c r="I165" s="30" t="n">
        <v>4801</v>
      </c>
      <c r="J165" s="30" t="n">
        <v>4756</v>
      </c>
      <c r="K165" s="30" t="n">
        <v>4860</v>
      </c>
    </row>
    <row r="166">
      <c r="A166" s="31" t="inlineStr">
        <is>
          <t>Выпечка_ · маржа 64%</t>
        </is>
      </c>
      <c r="B166" s="29" t="inlineStr">
        <is>
          <t>Количество, шт</t>
        </is>
      </c>
      <c r="C166" s="32" t="n">
        <v>60</v>
      </c>
      <c r="D166" s="32" t="n">
        <v>182</v>
      </c>
      <c r="E166" s="32" t="n">
        <v>550</v>
      </c>
      <c r="F166" s="32" t="n">
        <v>402</v>
      </c>
      <c r="G166" s="32" t="n">
        <v>451</v>
      </c>
      <c r="H166" s="32" t="n">
        <v>751</v>
      </c>
      <c r="I166" s="32" t="n">
        <v>971</v>
      </c>
      <c r="J166" s="32" t="n">
        <v>756</v>
      </c>
      <c r="K166" s="32" t="n">
        <v>501</v>
      </c>
    </row>
    <row r="181">
      <c r="A181" s="28" t="inlineStr">
        <is>
          <t>Круассан миндальный (10 шт гофра)</t>
        </is>
      </c>
      <c r="B181" s="29" t="inlineStr">
        <is>
          <t>Цена, ₸</t>
        </is>
      </c>
      <c r="C181" s="30" t="n">
        <v>6768</v>
      </c>
      <c r="D181" s="30" t="n">
        <v>6823</v>
      </c>
      <c r="E181" s="30" t="n">
        <v>7177</v>
      </c>
      <c r="F181" s="30" t="n">
        <v>7129</v>
      </c>
      <c r="G181" s="30" t="n">
        <v>7044</v>
      </c>
      <c r="H181" s="30" t="n">
        <v>7008</v>
      </c>
      <c r="I181" s="30" t="n">
        <v>7213</v>
      </c>
      <c r="J181" s="30" t="n">
        <v>6946</v>
      </c>
      <c r="K181" s="30" t="n">
        <v>6887</v>
      </c>
    </row>
    <row r="182">
      <c r="A182" s="31" t="inlineStr">
        <is>
          <t>Выпечка_ · маржа 59%</t>
        </is>
      </c>
      <c r="B182" s="29" t="inlineStr">
        <is>
          <t>Количество, шт</t>
        </is>
      </c>
      <c r="C182" s="32" t="n">
        <v>270</v>
      </c>
      <c r="D182" s="32" t="n">
        <v>265</v>
      </c>
      <c r="E182" s="32" t="n">
        <v>335</v>
      </c>
      <c r="F182" s="32" t="n">
        <v>376</v>
      </c>
      <c r="G182" s="32" t="n">
        <v>293</v>
      </c>
      <c r="H182" s="32" t="n">
        <v>421</v>
      </c>
      <c r="I182" s="32" t="n">
        <v>567</v>
      </c>
      <c r="J182" s="32" t="n">
        <v>444</v>
      </c>
      <c r="K182" s="32" t="n">
        <v>417</v>
      </c>
    </row>
    <row r="197">
      <c r="A197" s="28" t="inlineStr">
        <is>
          <t>Манты с говядиной (1порц)</t>
        </is>
      </c>
      <c r="B197" s="29" t="inlineStr">
        <is>
          <t>Цена, ₸</t>
        </is>
      </c>
      <c r="C197" s="30" t="n">
        <v>831</v>
      </c>
      <c r="D197" s="30" t="n">
        <v>801</v>
      </c>
      <c r="E197" s="30" t="n">
        <v>790</v>
      </c>
      <c r="F197" s="30" t="n">
        <v>795</v>
      </c>
      <c r="G197" s="30" t="n">
        <v>848</v>
      </c>
      <c r="H197" s="30" t="n">
        <v>790</v>
      </c>
      <c r="I197" s="30" t="n">
        <v>873</v>
      </c>
      <c r="J197" s="30" t="n">
        <v>939</v>
      </c>
      <c r="K197" s="30" t="n">
        <v>941</v>
      </c>
    </row>
    <row r="198">
      <c r="A198" s="31" t="inlineStr">
        <is>
          <t>Горячее · маржа 59%</t>
        </is>
      </c>
      <c r="B198" s="29" t="inlineStr">
        <is>
          <t>Количество, шт</t>
        </is>
      </c>
      <c r="C198" s="32" t="n">
        <v>3204</v>
      </c>
      <c r="D198" s="32" t="n">
        <v>3017</v>
      </c>
      <c r="E198" s="32" t="n">
        <v>3925</v>
      </c>
      <c r="F198" s="32" t="n">
        <v>3334</v>
      </c>
      <c r="G198" s="32" t="n">
        <v>3173</v>
      </c>
      <c r="H198" s="32" t="n">
        <v>3667</v>
      </c>
      <c r="I198" s="32" t="n">
        <v>3234</v>
      </c>
      <c r="J198" s="32" t="n">
        <v>3453</v>
      </c>
      <c r="K198" s="32" t="n">
        <v>3528</v>
      </c>
    </row>
    <row r="213">
      <c r="A213" s="28" t="inlineStr">
        <is>
          <t>Шницель куриный с картофельным пюре (1порц)</t>
        </is>
      </c>
      <c r="B213" s="29" t="inlineStr">
        <is>
          <t>Цена, ₸</t>
        </is>
      </c>
      <c r="C213" s="30" t="n">
        <v>859</v>
      </c>
      <c r="D213" s="30" t="n">
        <v>841</v>
      </c>
      <c r="E213" s="30" t="n">
        <v>857</v>
      </c>
      <c r="F213" s="30" t="n">
        <v>856</v>
      </c>
      <c r="G213" s="30" t="n">
        <v>899</v>
      </c>
      <c r="H213" s="30" t="n">
        <v>812</v>
      </c>
      <c r="I213" s="30" t="n">
        <v>891</v>
      </c>
      <c r="J213" s="30" t="n">
        <v>911</v>
      </c>
      <c r="K213" s="30" t="n">
        <v>932</v>
      </c>
    </row>
    <row r="214">
      <c r="A214" s="31" t="inlineStr">
        <is>
          <t>Горячее · маржа 57%</t>
        </is>
      </c>
      <c r="B214" s="29" t="inlineStr">
        <is>
          <t>Количество, шт</t>
        </is>
      </c>
      <c r="C214" s="32" t="n">
        <v>2443</v>
      </c>
      <c r="D214" s="32" t="n">
        <v>2194</v>
      </c>
      <c r="E214" s="32" t="n">
        <v>1988</v>
      </c>
      <c r="F214" s="32" t="n">
        <v>2128</v>
      </c>
      <c r="G214" s="32" t="n">
        <v>2114</v>
      </c>
      <c r="H214" s="32" t="n">
        <v>2619</v>
      </c>
      <c r="I214" s="32" t="n">
        <v>2763</v>
      </c>
      <c r="J214" s="32" t="n">
        <v>3372</v>
      </c>
      <c r="K214" s="32" t="n">
        <v>3897</v>
      </c>
    </row>
    <row r="229">
      <c r="A229" s="28" t="inlineStr">
        <is>
          <t>Пирожок с капустой (30 шт гофра)</t>
        </is>
      </c>
      <c r="B229" s="29" t="inlineStr">
        <is>
          <t>Цена, ₸</t>
        </is>
      </c>
      <c r="C229" s="30" t="n">
        <v>4310</v>
      </c>
      <c r="D229" s="30" t="n">
        <v>4715</v>
      </c>
      <c r="E229" s="30" t="n">
        <v>4746</v>
      </c>
      <c r="F229" s="30" t="n">
        <v>4788</v>
      </c>
      <c r="G229" s="30" t="n">
        <v>4792</v>
      </c>
      <c r="H229" s="30" t="n">
        <v>3492</v>
      </c>
      <c r="I229" s="30" t="n">
        <v>4647</v>
      </c>
      <c r="J229" s="30" t="n">
        <v>4731</v>
      </c>
      <c r="K229" s="30" t="n">
        <v>4763</v>
      </c>
    </row>
    <row r="230">
      <c r="A230" s="31" t="inlineStr">
        <is>
          <t>Выпечка_ · маржа 66%</t>
        </is>
      </c>
      <c r="B230" s="29" t="inlineStr">
        <is>
          <t>Количество, шт</t>
        </is>
      </c>
      <c r="C230" s="32" t="n">
        <v>381</v>
      </c>
      <c r="D230" s="32" t="n">
        <v>349</v>
      </c>
      <c r="E230" s="32" t="n">
        <v>496</v>
      </c>
      <c r="F230" s="32" t="n">
        <v>446</v>
      </c>
      <c r="G230" s="32" t="n">
        <v>454</v>
      </c>
      <c r="H230" s="32" t="n">
        <v>829</v>
      </c>
      <c r="I230" s="32" t="n">
        <v>724</v>
      </c>
      <c r="J230" s="32" t="n">
        <v>714</v>
      </c>
      <c r="K230" s="32" t="n">
        <v>378</v>
      </c>
    </row>
    <row r="245">
      <c r="A245" s="28" t="inlineStr">
        <is>
          <t>Клаб Сэндвич с курицей (1шт)</t>
        </is>
      </c>
      <c r="B245" s="29" t="inlineStr">
        <is>
          <t>Цена, ₸</t>
        </is>
      </c>
      <c r="C245" s="30" t="n">
        <v>488</v>
      </c>
      <c r="D245" s="30" t="n">
        <v>489</v>
      </c>
      <c r="E245" s="30" t="n">
        <v>512</v>
      </c>
      <c r="F245" s="30" t="n">
        <v>506</v>
      </c>
      <c r="G245" s="30" t="n">
        <v>509</v>
      </c>
      <c r="H245" s="30" t="n">
        <v>514</v>
      </c>
      <c r="I245" s="30" t="n">
        <v>516</v>
      </c>
      <c r="J245" s="30" t="n">
        <v>524</v>
      </c>
      <c r="K245" s="30" t="n">
        <v>519</v>
      </c>
    </row>
    <row r="246">
      <c r="A246" s="31" t="inlineStr">
        <is>
          <t>СЭНДВИЧИ · маржа 56%</t>
        </is>
      </c>
      <c r="B246" s="29" t="inlineStr">
        <is>
          <t>Количество, шт</t>
        </is>
      </c>
      <c r="C246" s="32" t="n">
        <v>3237</v>
      </c>
      <c r="D246" s="32" t="n">
        <v>3273</v>
      </c>
      <c r="E246" s="32" t="n">
        <v>4099</v>
      </c>
      <c r="F246" s="32" t="n">
        <v>4262</v>
      </c>
      <c r="G246" s="32" t="n">
        <v>4270</v>
      </c>
      <c r="H246" s="32" t="n">
        <v>4191</v>
      </c>
      <c r="I246" s="32" t="n">
        <v>5051</v>
      </c>
      <c r="J246" s="32" t="n">
        <v>5713</v>
      </c>
      <c r="K246" s="32" t="n">
        <v>5612</v>
      </c>
    </row>
    <row r="261">
      <c r="A261" s="28" t="inlineStr">
        <is>
          <t>Блины с ветчиной и сыром (3шт)</t>
        </is>
      </c>
      <c r="B261" s="29" t="inlineStr">
        <is>
          <t>Цена, ₸</t>
        </is>
      </c>
      <c r="C261" s="30" t="n">
        <v>863</v>
      </c>
      <c r="D261" s="30" t="n">
        <v>853</v>
      </c>
      <c r="E261" s="30" t="n">
        <v>894</v>
      </c>
      <c r="F261" s="30" t="n">
        <v>858</v>
      </c>
      <c r="G261" s="30" t="n">
        <v>884</v>
      </c>
      <c r="H261" s="30" t="n">
        <v>897</v>
      </c>
      <c r="I261" s="30" t="n">
        <v>924</v>
      </c>
      <c r="J261" s="30" t="n">
        <v>961</v>
      </c>
      <c r="K261" s="30" t="n">
        <v>962</v>
      </c>
    </row>
    <row r="262">
      <c r="A262" s="31" t="inlineStr">
        <is>
          <t>Завтраки · маржа 56%</t>
        </is>
      </c>
      <c r="B262" s="29" t="inlineStr">
        <is>
          <t>Количество, шт</t>
        </is>
      </c>
      <c r="C262" s="32" t="n">
        <v>2211</v>
      </c>
      <c r="D262" s="32" t="n">
        <v>2131</v>
      </c>
      <c r="E262" s="32" t="n">
        <v>2928</v>
      </c>
      <c r="F262" s="32" t="n">
        <v>2427</v>
      </c>
      <c r="G262" s="32" t="n">
        <v>2648</v>
      </c>
      <c r="H262" s="32" t="n">
        <v>2730</v>
      </c>
      <c r="I262" s="32" t="n">
        <v>2832</v>
      </c>
      <c r="J262" s="32" t="n">
        <v>2945</v>
      </c>
      <c r="K262" s="32" t="n">
        <v>2750</v>
      </c>
    </row>
    <row r="277">
      <c r="A277" s="28" t="inlineStr">
        <is>
          <t>Курица с сыром с пастой фузилли (1порц)</t>
        </is>
      </c>
      <c r="B277" s="29" t="inlineStr">
        <is>
          <t>Цена, ₸</t>
        </is>
      </c>
      <c r="C277" s="30" t="n">
        <v>1032</v>
      </c>
      <c r="D277" s="30" t="n">
        <v>1031</v>
      </c>
      <c r="E277" s="30" t="n">
        <v>1074</v>
      </c>
      <c r="F277" s="30" t="n">
        <v>1048</v>
      </c>
      <c r="G277" s="30" t="n">
        <v>1066</v>
      </c>
      <c r="H277" s="30" t="n">
        <v>1006</v>
      </c>
      <c r="I277" s="30" t="n">
        <v>1065</v>
      </c>
      <c r="J277" s="30" t="n">
        <v>1097</v>
      </c>
      <c r="K277" s="30" t="n">
        <v>1099</v>
      </c>
    </row>
    <row r="278">
      <c r="A278" s="31" t="inlineStr">
        <is>
          <t>Горячее · маржа 58%</t>
        </is>
      </c>
      <c r="B278" s="29" t="inlineStr">
        <is>
          <t>Количество, шт</t>
        </is>
      </c>
      <c r="C278" s="32" t="n">
        <v>2109</v>
      </c>
      <c r="D278" s="32" t="n">
        <v>1993</v>
      </c>
      <c r="E278" s="32" t="n">
        <v>2249</v>
      </c>
      <c r="F278" s="32" t="n">
        <v>2438</v>
      </c>
      <c r="G278" s="32" t="n">
        <v>2252</v>
      </c>
      <c r="H278" s="32" t="n">
        <v>2365</v>
      </c>
      <c r="I278" s="32" t="n">
        <v>2244</v>
      </c>
      <c r="J278" s="32" t="n">
        <v>2571</v>
      </c>
      <c r="K278" s="32" t="n">
        <v>2611</v>
      </c>
    </row>
    <row r="293">
      <c r="A293" s="28" t="inlineStr">
        <is>
          <t>Сочник творожный (30шт гофра )</t>
        </is>
      </c>
      <c r="B293" s="29" t="inlineStr">
        <is>
          <t>Цена, ₸</t>
        </is>
      </c>
      <c r="C293" s="30" t="n">
        <v>7012</v>
      </c>
      <c r="D293" s="30" t="n">
        <v>6983</v>
      </c>
      <c r="E293" s="30" t="n">
        <v>7182</v>
      </c>
      <c r="F293" s="30" t="n">
        <v>7137</v>
      </c>
      <c r="G293" s="30" t="n">
        <v>7249</v>
      </c>
      <c r="H293" s="30" t="n">
        <v>6963</v>
      </c>
      <c r="I293" s="30" t="n">
        <v>6912</v>
      </c>
      <c r="J293" s="30" t="n">
        <v>6814</v>
      </c>
      <c r="K293" s="30" t="n">
        <v>6940</v>
      </c>
    </row>
    <row r="294">
      <c r="A294" s="31" t="inlineStr">
        <is>
          <t>Выпечка_ · маржа 64%</t>
        </is>
      </c>
      <c r="B294" s="29" t="inlineStr">
        <is>
          <t>Количество, шт</t>
        </is>
      </c>
      <c r="C294" s="32" t="n">
        <v>210</v>
      </c>
      <c r="D294" s="32" t="n">
        <v>169</v>
      </c>
      <c r="E294" s="32" t="n">
        <v>231</v>
      </c>
      <c r="F294" s="32" t="n">
        <v>306</v>
      </c>
      <c r="G294" s="32" t="n">
        <v>235</v>
      </c>
      <c r="H294" s="32" t="n">
        <v>347</v>
      </c>
      <c r="I294" s="32" t="n">
        <v>418</v>
      </c>
      <c r="J294" s="32" t="n">
        <v>461</v>
      </c>
      <c r="K294" s="32" t="n">
        <v>295</v>
      </c>
    </row>
    <row r="309">
      <c r="A309" s="28" t="inlineStr">
        <is>
          <t>Курица с сыром и гречкой (1порц)</t>
        </is>
      </c>
      <c r="B309" s="29" t="inlineStr">
        <is>
          <t>Цена, ₸</t>
        </is>
      </c>
      <c r="C309" s="30" t="n">
        <v>943</v>
      </c>
      <c r="D309" s="30" t="n">
        <v>958</v>
      </c>
      <c r="E309" s="30" t="n">
        <v>973</v>
      </c>
      <c r="F309" s="30" t="n">
        <v>977</v>
      </c>
      <c r="G309" s="30" t="n">
        <v>1003</v>
      </c>
      <c r="H309" s="30" t="n">
        <v>928</v>
      </c>
      <c r="I309" s="30" t="n">
        <v>1032</v>
      </c>
      <c r="J309" s="30" t="n">
        <v>1082</v>
      </c>
      <c r="K309" s="30" t="n">
        <v>1068</v>
      </c>
    </row>
    <row r="310">
      <c r="A310" s="31" t="inlineStr">
        <is>
          <t>Горячее · маржа 60%</t>
        </is>
      </c>
      <c r="B310" s="29" t="inlineStr">
        <is>
          <t>Количество, шт</t>
        </is>
      </c>
      <c r="C310" s="32" t="n">
        <v>1542</v>
      </c>
      <c r="D310" s="32" t="n">
        <v>1552</v>
      </c>
      <c r="E310" s="32" t="n">
        <v>1506</v>
      </c>
      <c r="F310" s="32" t="n">
        <v>1743</v>
      </c>
      <c r="G310" s="32" t="n">
        <v>1690</v>
      </c>
      <c r="H310" s="32" t="n">
        <v>2216</v>
      </c>
      <c r="I310" s="32" t="n">
        <v>2266</v>
      </c>
      <c r="J310" s="32" t="n">
        <v>2484</v>
      </c>
      <c r="K310" s="32" t="n">
        <v>2841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24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2" ht="24" customHeight="1">
      <c r="A2" s="33" t="inlineStr">
        <is>
          <t>Как читать этот файл</t>
        </is>
      </c>
    </row>
    <row r="3" ht="28" customHeight="1">
      <c r="A3" s="34" t="inlineStr">
        <is>
          <t>Собрано 13.10.2026 из выгрузки iiko. В расчёт идут только закрытые месяцы: в текущем себестоимость ещё не разнесена, и маржа по нему завышена.</t>
        </is>
      </c>
    </row>
    <row r="4" ht="16" customHeight="1">
      <c r="A4" s="34" t="inlineStr"/>
    </row>
    <row r="5" ht="24" customHeight="1">
      <c r="A5" s="33" t="inlineStr">
        <is>
          <t>Что можно менять</t>
        </is>
      </c>
    </row>
    <row r="6" ht="28" customHeight="1">
      <c r="A6" s="34" t="inlineStr">
        <is>
          <t>На листе «План» жёлтым выделены три вещи: реакция объёма на цену (ячейка C4), ориентир роста цены за год (C5) и колонка «Поднять, %» по каждой позиции. Всё остальное — формулы, они пересчитаются сами.</t>
        </is>
      </c>
    </row>
    <row r="7" ht="16" customHeight="1">
      <c r="A7" s="34" t="inlineStr"/>
    </row>
    <row r="8" ht="24" customHeight="1">
      <c r="A8" s="33" t="inlineStr">
        <is>
          <t>Откуда берётся рекомендация</t>
        </is>
      </c>
    </row>
    <row r="9" ht="42" customHeight="1">
      <c r="A9" s="34" t="inlineStr">
        <is>
          <t>Сравнивать нашу цену не с чем — прайса конкурентов у нас нет. Поэтому смотрим на другое: насколько цена отстала от подорожания. Ориентир — 8% в год. Считаем, сколько цена выросла за то время, что мы наблюдаем позицию, и разницу с ориентиром берём за базу подъёма.</t>
        </is>
      </c>
    </row>
    <row r="10" ht="56" customHeight="1">
      <c r="A10" s="34" t="inlineStr">
        <is>
          <t>Дальше две надбавки и один стоп-кран: маржа ниже 45%% — плюс 3 пункта (на тонкой марже процент цены даёт максимальный прирост прибыли); объём растёт больше чем на 30%% — плюс 1,5 пункта (спрос опережает, подъём проглотят); объём падает больше чем на 15%% — потолок 2%%, такую позицию трогать нельзя. Позиции, которым цену уже подняли выше ориентира с запасом, не трогаем вовсе.</t>
        </is>
      </c>
    </row>
    <row r="11" ht="28" customHeight="1">
      <c r="A11" s="34" t="inlineStr">
        <is>
          <t>Разовый шаг ограничен 8%: больше клиент за один раз не принимает. Где расчёт просит больше, в обосновании написано «вторым шагом через квартал».</t>
        </is>
      </c>
    </row>
    <row r="12" ht="16" customHeight="1">
      <c r="A12" s="34" t="inlineStr"/>
    </row>
    <row r="13" ht="24" customHeight="1">
      <c r="A13" s="33" t="inlineStr">
        <is>
          <t>Как считается эффект</t>
        </is>
      </c>
    </row>
    <row r="14" ht="42" customHeight="1">
      <c r="A14" s="34" t="inlineStr">
        <is>
          <t>Подъём цены не меняет себестоимость, поэтому весь прирост уходит в валовую прибыль — но часть объёма уходит вместе с ним. При выручке R, марже m, подъёме p и изменении объёма в k раз: новая выручка = R×k×(1+p), новая валовая прибыль = R×k×(m+p).</t>
        </is>
      </c>
    </row>
    <row r="15" ht="28" customHeight="1">
      <c r="A15" s="34" t="inlineStr">
        <is>
          <t>Отсюда «Запас по объёму» = p ÷ (m+p): настолько количество может упасть, прежде чем валовая прибыль вернётся к нынешней. Пока ожидаемое падение меньше запаса, подъём в плюсе.</t>
        </is>
      </c>
    </row>
    <row r="16" ht="16" customHeight="1">
      <c r="A16" s="34" t="inlineStr"/>
    </row>
    <row r="17" ht="24" customHeight="1">
      <c r="A17" s="33" t="inlineStr">
        <is>
          <t>Почему позиций двадцать, а карточек в iiko больше</t>
        </is>
      </c>
    </row>
    <row r="18" ht="70" customHeight="1">
      <c r="A18" s="34" t="inlineStr">
        <is>
          <t>Часть позиций ведётся в iiko под двумя именами: обычным и с приставкой «RP*» — под ней ту же позицию берёт сеть АЗС. Это одно и то же изделие, поэтому в отчёте оно сведено в одну строку, а из каких карточек оно собрано, написано в последней колонке. Если считать карточки порознь, один товар распадается на две строки с разной историей цены, и в ТОП-20 попадают обе половинки. «Сырая» и «готовая» при этом остаются разными позициями.</t>
        </is>
      </c>
    </row>
    <row r="19" ht="16" customHeight="1">
      <c r="A19" s="34" t="inlineStr"/>
    </row>
    <row r="20" ht="24" customHeight="1">
      <c r="A20" s="33" t="inlineStr">
        <is>
          <t>Как считается «Цена ±»</t>
        </is>
      </c>
    </row>
    <row r="21" ht="42" customHeight="1">
      <c r="A21" s="34" t="inlineStr">
        <is>
          <t>Медиана цены последних месяцев против медианы начала окна. Медиана, а не крайние точки, потому что первый месяц новой позиции — это пробная партия по розничной цене, и выход на опт выглядел бы обвалом. Месяцы, где позицию брали меньше четверти обычного объёма, из сравнения выброшены по той же причине.</t>
        </is>
      </c>
    </row>
    <row r="22" ht="28" customHeight="1">
      <c r="A22" s="34" t="inlineStr">
        <is>
          <t>Цена везде — выручка, делённая на количество, по всем клиентам сразу. Это фактическая цена отгрузки со всеми скидками, а не прайс.</t>
        </is>
      </c>
    </row>
    <row r="23" ht="16" customHeight="1">
      <c r="A23" s="34" t="inlineStr"/>
    </row>
    <row r="24">
      <c r="A24" s="31" t="inlineStr">
        <is>
          <t>Система «Пульс» · Фуд Завод · Фуд Завод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Фуд Завод</dc:creator>
  <dc:title>План повышения цен</dc:title>
  <dcterms:created xsi:type="dcterms:W3CDTF">2026-10-13T09:55:13Z</dcterms:created>
  <dcterms:modified xsi:type="dcterms:W3CDTF">2026-10-13T09:55:13Z</dcterms:modified>
</cp:coreProperties>
</file>